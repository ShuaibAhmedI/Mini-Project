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UAIB AHMED\Downloads\"/>
    </mc:Choice>
  </mc:AlternateContent>
  <xr:revisionPtr revIDLastSave="0" documentId="13_ncr:1_{2C798A41-B4E6-4B8E-B3B0-832E3BC00406}" xr6:coauthVersionLast="47" xr6:coauthVersionMax="47" xr10:uidLastSave="{00000000-0000-0000-0000-000000000000}"/>
  <bookViews>
    <workbookView xWindow="-108" yWindow="-108" windowWidth="23256" windowHeight="13896" firstSheet="3" activeTab="8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Sheet4" sheetId="19" state="hidden" r:id="rId5"/>
    <sheet name="Sheet6" sheetId="21" state="hidden" r:id="rId6"/>
    <sheet name="Customer Details" sheetId="14" r:id="rId7"/>
    <sheet name="PIVOT_Product &amp; Sales Facts" sheetId="17" r:id="rId8"/>
    <sheet name="Charts" sheetId="18" r:id="rId9"/>
    <sheet name="Sheet5" sheetId="20" state="hidden" r:id="rId10"/>
    <sheet name="Combine Products &amp; Sales Facts" sheetId="15" r:id="rId11"/>
  </sheets>
  <definedNames>
    <definedName name="_xlnm._FilterDatabase" localSheetId="6" hidden="1">'Customer Details'!$A$1:$I$501</definedName>
    <definedName name="_xlnm._FilterDatabase" localSheetId="0" hidden="1">Customer_Dim!$A$1:$H$501</definedName>
    <definedName name="_xlnm._FilterDatabase" localSheetId="1" hidden="1">Product_Dim!$A$1:$G$101</definedName>
    <definedName name="_xlnm._FilterDatabase" localSheetId="3" hidden="1">Sales_Fact!$A$1:$J$1987</definedName>
  </definedNames>
  <calcPr calcId="191029"/>
  <pivotCaches>
    <pivotCache cacheId="10" r:id="rId12"/>
    <pivotCache cacheId="18" r:id="rId13"/>
    <pivotCache cacheId="24" r:id="rId14"/>
    <pivotCache cacheId="44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7" i="15" l="1"/>
  <c r="G3" i="15" a="1"/>
  <c r="G3" i="15"/>
  <c r="G4" i="15" a="1"/>
  <c r="G4" i="15"/>
  <c r="G5" i="15" a="1"/>
  <c r="G5" i="15"/>
  <c r="G6" i="15" a="1"/>
  <c r="G6" i="15"/>
  <c r="G7" i="15" a="1"/>
  <c r="G7" i="15"/>
  <c r="G8" i="15" a="1"/>
  <c r="G8" i="15"/>
  <c r="G9" i="15" a="1"/>
  <c r="G9" i="15"/>
  <c r="G10" i="15" a="1"/>
  <c r="G10" i="15"/>
  <c r="G11" i="15" a="1"/>
  <c r="G11" i="15"/>
  <c r="G12" i="15" a="1"/>
  <c r="G12" i="15"/>
  <c r="G13" i="15" a="1"/>
  <c r="G13" i="15"/>
  <c r="G14" i="15" a="1"/>
  <c r="G14" i="15"/>
  <c r="G15" i="15" a="1"/>
  <c r="G15" i="15"/>
  <c r="G16" i="15" a="1"/>
  <c r="G16" i="15"/>
  <c r="G17" i="15" a="1"/>
  <c r="G17" i="15"/>
  <c r="G18" i="15" a="1"/>
  <c r="G18" i="15"/>
  <c r="G19" i="15" a="1"/>
  <c r="G19" i="15"/>
  <c r="G20" i="15" a="1"/>
  <c r="G20" i="15"/>
  <c r="G21" i="15" a="1"/>
  <c r="G21" i="15"/>
  <c r="G22" i="15" a="1"/>
  <c r="G22" i="15"/>
  <c r="G23" i="15" a="1"/>
  <c r="G23" i="15"/>
  <c r="G24" i="15" a="1"/>
  <c r="G24" i="15"/>
  <c r="G25" i="15" a="1"/>
  <c r="G25" i="15"/>
  <c r="G26" i="15" a="1"/>
  <c r="G26" i="15"/>
  <c r="G27" i="15" a="1"/>
  <c r="G27" i="15"/>
  <c r="G28" i="15" a="1"/>
  <c r="G28" i="15"/>
  <c r="G29" i="15" a="1"/>
  <c r="G29" i="15"/>
  <c r="G30" i="15" a="1"/>
  <c r="G30" i="15"/>
  <c r="G31" i="15" a="1"/>
  <c r="G31" i="15"/>
  <c r="G32" i="15" a="1"/>
  <c r="G32" i="15"/>
  <c r="G33" i="15" a="1"/>
  <c r="G33" i="15"/>
  <c r="G34" i="15" a="1"/>
  <c r="G34" i="15"/>
  <c r="G35" i="15" a="1"/>
  <c r="G35" i="15"/>
  <c r="G36" i="15" a="1"/>
  <c r="G36" i="15"/>
  <c r="G37" i="15" a="1"/>
  <c r="G37" i="15"/>
  <c r="G38" i="15" a="1"/>
  <c r="G38" i="15"/>
  <c r="G39" i="15" a="1"/>
  <c r="G39" i="15"/>
  <c r="G40" i="15" a="1"/>
  <c r="G40" i="15"/>
  <c r="G41" i="15" a="1"/>
  <c r="G41" i="15"/>
  <c r="G42" i="15" a="1"/>
  <c r="G42" i="15"/>
  <c r="G43" i="15" a="1"/>
  <c r="G43" i="15"/>
  <c r="G44" i="15" a="1"/>
  <c r="G44" i="15"/>
  <c r="G45" i="15" a="1"/>
  <c r="G45" i="15"/>
  <c r="G46" i="15" a="1"/>
  <c r="G46" i="15"/>
  <c r="G47" i="15" a="1"/>
  <c r="G47" i="15"/>
  <c r="G48" i="15" a="1"/>
  <c r="G48" i="15"/>
  <c r="G49" i="15" a="1"/>
  <c r="G49" i="15"/>
  <c r="G50" i="15" a="1"/>
  <c r="G50" i="15"/>
  <c r="G51" i="15" a="1"/>
  <c r="G51" i="15"/>
  <c r="G52" i="15" a="1"/>
  <c r="G52" i="15"/>
  <c r="G53" i="15" a="1"/>
  <c r="G53" i="15"/>
  <c r="G54" i="15" a="1"/>
  <c r="G54" i="15"/>
  <c r="G55" i="15" a="1"/>
  <c r="G55" i="15"/>
  <c r="G56" i="15" a="1"/>
  <c r="G56" i="15"/>
  <c r="G57" i="15" a="1"/>
  <c r="G57" i="15"/>
  <c r="G58" i="15" a="1"/>
  <c r="G58" i="15"/>
  <c r="G59" i="15" a="1"/>
  <c r="G59" i="15"/>
  <c r="G60" i="15" a="1"/>
  <c r="G60" i="15"/>
  <c r="G61" i="15" a="1"/>
  <c r="G61" i="15"/>
  <c r="G62" i="15" a="1"/>
  <c r="G62" i="15"/>
  <c r="G63" i="15" a="1"/>
  <c r="G63" i="15"/>
  <c r="G64" i="15" a="1"/>
  <c r="G64" i="15"/>
  <c r="G65" i="15" a="1"/>
  <c r="G65" i="15"/>
  <c r="G66" i="15" a="1"/>
  <c r="G66" i="15"/>
  <c r="G67" i="15" a="1"/>
  <c r="G67" i="15"/>
  <c r="G68" i="15" a="1"/>
  <c r="G68" i="15"/>
  <c r="G69" i="15" a="1"/>
  <c r="G69" i="15"/>
  <c r="G70" i="15" a="1"/>
  <c r="G70" i="15"/>
  <c r="G71" i="15" a="1"/>
  <c r="G71" i="15"/>
  <c r="G72" i="15" a="1"/>
  <c r="G72" i="15"/>
  <c r="G73" i="15" a="1"/>
  <c r="G73" i="15"/>
  <c r="G74" i="15" a="1"/>
  <c r="G74" i="15"/>
  <c r="G75" i="15" a="1"/>
  <c r="G75" i="15"/>
  <c r="G76" i="15" a="1"/>
  <c r="G76" i="15"/>
  <c r="G77" i="15" a="1"/>
  <c r="G77" i="15"/>
  <c r="G78" i="15" a="1"/>
  <c r="G78" i="15"/>
  <c r="G79" i="15" a="1"/>
  <c r="G79" i="15"/>
  <c r="G80" i="15" a="1"/>
  <c r="G80" i="15"/>
  <c r="G81" i="15" a="1"/>
  <c r="G81" i="15"/>
  <c r="G82" i="15" a="1"/>
  <c r="G82" i="15"/>
  <c r="G83" i="15" a="1"/>
  <c r="G83" i="15"/>
  <c r="G84" i="15" a="1"/>
  <c r="G84" i="15"/>
  <c r="G85" i="15" a="1"/>
  <c r="G85" i="15"/>
  <c r="G86" i="15" a="1"/>
  <c r="G86" i="15"/>
  <c r="G87" i="15" a="1"/>
  <c r="G87" i="15"/>
  <c r="G88" i="15" a="1"/>
  <c r="G88" i="15"/>
  <c r="G89" i="15" a="1"/>
  <c r="G89" i="15"/>
  <c r="G90" i="15" a="1"/>
  <c r="G90" i="15"/>
  <c r="G91" i="15" a="1"/>
  <c r="G91" i="15"/>
  <c r="G92" i="15" a="1"/>
  <c r="G92" i="15"/>
  <c r="G93" i="15" a="1"/>
  <c r="G93" i="15"/>
  <c r="G94" i="15" a="1"/>
  <c r="G94" i="15"/>
  <c r="G95" i="15" a="1"/>
  <c r="G95" i="15"/>
  <c r="G96" i="15" a="1"/>
  <c r="G96" i="15"/>
  <c r="G97" i="15" a="1"/>
  <c r="G97" i="15"/>
  <c r="G98" i="15" a="1"/>
  <c r="G98" i="15"/>
  <c r="G99" i="15" a="1"/>
  <c r="G99" i="15"/>
  <c r="G100" i="15" a="1"/>
  <c r="G100" i="15"/>
  <c r="G101" i="15" a="1"/>
  <c r="G101" i="15"/>
  <c r="G102" i="15" a="1"/>
  <c r="G102" i="15"/>
  <c r="G103" i="15" a="1"/>
  <c r="G103" i="15"/>
  <c r="G104" i="15" a="1"/>
  <c r="G104" i="15"/>
  <c r="G105" i="15" a="1"/>
  <c r="G105" i="15"/>
  <c r="G106" i="15" a="1"/>
  <c r="G106" i="15"/>
  <c r="G107" i="15" a="1"/>
  <c r="G107" i="15"/>
  <c r="G108" i="15" a="1"/>
  <c r="G108" i="15"/>
  <c r="G109" i="15" a="1"/>
  <c r="G109" i="15"/>
  <c r="G110" i="15" a="1"/>
  <c r="G110" i="15"/>
  <c r="G111" i="15" a="1"/>
  <c r="G111" i="15"/>
  <c r="G112" i="15" a="1"/>
  <c r="G112" i="15"/>
  <c r="G113" i="15" a="1"/>
  <c r="G113" i="15"/>
  <c r="G114" i="15" a="1"/>
  <c r="G114" i="15"/>
  <c r="G115" i="15" a="1"/>
  <c r="G115" i="15"/>
  <c r="G116" i="15" a="1"/>
  <c r="G116" i="15"/>
  <c r="G117" i="15" a="1"/>
  <c r="G117" i="15"/>
  <c r="G118" i="15" a="1"/>
  <c r="G118" i="15"/>
  <c r="G119" i="15" a="1"/>
  <c r="G119" i="15"/>
  <c r="G120" i="15" a="1"/>
  <c r="G120" i="15"/>
  <c r="G121" i="15" a="1"/>
  <c r="G121" i="15"/>
  <c r="G122" i="15" a="1"/>
  <c r="G122" i="15"/>
  <c r="G123" i="15" a="1"/>
  <c r="G123" i="15"/>
  <c r="G124" i="15" a="1"/>
  <c r="G124" i="15"/>
  <c r="G125" i="15" a="1"/>
  <c r="G125" i="15"/>
  <c r="G126" i="15" a="1"/>
  <c r="G126" i="15"/>
  <c r="G127" i="15" a="1"/>
  <c r="G127" i="15"/>
  <c r="G128" i="15" a="1"/>
  <c r="G128" i="15"/>
  <c r="G129" i="15" a="1"/>
  <c r="G129" i="15"/>
  <c r="G130" i="15" a="1"/>
  <c r="G130" i="15"/>
  <c r="G131" i="15" a="1"/>
  <c r="G131" i="15"/>
  <c r="G132" i="15" a="1"/>
  <c r="G132" i="15"/>
  <c r="G133" i="15" a="1"/>
  <c r="G133" i="15"/>
  <c r="G134" i="15" a="1"/>
  <c r="G134" i="15"/>
  <c r="G135" i="15" a="1"/>
  <c r="G135" i="15"/>
  <c r="G136" i="15" a="1"/>
  <c r="G136" i="15"/>
  <c r="G137" i="15" a="1"/>
  <c r="G137" i="15"/>
  <c r="G138" i="15" a="1"/>
  <c r="G138" i="15"/>
  <c r="G139" i="15" a="1"/>
  <c r="G139" i="15"/>
  <c r="G140" i="15" a="1"/>
  <c r="G140" i="15"/>
  <c r="G141" i="15" a="1"/>
  <c r="G141" i="15"/>
  <c r="G142" i="15" a="1"/>
  <c r="G142" i="15"/>
  <c r="G143" i="15" a="1"/>
  <c r="G143" i="15"/>
  <c r="G144" i="15" a="1"/>
  <c r="G144" i="15"/>
  <c r="G145" i="15" a="1"/>
  <c r="G145" i="15"/>
  <c r="G146" i="15" a="1"/>
  <c r="G146" i="15"/>
  <c r="G147" i="15" a="1"/>
  <c r="G147" i="15"/>
  <c r="G148" i="15" a="1"/>
  <c r="G148" i="15"/>
  <c r="G149" i="15" a="1"/>
  <c r="G149" i="15"/>
  <c r="G150" i="15" a="1"/>
  <c r="G150" i="15"/>
  <c r="G151" i="15" a="1"/>
  <c r="G151" i="15"/>
  <c r="G152" i="15" a="1"/>
  <c r="G152" i="15"/>
  <c r="G153" i="15" a="1"/>
  <c r="G153" i="15"/>
  <c r="G154" i="15" a="1"/>
  <c r="G154" i="15"/>
  <c r="G155" i="15" a="1"/>
  <c r="G155" i="15"/>
  <c r="G156" i="15" a="1"/>
  <c r="G156" i="15"/>
  <c r="G157" i="15" a="1"/>
  <c r="G157" i="15"/>
  <c r="G158" i="15" a="1"/>
  <c r="G158" i="15"/>
  <c r="G159" i="15" a="1"/>
  <c r="G159" i="15"/>
  <c r="G160" i="15" a="1"/>
  <c r="G160" i="15"/>
  <c r="G161" i="15" a="1"/>
  <c r="G161" i="15"/>
  <c r="G162" i="15" a="1"/>
  <c r="G162" i="15"/>
  <c r="G163" i="15" a="1"/>
  <c r="G163" i="15"/>
  <c r="G164" i="15" a="1"/>
  <c r="G164" i="15"/>
  <c r="G165" i="15" a="1"/>
  <c r="G165" i="15"/>
  <c r="G166" i="15" a="1"/>
  <c r="G166" i="15"/>
  <c r="G167" i="15" a="1"/>
  <c r="G167" i="15"/>
  <c r="G168" i="15" a="1"/>
  <c r="G168" i="15"/>
  <c r="G169" i="15" a="1"/>
  <c r="G169" i="15"/>
  <c r="G170" i="15" a="1"/>
  <c r="G170" i="15"/>
  <c r="G171" i="15" a="1"/>
  <c r="G171" i="15"/>
  <c r="G172" i="15" a="1"/>
  <c r="G172" i="15"/>
  <c r="G173" i="15" a="1"/>
  <c r="G173" i="15"/>
  <c r="G174" i="15" a="1"/>
  <c r="G174" i="15"/>
  <c r="G175" i="15" a="1"/>
  <c r="G175" i="15"/>
  <c r="G176" i="15" a="1"/>
  <c r="G176" i="15"/>
  <c r="G177" i="15" a="1"/>
  <c r="G177" i="15"/>
  <c r="G178" i="15" a="1"/>
  <c r="G178" i="15"/>
  <c r="G179" i="15" a="1"/>
  <c r="G179" i="15"/>
  <c r="G180" i="15" a="1"/>
  <c r="G180" i="15"/>
  <c r="G181" i="15" a="1"/>
  <c r="G181" i="15"/>
  <c r="G182" i="15" a="1"/>
  <c r="G182" i="15"/>
  <c r="G183" i="15" a="1"/>
  <c r="G183" i="15"/>
  <c r="G184" i="15" a="1"/>
  <c r="G184" i="15"/>
  <c r="G185" i="15" a="1"/>
  <c r="G185" i="15"/>
  <c r="G186" i="15" a="1"/>
  <c r="G186" i="15"/>
  <c r="G187" i="15" a="1"/>
  <c r="G187" i="15"/>
  <c r="G188" i="15" a="1"/>
  <c r="G188" i="15"/>
  <c r="G189" i="15" a="1"/>
  <c r="G189" i="15"/>
  <c r="G190" i="15" a="1"/>
  <c r="G190" i="15"/>
  <c r="G191" i="15" a="1"/>
  <c r="G191" i="15"/>
  <c r="G192" i="15" a="1"/>
  <c r="G192" i="15"/>
  <c r="G193" i="15" a="1"/>
  <c r="G193" i="15"/>
  <c r="G194" i="15" a="1"/>
  <c r="G194" i="15"/>
  <c r="G195" i="15" a="1"/>
  <c r="G195" i="15"/>
  <c r="G196" i="15" a="1"/>
  <c r="G196" i="15"/>
  <c r="G197" i="15" a="1"/>
  <c r="G197" i="15"/>
  <c r="G198" i="15" a="1"/>
  <c r="G198" i="15"/>
  <c r="G199" i="15" a="1"/>
  <c r="G199" i="15"/>
  <c r="G200" i="15" a="1"/>
  <c r="G200" i="15"/>
  <c r="G201" i="15" a="1"/>
  <c r="G201" i="15"/>
  <c r="G202" i="15" a="1"/>
  <c r="G202" i="15"/>
  <c r="G203" i="15" a="1"/>
  <c r="G203" i="15"/>
  <c r="G204" i="15" a="1"/>
  <c r="G204" i="15"/>
  <c r="G205" i="15" a="1"/>
  <c r="G205" i="15"/>
  <c r="G206" i="15" a="1"/>
  <c r="G206" i="15"/>
  <c r="G207" i="15" a="1"/>
  <c r="G207" i="15"/>
  <c r="G208" i="15" a="1"/>
  <c r="G208" i="15"/>
  <c r="G209" i="15" a="1"/>
  <c r="G209" i="15"/>
  <c r="G210" i="15" a="1"/>
  <c r="G210" i="15"/>
  <c r="G211" i="15" a="1"/>
  <c r="G211" i="15"/>
  <c r="G212" i="15" a="1"/>
  <c r="G212" i="15"/>
  <c r="G213" i="15" a="1"/>
  <c r="G213" i="15"/>
  <c r="G214" i="15" a="1"/>
  <c r="G214" i="15"/>
  <c r="G215" i="15" a="1"/>
  <c r="G215" i="15"/>
  <c r="G216" i="15" a="1"/>
  <c r="G216" i="15"/>
  <c r="G217" i="15" a="1"/>
  <c r="G217" i="15"/>
  <c r="G218" i="15" a="1"/>
  <c r="G218" i="15"/>
  <c r="G219" i="15" a="1"/>
  <c r="G219" i="15"/>
  <c r="G220" i="15" a="1"/>
  <c r="G220" i="15"/>
  <c r="G221" i="15" a="1"/>
  <c r="G221" i="15"/>
  <c r="G222" i="15" a="1"/>
  <c r="G222" i="15"/>
  <c r="G223" i="15" a="1"/>
  <c r="G223" i="15"/>
  <c r="G224" i="15" a="1"/>
  <c r="G224" i="15"/>
  <c r="G225" i="15" a="1"/>
  <c r="G225" i="15"/>
  <c r="G226" i="15" a="1"/>
  <c r="G226" i="15"/>
  <c r="G227" i="15" a="1"/>
  <c r="G227" i="15"/>
  <c r="G228" i="15" a="1"/>
  <c r="G228" i="15"/>
  <c r="G229" i="15" a="1"/>
  <c r="G229" i="15"/>
  <c r="G230" i="15" a="1"/>
  <c r="G230" i="15"/>
  <c r="G231" i="15" a="1"/>
  <c r="G231" i="15"/>
  <c r="G232" i="15" a="1"/>
  <c r="G232" i="15"/>
  <c r="G233" i="15" a="1"/>
  <c r="G233" i="15"/>
  <c r="G234" i="15" a="1"/>
  <c r="G234" i="15"/>
  <c r="G235" i="15" a="1"/>
  <c r="G235" i="15"/>
  <c r="G236" i="15" a="1"/>
  <c r="G236" i="15"/>
  <c r="G237" i="15" a="1"/>
  <c r="G237" i="15"/>
  <c r="G238" i="15" a="1"/>
  <c r="G238" i="15"/>
  <c r="G239" i="15" a="1"/>
  <c r="G239" i="15"/>
  <c r="G240" i="15" a="1"/>
  <c r="G240" i="15"/>
  <c r="G241" i="15" a="1"/>
  <c r="G241" i="15"/>
  <c r="G242" i="15" a="1"/>
  <c r="G242" i="15"/>
  <c r="G243" i="15" a="1"/>
  <c r="G243" i="15"/>
  <c r="G244" i="15" a="1"/>
  <c r="G244" i="15"/>
  <c r="G245" i="15" a="1"/>
  <c r="G245" i="15"/>
  <c r="G246" i="15" a="1"/>
  <c r="G246" i="15"/>
  <c r="G247" i="15" a="1"/>
  <c r="G247" i="15"/>
  <c r="G248" i="15" a="1"/>
  <c r="G248" i="15"/>
  <c r="G249" i="15" a="1"/>
  <c r="G249" i="15"/>
  <c r="G250" i="15" a="1"/>
  <c r="G250" i="15"/>
  <c r="G251" i="15" a="1"/>
  <c r="G251" i="15"/>
  <c r="G252" i="15" a="1"/>
  <c r="G252" i="15"/>
  <c r="G253" i="15" a="1"/>
  <c r="G253" i="15"/>
  <c r="G254" i="15" a="1"/>
  <c r="G254" i="15"/>
  <c r="G255" i="15" a="1"/>
  <c r="G255" i="15"/>
  <c r="G256" i="15" a="1"/>
  <c r="G256" i="15"/>
  <c r="G257" i="15" a="1"/>
  <c r="G257" i="15"/>
  <c r="G258" i="15" a="1"/>
  <c r="G258" i="15"/>
  <c r="G259" i="15" a="1"/>
  <c r="G259" i="15"/>
  <c r="G260" i="15" a="1"/>
  <c r="G260" i="15"/>
  <c r="G261" i="15" a="1"/>
  <c r="G261" i="15"/>
  <c r="G262" i="15" a="1"/>
  <c r="G262" i="15"/>
  <c r="G263" i="15" a="1"/>
  <c r="G263" i="15"/>
  <c r="G264" i="15" a="1"/>
  <c r="G264" i="15"/>
  <c r="G265" i="15" a="1"/>
  <c r="G265" i="15"/>
  <c r="G266" i="15" a="1"/>
  <c r="G266" i="15"/>
  <c r="G267" i="15" a="1"/>
  <c r="G267" i="15"/>
  <c r="G268" i="15" a="1"/>
  <c r="G268" i="15"/>
  <c r="G269" i="15" a="1"/>
  <c r="G269" i="15"/>
  <c r="G270" i="15" a="1"/>
  <c r="G270" i="15"/>
  <c r="G271" i="15" a="1"/>
  <c r="G271" i="15"/>
  <c r="G272" i="15" a="1"/>
  <c r="G272" i="15"/>
  <c r="G273" i="15" a="1"/>
  <c r="G273" i="15"/>
  <c r="G274" i="15" a="1"/>
  <c r="G274" i="15"/>
  <c r="G275" i="15" a="1"/>
  <c r="G275" i="15"/>
  <c r="G276" i="15" a="1"/>
  <c r="G276" i="15"/>
  <c r="G277" i="15" a="1"/>
  <c r="G277" i="15"/>
  <c r="G278" i="15" a="1"/>
  <c r="G278" i="15"/>
  <c r="G279" i="15" a="1"/>
  <c r="G279" i="15"/>
  <c r="G280" i="15" a="1"/>
  <c r="G280" i="15"/>
  <c r="G281" i="15" a="1"/>
  <c r="G281" i="15"/>
  <c r="G282" i="15" a="1"/>
  <c r="G282" i="15"/>
  <c r="G283" i="15" a="1"/>
  <c r="G283" i="15"/>
  <c r="G284" i="15" a="1"/>
  <c r="G284" i="15"/>
  <c r="G285" i="15" a="1"/>
  <c r="G285" i="15"/>
  <c r="G286" i="15" a="1"/>
  <c r="G286" i="15"/>
  <c r="G287" i="15" a="1"/>
  <c r="G287" i="15"/>
  <c r="G288" i="15" a="1"/>
  <c r="G288" i="15"/>
  <c r="G289" i="15" a="1"/>
  <c r="G289" i="15"/>
  <c r="G290" i="15" a="1"/>
  <c r="G290" i="15"/>
  <c r="G291" i="15" a="1"/>
  <c r="G291" i="15"/>
  <c r="G292" i="15" a="1"/>
  <c r="G292" i="15"/>
  <c r="G293" i="15" a="1"/>
  <c r="G293" i="15"/>
  <c r="G294" i="15" a="1"/>
  <c r="G294" i="15"/>
  <c r="G295" i="15" a="1"/>
  <c r="G295" i="15"/>
  <c r="G296" i="15" a="1"/>
  <c r="G296" i="15"/>
  <c r="G297" i="15" a="1"/>
  <c r="G297" i="15"/>
  <c r="G298" i="15" a="1"/>
  <c r="G298" i="15"/>
  <c r="G299" i="15" a="1"/>
  <c r="G299" i="15"/>
  <c r="G300" i="15" a="1"/>
  <c r="G300" i="15"/>
  <c r="G301" i="15" a="1"/>
  <c r="G301" i="15"/>
  <c r="G302" i="15" a="1"/>
  <c r="G302" i="15"/>
  <c r="G303" i="15" a="1"/>
  <c r="G303" i="15"/>
  <c r="G304" i="15" a="1"/>
  <c r="G304" i="15"/>
  <c r="G305" i="15" a="1"/>
  <c r="G305" i="15"/>
  <c r="G306" i="15" a="1"/>
  <c r="G306" i="15"/>
  <c r="G307" i="15" a="1"/>
  <c r="G307" i="15"/>
  <c r="G308" i="15" a="1"/>
  <c r="G308" i="15"/>
  <c r="G309" i="15" a="1"/>
  <c r="G309" i="15"/>
  <c r="G310" i="15" a="1"/>
  <c r="G310" i="15"/>
  <c r="G311" i="15" a="1"/>
  <c r="G311" i="15"/>
  <c r="G312" i="15" a="1"/>
  <c r="G312" i="15"/>
  <c r="G313" i="15" a="1"/>
  <c r="G313" i="15"/>
  <c r="G314" i="15" a="1"/>
  <c r="G314" i="15"/>
  <c r="G315" i="15" a="1"/>
  <c r="G315" i="15"/>
  <c r="G316" i="15" a="1"/>
  <c r="G316" i="15"/>
  <c r="G317" i="15" a="1"/>
  <c r="G317" i="15"/>
  <c r="G318" i="15" a="1"/>
  <c r="G318" i="15"/>
  <c r="G319" i="15" a="1"/>
  <c r="G319" i="15"/>
  <c r="G320" i="15" a="1"/>
  <c r="G320" i="15"/>
  <c r="G321" i="15" a="1"/>
  <c r="G321" i="15"/>
  <c r="G322" i="15" a="1"/>
  <c r="G322" i="15"/>
  <c r="G323" i="15" a="1"/>
  <c r="G323" i="15"/>
  <c r="G324" i="15" a="1"/>
  <c r="G324" i="15"/>
  <c r="G325" i="15" a="1"/>
  <c r="G325" i="15"/>
  <c r="G326" i="15" a="1"/>
  <c r="G326" i="15"/>
  <c r="G327" i="15" a="1"/>
  <c r="G327" i="15"/>
  <c r="G328" i="15" a="1"/>
  <c r="G328" i="15"/>
  <c r="G329" i="15" a="1"/>
  <c r="G329" i="15"/>
  <c r="G330" i="15" a="1"/>
  <c r="G330" i="15"/>
  <c r="G331" i="15" a="1"/>
  <c r="G331" i="15"/>
  <c r="G332" i="15" a="1"/>
  <c r="G332" i="15"/>
  <c r="G333" i="15" a="1"/>
  <c r="G333" i="15"/>
  <c r="G334" i="15" a="1"/>
  <c r="G334" i="15"/>
  <c r="G335" i="15" a="1"/>
  <c r="G335" i="15"/>
  <c r="G336" i="15" a="1"/>
  <c r="G336" i="15"/>
  <c r="G337" i="15" a="1"/>
  <c r="G337" i="15"/>
  <c r="G338" i="15" a="1"/>
  <c r="G338" i="15"/>
  <c r="G339" i="15" a="1"/>
  <c r="G339" i="15"/>
  <c r="G340" i="15" a="1"/>
  <c r="G340" i="15"/>
  <c r="G341" i="15" a="1"/>
  <c r="G341" i="15"/>
  <c r="G342" i="15" a="1"/>
  <c r="G342" i="15"/>
  <c r="G343" i="15" a="1"/>
  <c r="G343" i="15"/>
  <c r="G344" i="15" a="1"/>
  <c r="G344" i="15"/>
  <c r="G345" i="15" a="1"/>
  <c r="G345" i="15"/>
  <c r="G346" i="15" a="1"/>
  <c r="G346" i="15"/>
  <c r="G347" i="15" a="1"/>
  <c r="G347" i="15"/>
  <c r="G348" i="15" a="1"/>
  <c r="G348" i="15"/>
  <c r="G349" i="15" a="1"/>
  <c r="G349" i="15"/>
  <c r="G350" i="15" a="1"/>
  <c r="G350" i="15"/>
  <c r="G351" i="15" a="1"/>
  <c r="G351" i="15"/>
  <c r="G352" i="15" a="1"/>
  <c r="G352" i="15"/>
  <c r="G353" i="15" a="1"/>
  <c r="G353" i="15"/>
  <c r="G354" i="15" a="1"/>
  <c r="G354" i="15"/>
  <c r="G355" i="15" a="1"/>
  <c r="G355" i="15"/>
  <c r="G356" i="15" a="1"/>
  <c r="G356" i="15"/>
  <c r="G357" i="15" a="1"/>
  <c r="G357" i="15"/>
  <c r="G358" i="15" a="1"/>
  <c r="G358" i="15"/>
  <c r="G359" i="15" a="1"/>
  <c r="G359" i="15"/>
  <c r="G360" i="15" a="1"/>
  <c r="G360" i="15"/>
  <c r="G361" i="15" a="1"/>
  <c r="G361" i="15"/>
  <c r="G362" i="15" a="1"/>
  <c r="G362" i="15"/>
  <c r="G363" i="15" a="1"/>
  <c r="G363" i="15"/>
  <c r="G364" i="15" a="1"/>
  <c r="G364" i="15"/>
  <c r="G365" i="15" a="1"/>
  <c r="G365" i="15"/>
  <c r="G366" i="15" a="1"/>
  <c r="G366" i="15"/>
  <c r="G367" i="15" a="1"/>
  <c r="G367" i="15"/>
  <c r="G368" i="15" a="1"/>
  <c r="G368" i="15"/>
  <c r="G369" i="15" a="1"/>
  <c r="G369" i="15"/>
  <c r="G370" i="15" a="1"/>
  <c r="G370" i="15"/>
  <c r="G371" i="15" a="1"/>
  <c r="G371" i="15"/>
  <c r="G372" i="15" a="1"/>
  <c r="G372" i="15"/>
  <c r="G373" i="15" a="1"/>
  <c r="G373" i="15"/>
  <c r="G374" i="15" a="1"/>
  <c r="G374" i="15"/>
  <c r="G375" i="15" a="1"/>
  <c r="G375" i="15"/>
  <c r="G376" i="15" a="1"/>
  <c r="G376" i="15"/>
  <c r="G377" i="15" a="1"/>
  <c r="G377" i="15"/>
  <c r="G378" i="15" a="1"/>
  <c r="G378" i="15"/>
  <c r="G379" i="15" a="1"/>
  <c r="G379" i="15"/>
  <c r="G380" i="15" a="1"/>
  <c r="G380" i="15"/>
  <c r="G381" i="15" a="1"/>
  <c r="G381" i="15"/>
  <c r="G382" i="15" a="1"/>
  <c r="G382" i="15"/>
  <c r="G383" i="15" a="1"/>
  <c r="G383" i="15"/>
  <c r="G384" i="15" a="1"/>
  <c r="G384" i="15"/>
  <c r="G385" i="15" a="1"/>
  <c r="G385" i="15"/>
  <c r="G386" i="15" a="1"/>
  <c r="G386" i="15"/>
  <c r="G387" i="15" a="1"/>
  <c r="G387" i="15"/>
  <c r="G388" i="15" a="1"/>
  <c r="G388" i="15"/>
  <c r="G389" i="15" a="1"/>
  <c r="G389" i="15"/>
  <c r="G390" i="15" a="1"/>
  <c r="G390" i="15"/>
  <c r="G391" i="15" a="1"/>
  <c r="G391" i="15"/>
  <c r="G392" i="15" a="1"/>
  <c r="G392" i="15"/>
  <c r="G393" i="15" a="1"/>
  <c r="G393" i="15"/>
  <c r="G394" i="15" a="1"/>
  <c r="G394" i="15"/>
  <c r="G395" i="15" a="1"/>
  <c r="G395" i="15"/>
  <c r="G396" i="15" a="1"/>
  <c r="G396" i="15"/>
  <c r="G397" i="15" a="1"/>
  <c r="G397" i="15"/>
  <c r="G398" i="15" a="1"/>
  <c r="G398" i="15"/>
  <c r="G399" i="15" a="1"/>
  <c r="G399" i="15"/>
  <c r="G400" i="15" a="1"/>
  <c r="G400" i="15"/>
  <c r="G401" i="15" a="1"/>
  <c r="G401" i="15"/>
  <c r="G402" i="15" a="1"/>
  <c r="G402" i="15"/>
  <c r="G403" i="15" a="1"/>
  <c r="G403" i="15"/>
  <c r="G404" i="15" a="1"/>
  <c r="G404" i="15"/>
  <c r="G405" i="15" a="1"/>
  <c r="G405" i="15"/>
  <c r="G406" i="15" a="1"/>
  <c r="G406" i="15"/>
  <c r="G407" i="15" a="1"/>
  <c r="G407" i="15"/>
  <c r="G408" i="15" a="1"/>
  <c r="G408" i="15"/>
  <c r="G409" i="15" a="1"/>
  <c r="G409" i="15"/>
  <c r="G410" i="15" a="1"/>
  <c r="G410" i="15"/>
  <c r="G411" i="15" a="1"/>
  <c r="G411" i="15"/>
  <c r="G412" i="15" a="1"/>
  <c r="G412" i="15"/>
  <c r="G413" i="15" a="1"/>
  <c r="G413" i="15"/>
  <c r="G414" i="15" a="1"/>
  <c r="G414" i="15"/>
  <c r="G415" i="15" a="1"/>
  <c r="G415" i="15"/>
  <c r="G416" i="15" a="1"/>
  <c r="G416" i="15"/>
  <c r="G417" i="15" a="1"/>
  <c r="G417" i="15"/>
  <c r="G418" i="15" a="1"/>
  <c r="G418" i="15"/>
  <c r="G419" i="15" a="1"/>
  <c r="G419" i="15"/>
  <c r="G420" i="15" a="1"/>
  <c r="G420" i="15"/>
  <c r="G421" i="15" a="1"/>
  <c r="G421" i="15"/>
  <c r="G422" i="15" a="1"/>
  <c r="G422" i="15"/>
  <c r="G423" i="15" a="1"/>
  <c r="G423" i="15"/>
  <c r="G424" i="15" a="1"/>
  <c r="G424" i="15"/>
  <c r="G425" i="15" a="1"/>
  <c r="G425" i="15"/>
  <c r="G426" i="15" a="1"/>
  <c r="G426" i="15"/>
  <c r="G427" i="15" a="1"/>
  <c r="G427" i="15"/>
  <c r="G428" i="15" a="1"/>
  <c r="G428" i="15"/>
  <c r="G429" i="15" a="1"/>
  <c r="G429" i="15"/>
  <c r="G430" i="15" a="1"/>
  <c r="G430" i="15"/>
  <c r="G431" i="15" a="1"/>
  <c r="G431" i="15"/>
  <c r="G432" i="15" a="1"/>
  <c r="G432" i="15"/>
  <c r="G433" i="15" a="1"/>
  <c r="G433" i="15"/>
  <c r="G434" i="15" a="1"/>
  <c r="G434" i="15"/>
  <c r="G435" i="15" a="1"/>
  <c r="G435" i="15"/>
  <c r="G436" i="15" a="1"/>
  <c r="G436" i="15"/>
  <c r="G437" i="15" a="1"/>
  <c r="G437" i="15"/>
  <c r="G438" i="15" a="1"/>
  <c r="G438" i="15"/>
  <c r="G439" i="15" a="1"/>
  <c r="G439" i="15"/>
  <c r="G440" i="15" a="1"/>
  <c r="G440" i="15"/>
  <c r="G441" i="15" a="1"/>
  <c r="G441" i="15"/>
  <c r="G442" i="15" a="1"/>
  <c r="G442" i="15"/>
  <c r="G443" i="15" a="1"/>
  <c r="G443" i="15"/>
  <c r="G444" i="15" a="1"/>
  <c r="G444" i="15"/>
  <c r="G445" i="15" a="1"/>
  <c r="G445" i="15"/>
  <c r="G446" i="15" a="1"/>
  <c r="G446" i="15"/>
  <c r="G447" i="15" a="1"/>
  <c r="G447" i="15"/>
  <c r="G448" i="15" a="1"/>
  <c r="G448" i="15"/>
  <c r="G449" i="15" a="1"/>
  <c r="G449" i="15"/>
  <c r="G450" i="15" a="1"/>
  <c r="G450" i="15"/>
  <c r="G451" i="15" a="1"/>
  <c r="G451" i="15"/>
  <c r="G452" i="15" a="1"/>
  <c r="G452" i="15"/>
  <c r="G453" i="15" a="1"/>
  <c r="G453" i="15"/>
  <c r="G454" i="15" a="1"/>
  <c r="G454" i="15"/>
  <c r="G455" i="15" a="1"/>
  <c r="G455" i="15"/>
  <c r="G456" i="15" a="1"/>
  <c r="G456" i="15"/>
  <c r="G457" i="15" a="1"/>
  <c r="G457" i="15"/>
  <c r="G458" i="15" a="1"/>
  <c r="G458" i="15"/>
  <c r="G459" i="15" a="1"/>
  <c r="G459" i="15"/>
  <c r="G460" i="15" a="1"/>
  <c r="G460" i="15"/>
  <c r="G461" i="15" a="1"/>
  <c r="G461" i="15"/>
  <c r="G462" i="15" a="1"/>
  <c r="G462" i="15"/>
  <c r="G463" i="15" a="1"/>
  <c r="G463" i="15"/>
  <c r="G464" i="15" a="1"/>
  <c r="G464" i="15"/>
  <c r="G465" i="15" a="1"/>
  <c r="G465" i="15"/>
  <c r="G466" i="15" a="1"/>
  <c r="G466" i="15"/>
  <c r="G467" i="15" a="1"/>
  <c r="G467" i="15"/>
  <c r="G468" i="15" a="1"/>
  <c r="G468" i="15"/>
  <c r="G469" i="15" a="1"/>
  <c r="G469" i="15"/>
  <c r="G470" i="15" a="1"/>
  <c r="G470" i="15"/>
  <c r="G471" i="15" a="1"/>
  <c r="G471" i="15"/>
  <c r="G472" i="15" a="1"/>
  <c r="G472" i="15"/>
  <c r="G473" i="15" a="1"/>
  <c r="G473" i="15"/>
  <c r="G474" i="15" a="1"/>
  <c r="G474" i="15"/>
  <c r="G475" i="15" a="1"/>
  <c r="G475" i="15"/>
  <c r="G476" i="15" a="1"/>
  <c r="G476" i="15"/>
  <c r="G477" i="15" a="1"/>
  <c r="G477" i="15"/>
  <c r="G478" i="15" a="1"/>
  <c r="G478" i="15"/>
  <c r="G479" i="15" a="1"/>
  <c r="G479" i="15"/>
  <c r="G480" i="15" a="1"/>
  <c r="G480" i="15"/>
  <c r="G481" i="15" a="1"/>
  <c r="G481" i="15"/>
  <c r="G482" i="15" a="1"/>
  <c r="G482" i="15"/>
  <c r="G483" i="15" a="1"/>
  <c r="G483" i="15"/>
  <c r="G484" i="15" a="1"/>
  <c r="G484" i="15"/>
  <c r="G485" i="15" a="1"/>
  <c r="G485" i="15"/>
  <c r="G486" i="15" a="1"/>
  <c r="G486" i="15"/>
  <c r="G487" i="15" a="1"/>
  <c r="G487" i="15"/>
  <c r="G488" i="15" a="1"/>
  <c r="G488" i="15"/>
  <c r="G489" i="15" a="1"/>
  <c r="G489" i="15"/>
  <c r="G490" i="15" a="1"/>
  <c r="G490" i="15"/>
  <c r="G491" i="15" a="1"/>
  <c r="G491" i="15"/>
  <c r="G492" i="15" a="1"/>
  <c r="G492" i="15"/>
  <c r="G493" i="15" a="1"/>
  <c r="G493" i="15"/>
  <c r="G494" i="15" a="1"/>
  <c r="G494" i="15"/>
  <c r="G495" i="15" a="1"/>
  <c r="G495" i="15"/>
  <c r="G496" i="15" a="1"/>
  <c r="G496" i="15"/>
  <c r="G497" i="15" a="1"/>
  <c r="G497" i="15"/>
  <c r="G498" i="15" a="1"/>
  <c r="G498" i="15"/>
  <c r="G499" i="15" a="1"/>
  <c r="G499" i="15"/>
  <c r="G500" i="15" a="1"/>
  <c r="G500" i="15"/>
  <c r="G501" i="15" a="1"/>
  <c r="G501" i="15"/>
  <c r="G502" i="15" a="1"/>
  <c r="G502" i="15"/>
  <c r="G503" i="15" a="1"/>
  <c r="G503" i="15"/>
  <c r="G504" i="15" a="1"/>
  <c r="G504" i="15"/>
  <c r="G505" i="15" a="1"/>
  <c r="G505" i="15"/>
  <c r="G506" i="15" a="1"/>
  <c r="G506" i="15"/>
  <c r="G507" i="15" a="1"/>
  <c r="G507" i="15"/>
  <c r="G508" i="15" a="1"/>
  <c r="G508" i="15"/>
  <c r="G509" i="15" a="1"/>
  <c r="G509" i="15"/>
  <c r="G510" i="15" a="1"/>
  <c r="G510" i="15"/>
  <c r="G511" i="15" a="1"/>
  <c r="G511" i="15"/>
  <c r="G512" i="15" a="1"/>
  <c r="G512" i="15"/>
  <c r="G513" i="15" a="1"/>
  <c r="G513" i="15"/>
  <c r="G514" i="15" a="1"/>
  <c r="G514" i="15"/>
  <c r="G515" i="15" a="1"/>
  <c r="G515" i="15"/>
  <c r="G516" i="15" a="1"/>
  <c r="G516" i="15"/>
  <c r="G517" i="15" a="1"/>
  <c r="G517" i="15"/>
  <c r="G518" i="15" a="1"/>
  <c r="G518" i="15"/>
  <c r="G519" i="15" a="1"/>
  <c r="G519" i="15"/>
  <c r="G520" i="15" a="1"/>
  <c r="G520" i="15"/>
  <c r="G521" i="15" a="1"/>
  <c r="G521" i="15"/>
  <c r="G522" i="15" a="1"/>
  <c r="G522" i="15"/>
  <c r="G523" i="15" a="1"/>
  <c r="G523" i="15"/>
  <c r="G524" i="15" a="1"/>
  <c r="G524" i="15"/>
  <c r="G525" i="15" a="1"/>
  <c r="G525" i="15"/>
  <c r="G526" i="15" a="1"/>
  <c r="G526" i="15"/>
  <c r="G527" i="15" a="1"/>
  <c r="G527" i="15"/>
  <c r="G528" i="15" a="1"/>
  <c r="G528" i="15"/>
  <c r="G529" i="15" a="1"/>
  <c r="G529" i="15"/>
  <c r="G530" i="15" a="1"/>
  <c r="G530" i="15"/>
  <c r="G531" i="15" a="1"/>
  <c r="G531" i="15"/>
  <c r="G532" i="15" a="1"/>
  <c r="G532" i="15"/>
  <c r="G533" i="15" a="1"/>
  <c r="G533" i="15"/>
  <c r="G534" i="15" a="1"/>
  <c r="G534" i="15"/>
  <c r="G535" i="15" a="1"/>
  <c r="G535" i="15"/>
  <c r="G536" i="15" a="1"/>
  <c r="G536" i="15"/>
  <c r="G537" i="15" a="1"/>
  <c r="G537" i="15"/>
  <c r="G538" i="15" a="1"/>
  <c r="G538" i="15"/>
  <c r="G539" i="15" a="1"/>
  <c r="G539" i="15"/>
  <c r="G540" i="15" a="1"/>
  <c r="G540" i="15"/>
  <c r="G541" i="15" a="1"/>
  <c r="G541" i="15"/>
  <c r="G542" i="15" a="1"/>
  <c r="G542" i="15"/>
  <c r="G543" i="15" a="1"/>
  <c r="G543" i="15"/>
  <c r="G544" i="15" a="1"/>
  <c r="G544" i="15"/>
  <c r="G545" i="15" a="1"/>
  <c r="G545" i="15"/>
  <c r="G546" i="15" a="1"/>
  <c r="G546" i="15"/>
  <c r="G547" i="15" a="1"/>
  <c r="G547" i="15"/>
  <c r="G548" i="15" a="1"/>
  <c r="G548" i="15"/>
  <c r="G549" i="15" a="1"/>
  <c r="G549" i="15"/>
  <c r="G550" i="15" a="1"/>
  <c r="G550" i="15"/>
  <c r="G551" i="15" a="1"/>
  <c r="G551" i="15"/>
  <c r="G552" i="15" a="1"/>
  <c r="G552" i="15"/>
  <c r="G553" i="15" a="1"/>
  <c r="G553" i="15"/>
  <c r="G554" i="15" a="1"/>
  <c r="G554" i="15"/>
  <c r="G555" i="15" a="1"/>
  <c r="G555" i="15"/>
  <c r="G556" i="15" a="1"/>
  <c r="G556" i="15"/>
  <c r="G557" i="15" a="1"/>
  <c r="G557" i="15"/>
  <c r="G558" i="15" a="1"/>
  <c r="G558" i="15"/>
  <c r="G559" i="15" a="1"/>
  <c r="G559" i="15"/>
  <c r="G560" i="15" a="1"/>
  <c r="G560" i="15"/>
  <c r="G561" i="15" a="1"/>
  <c r="G561" i="15"/>
  <c r="G562" i="15" a="1"/>
  <c r="G562" i="15"/>
  <c r="G563" i="15" a="1"/>
  <c r="G563" i="15"/>
  <c r="G564" i="15" a="1"/>
  <c r="G564" i="15"/>
  <c r="G565" i="15" a="1"/>
  <c r="G565" i="15"/>
  <c r="G566" i="15" a="1"/>
  <c r="G566" i="15"/>
  <c r="G567" i="15" a="1"/>
  <c r="G567" i="15"/>
  <c r="G568" i="15" a="1"/>
  <c r="G568" i="15"/>
  <c r="G569" i="15" a="1"/>
  <c r="G569" i="15"/>
  <c r="G570" i="15" a="1"/>
  <c r="G570" i="15"/>
  <c r="G571" i="15" a="1"/>
  <c r="G571" i="15"/>
  <c r="G572" i="15" a="1"/>
  <c r="G572" i="15"/>
  <c r="G573" i="15" a="1"/>
  <c r="G573" i="15"/>
  <c r="G574" i="15" a="1"/>
  <c r="G574" i="15"/>
  <c r="G575" i="15" a="1"/>
  <c r="G575" i="15"/>
  <c r="G576" i="15" a="1"/>
  <c r="G576" i="15"/>
  <c r="G577" i="15" a="1"/>
  <c r="G577" i="15"/>
  <c r="G578" i="15" a="1"/>
  <c r="G578" i="15"/>
  <c r="G579" i="15" a="1"/>
  <c r="G579" i="15"/>
  <c r="G580" i="15" a="1"/>
  <c r="G580" i="15"/>
  <c r="G581" i="15" a="1"/>
  <c r="G581" i="15"/>
  <c r="G582" i="15" a="1"/>
  <c r="G582" i="15"/>
  <c r="G583" i="15" a="1"/>
  <c r="G583" i="15"/>
  <c r="G584" i="15" a="1"/>
  <c r="G584" i="15"/>
  <c r="G585" i="15" a="1"/>
  <c r="G585" i="15"/>
  <c r="G586" i="15" a="1"/>
  <c r="G586" i="15"/>
  <c r="G587" i="15" a="1"/>
  <c r="G587" i="15"/>
  <c r="G588" i="15" a="1"/>
  <c r="G588" i="15"/>
  <c r="G589" i="15" a="1"/>
  <c r="G589" i="15"/>
  <c r="G590" i="15" a="1"/>
  <c r="G590" i="15"/>
  <c r="G591" i="15" a="1"/>
  <c r="G591" i="15"/>
  <c r="G592" i="15" a="1"/>
  <c r="G592" i="15"/>
  <c r="G593" i="15" a="1"/>
  <c r="G593" i="15"/>
  <c r="G594" i="15" a="1"/>
  <c r="G594" i="15"/>
  <c r="G595" i="15" a="1"/>
  <c r="G595" i="15"/>
  <c r="G596" i="15" a="1"/>
  <c r="G596" i="15"/>
  <c r="G597" i="15" a="1"/>
  <c r="G597" i="15"/>
  <c r="G598" i="15" a="1"/>
  <c r="G598" i="15"/>
  <c r="G599" i="15" a="1"/>
  <c r="G599" i="15"/>
  <c r="G600" i="15" a="1"/>
  <c r="G600" i="15"/>
  <c r="G601" i="15" a="1"/>
  <c r="G601" i="15"/>
  <c r="G602" i="15" a="1"/>
  <c r="G602" i="15"/>
  <c r="G603" i="15" a="1"/>
  <c r="G603" i="15"/>
  <c r="G604" i="15" a="1"/>
  <c r="G604" i="15"/>
  <c r="G605" i="15" a="1"/>
  <c r="G605" i="15"/>
  <c r="G606" i="15" a="1"/>
  <c r="G606" i="15"/>
  <c r="G607" i="15" a="1"/>
  <c r="G607" i="15"/>
  <c r="G608" i="15" a="1"/>
  <c r="G608" i="15"/>
  <c r="G609" i="15" a="1"/>
  <c r="G609" i="15"/>
  <c r="G610" i="15" a="1"/>
  <c r="G610" i="15"/>
  <c r="G611" i="15" a="1"/>
  <c r="G611" i="15"/>
  <c r="G612" i="15" a="1"/>
  <c r="G612" i="15"/>
  <c r="G613" i="15" a="1"/>
  <c r="G613" i="15"/>
  <c r="G614" i="15" a="1"/>
  <c r="G614" i="15"/>
  <c r="G615" i="15" a="1"/>
  <c r="G615" i="15"/>
  <c r="G616" i="15" a="1"/>
  <c r="G616" i="15"/>
  <c r="G617" i="15" a="1"/>
  <c r="G617" i="15"/>
  <c r="G618" i="15" a="1"/>
  <c r="G618" i="15"/>
  <c r="G619" i="15" a="1"/>
  <c r="G619" i="15"/>
  <c r="G620" i="15" a="1"/>
  <c r="G620" i="15"/>
  <c r="G621" i="15" a="1"/>
  <c r="G621" i="15"/>
  <c r="G622" i="15" a="1"/>
  <c r="G622" i="15"/>
  <c r="G623" i="15" a="1"/>
  <c r="G623" i="15"/>
  <c r="G624" i="15" a="1"/>
  <c r="G624" i="15"/>
  <c r="G625" i="15" a="1"/>
  <c r="G625" i="15"/>
  <c r="G626" i="15" a="1"/>
  <c r="G626" i="15"/>
  <c r="G627" i="15" a="1"/>
  <c r="G627" i="15"/>
  <c r="G628" i="15" a="1"/>
  <c r="G628" i="15"/>
  <c r="G629" i="15" a="1"/>
  <c r="G629" i="15"/>
  <c r="G630" i="15" a="1"/>
  <c r="G630" i="15"/>
  <c r="G631" i="15" a="1"/>
  <c r="G631" i="15"/>
  <c r="G632" i="15" a="1"/>
  <c r="G632" i="15"/>
  <c r="G633" i="15" a="1"/>
  <c r="G633" i="15"/>
  <c r="G634" i="15" a="1"/>
  <c r="G634" i="15"/>
  <c r="G635" i="15" a="1"/>
  <c r="G635" i="15"/>
  <c r="G636" i="15" a="1"/>
  <c r="G636" i="15"/>
  <c r="G637" i="15" a="1"/>
  <c r="G637" i="15"/>
  <c r="G638" i="15" a="1"/>
  <c r="G638" i="15"/>
  <c r="G639" i="15" a="1"/>
  <c r="G639" i="15"/>
  <c r="G640" i="15" a="1"/>
  <c r="G640" i="15"/>
  <c r="G641" i="15" a="1"/>
  <c r="G641" i="15"/>
  <c r="G642" i="15" a="1"/>
  <c r="G642" i="15"/>
  <c r="G643" i="15" a="1"/>
  <c r="G643" i="15"/>
  <c r="G644" i="15" a="1"/>
  <c r="G644" i="15"/>
  <c r="G645" i="15" a="1"/>
  <c r="G645" i="15"/>
  <c r="G646" i="15" a="1"/>
  <c r="G646" i="15"/>
  <c r="G647" i="15" a="1"/>
  <c r="G647" i="15"/>
  <c r="G648" i="15" a="1"/>
  <c r="G648" i="15"/>
  <c r="G649" i="15" a="1"/>
  <c r="G649" i="15"/>
  <c r="G650" i="15" a="1"/>
  <c r="G650" i="15"/>
  <c r="G651" i="15" a="1"/>
  <c r="G651" i="15"/>
  <c r="G652" i="15" a="1"/>
  <c r="G652" i="15"/>
  <c r="G653" i="15" a="1"/>
  <c r="G653" i="15"/>
  <c r="G654" i="15" a="1"/>
  <c r="G654" i="15"/>
  <c r="G655" i="15" a="1"/>
  <c r="G655" i="15"/>
  <c r="G656" i="15" a="1"/>
  <c r="G656" i="15"/>
  <c r="G657" i="15" a="1"/>
  <c r="G657" i="15"/>
  <c r="G658" i="15" a="1"/>
  <c r="G658" i="15"/>
  <c r="G659" i="15" a="1"/>
  <c r="G659" i="15"/>
  <c r="G660" i="15" a="1"/>
  <c r="G660" i="15"/>
  <c r="G661" i="15" a="1"/>
  <c r="G661" i="15"/>
  <c r="G662" i="15" a="1"/>
  <c r="G662" i="15"/>
  <c r="G663" i="15" a="1"/>
  <c r="G663" i="15"/>
  <c r="G664" i="15" a="1"/>
  <c r="G664" i="15"/>
  <c r="G665" i="15" a="1"/>
  <c r="G665" i="15"/>
  <c r="G666" i="15" a="1"/>
  <c r="G666" i="15"/>
  <c r="G667" i="15" a="1"/>
  <c r="G667" i="15"/>
  <c r="G668" i="15" a="1"/>
  <c r="G668" i="15"/>
  <c r="G669" i="15" a="1"/>
  <c r="G669" i="15"/>
  <c r="G670" i="15" a="1"/>
  <c r="G670" i="15"/>
  <c r="G671" i="15" a="1"/>
  <c r="G671" i="15"/>
  <c r="G672" i="15" a="1"/>
  <c r="G672" i="15"/>
  <c r="G673" i="15" a="1"/>
  <c r="G673" i="15"/>
  <c r="G674" i="15" a="1"/>
  <c r="G674" i="15"/>
  <c r="G675" i="15" a="1"/>
  <c r="G675" i="15"/>
  <c r="G676" i="15" a="1"/>
  <c r="G676" i="15"/>
  <c r="G677" i="15" a="1"/>
  <c r="G677" i="15"/>
  <c r="G678" i="15" a="1"/>
  <c r="G678" i="15"/>
  <c r="G679" i="15" a="1"/>
  <c r="G679" i="15"/>
  <c r="G680" i="15" a="1"/>
  <c r="G680" i="15"/>
  <c r="G681" i="15" a="1"/>
  <c r="G681" i="15"/>
  <c r="G682" i="15" a="1"/>
  <c r="G682" i="15"/>
  <c r="G683" i="15" a="1"/>
  <c r="G683" i="15"/>
  <c r="G684" i="15" a="1"/>
  <c r="G684" i="15"/>
  <c r="G685" i="15" a="1"/>
  <c r="G685" i="15"/>
  <c r="G686" i="15" a="1"/>
  <c r="G686" i="15"/>
  <c r="G687" i="15" a="1"/>
  <c r="G687" i="15"/>
  <c r="G688" i="15" a="1"/>
  <c r="G688" i="15"/>
  <c r="G689" i="15" a="1"/>
  <c r="G689" i="15"/>
  <c r="G690" i="15" a="1"/>
  <c r="G690" i="15"/>
  <c r="G691" i="15" a="1"/>
  <c r="G691" i="15"/>
  <c r="G692" i="15" a="1"/>
  <c r="G692" i="15"/>
  <c r="G693" i="15" a="1"/>
  <c r="G693" i="15"/>
  <c r="G694" i="15" a="1"/>
  <c r="G694" i="15"/>
  <c r="G695" i="15" a="1"/>
  <c r="G695" i="15"/>
  <c r="G696" i="15" a="1"/>
  <c r="G696" i="15"/>
  <c r="G697" i="15" a="1"/>
  <c r="G697" i="15"/>
  <c r="G698" i="15" a="1"/>
  <c r="G698" i="15"/>
  <c r="G699" i="15" a="1"/>
  <c r="G699" i="15"/>
  <c r="G700" i="15" a="1"/>
  <c r="G700" i="15"/>
  <c r="G701" i="15" a="1"/>
  <c r="G701" i="15"/>
  <c r="G702" i="15" a="1"/>
  <c r="G702" i="15"/>
  <c r="G703" i="15" a="1"/>
  <c r="G703" i="15"/>
  <c r="G704" i="15" a="1"/>
  <c r="G704" i="15"/>
  <c r="G705" i="15" a="1"/>
  <c r="G705" i="15"/>
  <c r="G706" i="15" a="1"/>
  <c r="G706" i="15"/>
  <c r="G707" i="15" a="1"/>
  <c r="G707" i="15"/>
  <c r="G708" i="15" a="1"/>
  <c r="G708" i="15"/>
  <c r="G709" i="15" a="1"/>
  <c r="G709" i="15"/>
  <c r="G710" i="15" a="1"/>
  <c r="G710" i="15"/>
  <c r="G711" i="15" a="1"/>
  <c r="G711" i="15"/>
  <c r="G712" i="15" a="1"/>
  <c r="G712" i="15"/>
  <c r="G713" i="15" a="1"/>
  <c r="G713" i="15"/>
  <c r="G714" i="15" a="1"/>
  <c r="G714" i="15"/>
  <c r="G715" i="15" a="1"/>
  <c r="G715" i="15"/>
  <c r="G716" i="15" a="1"/>
  <c r="G716" i="15"/>
  <c r="G717" i="15" a="1"/>
  <c r="G717" i="15"/>
  <c r="G718" i="15" a="1"/>
  <c r="G718" i="15"/>
  <c r="G719" i="15" a="1"/>
  <c r="G719" i="15"/>
  <c r="G720" i="15" a="1"/>
  <c r="G720" i="15"/>
  <c r="G721" i="15" a="1"/>
  <c r="G721" i="15"/>
  <c r="G722" i="15" a="1"/>
  <c r="G722" i="15"/>
  <c r="G723" i="15" a="1"/>
  <c r="G723" i="15"/>
  <c r="G724" i="15" a="1"/>
  <c r="G724" i="15"/>
  <c r="G725" i="15" a="1"/>
  <c r="G725" i="15"/>
  <c r="G726" i="15" a="1"/>
  <c r="G726" i="15"/>
  <c r="G727" i="15" a="1"/>
  <c r="G727" i="15"/>
  <c r="G728" i="15" a="1"/>
  <c r="G728" i="15"/>
  <c r="G729" i="15" a="1"/>
  <c r="G729" i="15"/>
  <c r="G730" i="15" a="1"/>
  <c r="G730" i="15"/>
  <c r="G731" i="15" a="1"/>
  <c r="G731" i="15"/>
  <c r="G732" i="15" a="1"/>
  <c r="G732" i="15"/>
  <c r="G733" i="15" a="1"/>
  <c r="G733" i="15"/>
  <c r="G734" i="15" a="1"/>
  <c r="G734" i="15"/>
  <c r="G735" i="15" a="1"/>
  <c r="G735" i="15"/>
  <c r="G736" i="15" a="1"/>
  <c r="G736" i="15"/>
  <c r="G737" i="15" a="1"/>
  <c r="G737" i="15"/>
  <c r="G738" i="15" a="1"/>
  <c r="G738" i="15"/>
  <c r="G739" i="15" a="1"/>
  <c r="G739" i="15"/>
  <c r="G740" i="15" a="1"/>
  <c r="G740" i="15"/>
  <c r="G741" i="15" a="1"/>
  <c r="G741" i="15"/>
  <c r="G742" i="15" a="1"/>
  <c r="G742" i="15"/>
  <c r="G743" i="15" a="1"/>
  <c r="G743" i="15"/>
  <c r="G744" i="15" a="1"/>
  <c r="G744" i="15"/>
  <c r="G745" i="15" a="1"/>
  <c r="G745" i="15"/>
  <c r="G746" i="15" a="1"/>
  <c r="G746" i="15"/>
  <c r="G747" i="15" a="1"/>
  <c r="G747" i="15"/>
  <c r="G748" i="15" a="1"/>
  <c r="G748" i="15"/>
  <c r="G749" i="15" a="1"/>
  <c r="G749" i="15"/>
  <c r="G750" i="15" a="1"/>
  <c r="G750" i="15"/>
  <c r="G751" i="15" a="1"/>
  <c r="G751" i="15"/>
  <c r="G752" i="15" a="1"/>
  <c r="G752" i="15"/>
  <c r="G753" i="15" a="1"/>
  <c r="G753" i="15"/>
  <c r="G754" i="15" a="1"/>
  <c r="G754" i="15"/>
  <c r="G755" i="15" a="1"/>
  <c r="G755" i="15"/>
  <c r="G756" i="15" a="1"/>
  <c r="G756" i="15"/>
  <c r="G757" i="15" a="1"/>
  <c r="G757" i="15"/>
  <c r="G758" i="15" a="1"/>
  <c r="G758" i="15"/>
  <c r="G759" i="15" a="1"/>
  <c r="G759" i="15"/>
  <c r="G760" i="15" a="1"/>
  <c r="G760" i="15"/>
  <c r="G761" i="15" a="1"/>
  <c r="G761" i="15"/>
  <c r="G762" i="15" a="1"/>
  <c r="G762" i="15"/>
  <c r="G763" i="15" a="1"/>
  <c r="G763" i="15"/>
  <c r="G764" i="15" a="1"/>
  <c r="G764" i="15"/>
  <c r="G765" i="15" a="1"/>
  <c r="G765" i="15"/>
  <c r="G766" i="15" a="1"/>
  <c r="G766" i="15"/>
  <c r="G767" i="15" a="1"/>
  <c r="G767" i="15"/>
  <c r="G768" i="15" a="1"/>
  <c r="G768" i="15"/>
  <c r="G769" i="15" a="1"/>
  <c r="G769" i="15"/>
  <c r="G770" i="15" a="1"/>
  <c r="G770" i="15"/>
  <c r="G771" i="15" a="1"/>
  <c r="G771" i="15"/>
  <c r="G772" i="15" a="1"/>
  <c r="G772" i="15"/>
  <c r="G773" i="15" a="1"/>
  <c r="G773" i="15"/>
  <c r="G774" i="15" a="1"/>
  <c r="G774" i="15"/>
  <c r="G775" i="15" a="1"/>
  <c r="G775" i="15"/>
  <c r="G776" i="15" a="1"/>
  <c r="G776" i="15"/>
  <c r="G777" i="15" a="1"/>
  <c r="G777" i="15"/>
  <c r="G778" i="15" a="1"/>
  <c r="G778" i="15"/>
  <c r="G779" i="15" a="1"/>
  <c r="G779" i="15"/>
  <c r="G780" i="15" a="1"/>
  <c r="G780" i="15"/>
  <c r="G781" i="15" a="1"/>
  <c r="G781" i="15"/>
  <c r="G782" i="15" a="1"/>
  <c r="G782" i="15"/>
  <c r="G783" i="15" a="1"/>
  <c r="G783" i="15"/>
  <c r="G784" i="15" a="1"/>
  <c r="G784" i="15"/>
  <c r="G785" i="15" a="1"/>
  <c r="G785" i="15"/>
  <c r="G786" i="15" a="1"/>
  <c r="G786" i="15"/>
  <c r="G787" i="15" a="1"/>
  <c r="G787" i="15"/>
  <c r="G788" i="15" a="1"/>
  <c r="G788" i="15"/>
  <c r="G789" i="15" a="1"/>
  <c r="G789" i="15"/>
  <c r="G790" i="15" a="1"/>
  <c r="G790" i="15"/>
  <c r="G791" i="15" a="1"/>
  <c r="G791" i="15"/>
  <c r="G792" i="15" a="1"/>
  <c r="G792" i="15"/>
  <c r="G793" i="15" a="1"/>
  <c r="G793" i="15"/>
  <c r="G794" i="15" a="1"/>
  <c r="G794" i="15"/>
  <c r="G795" i="15" a="1"/>
  <c r="G795" i="15"/>
  <c r="G796" i="15" a="1"/>
  <c r="G796" i="15"/>
  <c r="G797" i="15" a="1"/>
  <c r="G797" i="15"/>
  <c r="G798" i="15" a="1"/>
  <c r="G798" i="15"/>
  <c r="G799" i="15" a="1"/>
  <c r="G799" i="15"/>
  <c r="G800" i="15" a="1"/>
  <c r="G800" i="15"/>
  <c r="G801" i="15" a="1"/>
  <c r="G801" i="15"/>
  <c r="G802" i="15" a="1"/>
  <c r="G802" i="15"/>
  <c r="G803" i="15" a="1"/>
  <c r="G803" i="15"/>
  <c r="G804" i="15" a="1"/>
  <c r="G804" i="15"/>
  <c r="G805" i="15" a="1"/>
  <c r="G805" i="15"/>
  <c r="G806" i="15" a="1"/>
  <c r="G806" i="15"/>
  <c r="G807" i="15" a="1"/>
  <c r="G807" i="15"/>
  <c r="G808" i="15" a="1"/>
  <c r="G808" i="15"/>
  <c r="G809" i="15" a="1"/>
  <c r="G809" i="15"/>
  <c r="G810" i="15" a="1"/>
  <c r="G810" i="15"/>
  <c r="G811" i="15" a="1"/>
  <c r="G811" i="15"/>
  <c r="G812" i="15" a="1"/>
  <c r="G812" i="15"/>
  <c r="G813" i="15" a="1"/>
  <c r="G813" i="15"/>
  <c r="G814" i="15" a="1"/>
  <c r="G814" i="15"/>
  <c r="G815" i="15" a="1"/>
  <c r="G815" i="15"/>
  <c r="G816" i="15" a="1"/>
  <c r="G816" i="15"/>
  <c r="G817" i="15" a="1"/>
  <c r="G817" i="15"/>
  <c r="G818" i="15" a="1"/>
  <c r="G818" i="15"/>
  <c r="G819" i="15" a="1"/>
  <c r="G819" i="15"/>
  <c r="G820" i="15" a="1"/>
  <c r="G820" i="15"/>
  <c r="G821" i="15" a="1"/>
  <c r="G821" i="15"/>
  <c r="G822" i="15" a="1"/>
  <c r="G822" i="15"/>
  <c r="G823" i="15" a="1"/>
  <c r="G823" i="15"/>
  <c r="G824" i="15" a="1"/>
  <c r="G824" i="15"/>
  <c r="G825" i="15" a="1"/>
  <c r="G825" i="15"/>
  <c r="G826" i="15" a="1"/>
  <c r="G826" i="15"/>
  <c r="G827" i="15" a="1"/>
  <c r="G827" i="15"/>
  <c r="G828" i="15" a="1"/>
  <c r="G828" i="15"/>
  <c r="G829" i="15" a="1"/>
  <c r="G829" i="15"/>
  <c r="G830" i="15" a="1"/>
  <c r="G830" i="15"/>
  <c r="G831" i="15" a="1"/>
  <c r="G831" i="15"/>
  <c r="G832" i="15" a="1"/>
  <c r="G832" i="15"/>
  <c r="G833" i="15" a="1"/>
  <c r="G833" i="15"/>
  <c r="G834" i="15" a="1"/>
  <c r="G834" i="15"/>
  <c r="G835" i="15" a="1"/>
  <c r="G835" i="15"/>
  <c r="G836" i="15" a="1"/>
  <c r="G836" i="15"/>
  <c r="G837" i="15" a="1"/>
  <c r="G837" i="15"/>
  <c r="G838" i="15" a="1"/>
  <c r="G838" i="15"/>
  <c r="G839" i="15" a="1"/>
  <c r="G839" i="15"/>
  <c r="G840" i="15" a="1"/>
  <c r="G840" i="15"/>
  <c r="G841" i="15" a="1"/>
  <c r="G841" i="15"/>
  <c r="G842" i="15" a="1"/>
  <c r="G842" i="15"/>
  <c r="G843" i="15" a="1"/>
  <c r="G843" i="15"/>
  <c r="G844" i="15" a="1"/>
  <c r="G844" i="15"/>
  <c r="G845" i="15" a="1"/>
  <c r="G845" i="15"/>
  <c r="G846" i="15" a="1"/>
  <c r="G846" i="15"/>
  <c r="G847" i="15" a="1"/>
  <c r="G847" i="15"/>
  <c r="G848" i="15" a="1"/>
  <c r="G848" i="15"/>
  <c r="G849" i="15" a="1"/>
  <c r="G849" i="15"/>
  <c r="G850" i="15" a="1"/>
  <c r="G850" i="15"/>
  <c r="G851" i="15" a="1"/>
  <c r="G851" i="15"/>
  <c r="G852" i="15" a="1"/>
  <c r="G852" i="15"/>
  <c r="G853" i="15" a="1"/>
  <c r="G853" i="15"/>
  <c r="G854" i="15" a="1"/>
  <c r="G854" i="15"/>
  <c r="G855" i="15" a="1"/>
  <c r="G855" i="15"/>
  <c r="G856" i="15" a="1"/>
  <c r="G856" i="15"/>
  <c r="G857" i="15" a="1"/>
  <c r="G857" i="15"/>
  <c r="G858" i="15" a="1"/>
  <c r="G858" i="15"/>
  <c r="G859" i="15" a="1"/>
  <c r="G859" i="15"/>
  <c r="G860" i="15" a="1"/>
  <c r="G860" i="15"/>
  <c r="G861" i="15" a="1"/>
  <c r="G861" i="15"/>
  <c r="G862" i="15" a="1"/>
  <c r="G862" i="15"/>
  <c r="G863" i="15" a="1"/>
  <c r="G863" i="15"/>
  <c r="G864" i="15" a="1"/>
  <c r="G864" i="15"/>
  <c r="G865" i="15" a="1"/>
  <c r="G865" i="15"/>
  <c r="G866" i="15" a="1"/>
  <c r="G866" i="15"/>
  <c r="G867" i="15" a="1"/>
  <c r="G867" i="15"/>
  <c r="G868" i="15" a="1"/>
  <c r="G868" i="15"/>
  <c r="G869" i="15" a="1"/>
  <c r="G869" i="15"/>
  <c r="G870" i="15" a="1"/>
  <c r="G870" i="15"/>
  <c r="G871" i="15" a="1"/>
  <c r="G871" i="15"/>
  <c r="G872" i="15" a="1"/>
  <c r="G872" i="15"/>
  <c r="G873" i="15" a="1"/>
  <c r="G873" i="15"/>
  <c r="G874" i="15" a="1"/>
  <c r="G874" i="15"/>
  <c r="G875" i="15" a="1"/>
  <c r="G875" i="15"/>
  <c r="G876" i="15" a="1"/>
  <c r="G876" i="15"/>
  <c r="G877" i="15" a="1"/>
  <c r="G877" i="15"/>
  <c r="G878" i="15" a="1"/>
  <c r="G878" i="15"/>
  <c r="G879" i="15" a="1"/>
  <c r="G879" i="15"/>
  <c r="G880" i="15" a="1"/>
  <c r="G880" i="15"/>
  <c r="G881" i="15" a="1"/>
  <c r="G881" i="15"/>
  <c r="G882" i="15" a="1"/>
  <c r="G882" i="15"/>
  <c r="G883" i="15" a="1"/>
  <c r="G883" i="15"/>
  <c r="G884" i="15" a="1"/>
  <c r="G884" i="15"/>
  <c r="G885" i="15" a="1"/>
  <c r="G885" i="15"/>
  <c r="G886" i="15" a="1"/>
  <c r="G886" i="15"/>
  <c r="G887" i="15" a="1"/>
  <c r="G887" i="15"/>
  <c r="G888" i="15" a="1"/>
  <c r="G888" i="15"/>
  <c r="G889" i="15" a="1"/>
  <c r="G889" i="15"/>
  <c r="G890" i="15" a="1"/>
  <c r="G890" i="15"/>
  <c r="G891" i="15" a="1"/>
  <c r="G891" i="15"/>
  <c r="G892" i="15" a="1"/>
  <c r="G892" i="15"/>
  <c r="G893" i="15" a="1"/>
  <c r="G893" i="15"/>
  <c r="G894" i="15" a="1"/>
  <c r="G894" i="15"/>
  <c r="G895" i="15" a="1"/>
  <c r="G895" i="15"/>
  <c r="G896" i="15" a="1"/>
  <c r="G896" i="15"/>
  <c r="G897" i="15" a="1"/>
  <c r="G897" i="15"/>
  <c r="G898" i="15" a="1"/>
  <c r="G898" i="15"/>
  <c r="G899" i="15" a="1"/>
  <c r="G899" i="15"/>
  <c r="G900" i="15" a="1"/>
  <c r="G900" i="15"/>
  <c r="G901" i="15" a="1"/>
  <c r="G901" i="15"/>
  <c r="G902" i="15" a="1"/>
  <c r="G902" i="15"/>
  <c r="G903" i="15" a="1"/>
  <c r="G903" i="15"/>
  <c r="G904" i="15" a="1"/>
  <c r="G904" i="15"/>
  <c r="G905" i="15" a="1"/>
  <c r="G905" i="15"/>
  <c r="G906" i="15" a="1"/>
  <c r="G906" i="15"/>
  <c r="G907" i="15" a="1"/>
  <c r="G907" i="15"/>
  <c r="G908" i="15" a="1"/>
  <c r="G908" i="15"/>
  <c r="G909" i="15" a="1"/>
  <c r="G909" i="15"/>
  <c r="G910" i="15" a="1"/>
  <c r="G910" i="15"/>
  <c r="G911" i="15" a="1"/>
  <c r="G911" i="15"/>
  <c r="G912" i="15" a="1"/>
  <c r="G912" i="15"/>
  <c r="G913" i="15" a="1"/>
  <c r="G913" i="15"/>
  <c r="G914" i="15" a="1"/>
  <c r="G914" i="15"/>
  <c r="G915" i="15" a="1"/>
  <c r="G915" i="15"/>
  <c r="G916" i="15" a="1"/>
  <c r="G916" i="15"/>
  <c r="G917" i="15" a="1"/>
  <c r="G917" i="15"/>
  <c r="G918" i="15" a="1"/>
  <c r="G918" i="15"/>
  <c r="G919" i="15" a="1"/>
  <c r="G919" i="15"/>
  <c r="G920" i="15" a="1"/>
  <c r="G920" i="15"/>
  <c r="G921" i="15" a="1"/>
  <c r="G921" i="15"/>
  <c r="G922" i="15" a="1"/>
  <c r="G922" i="15"/>
  <c r="G923" i="15" a="1"/>
  <c r="G923" i="15"/>
  <c r="G924" i="15" a="1"/>
  <c r="G924" i="15"/>
  <c r="G925" i="15" a="1"/>
  <c r="G925" i="15"/>
  <c r="G926" i="15" a="1"/>
  <c r="G926" i="15"/>
  <c r="G927" i="15" a="1"/>
  <c r="G927" i="15"/>
  <c r="G928" i="15" a="1"/>
  <c r="G928" i="15"/>
  <c r="G929" i="15" a="1"/>
  <c r="G929" i="15"/>
  <c r="G930" i="15" a="1"/>
  <c r="G930" i="15"/>
  <c r="G931" i="15" a="1"/>
  <c r="G931" i="15"/>
  <c r="G932" i="15" a="1"/>
  <c r="G932" i="15"/>
  <c r="G933" i="15" a="1"/>
  <c r="G933" i="15"/>
  <c r="G934" i="15" a="1"/>
  <c r="G934" i="15"/>
  <c r="G935" i="15" a="1"/>
  <c r="G935" i="15"/>
  <c r="G936" i="15" a="1"/>
  <c r="G936" i="15"/>
  <c r="G937" i="15" a="1"/>
  <c r="G937" i="15"/>
  <c r="G938" i="15" a="1"/>
  <c r="G938" i="15"/>
  <c r="G939" i="15" a="1"/>
  <c r="G939" i="15"/>
  <c r="G940" i="15" a="1"/>
  <c r="G940" i="15"/>
  <c r="G941" i="15" a="1"/>
  <c r="G941" i="15"/>
  <c r="G942" i="15" a="1"/>
  <c r="G942" i="15"/>
  <c r="G943" i="15" a="1"/>
  <c r="G943" i="15"/>
  <c r="G944" i="15" a="1"/>
  <c r="G944" i="15"/>
  <c r="G945" i="15" a="1"/>
  <c r="G945" i="15"/>
  <c r="G946" i="15" a="1"/>
  <c r="G946" i="15"/>
  <c r="G947" i="15" a="1"/>
  <c r="G947" i="15"/>
  <c r="G948" i="15" a="1"/>
  <c r="G948" i="15"/>
  <c r="G949" i="15" a="1"/>
  <c r="G949" i="15"/>
  <c r="G950" i="15" a="1"/>
  <c r="G950" i="15"/>
  <c r="G951" i="15" a="1"/>
  <c r="G951" i="15"/>
  <c r="G952" i="15" a="1"/>
  <c r="G952" i="15"/>
  <c r="G953" i="15" a="1"/>
  <c r="G953" i="15"/>
  <c r="G954" i="15" a="1"/>
  <c r="G954" i="15"/>
  <c r="G955" i="15" a="1"/>
  <c r="G955" i="15"/>
  <c r="G956" i="15" a="1"/>
  <c r="G956" i="15"/>
  <c r="G957" i="15" a="1"/>
  <c r="G957" i="15"/>
  <c r="G958" i="15" a="1"/>
  <c r="G958" i="15"/>
  <c r="G959" i="15" a="1"/>
  <c r="G959" i="15"/>
  <c r="G960" i="15" a="1"/>
  <c r="G960" i="15"/>
  <c r="G961" i="15" a="1"/>
  <c r="G961" i="15"/>
  <c r="G962" i="15" a="1"/>
  <c r="G962" i="15"/>
  <c r="G963" i="15" a="1"/>
  <c r="G963" i="15"/>
  <c r="G964" i="15" a="1"/>
  <c r="G964" i="15"/>
  <c r="G965" i="15" a="1"/>
  <c r="G965" i="15"/>
  <c r="G966" i="15" a="1"/>
  <c r="G966" i="15"/>
  <c r="G967" i="15" a="1"/>
  <c r="G967" i="15"/>
  <c r="G968" i="15" a="1"/>
  <c r="G968" i="15"/>
  <c r="G969" i="15" a="1"/>
  <c r="G969" i="15"/>
  <c r="G970" i="15" a="1"/>
  <c r="G970" i="15"/>
  <c r="G971" i="15" a="1"/>
  <c r="G971" i="15"/>
  <c r="G972" i="15" a="1"/>
  <c r="G972" i="15"/>
  <c r="G973" i="15" a="1"/>
  <c r="G973" i="15"/>
  <c r="G974" i="15" a="1"/>
  <c r="G974" i="15"/>
  <c r="G975" i="15" a="1"/>
  <c r="G975" i="15"/>
  <c r="G976" i="15" a="1"/>
  <c r="G976" i="15"/>
  <c r="G977" i="15" a="1"/>
  <c r="G977" i="15"/>
  <c r="G978" i="15" a="1"/>
  <c r="G978" i="15"/>
  <c r="G979" i="15" a="1"/>
  <c r="G979" i="15"/>
  <c r="G980" i="15" a="1"/>
  <c r="G980" i="15"/>
  <c r="G981" i="15" a="1"/>
  <c r="G981" i="15"/>
  <c r="G982" i="15" a="1"/>
  <c r="G982" i="15"/>
  <c r="G983" i="15" a="1"/>
  <c r="G983" i="15"/>
  <c r="G984" i="15" a="1"/>
  <c r="G984" i="15"/>
  <c r="G985" i="15" a="1"/>
  <c r="G985" i="15"/>
  <c r="G986" i="15" a="1"/>
  <c r="G986" i="15"/>
  <c r="G987" i="15" a="1"/>
  <c r="G987" i="15"/>
  <c r="G988" i="15" a="1"/>
  <c r="G988" i="15"/>
  <c r="G989" i="15" a="1"/>
  <c r="G989" i="15"/>
  <c r="G990" i="15" a="1"/>
  <c r="G990" i="15"/>
  <c r="G991" i="15" a="1"/>
  <c r="G991" i="15"/>
  <c r="G992" i="15" a="1"/>
  <c r="G992" i="15"/>
  <c r="G993" i="15" a="1"/>
  <c r="G993" i="15"/>
  <c r="G994" i="15" a="1"/>
  <c r="G994" i="15"/>
  <c r="G995" i="15" a="1"/>
  <c r="G995" i="15"/>
  <c r="G996" i="15" a="1"/>
  <c r="G996" i="15"/>
  <c r="G997" i="15" a="1"/>
  <c r="G997" i="15"/>
  <c r="G998" i="15" a="1"/>
  <c r="G998" i="15"/>
  <c r="G999" i="15" a="1"/>
  <c r="G999" i="15"/>
  <c r="G1000" i="15" a="1"/>
  <c r="G1000" i="15"/>
  <c r="G1001" i="15" a="1"/>
  <c r="G1001" i="15"/>
  <c r="G1002" i="15" a="1"/>
  <c r="G1002" i="15"/>
  <c r="G1003" i="15" a="1"/>
  <c r="G1003" i="15"/>
  <c r="G1004" i="15" a="1"/>
  <c r="G1004" i="15"/>
  <c r="G1005" i="15" a="1"/>
  <c r="G1005" i="15"/>
  <c r="G1006" i="15" a="1"/>
  <c r="G1006" i="15"/>
  <c r="G1007" i="15" a="1"/>
  <c r="G1007" i="15"/>
  <c r="G1008" i="15" a="1"/>
  <c r="G1008" i="15"/>
  <c r="G1009" i="15" a="1"/>
  <c r="G1009" i="15"/>
  <c r="G1010" i="15" a="1"/>
  <c r="G1010" i="15"/>
  <c r="G1011" i="15" a="1"/>
  <c r="G1011" i="15"/>
  <c r="G1012" i="15" a="1"/>
  <c r="G1012" i="15"/>
  <c r="G1013" i="15" a="1"/>
  <c r="G1013" i="15"/>
  <c r="G1014" i="15" a="1"/>
  <c r="G1014" i="15"/>
  <c r="G1015" i="15" a="1"/>
  <c r="G1015" i="15"/>
  <c r="G1016" i="15" a="1"/>
  <c r="G1016" i="15"/>
  <c r="G1017" i="15" a="1"/>
  <c r="G1017" i="15"/>
  <c r="G1018" i="15" a="1"/>
  <c r="G1018" i="15"/>
  <c r="G1019" i="15" a="1"/>
  <c r="G1019" i="15"/>
  <c r="G1020" i="15" a="1"/>
  <c r="G1020" i="15"/>
  <c r="G1021" i="15" a="1"/>
  <c r="G1021" i="15"/>
  <c r="G1022" i="15" a="1"/>
  <c r="G1022" i="15"/>
  <c r="G1023" i="15" a="1"/>
  <c r="G1023" i="15"/>
  <c r="G1024" i="15" a="1"/>
  <c r="G1024" i="15"/>
  <c r="G1025" i="15" a="1"/>
  <c r="G1025" i="15"/>
  <c r="G1026" i="15" a="1"/>
  <c r="G1026" i="15"/>
  <c r="G1027" i="15" a="1"/>
  <c r="G1027" i="15"/>
  <c r="G1028" i="15" a="1"/>
  <c r="G1028" i="15"/>
  <c r="G1029" i="15" a="1"/>
  <c r="G1029" i="15"/>
  <c r="G1030" i="15" a="1"/>
  <c r="G1030" i="15"/>
  <c r="G1031" i="15" a="1"/>
  <c r="G1031" i="15"/>
  <c r="G1032" i="15" a="1"/>
  <c r="G1032" i="15"/>
  <c r="G1033" i="15" a="1"/>
  <c r="G1033" i="15"/>
  <c r="G1034" i="15" a="1"/>
  <c r="G1034" i="15"/>
  <c r="G1035" i="15" a="1"/>
  <c r="G1035" i="15"/>
  <c r="G1036" i="15" a="1"/>
  <c r="G1036" i="15"/>
  <c r="G1037" i="15" a="1"/>
  <c r="G1037" i="15"/>
  <c r="G1038" i="15" a="1"/>
  <c r="G1038" i="15"/>
  <c r="G1039" i="15" a="1"/>
  <c r="G1039" i="15"/>
  <c r="G1040" i="15" a="1"/>
  <c r="G1040" i="15"/>
  <c r="G1041" i="15" a="1"/>
  <c r="G1041" i="15"/>
  <c r="G1042" i="15" a="1"/>
  <c r="G1042" i="15"/>
  <c r="G1043" i="15" a="1"/>
  <c r="G1043" i="15"/>
  <c r="G1044" i="15" a="1"/>
  <c r="G1044" i="15"/>
  <c r="G1045" i="15" a="1"/>
  <c r="G1045" i="15"/>
  <c r="G1046" i="15" a="1"/>
  <c r="G1046" i="15"/>
  <c r="G1047" i="15" a="1"/>
  <c r="G1047" i="15"/>
  <c r="G1048" i="15" a="1"/>
  <c r="G1048" i="15"/>
  <c r="G1049" i="15" a="1"/>
  <c r="G1049" i="15"/>
  <c r="G1050" i="15" a="1"/>
  <c r="G1050" i="15"/>
  <c r="G1051" i="15" a="1"/>
  <c r="G1051" i="15"/>
  <c r="G1052" i="15" a="1"/>
  <c r="G1052" i="15"/>
  <c r="G1053" i="15" a="1"/>
  <c r="G1053" i="15"/>
  <c r="G1054" i="15" a="1"/>
  <c r="G1054" i="15"/>
  <c r="G1055" i="15" a="1"/>
  <c r="G1055" i="15"/>
  <c r="G1056" i="15" a="1"/>
  <c r="G1056" i="15"/>
  <c r="G1057" i="15" a="1"/>
  <c r="G1057" i="15"/>
  <c r="G1058" i="15" a="1"/>
  <c r="G1058" i="15"/>
  <c r="G1059" i="15" a="1"/>
  <c r="G1059" i="15"/>
  <c r="G1060" i="15" a="1"/>
  <c r="G1060" i="15"/>
  <c r="G1061" i="15" a="1"/>
  <c r="G1061" i="15"/>
  <c r="G1062" i="15" a="1"/>
  <c r="G1062" i="15"/>
  <c r="G1063" i="15" a="1"/>
  <c r="G1063" i="15"/>
  <c r="G1064" i="15" a="1"/>
  <c r="G1064" i="15"/>
  <c r="G1065" i="15" a="1"/>
  <c r="G1065" i="15"/>
  <c r="G1066" i="15" a="1"/>
  <c r="G1066" i="15"/>
  <c r="G1067" i="15" a="1"/>
  <c r="G1067" i="15"/>
  <c r="G1068" i="15" a="1"/>
  <c r="G1068" i="15"/>
  <c r="G1069" i="15" a="1"/>
  <c r="G1069" i="15"/>
  <c r="G1070" i="15" a="1"/>
  <c r="G1070" i="15"/>
  <c r="G1071" i="15" a="1"/>
  <c r="G1071" i="15"/>
  <c r="G1072" i="15" a="1"/>
  <c r="G1072" i="15"/>
  <c r="G1073" i="15" a="1"/>
  <c r="G1073" i="15"/>
  <c r="G1074" i="15" a="1"/>
  <c r="G1074" i="15"/>
  <c r="G1075" i="15" a="1"/>
  <c r="G1075" i="15"/>
  <c r="G1076" i="15" a="1"/>
  <c r="G1076" i="15"/>
  <c r="G1077" i="15" a="1"/>
  <c r="G1077" i="15"/>
  <c r="G1078" i="15" a="1"/>
  <c r="G1078" i="15"/>
  <c r="G1079" i="15" a="1"/>
  <c r="G1079" i="15"/>
  <c r="G1080" i="15" a="1"/>
  <c r="G1080" i="15"/>
  <c r="G1081" i="15" a="1"/>
  <c r="G1081" i="15"/>
  <c r="G1082" i="15" a="1"/>
  <c r="G1082" i="15"/>
  <c r="G1083" i="15" a="1"/>
  <c r="G1083" i="15"/>
  <c r="G1084" i="15" a="1"/>
  <c r="G1084" i="15"/>
  <c r="G1085" i="15" a="1"/>
  <c r="G1085" i="15"/>
  <c r="G1086" i="15" a="1"/>
  <c r="G1086" i="15"/>
  <c r="G1087" i="15" a="1"/>
  <c r="G1087" i="15"/>
  <c r="G1088" i="15" a="1"/>
  <c r="G1088" i="15"/>
  <c r="G1089" i="15" a="1"/>
  <c r="G1089" i="15"/>
  <c r="G1090" i="15" a="1"/>
  <c r="G1090" i="15"/>
  <c r="G1091" i="15" a="1"/>
  <c r="G1091" i="15"/>
  <c r="G1092" i="15" a="1"/>
  <c r="G1092" i="15"/>
  <c r="G1093" i="15" a="1"/>
  <c r="G1093" i="15"/>
  <c r="G1094" i="15" a="1"/>
  <c r="G1094" i="15"/>
  <c r="G1095" i="15" a="1"/>
  <c r="G1095" i="15"/>
  <c r="G1096" i="15" a="1"/>
  <c r="G1096" i="15"/>
  <c r="G1097" i="15" a="1"/>
  <c r="G1097" i="15"/>
  <c r="G1098" i="15" a="1"/>
  <c r="G1098" i="15"/>
  <c r="G1099" i="15" a="1"/>
  <c r="G1099" i="15"/>
  <c r="G1100" i="15" a="1"/>
  <c r="G1100" i="15"/>
  <c r="G1101" i="15" a="1"/>
  <c r="G1101" i="15"/>
  <c r="G1102" i="15" a="1"/>
  <c r="G1102" i="15"/>
  <c r="G1103" i="15" a="1"/>
  <c r="G1103" i="15"/>
  <c r="G1104" i="15" a="1"/>
  <c r="G1104" i="15"/>
  <c r="G1105" i="15" a="1"/>
  <c r="G1105" i="15"/>
  <c r="G1106" i="15" a="1"/>
  <c r="G1106" i="15"/>
  <c r="G1107" i="15" a="1"/>
  <c r="G1107" i="15"/>
  <c r="G1108" i="15" a="1"/>
  <c r="G1108" i="15"/>
  <c r="G1109" i="15" a="1"/>
  <c r="G1109" i="15"/>
  <c r="G1110" i="15" a="1"/>
  <c r="G1110" i="15"/>
  <c r="G1111" i="15" a="1"/>
  <c r="G1111" i="15"/>
  <c r="G1112" i="15" a="1"/>
  <c r="G1112" i="15"/>
  <c r="G1113" i="15" a="1"/>
  <c r="G1113" i="15"/>
  <c r="G1114" i="15" a="1"/>
  <c r="G1114" i="15"/>
  <c r="G1115" i="15" a="1"/>
  <c r="G1115" i="15"/>
  <c r="G1116" i="15" a="1"/>
  <c r="G1116" i="15"/>
  <c r="G1117" i="15" a="1"/>
  <c r="G1117" i="15"/>
  <c r="G1118" i="15" a="1"/>
  <c r="G1118" i="15"/>
  <c r="G1119" i="15" a="1"/>
  <c r="G1119" i="15"/>
  <c r="G1120" i="15" a="1"/>
  <c r="G1120" i="15"/>
  <c r="G1121" i="15" a="1"/>
  <c r="G1121" i="15"/>
  <c r="G1122" i="15" a="1"/>
  <c r="G1122" i="15"/>
  <c r="G1123" i="15" a="1"/>
  <c r="G1123" i="15"/>
  <c r="G1124" i="15" a="1"/>
  <c r="G1124" i="15"/>
  <c r="G1125" i="15" a="1"/>
  <c r="G1125" i="15"/>
  <c r="G1126" i="15" a="1"/>
  <c r="G1126" i="15"/>
  <c r="G1127" i="15" a="1"/>
  <c r="G1127" i="15"/>
  <c r="G1128" i="15" a="1"/>
  <c r="G1128" i="15"/>
  <c r="G1129" i="15" a="1"/>
  <c r="G1129" i="15"/>
  <c r="G1130" i="15" a="1"/>
  <c r="G1130" i="15"/>
  <c r="G1131" i="15" a="1"/>
  <c r="G1131" i="15"/>
  <c r="G1132" i="15" a="1"/>
  <c r="G1132" i="15"/>
  <c r="G1133" i="15" a="1"/>
  <c r="G1133" i="15"/>
  <c r="G1134" i="15" a="1"/>
  <c r="G1134" i="15"/>
  <c r="G1135" i="15" a="1"/>
  <c r="G1135" i="15"/>
  <c r="G1136" i="15" a="1"/>
  <c r="G1136" i="15"/>
  <c r="G1137" i="15" a="1"/>
  <c r="G1137" i="15"/>
  <c r="G1138" i="15" a="1"/>
  <c r="G1138" i="15"/>
  <c r="G1139" i="15" a="1"/>
  <c r="G1139" i="15"/>
  <c r="G1140" i="15" a="1"/>
  <c r="G1140" i="15"/>
  <c r="G1141" i="15" a="1"/>
  <c r="G1141" i="15"/>
  <c r="G1142" i="15" a="1"/>
  <c r="G1142" i="15"/>
  <c r="G1143" i="15" a="1"/>
  <c r="G1143" i="15"/>
  <c r="G1144" i="15" a="1"/>
  <c r="G1144" i="15"/>
  <c r="G1145" i="15" a="1"/>
  <c r="G1145" i="15"/>
  <c r="G1146" i="15" a="1"/>
  <c r="G1146" i="15"/>
  <c r="G1147" i="15" a="1"/>
  <c r="G1147" i="15"/>
  <c r="G1148" i="15" a="1"/>
  <c r="G1148" i="15"/>
  <c r="G1149" i="15" a="1"/>
  <c r="G1149" i="15"/>
  <c r="G1150" i="15" a="1"/>
  <c r="G1150" i="15"/>
  <c r="G1151" i="15" a="1"/>
  <c r="G1151" i="15"/>
  <c r="G1152" i="15" a="1"/>
  <c r="G1152" i="15"/>
  <c r="G1153" i="15" a="1"/>
  <c r="G1153" i="15"/>
  <c r="G1154" i="15" a="1"/>
  <c r="G1154" i="15"/>
  <c r="G1155" i="15" a="1"/>
  <c r="G1155" i="15"/>
  <c r="G1156" i="15" a="1"/>
  <c r="G1156" i="15"/>
  <c r="G1157" i="15" a="1"/>
  <c r="G1157" i="15"/>
  <c r="G1158" i="15" a="1"/>
  <c r="G1158" i="15"/>
  <c r="G1159" i="15" a="1"/>
  <c r="G1159" i="15"/>
  <c r="G1160" i="15" a="1"/>
  <c r="G1160" i="15"/>
  <c r="G1161" i="15" a="1"/>
  <c r="G1161" i="15"/>
  <c r="G1162" i="15" a="1"/>
  <c r="G1162" i="15"/>
  <c r="G1163" i="15" a="1"/>
  <c r="G1163" i="15"/>
  <c r="G1164" i="15" a="1"/>
  <c r="G1164" i="15"/>
  <c r="G1165" i="15" a="1"/>
  <c r="G1165" i="15"/>
  <c r="G1166" i="15" a="1"/>
  <c r="G1166" i="15"/>
  <c r="G1167" i="15" a="1"/>
  <c r="G1167" i="15"/>
  <c r="G1168" i="15" a="1"/>
  <c r="G1168" i="15"/>
  <c r="G1169" i="15" a="1"/>
  <c r="G1169" i="15"/>
  <c r="G1170" i="15" a="1"/>
  <c r="G1170" i="15"/>
  <c r="G1171" i="15" a="1"/>
  <c r="G1171" i="15"/>
  <c r="G1172" i="15" a="1"/>
  <c r="G1172" i="15"/>
  <c r="G1173" i="15" a="1"/>
  <c r="G1173" i="15"/>
  <c r="G1174" i="15" a="1"/>
  <c r="G1174" i="15"/>
  <c r="G1175" i="15" a="1"/>
  <c r="G1175" i="15"/>
  <c r="G1176" i="15" a="1"/>
  <c r="G1176" i="15"/>
  <c r="G1177" i="15" a="1"/>
  <c r="G1177" i="15"/>
  <c r="G1178" i="15" a="1"/>
  <c r="G1178" i="15"/>
  <c r="G1179" i="15" a="1"/>
  <c r="G1179" i="15"/>
  <c r="G1180" i="15" a="1"/>
  <c r="G1180" i="15"/>
  <c r="G1181" i="15" a="1"/>
  <c r="G1181" i="15"/>
  <c r="G1182" i="15" a="1"/>
  <c r="G1182" i="15"/>
  <c r="G1183" i="15" a="1"/>
  <c r="G1183" i="15"/>
  <c r="G1184" i="15" a="1"/>
  <c r="G1184" i="15"/>
  <c r="G1185" i="15" a="1"/>
  <c r="G1185" i="15"/>
  <c r="G1186" i="15" a="1"/>
  <c r="G1186" i="15"/>
  <c r="G1187" i="15" a="1"/>
  <c r="G1187" i="15"/>
  <c r="G1188" i="15" a="1"/>
  <c r="G1188" i="15"/>
  <c r="G1189" i="15" a="1"/>
  <c r="G1189" i="15"/>
  <c r="G1190" i="15" a="1"/>
  <c r="G1190" i="15"/>
  <c r="G1191" i="15" a="1"/>
  <c r="G1191" i="15"/>
  <c r="G1192" i="15" a="1"/>
  <c r="G1192" i="15"/>
  <c r="G1193" i="15" a="1"/>
  <c r="G1193" i="15"/>
  <c r="G1194" i="15" a="1"/>
  <c r="G1194" i="15"/>
  <c r="G1195" i="15" a="1"/>
  <c r="G1195" i="15"/>
  <c r="G1196" i="15" a="1"/>
  <c r="G1196" i="15"/>
  <c r="G1197" i="15" a="1"/>
  <c r="G1197" i="15"/>
  <c r="G1198" i="15" a="1"/>
  <c r="G1198" i="15"/>
  <c r="G1199" i="15" a="1"/>
  <c r="G1199" i="15"/>
  <c r="G1200" i="15" a="1"/>
  <c r="G1200" i="15"/>
  <c r="G1201" i="15" a="1"/>
  <c r="G1201" i="15"/>
  <c r="G1202" i="15" a="1"/>
  <c r="G1202" i="15"/>
  <c r="G1203" i="15" a="1"/>
  <c r="G1203" i="15"/>
  <c r="G1204" i="15" a="1"/>
  <c r="G1204" i="15"/>
  <c r="G1205" i="15" a="1"/>
  <c r="G1205" i="15"/>
  <c r="G1206" i="15" a="1"/>
  <c r="G1206" i="15"/>
  <c r="G1207" i="15" a="1"/>
  <c r="G1207" i="15"/>
  <c r="G1208" i="15" a="1"/>
  <c r="G1208" i="15"/>
  <c r="G1209" i="15" a="1"/>
  <c r="G1209" i="15"/>
  <c r="G1210" i="15" a="1"/>
  <c r="G1210" i="15"/>
  <c r="G1211" i="15" a="1"/>
  <c r="G1211" i="15"/>
  <c r="G1212" i="15" a="1"/>
  <c r="G1212" i="15"/>
  <c r="G1213" i="15" a="1"/>
  <c r="G1213" i="15"/>
  <c r="G1214" i="15" a="1"/>
  <c r="G1214" i="15"/>
  <c r="G1215" i="15" a="1"/>
  <c r="G1215" i="15"/>
  <c r="G1216" i="15" a="1"/>
  <c r="G1216" i="15"/>
  <c r="G1217" i="15" a="1"/>
  <c r="G1217" i="15"/>
  <c r="G1218" i="15" a="1"/>
  <c r="G1218" i="15"/>
  <c r="G1219" i="15" a="1"/>
  <c r="G1219" i="15"/>
  <c r="G1220" i="15" a="1"/>
  <c r="G1220" i="15"/>
  <c r="G1221" i="15" a="1"/>
  <c r="G1221" i="15"/>
  <c r="G1222" i="15" a="1"/>
  <c r="G1222" i="15"/>
  <c r="G1223" i="15" a="1"/>
  <c r="G1223" i="15"/>
  <c r="G1224" i="15" a="1"/>
  <c r="G1224" i="15"/>
  <c r="G1225" i="15" a="1"/>
  <c r="G1225" i="15"/>
  <c r="G1226" i="15" a="1"/>
  <c r="G1226" i="15"/>
  <c r="G1227" i="15" a="1"/>
  <c r="G1227" i="15"/>
  <c r="G1228" i="15" a="1"/>
  <c r="G1228" i="15"/>
  <c r="G1229" i="15" a="1"/>
  <c r="G1229" i="15"/>
  <c r="G1230" i="15" a="1"/>
  <c r="G1230" i="15"/>
  <c r="G1231" i="15" a="1"/>
  <c r="G1231" i="15"/>
  <c r="G1232" i="15" a="1"/>
  <c r="G1232" i="15"/>
  <c r="G1233" i="15" a="1"/>
  <c r="G1233" i="15"/>
  <c r="G1234" i="15" a="1"/>
  <c r="G1234" i="15"/>
  <c r="G1235" i="15" a="1"/>
  <c r="G1235" i="15"/>
  <c r="G1236" i="15" a="1"/>
  <c r="G1236" i="15"/>
  <c r="G1237" i="15" a="1"/>
  <c r="G1237" i="15"/>
  <c r="G1238" i="15" a="1"/>
  <c r="G1238" i="15"/>
  <c r="G1239" i="15" a="1"/>
  <c r="G1239" i="15"/>
  <c r="G1240" i="15" a="1"/>
  <c r="G1240" i="15"/>
  <c r="G1241" i="15" a="1"/>
  <c r="G1241" i="15"/>
  <c r="G1242" i="15" a="1"/>
  <c r="G1242" i="15"/>
  <c r="G1243" i="15" a="1"/>
  <c r="G1243" i="15"/>
  <c r="G1244" i="15" a="1"/>
  <c r="G1244" i="15"/>
  <c r="G1245" i="15" a="1"/>
  <c r="G1245" i="15"/>
  <c r="G1246" i="15" a="1"/>
  <c r="G1246" i="15"/>
  <c r="G1247" i="15" a="1"/>
  <c r="G1247" i="15"/>
  <c r="G1248" i="15" a="1"/>
  <c r="G1248" i="15"/>
  <c r="G1249" i="15" a="1"/>
  <c r="G1249" i="15"/>
  <c r="G1250" i="15" a="1"/>
  <c r="G1250" i="15"/>
  <c r="G1251" i="15" a="1"/>
  <c r="G1251" i="15"/>
  <c r="G1252" i="15" a="1"/>
  <c r="G1252" i="15"/>
  <c r="G1253" i="15" a="1"/>
  <c r="G1253" i="15"/>
  <c r="G1254" i="15" a="1"/>
  <c r="G1254" i="15"/>
  <c r="G1255" i="15" a="1"/>
  <c r="G1255" i="15"/>
  <c r="G1256" i="15" a="1"/>
  <c r="G1256" i="15"/>
  <c r="G1257" i="15" a="1"/>
  <c r="G1257" i="15"/>
  <c r="G1258" i="15" a="1"/>
  <c r="G1258" i="15"/>
  <c r="G1259" i="15" a="1"/>
  <c r="G1259" i="15"/>
  <c r="G1260" i="15" a="1"/>
  <c r="G1260" i="15"/>
  <c r="G1261" i="15" a="1"/>
  <c r="G1261" i="15"/>
  <c r="G1262" i="15" a="1"/>
  <c r="G1262" i="15"/>
  <c r="G1263" i="15" a="1"/>
  <c r="G1263" i="15"/>
  <c r="G1264" i="15" a="1"/>
  <c r="G1264" i="15"/>
  <c r="G1265" i="15" a="1"/>
  <c r="G1265" i="15"/>
  <c r="G1266" i="15" a="1"/>
  <c r="G1266" i="15"/>
  <c r="G1267" i="15" a="1"/>
  <c r="G1267" i="15"/>
  <c r="G1268" i="15" a="1"/>
  <c r="G1268" i="15"/>
  <c r="G1269" i="15" a="1"/>
  <c r="G1269" i="15"/>
  <c r="G1270" i="15" a="1"/>
  <c r="G1270" i="15"/>
  <c r="G1271" i="15" a="1"/>
  <c r="G1271" i="15"/>
  <c r="G1272" i="15" a="1"/>
  <c r="G1272" i="15"/>
  <c r="G1273" i="15" a="1"/>
  <c r="G1273" i="15"/>
  <c r="G1274" i="15" a="1"/>
  <c r="G1274" i="15"/>
  <c r="G1275" i="15" a="1"/>
  <c r="G1275" i="15"/>
  <c r="G1276" i="15" a="1"/>
  <c r="G1276" i="15"/>
  <c r="G1277" i="15" a="1"/>
  <c r="G1277" i="15"/>
  <c r="G1278" i="15" a="1"/>
  <c r="G1278" i="15"/>
  <c r="G1279" i="15" a="1"/>
  <c r="G1279" i="15"/>
  <c r="G1280" i="15" a="1"/>
  <c r="G1280" i="15"/>
  <c r="G1281" i="15" a="1"/>
  <c r="G1281" i="15"/>
  <c r="G1282" i="15" a="1"/>
  <c r="G1282" i="15"/>
  <c r="G1283" i="15" a="1"/>
  <c r="G1283" i="15"/>
  <c r="G1284" i="15" a="1"/>
  <c r="G1284" i="15"/>
  <c r="G1285" i="15" a="1"/>
  <c r="G1285" i="15"/>
  <c r="G1286" i="15" a="1"/>
  <c r="G1286" i="15"/>
  <c r="G1287" i="15" a="1"/>
  <c r="G1287" i="15"/>
  <c r="G1288" i="15" a="1"/>
  <c r="G1288" i="15"/>
  <c r="G1289" i="15" a="1"/>
  <c r="G1289" i="15"/>
  <c r="G1290" i="15" a="1"/>
  <c r="G1290" i="15"/>
  <c r="G1291" i="15" a="1"/>
  <c r="G1291" i="15"/>
  <c r="G1292" i="15" a="1"/>
  <c r="G1292" i="15"/>
  <c r="G1293" i="15" a="1"/>
  <c r="G1293" i="15"/>
  <c r="G1294" i="15" a="1"/>
  <c r="G1294" i="15"/>
  <c r="G1295" i="15" a="1"/>
  <c r="G1295" i="15"/>
  <c r="G1296" i="15" a="1"/>
  <c r="G1296" i="15"/>
  <c r="G1297" i="15" a="1"/>
  <c r="G1297" i="15"/>
  <c r="G1298" i="15" a="1"/>
  <c r="G1298" i="15"/>
  <c r="G1299" i="15" a="1"/>
  <c r="G1299" i="15"/>
  <c r="G1300" i="15" a="1"/>
  <c r="G1300" i="15"/>
  <c r="G1301" i="15" a="1"/>
  <c r="G1301" i="15"/>
  <c r="G1302" i="15" a="1"/>
  <c r="G1302" i="15"/>
  <c r="G1303" i="15" a="1"/>
  <c r="G1303" i="15"/>
  <c r="G1304" i="15" a="1"/>
  <c r="G1304" i="15"/>
  <c r="G1305" i="15" a="1"/>
  <c r="G1305" i="15"/>
  <c r="G1306" i="15" a="1"/>
  <c r="G1306" i="15"/>
  <c r="G1307" i="15" a="1"/>
  <c r="G1307" i="15"/>
  <c r="G1308" i="15" a="1"/>
  <c r="G1308" i="15"/>
  <c r="G1309" i="15" a="1"/>
  <c r="G1309" i="15"/>
  <c r="G1310" i="15" a="1"/>
  <c r="G1310" i="15"/>
  <c r="G1311" i="15" a="1"/>
  <c r="G1311" i="15"/>
  <c r="G1312" i="15" a="1"/>
  <c r="G1312" i="15"/>
  <c r="G1313" i="15" a="1"/>
  <c r="G1313" i="15"/>
  <c r="G1314" i="15" a="1"/>
  <c r="G1314" i="15"/>
  <c r="G1315" i="15" a="1"/>
  <c r="G1315" i="15"/>
  <c r="G1316" i="15" a="1"/>
  <c r="G1316" i="15"/>
  <c r="G1317" i="15" a="1"/>
  <c r="G1317" i="15"/>
  <c r="G1318" i="15" a="1"/>
  <c r="G1318" i="15"/>
  <c r="G1319" i="15" a="1"/>
  <c r="G1319" i="15"/>
  <c r="G1320" i="15" a="1"/>
  <c r="G1320" i="15"/>
  <c r="G1321" i="15" a="1"/>
  <c r="G1321" i="15"/>
  <c r="G1322" i="15" a="1"/>
  <c r="G1322" i="15"/>
  <c r="G1323" i="15" a="1"/>
  <c r="G1323" i="15"/>
  <c r="G1324" i="15" a="1"/>
  <c r="G1324" i="15"/>
  <c r="G1325" i="15" a="1"/>
  <c r="G1325" i="15"/>
  <c r="G1326" i="15" a="1"/>
  <c r="G1326" i="15"/>
  <c r="G1327" i="15" a="1"/>
  <c r="G1327" i="15"/>
  <c r="G1328" i="15" a="1"/>
  <c r="G1328" i="15"/>
  <c r="G1329" i="15" a="1"/>
  <c r="G1329" i="15"/>
  <c r="G1330" i="15" a="1"/>
  <c r="G1330" i="15"/>
  <c r="G1331" i="15" a="1"/>
  <c r="G1331" i="15"/>
  <c r="G1332" i="15" a="1"/>
  <c r="G1332" i="15"/>
  <c r="G1333" i="15" a="1"/>
  <c r="G1333" i="15"/>
  <c r="G1334" i="15" a="1"/>
  <c r="G1334" i="15"/>
  <c r="G1335" i="15" a="1"/>
  <c r="G1335" i="15"/>
  <c r="G1336" i="15" a="1"/>
  <c r="G1336" i="15"/>
  <c r="G1337" i="15" a="1"/>
  <c r="G1337" i="15"/>
  <c r="G1338" i="15" a="1"/>
  <c r="G1338" i="15"/>
  <c r="G1339" i="15" a="1"/>
  <c r="G1339" i="15"/>
  <c r="G1340" i="15" a="1"/>
  <c r="G1340" i="15"/>
  <c r="G1341" i="15" a="1"/>
  <c r="G1341" i="15"/>
  <c r="G1342" i="15" a="1"/>
  <c r="G1342" i="15"/>
  <c r="G1343" i="15" a="1"/>
  <c r="G1343" i="15"/>
  <c r="G1344" i="15" a="1"/>
  <c r="G1344" i="15"/>
  <c r="G1345" i="15" a="1"/>
  <c r="G1345" i="15"/>
  <c r="G1346" i="15" a="1"/>
  <c r="G1346" i="15"/>
  <c r="G1347" i="15" a="1"/>
  <c r="G1347" i="15"/>
  <c r="G1348" i="15" a="1"/>
  <c r="G1348" i="15"/>
  <c r="G1349" i="15" a="1"/>
  <c r="G1349" i="15"/>
  <c r="G1350" i="15" a="1"/>
  <c r="G1350" i="15"/>
  <c r="G1351" i="15" a="1"/>
  <c r="G1351" i="15"/>
  <c r="G1352" i="15" a="1"/>
  <c r="G1352" i="15"/>
  <c r="G1353" i="15" a="1"/>
  <c r="G1353" i="15"/>
  <c r="G1354" i="15" a="1"/>
  <c r="G1354" i="15"/>
  <c r="G1355" i="15" a="1"/>
  <c r="G1355" i="15"/>
  <c r="G1356" i="15" a="1"/>
  <c r="G1356" i="15"/>
  <c r="G1357" i="15" a="1"/>
  <c r="G1357" i="15"/>
  <c r="G1358" i="15" a="1"/>
  <c r="G1358" i="15"/>
  <c r="G1359" i="15" a="1"/>
  <c r="G1359" i="15"/>
  <c r="G1360" i="15" a="1"/>
  <c r="G1360" i="15"/>
  <c r="G1361" i="15" a="1"/>
  <c r="G1361" i="15"/>
  <c r="G1362" i="15" a="1"/>
  <c r="G1362" i="15"/>
  <c r="G1363" i="15" a="1"/>
  <c r="G1363" i="15"/>
  <c r="G1364" i="15" a="1"/>
  <c r="G1364" i="15"/>
  <c r="G1365" i="15" a="1"/>
  <c r="G1365" i="15"/>
  <c r="G1366" i="15" a="1"/>
  <c r="G1366" i="15"/>
  <c r="G1367" i="15" a="1"/>
  <c r="G1367" i="15"/>
  <c r="G1368" i="15" a="1"/>
  <c r="G1368" i="15"/>
  <c r="G1369" i="15" a="1"/>
  <c r="G1369" i="15"/>
  <c r="G1370" i="15" a="1"/>
  <c r="G1370" i="15"/>
  <c r="G1371" i="15" a="1"/>
  <c r="G1371" i="15"/>
  <c r="G1372" i="15" a="1"/>
  <c r="G1372" i="15"/>
  <c r="G1373" i="15" a="1"/>
  <c r="G1373" i="15"/>
  <c r="G1374" i="15" a="1"/>
  <c r="G1374" i="15"/>
  <c r="G1375" i="15" a="1"/>
  <c r="G1375" i="15"/>
  <c r="G1376" i="15" a="1"/>
  <c r="G1376" i="15"/>
  <c r="G1377" i="15" a="1"/>
  <c r="G1377" i="15"/>
  <c r="G1378" i="15" a="1"/>
  <c r="G1378" i="15"/>
  <c r="G1379" i="15" a="1"/>
  <c r="G1379" i="15"/>
  <c r="G1380" i="15" a="1"/>
  <c r="G1380" i="15"/>
  <c r="G1381" i="15" a="1"/>
  <c r="G1381" i="15"/>
  <c r="G1382" i="15" a="1"/>
  <c r="G1382" i="15"/>
  <c r="G1383" i="15" a="1"/>
  <c r="G1383" i="15"/>
  <c r="G1384" i="15" a="1"/>
  <c r="G1384" i="15"/>
  <c r="G1385" i="15" a="1"/>
  <c r="G1385" i="15"/>
  <c r="G1386" i="15" a="1"/>
  <c r="G1386" i="15"/>
  <c r="G1387" i="15" a="1"/>
  <c r="G1387" i="15"/>
  <c r="G1388" i="15" a="1"/>
  <c r="G1388" i="15"/>
  <c r="G1389" i="15" a="1"/>
  <c r="G1389" i="15"/>
  <c r="G1390" i="15" a="1"/>
  <c r="G1390" i="15"/>
  <c r="G1391" i="15" a="1"/>
  <c r="G1391" i="15"/>
  <c r="G1392" i="15" a="1"/>
  <c r="G1392" i="15"/>
  <c r="G1393" i="15" a="1"/>
  <c r="G1393" i="15"/>
  <c r="G1394" i="15" a="1"/>
  <c r="G1394" i="15"/>
  <c r="G1395" i="15" a="1"/>
  <c r="G1395" i="15"/>
  <c r="G1396" i="15" a="1"/>
  <c r="G1396" i="15"/>
  <c r="G1397" i="15" a="1"/>
  <c r="G1397" i="15"/>
  <c r="G1398" i="15" a="1"/>
  <c r="G1398" i="15"/>
  <c r="G1399" i="15" a="1"/>
  <c r="G1399" i="15"/>
  <c r="G1400" i="15" a="1"/>
  <c r="G1400" i="15"/>
  <c r="G1401" i="15" a="1"/>
  <c r="G1401" i="15"/>
  <c r="G1402" i="15" a="1"/>
  <c r="G1402" i="15"/>
  <c r="G1403" i="15" a="1"/>
  <c r="G1403" i="15"/>
  <c r="G1404" i="15" a="1"/>
  <c r="G1404" i="15"/>
  <c r="G1405" i="15" a="1"/>
  <c r="G1405" i="15"/>
  <c r="G1406" i="15" a="1"/>
  <c r="G1406" i="15"/>
  <c r="G1407" i="15" a="1"/>
  <c r="G1407" i="15"/>
  <c r="G1408" i="15" a="1"/>
  <c r="G1408" i="15"/>
  <c r="G1409" i="15" a="1"/>
  <c r="G1409" i="15"/>
  <c r="G1410" i="15" a="1"/>
  <c r="G1410" i="15"/>
  <c r="G1411" i="15" a="1"/>
  <c r="G1411" i="15"/>
  <c r="G1412" i="15" a="1"/>
  <c r="G1412" i="15"/>
  <c r="G1413" i="15" a="1"/>
  <c r="G1413" i="15"/>
  <c r="G1414" i="15" a="1"/>
  <c r="G1414" i="15"/>
  <c r="G1415" i="15" a="1"/>
  <c r="G1415" i="15"/>
  <c r="G1416" i="15" a="1"/>
  <c r="G1416" i="15"/>
  <c r="G1417" i="15" a="1"/>
  <c r="G1417" i="15"/>
  <c r="G1418" i="15" a="1"/>
  <c r="G1418" i="15"/>
  <c r="G1419" i="15" a="1"/>
  <c r="G1419" i="15"/>
  <c r="G1420" i="15" a="1"/>
  <c r="G1420" i="15"/>
  <c r="G1421" i="15" a="1"/>
  <c r="G1421" i="15"/>
  <c r="G1422" i="15" a="1"/>
  <c r="G1422" i="15"/>
  <c r="G1423" i="15" a="1"/>
  <c r="G1423" i="15"/>
  <c r="G1424" i="15" a="1"/>
  <c r="G1424" i="15"/>
  <c r="G1425" i="15" a="1"/>
  <c r="G1425" i="15"/>
  <c r="G1426" i="15" a="1"/>
  <c r="G1426" i="15"/>
  <c r="G1427" i="15" a="1"/>
  <c r="G1427" i="15"/>
  <c r="G1428" i="15" a="1"/>
  <c r="G1428" i="15"/>
  <c r="G1429" i="15" a="1"/>
  <c r="G1429" i="15"/>
  <c r="G1430" i="15" a="1"/>
  <c r="G1430" i="15"/>
  <c r="G1431" i="15" a="1"/>
  <c r="G1431" i="15"/>
  <c r="G1432" i="15" a="1"/>
  <c r="G1432" i="15"/>
  <c r="G1433" i="15" a="1"/>
  <c r="G1433" i="15"/>
  <c r="G1434" i="15" a="1"/>
  <c r="G1434" i="15"/>
  <c r="G1435" i="15" a="1"/>
  <c r="G1435" i="15"/>
  <c r="G1436" i="15" a="1"/>
  <c r="G1436" i="15"/>
  <c r="G1437" i="15" a="1"/>
  <c r="G1437" i="15"/>
  <c r="G1438" i="15" a="1"/>
  <c r="G1438" i="15"/>
  <c r="G1439" i="15" a="1"/>
  <c r="G1439" i="15"/>
  <c r="G1440" i="15" a="1"/>
  <c r="G1440" i="15"/>
  <c r="G1441" i="15" a="1"/>
  <c r="G1441" i="15"/>
  <c r="G1442" i="15" a="1"/>
  <c r="G1442" i="15"/>
  <c r="G1443" i="15" a="1"/>
  <c r="G1443" i="15"/>
  <c r="G1444" i="15" a="1"/>
  <c r="G1444" i="15"/>
  <c r="G1445" i="15" a="1"/>
  <c r="G1445" i="15"/>
  <c r="G1446" i="15" a="1"/>
  <c r="G1446" i="15"/>
  <c r="G1447" i="15" a="1"/>
  <c r="G1447" i="15"/>
  <c r="G1448" i="15" a="1"/>
  <c r="G1448" i="15"/>
  <c r="G1449" i="15" a="1"/>
  <c r="G1449" i="15"/>
  <c r="G1450" i="15" a="1"/>
  <c r="G1450" i="15"/>
  <c r="G1451" i="15" a="1"/>
  <c r="G1451" i="15"/>
  <c r="G1452" i="15" a="1"/>
  <c r="G1452" i="15"/>
  <c r="G1453" i="15" a="1"/>
  <c r="G1453" i="15"/>
  <c r="G1454" i="15" a="1"/>
  <c r="G1454" i="15"/>
  <c r="G1455" i="15" a="1"/>
  <c r="G1455" i="15"/>
  <c r="G1456" i="15" a="1"/>
  <c r="G1456" i="15"/>
  <c r="G1457" i="15" a="1"/>
  <c r="G1457" i="15"/>
  <c r="G1458" i="15" a="1"/>
  <c r="G1458" i="15"/>
  <c r="G1459" i="15" a="1"/>
  <c r="G1459" i="15"/>
  <c r="G1460" i="15" a="1"/>
  <c r="G1460" i="15"/>
  <c r="G1461" i="15" a="1"/>
  <c r="G1461" i="15"/>
  <c r="G1462" i="15" a="1"/>
  <c r="G1462" i="15"/>
  <c r="G1463" i="15" a="1"/>
  <c r="G1463" i="15"/>
  <c r="G1464" i="15" a="1"/>
  <c r="G1464" i="15"/>
  <c r="G1465" i="15" a="1"/>
  <c r="G1465" i="15"/>
  <c r="G1466" i="15" a="1"/>
  <c r="G1466" i="15"/>
  <c r="G1467" i="15" a="1"/>
  <c r="G1467" i="15"/>
  <c r="G1468" i="15" a="1"/>
  <c r="G1468" i="15"/>
  <c r="G1469" i="15" a="1"/>
  <c r="G1469" i="15"/>
  <c r="G1470" i="15" a="1"/>
  <c r="G1470" i="15"/>
  <c r="G1471" i="15" a="1"/>
  <c r="G1471" i="15"/>
  <c r="G1472" i="15" a="1"/>
  <c r="G1472" i="15"/>
  <c r="G1473" i="15" a="1"/>
  <c r="G1473" i="15"/>
  <c r="G1474" i="15" a="1"/>
  <c r="G1474" i="15"/>
  <c r="G1475" i="15" a="1"/>
  <c r="G1475" i="15"/>
  <c r="G1476" i="15" a="1"/>
  <c r="G1476" i="15"/>
  <c r="G1477" i="15" a="1"/>
  <c r="G1477" i="15"/>
  <c r="G1478" i="15" a="1"/>
  <c r="G1478" i="15"/>
  <c r="G1479" i="15" a="1"/>
  <c r="G1479" i="15"/>
  <c r="G1480" i="15" a="1"/>
  <c r="G1480" i="15"/>
  <c r="G1481" i="15" a="1"/>
  <c r="G1481" i="15"/>
  <c r="G1482" i="15" a="1"/>
  <c r="G1482" i="15"/>
  <c r="G1483" i="15" a="1"/>
  <c r="G1483" i="15"/>
  <c r="G1484" i="15" a="1"/>
  <c r="G1484" i="15"/>
  <c r="G1485" i="15" a="1"/>
  <c r="G1485" i="15"/>
  <c r="G1486" i="15" a="1"/>
  <c r="G1486" i="15"/>
  <c r="G1487" i="15" a="1"/>
  <c r="G1487" i="15"/>
  <c r="G1488" i="15" a="1"/>
  <c r="G1488" i="15"/>
  <c r="G1489" i="15" a="1"/>
  <c r="G1489" i="15"/>
  <c r="G1490" i="15" a="1"/>
  <c r="G1490" i="15"/>
  <c r="G1491" i="15" a="1"/>
  <c r="G1491" i="15"/>
  <c r="G1492" i="15" a="1"/>
  <c r="G1492" i="15"/>
  <c r="G1493" i="15" a="1"/>
  <c r="G1493" i="15"/>
  <c r="G1494" i="15" a="1"/>
  <c r="G1494" i="15"/>
  <c r="G1495" i="15" a="1"/>
  <c r="G1495" i="15"/>
  <c r="G1496" i="15" a="1"/>
  <c r="G1496" i="15"/>
  <c r="G1497" i="15" a="1"/>
  <c r="G1497" i="15"/>
  <c r="G1498" i="15" a="1"/>
  <c r="G1498" i="15"/>
  <c r="G1499" i="15" a="1"/>
  <c r="G1499" i="15"/>
  <c r="G1500" i="15" a="1"/>
  <c r="G1500" i="15"/>
  <c r="G1501" i="15" a="1"/>
  <c r="G1501" i="15"/>
  <c r="G1502" i="15" a="1"/>
  <c r="G1502" i="15"/>
  <c r="G1503" i="15" a="1"/>
  <c r="G1503" i="15"/>
  <c r="G1504" i="15" a="1"/>
  <c r="G1504" i="15"/>
  <c r="G1505" i="15" a="1"/>
  <c r="G1505" i="15"/>
  <c r="G1506" i="15" a="1"/>
  <c r="G1506" i="15"/>
  <c r="G1507" i="15" a="1"/>
  <c r="G1507" i="15"/>
  <c r="G1508" i="15" a="1"/>
  <c r="G1508" i="15"/>
  <c r="G1509" i="15" a="1"/>
  <c r="G1509" i="15"/>
  <c r="G1510" i="15" a="1"/>
  <c r="G1510" i="15"/>
  <c r="G1511" i="15" a="1"/>
  <c r="G1511" i="15"/>
  <c r="G1512" i="15" a="1"/>
  <c r="G1512" i="15"/>
  <c r="G1513" i="15" a="1"/>
  <c r="G1513" i="15"/>
  <c r="G1514" i="15" a="1"/>
  <c r="G1514" i="15"/>
  <c r="G1515" i="15" a="1"/>
  <c r="G1515" i="15"/>
  <c r="G1516" i="15" a="1"/>
  <c r="G1516" i="15"/>
  <c r="G1517" i="15" a="1"/>
  <c r="G1517" i="15"/>
  <c r="G1518" i="15" a="1"/>
  <c r="G1518" i="15"/>
  <c r="G1519" i="15" a="1"/>
  <c r="G1519" i="15"/>
  <c r="G1520" i="15" a="1"/>
  <c r="G1520" i="15"/>
  <c r="G1521" i="15" a="1"/>
  <c r="G1521" i="15"/>
  <c r="G1522" i="15" a="1"/>
  <c r="G1522" i="15"/>
  <c r="G1523" i="15" a="1"/>
  <c r="G1523" i="15"/>
  <c r="G1524" i="15" a="1"/>
  <c r="G1524" i="15"/>
  <c r="G1525" i="15" a="1"/>
  <c r="G1525" i="15"/>
  <c r="G1526" i="15" a="1"/>
  <c r="G1526" i="15"/>
  <c r="G1527" i="15" a="1"/>
  <c r="G1527" i="15"/>
  <c r="G1528" i="15" a="1"/>
  <c r="G1528" i="15"/>
  <c r="G1529" i="15" a="1"/>
  <c r="G1529" i="15"/>
  <c r="G1530" i="15" a="1"/>
  <c r="G1530" i="15"/>
  <c r="G1531" i="15" a="1"/>
  <c r="G1531" i="15"/>
  <c r="G1532" i="15" a="1"/>
  <c r="G1532" i="15"/>
  <c r="G1533" i="15" a="1"/>
  <c r="G1533" i="15"/>
  <c r="G1534" i="15" a="1"/>
  <c r="G1534" i="15"/>
  <c r="G1535" i="15" a="1"/>
  <c r="G1535" i="15"/>
  <c r="G1536" i="15" a="1"/>
  <c r="G1536" i="15"/>
  <c r="G1537" i="15" a="1"/>
  <c r="G1537" i="15"/>
  <c r="G1538" i="15" a="1"/>
  <c r="G1538" i="15"/>
  <c r="G1539" i="15" a="1"/>
  <c r="G1539" i="15"/>
  <c r="G1540" i="15" a="1"/>
  <c r="G1540" i="15"/>
  <c r="G1541" i="15" a="1"/>
  <c r="G1541" i="15"/>
  <c r="G1542" i="15" a="1"/>
  <c r="G1542" i="15"/>
  <c r="G1543" i="15" a="1"/>
  <c r="G1543" i="15"/>
  <c r="G1544" i="15" a="1"/>
  <c r="G1544" i="15"/>
  <c r="G1545" i="15" a="1"/>
  <c r="G1545" i="15"/>
  <c r="G1546" i="15" a="1"/>
  <c r="G1546" i="15"/>
  <c r="G1547" i="15" a="1"/>
  <c r="G1547" i="15"/>
  <c r="G1548" i="15" a="1"/>
  <c r="G1548" i="15"/>
  <c r="G1549" i="15" a="1"/>
  <c r="G1549" i="15"/>
  <c r="G1550" i="15" a="1"/>
  <c r="G1550" i="15"/>
  <c r="G1551" i="15" a="1"/>
  <c r="G1551" i="15"/>
  <c r="G1552" i="15" a="1"/>
  <c r="G1552" i="15"/>
  <c r="G1553" i="15" a="1"/>
  <c r="G1553" i="15"/>
  <c r="G1554" i="15" a="1"/>
  <c r="G1554" i="15"/>
  <c r="G1555" i="15" a="1"/>
  <c r="G1555" i="15"/>
  <c r="G1556" i="15" a="1"/>
  <c r="G1556" i="15"/>
  <c r="G1557" i="15" a="1"/>
  <c r="G1557" i="15"/>
  <c r="G1558" i="15" a="1"/>
  <c r="G1558" i="15"/>
  <c r="G1559" i="15" a="1"/>
  <c r="G1559" i="15"/>
  <c r="G1560" i="15" a="1"/>
  <c r="G1560" i="15"/>
  <c r="G1561" i="15" a="1"/>
  <c r="G1561" i="15"/>
  <c r="G1562" i="15" a="1"/>
  <c r="G1562" i="15"/>
  <c r="G1563" i="15" a="1"/>
  <c r="G1563" i="15"/>
  <c r="G1564" i="15" a="1"/>
  <c r="G1564" i="15"/>
  <c r="G1565" i="15" a="1"/>
  <c r="G1565" i="15"/>
  <c r="G1566" i="15" a="1"/>
  <c r="G1566" i="15"/>
  <c r="G1567" i="15" a="1"/>
  <c r="G1567" i="15"/>
  <c r="G1568" i="15" a="1"/>
  <c r="G1568" i="15"/>
  <c r="G1569" i="15" a="1"/>
  <c r="G1569" i="15"/>
  <c r="G1570" i="15" a="1"/>
  <c r="G1570" i="15"/>
  <c r="G1571" i="15" a="1"/>
  <c r="G1571" i="15"/>
  <c r="G1572" i="15" a="1"/>
  <c r="G1572" i="15"/>
  <c r="G1573" i="15" a="1"/>
  <c r="G1573" i="15"/>
  <c r="G1574" i="15" a="1"/>
  <c r="G1574" i="15"/>
  <c r="G1575" i="15" a="1"/>
  <c r="G1575" i="15"/>
  <c r="G1576" i="15" a="1"/>
  <c r="G1576" i="15"/>
  <c r="G1577" i="15" a="1"/>
  <c r="G1577" i="15"/>
  <c r="G1578" i="15" a="1"/>
  <c r="G1578" i="15"/>
  <c r="G1579" i="15" a="1"/>
  <c r="G1579" i="15"/>
  <c r="G1580" i="15" a="1"/>
  <c r="G1580" i="15"/>
  <c r="G1581" i="15" a="1"/>
  <c r="G1581" i="15"/>
  <c r="G1582" i="15" a="1"/>
  <c r="G1582" i="15"/>
  <c r="G1583" i="15" a="1"/>
  <c r="G1583" i="15"/>
  <c r="G1584" i="15" a="1"/>
  <c r="G1584" i="15"/>
  <c r="G1585" i="15" a="1"/>
  <c r="G1585" i="15"/>
  <c r="G1586" i="15" a="1"/>
  <c r="G1586" i="15"/>
  <c r="G1587" i="15" a="1"/>
  <c r="G1587" i="15"/>
  <c r="G1588" i="15" a="1"/>
  <c r="G1588" i="15"/>
  <c r="G1589" i="15" a="1"/>
  <c r="G1589" i="15"/>
  <c r="G1590" i="15" a="1"/>
  <c r="G1590" i="15"/>
  <c r="G1591" i="15" a="1"/>
  <c r="G1591" i="15"/>
  <c r="G1592" i="15" a="1"/>
  <c r="G1592" i="15"/>
  <c r="G1593" i="15" a="1"/>
  <c r="G1593" i="15"/>
  <c r="G1594" i="15" a="1"/>
  <c r="G1594" i="15"/>
  <c r="G1595" i="15" a="1"/>
  <c r="G1595" i="15"/>
  <c r="G1596" i="15" a="1"/>
  <c r="G1596" i="15"/>
  <c r="G1597" i="15" a="1"/>
  <c r="G1597" i="15"/>
  <c r="G1598" i="15" a="1"/>
  <c r="G1598" i="15"/>
  <c r="G1599" i="15" a="1"/>
  <c r="G1599" i="15"/>
  <c r="G1600" i="15" a="1"/>
  <c r="G1600" i="15"/>
  <c r="G1601" i="15" a="1"/>
  <c r="G1601" i="15"/>
  <c r="G1602" i="15" a="1"/>
  <c r="G1602" i="15"/>
  <c r="G1603" i="15" a="1"/>
  <c r="G1603" i="15"/>
  <c r="G1604" i="15" a="1"/>
  <c r="G1604" i="15"/>
  <c r="G1605" i="15" a="1"/>
  <c r="G1605" i="15"/>
  <c r="G1606" i="15" a="1"/>
  <c r="G1606" i="15"/>
  <c r="G1607" i="15" a="1"/>
  <c r="G1607" i="15"/>
  <c r="G1608" i="15" a="1"/>
  <c r="G1608" i="15"/>
  <c r="G1609" i="15" a="1"/>
  <c r="G1609" i="15"/>
  <c r="G1610" i="15" a="1"/>
  <c r="G1610" i="15"/>
  <c r="G1611" i="15" a="1"/>
  <c r="G1611" i="15"/>
  <c r="G1612" i="15" a="1"/>
  <c r="G1612" i="15"/>
  <c r="G1613" i="15" a="1"/>
  <c r="G1613" i="15"/>
  <c r="G1614" i="15" a="1"/>
  <c r="G1614" i="15"/>
  <c r="G1615" i="15" a="1"/>
  <c r="G1615" i="15"/>
  <c r="G1616" i="15" a="1"/>
  <c r="G1616" i="15"/>
  <c r="G1617" i="15" a="1"/>
  <c r="G1617" i="15"/>
  <c r="G1618" i="15" a="1"/>
  <c r="G1618" i="15"/>
  <c r="G1619" i="15" a="1"/>
  <c r="G1619" i="15"/>
  <c r="G1620" i="15" a="1"/>
  <c r="G1620" i="15"/>
  <c r="G1621" i="15" a="1"/>
  <c r="G1621" i="15"/>
  <c r="G1622" i="15" a="1"/>
  <c r="G1622" i="15"/>
  <c r="G1623" i="15" a="1"/>
  <c r="G1623" i="15"/>
  <c r="G1624" i="15" a="1"/>
  <c r="G1624" i="15"/>
  <c r="G1625" i="15" a="1"/>
  <c r="G1625" i="15"/>
  <c r="G1626" i="15" a="1"/>
  <c r="G1626" i="15"/>
  <c r="G1627" i="15" a="1"/>
  <c r="G1627" i="15"/>
  <c r="G1628" i="15" a="1"/>
  <c r="G1628" i="15"/>
  <c r="G1629" i="15" a="1"/>
  <c r="G1629" i="15"/>
  <c r="G1630" i="15" a="1"/>
  <c r="G1630" i="15"/>
  <c r="G1631" i="15" a="1"/>
  <c r="G1631" i="15"/>
  <c r="G1632" i="15" a="1"/>
  <c r="G1632" i="15"/>
  <c r="G1633" i="15" a="1"/>
  <c r="G1633" i="15"/>
  <c r="G1634" i="15" a="1"/>
  <c r="G1634" i="15"/>
  <c r="G1635" i="15" a="1"/>
  <c r="G1635" i="15"/>
  <c r="G1636" i="15" a="1"/>
  <c r="G1636" i="15"/>
  <c r="G1637" i="15" a="1"/>
  <c r="G1637" i="15"/>
  <c r="G1638" i="15" a="1"/>
  <c r="G1638" i="15"/>
  <c r="G1639" i="15" a="1"/>
  <c r="G1639" i="15"/>
  <c r="G1640" i="15" a="1"/>
  <c r="G1640" i="15"/>
  <c r="G1641" i="15" a="1"/>
  <c r="G1641" i="15"/>
  <c r="G1642" i="15" a="1"/>
  <c r="G1642" i="15"/>
  <c r="G1643" i="15" a="1"/>
  <c r="G1643" i="15"/>
  <c r="G1644" i="15" a="1"/>
  <c r="G1644" i="15"/>
  <c r="G1645" i="15" a="1"/>
  <c r="G1645" i="15"/>
  <c r="G1646" i="15" a="1"/>
  <c r="G1646" i="15"/>
  <c r="G1647" i="15" a="1"/>
  <c r="G1647" i="15"/>
  <c r="G1648" i="15" a="1"/>
  <c r="G1648" i="15"/>
  <c r="G1649" i="15" a="1"/>
  <c r="G1649" i="15"/>
  <c r="G1650" i="15" a="1"/>
  <c r="G1650" i="15"/>
  <c r="G1651" i="15" a="1"/>
  <c r="G1651" i="15"/>
  <c r="G1652" i="15" a="1"/>
  <c r="G1652" i="15"/>
  <c r="G1653" i="15" a="1"/>
  <c r="G1653" i="15"/>
  <c r="G1654" i="15" a="1"/>
  <c r="G1654" i="15"/>
  <c r="G1655" i="15" a="1"/>
  <c r="G1655" i="15"/>
  <c r="G1656" i="15" a="1"/>
  <c r="G1656" i="15"/>
  <c r="G1657" i="15" a="1"/>
  <c r="G1657" i="15"/>
  <c r="G1658" i="15" a="1"/>
  <c r="G1658" i="15"/>
  <c r="G1659" i="15" a="1"/>
  <c r="G1659" i="15"/>
  <c r="G1660" i="15" a="1"/>
  <c r="G1660" i="15"/>
  <c r="G1661" i="15" a="1"/>
  <c r="G1661" i="15"/>
  <c r="G1662" i="15" a="1"/>
  <c r="G1662" i="15"/>
  <c r="G1663" i="15" a="1"/>
  <c r="G1663" i="15"/>
  <c r="G1664" i="15" a="1"/>
  <c r="G1664" i="15"/>
  <c r="G1665" i="15" a="1"/>
  <c r="G1665" i="15"/>
  <c r="G1666" i="15" a="1"/>
  <c r="G1666" i="15"/>
  <c r="G1667" i="15" a="1"/>
  <c r="G1667" i="15"/>
  <c r="G1668" i="15" a="1"/>
  <c r="G1668" i="15"/>
  <c r="G1669" i="15" a="1"/>
  <c r="G1669" i="15"/>
  <c r="G1670" i="15" a="1"/>
  <c r="G1670" i="15"/>
  <c r="G1671" i="15" a="1"/>
  <c r="G1671" i="15"/>
  <c r="G1672" i="15" a="1"/>
  <c r="G1672" i="15"/>
  <c r="G1673" i="15" a="1"/>
  <c r="G1673" i="15"/>
  <c r="G1674" i="15" a="1"/>
  <c r="G1674" i="15"/>
  <c r="G1675" i="15" a="1"/>
  <c r="G1675" i="15"/>
  <c r="G1676" i="15" a="1"/>
  <c r="G1676" i="15"/>
  <c r="G1677" i="15" a="1"/>
  <c r="G1677" i="15"/>
  <c r="G1678" i="15" a="1"/>
  <c r="G1678" i="15"/>
  <c r="G1679" i="15" a="1"/>
  <c r="G1679" i="15"/>
  <c r="G1680" i="15" a="1"/>
  <c r="G1680" i="15"/>
  <c r="G1681" i="15" a="1"/>
  <c r="G1681" i="15"/>
  <c r="G1682" i="15" a="1"/>
  <c r="G1682" i="15"/>
  <c r="G1683" i="15" a="1"/>
  <c r="G1683" i="15"/>
  <c r="G1684" i="15" a="1"/>
  <c r="G1684" i="15"/>
  <c r="G1685" i="15" a="1"/>
  <c r="G1685" i="15"/>
  <c r="G1686" i="15" a="1"/>
  <c r="G1686" i="15"/>
  <c r="G1687" i="15" a="1"/>
  <c r="G1687" i="15"/>
  <c r="G1688" i="15" a="1"/>
  <c r="G1688" i="15"/>
  <c r="G1689" i="15" a="1"/>
  <c r="G1689" i="15"/>
  <c r="G1690" i="15" a="1"/>
  <c r="G1690" i="15"/>
  <c r="G1691" i="15" a="1"/>
  <c r="G1691" i="15"/>
  <c r="G1692" i="15" a="1"/>
  <c r="G1692" i="15"/>
  <c r="G1693" i="15" a="1"/>
  <c r="G1693" i="15"/>
  <c r="G1694" i="15" a="1"/>
  <c r="G1694" i="15"/>
  <c r="G1695" i="15" a="1"/>
  <c r="G1695" i="15"/>
  <c r="G1696" i="15" a="1"/>
  <c r="G1696" i="15"/>
  <c r="G1697" i="15" a="1"/>
  <c r="G1697" i="15"/>
  <c r="G1698" i="15" a="1"/>
  <c r="G1698" i="15"/>
  <c r="G1699" i="15" a="1"/>
  <c r="G1699" i="15"/>
  <c r="G1700" i="15" a="1"/>
  <c r="G1700" i="15"/>
  <c r="G1701" i="15" a="1"/>
  <c r="G1701" i="15"/>
  <c r="G1702" i="15" a="1"/>
  <c r="G1702" i="15"/>
  <c r="G1703" i="15" a="1"/>
  <c r="G1703" i="15"/>
  <c r="G1704" i="15" a="1"/>
  <c r="G1704" i="15"/>
  <c r="G1705" i="15" a="1"/>
  <c r="G1705" i="15"/>
  <c r="G1706" i="15" a="1"/>
  <c r="G1706" i="15"/>
  <c r="G1707" i="15" a="1"/>
  <c r="G1707" i="15"/>
  <c r="G1708" i="15" a="1"/>
  <c r="G1708" i="15"/>
  <c r="G1709" i="15" a="1"/>
  <c r="G1709" i="15"/>
  <c r="G1710" i="15" a="1"/>
  <c r="G1710" i="15"/>
  <c r="G1711" i="15" a="1"/>
  <c r="G1711" i="15"/>
  <c r="G1712" i="15" a="1"/>
  <c r="G1712" i="15"/>
  <c r="G1713" i="15" a="1"/>
  <c r="G1713" i="15"/>
  <c r="G1714" i="15" a="1"/>
  <c r="G1714" i="15"/>
  <c r="G1715" i="15" a="1"/>
  <c r="G1715" i="15"/>
  <c r="G1716" i="15" a="1"/>
  <c r="G1716" i="15"/>
  <c r="G1717" i="15" a="1"/>
  <c r="G1717" i="15"/>
  <c r="G1718" i="15" a="1"/>
  <c r="G1718" i="15"/>
  <c r="G1719" i="15" a="1"/>
  <c r="G1719" i="15"/>
  <c r="G1720" i="15" a="1"/>
  <c r="G1720" i="15"/>
  <c r="G1721" i="15" a="1"/>
  <c r="G1721" i="15"/>
  <c r="G1722" i="15" a="1"/>
  <c r="G1722" i="15"/>
  <c r="G1723" i="15" a="1"/>
  <c r="G1723" i="15"/>
  <c r="G1724" i="15" a="1"/>
  <c r="G1724" i="15"/>
  <c r="G1725" i="15" a="1"/>
  <c r="G1725" i="15"/>
  <c r="G1726" i="15" a="1"/>
  <c r="G1726" i="15"/>
  <c r="G1727" i="15" a="1"/>
  <c r="G1727" i="15"/>
  <c r="G1728" i="15" a="1"/>
  <c r="G1728" i="15"/>
  <c r="G1729" i="15" a="1"/>
  <c r="G1729" i="15"/>
  <c r="G1730" i="15" a="1"/>
  <c r="G1730" i="15"/>
  <c r="G1731" i="15" a="1"/>
  <c r="G1731" i="15"/>
  <c r="G1732" i="15" a="1"/>
  <c r="G1732" i="15"/>
  <c r="G1733" i="15" a="1"/>
  <c r="G1733" i="15"/>
  <c r="G1734" i="15" a="1"/>
  <c r="G1734" i="15"/>
  <c r="G1735" i="15" a="1"/>
  <c r="G1735" i="15"/>
  <c r="G1736" i="15" a="1"/>
  <c r="G1736" i="15"/>
  <c r="G1737" i="15" a="1"/>
  <c r="G1737" i="15"/>
  <c r="G1738" i="15" a="1"/>
  <c r="G1738" i="15"/>
  <c r="G1739" i="15" a="1"/>
  <c r="G1739" i="15"/>
  <c r="G1740" i="15" a="1"/>
  <c r="G1740" i="15"/>
  <c r="G1741" i="15" a="1"/>
  <c r="G1741" i="15"/>
  <c r="G1742" i="15" a="1"/>
  <c r="G1742" i="15"/>
  <c r="G1743" i="15" a="1"/>
  <c r="G1743" i="15"/>
  <c r="G1744" i="15" a="1"/>
  <c r="G1744" i="15"/>
  <c r="G1745" i="15" a="1"/>
  <c r="G1745" i="15"/>
  <c r="G1746" i="15" a="1"/>
  <c r="G1746" i="15"/>
  <c r="G1747" i="15" a="1"/>
  <c r="G1747" i="15"/>
  <c r="G1748" i="15" a="1"/>
  <c r="G1748" i="15"/>
  <c r="G1749" i="15" a="1"/>
  <c r="G1749" i="15"/>
  <c r="G1750" i="15" a="1"/>
  <c r="G1750" i="15"/>
  <c r="G1751" i="15" a="1"/>
  <c r="G1751" i="15"/>
  <c r="G1752" i="15" a="1"/>
  <c r="G1752" i="15"/>
  <c r="G1753" i="15" a="1"/>
  <c r="G1753" i="15"/>
  <c r="G1754" i="15" a="1"/>
  <c r="G1754" i="15"/>
  <c r="G1755" i="15" a="1"/>
  <c r="G1755" i="15"/>
  <c r="G1756" i="15" a="1"/>
  <c r="G1756" i="15"/>
  <c r="G1757" i="15" a="1"/>
  <c r="G1757" i="15"/>
  <c r="G1758" i="15" a="1"/>
  <c r="G1758" i="15"/>
  <c r="G1759" i="15" a="1"/>
  <c r="G1759" i="15"/>
  <c r="G1760" i="15" a="1"/>
  <c r="G1760" i="15"/>
  <c r="G1761" i="15" a="1"/>
  <c r="G1761" i="15"/>
  <c r="G1762" i="15" a="1"/>
  <c r="G1762" i="15"/>
  <c r="G1763" i="15" a="1"/>
  <c r="G1763" i="15"/>
  <c r="G1764" i="15" a="1"/>
  <c r="G1764" i="15"/>
  <c r="G1765" i="15" a="1"/>
  <c r="G1765" i="15"/>
  <c r="G1766" i="15" a="1"/>
  <c r="G1766" i="15"/>
  <c r="G1767" i="15" a="1"/>
  <c r="G1767" i="15"/>
  <c r="G1768" i="15" a="1"/>
  <c r="G1768" i="15"/>
  <c r="G1769" i="15" a="1"/>
  <c r="G1769" i="15"/>
  <c r="G1770" i="15" a="1"/>
  <c r="G1770" i="15"/>
  <c r="G1771" i="15" a="1"/>
  <c r="G1771" i="15"/>
  <c r="G1772" i="15" a="1"/>
  <c r="G1772" i="15"/>
  <c r="G1773" i="15" a="1"/>
  <c r="G1773" i="15"/>
  <c r="G1774" i="15" a="1"/>
  <c r="G1774" i="15"/>
  <c r="G1775" i="15" a="1"/>
  <c r="G1775" i="15"/>
  <c r="G1776" i="15" a="1"/>
  <c r="G1776" i="15"/>
  <c r="G1777" i="15" a="1"/>
  <c r="G1777" i="15"/>
  <c r="G1778" i="15" a="1"/>
  <c r="G1778" i="15"/>
  <c r="G1779" i="15" a="1"/>
  <c r="G1779" i="15"/>
  <c r="G1780" i="15" a="1"/>
  <c r="G1780" i="15"/>
  <c r="G1781" i="15" a="1"/>
  <c r="G1781" i="15"/>
  <c r="G1782" i="15" a="1"/>
  <c r="G1782" i="15"/>
  <c r="G1783" i="15" a="1"/>
  <c r="G1783" i="15"/>
  <c r="G1784" i="15" a="1"/>
  <c r="G1784" i="15"/>
  <c r="G1785" i="15" a="1"/>
  <c r="G1785" i="15"/>
  <c r="G1786" i="15" a="1"/>
  <c r="G1786" i="15"/>
  <c r="G1787" i="15" a="1"/>
  <c r="G1787" i="15"/>
  <c r="G1788" i="15" a="1"/>
  <c r="G1788" i="15"/>
  <c r="G1789" i="15" a="1"/>
  <c r="G1789" i="15"/>
  <c r="G1790" i="15" a="1"/>
  <c r="G1790" i="15"/>
  <c r="G1791" i="15" a="1"/>
  <c r="G1791" i="15"/>
  <c r="G1792" i="15" a="1"/>
  <c r="G1792" i="15"/>
  <c r="G1793" i="15" a="1"/>
  <c r="G1793" i="15"/>
  <c r="G1794" i="15" a="1"/>
  <c r="G1794" i="15"/>
  <c r="G1795" i="15" a="1"/>
  <c r="G1795" i="15"/>
  <c r="G1796" i="15" a="1"/>
  <c r="G1796" i="15"/>
  <c r="G1797" i="15" a="1"/>
  <c r="G1797" i="15"/>
  <c r="G1798" i="15" a="1"/>
  <c r="G1798" i="15"/>
  <c r="G1799" i="15" a="1"/>
  <c r="G1799" i="15"/>
  <c r="G1800" i="15" a="1"/>
  <c r="G1800" i="15"/>
  <c r="G1801" i="15" a="1"/>
  <c r="G1801" i="15"/>
  <c r="G1802" i="15" a="1"/>
  <c r="G1802" i="15"/>
  <c r="G1803" i="15" a="1"/>
  <c r="G1803" i="15"/>
  <c r="G1804" i="15" a="1"/>
  <c r="G1804" i="15"/>
  <c r="G1805" i="15" a="1"/>
  <c r="G1805" i="15"/>
  <c r="G1806" i="15" a="1"/>
  <c r="G1806" i="15"/>
  <c r="G1807" i="15" a="1"/>
  <c r="G1807" i="15"/>
  <c r="G1808" i="15" a="1"/>
  <c r="G1808" i="15"/>
  <c r="G1809" i="15" a="1"/>
  <c r="G1809" i="15"/>
  <c r="G1810" i="15" a="1"/>
  <c r="G1810" i="15"/>
  <c r="G1811" i="15" a="1"/>
  <c r="G1811" i="15"/>
  <c r="G1812" i="15" a="1"/>
  <c r="G1812" i="15"/>
  <c r="G1813" i="15" a="1"/>
  <c r="G1813" i="15"/>
  <c r="G1814" i="15" a="1"/>
  <c r="G1814" i="15"/>
  <c r="G1815" i="15" a="1"/>
  <c r="G1815" i="15"/>
  <c r="G1816" i="15" a="1"/>
  <c r="G1816" i="15"/>
  <c r="G1817" i="15" a="1"/>
  <c r="G1817" i="15"/>
  <c r="G1818" i="15" a="1"/>
  <c r="G1818" i="15"/>
  <c r="G1819" i="15" a="1"/>
  <c r="G1819" i="15"/>
  <c r="G1820" i="15" a="1"/>
  <c r="G1820" i="15"/>
  <c r="G1821" i="15" a="1"/>
  <c r="G1821" i="15"/>
  <c r="G1822" i="15" a="1"/>
  <c r="G1822" i="15"/>
  <c r="G1823" i="15" a="1"/>
  <c r="G1823" i="15"/>
  <c r="G1824" i="15" a="1"/>
  <c r="G1824" i="15"/>
  <c r="G1825" i="15" a="1"/>
  <c r="G1825" i="15"/>
  <c r="G1826" i="15" a="1"/>
  <c r="G1826" i="15"/>
  <c r="G1827" i="15" a="1"/>
  <c r="G1827" i="15"/>
  <c r="G1828" i="15" a="1"/>
  <c r="G1828" i="15"/>
  <c r="G1829" i="15" a="1"/>
  <c r="G1829" i="15"/>
  <c r="G1830" i="15" a="1"/>
  <c r="G1830" i="15"/>
  <c r="G1831" i="15" a="1"/>
  <c r="G1831" i="15"/>
  <c r="G1832" i="15" a="1"/>
  <c r="G1832" i="15"/>
  <c r="G1833" i="15" a="1"/>
  <c r="G1833" i="15"/>
  <c r="G1834" i="15" a="1"/>
  <c r="G1834" i="15"/>
  <c r="G1835" i="15" a="1"/>
  <c r="G1835" i="15"/>
  <c r="G1836" i="15" a="1"/>
  <c r="G1836" i="15"/>
  <c r="G1837" i="15" a="1"/>
  <c r="G1837" i="15"/>
  <c r="G1838" i="15" a="1"/>
  <c r="G1838" i="15"/>
  <c r="G1839" i="15" a="1"/>
  <c r="G1839" i="15"/>
  <c r="G1840" i="15" a="1"/>
  <c r="G1840" i="15"/>
  <c r="G1841" i="15" a="1"/>
  <c r="G1841" i="15"/>
  <c r="G1842" i="15" a="1"/>
  <c r="G1842" i="15"/>
  <c r="G1843" i="15" a="1"/>
  <c r="G1843" i="15"/>
  <c r="G1844" i="15" a="1"/>
  <c r="G1844" i="15"/>
  <c r="G1845" i="15" a="1"/>
  <c r="G1845" i="15"/>
  <c r="G1846" i="15" a="1"/>
  <c r="G1846" i="15"/>
  <c r="G1847" i="15" a="1"/>
  <c r="G1847" i="15"/>
  <c r="G1848" i="15" a="1"/>
  <c r="G1848" i="15"/>
  <c r="G1849" i="15" a="1"/>
  <c r="G1849" i="15"/>
  <c r="G1850" i="15" a="1"/>
  <c r="G1850" i="15"/>
  <c r="G1851" i="15" a="1"/>
  <c r="G1851" i="15"/>
  <c r="G1852" i="15" a="1"/>
  <c r="G1852" i="15"/>
  <c r="G1853" i="15" a="1"/>
  <c r="G1853" i="15"/>
  <c r="G1854" i="15" a="1"/>
  <c r="G1854" i="15"/>
  <c r="G1855" i="15" a="1"/>
  <c r="G1855" i="15"/>
  <c r="G1856" i="15" a="1"/>
  <c r="G1856" i="15"/>
  <c r="G1857" i="15" a="1"/>
  <c r="G1857" i="15"/>
  <c r="G1858" i="15" a="1"/>
  <c r="G1858" i="15"/>
  <c r="G1859" i="15" a="1"/>
  <c r="G1859" i="15"/>
  <c r="G1860" i="15" a="1"/>
  <c r="G1860" i="15"/>
  <c r="G1861" i="15" a="1"/>
  <c r="G1861" i="15"/>
  <c r="G1862" i="15" a="1"/>
  <c r="G1862" i="15"/>
  <c r="G1863" i="15" a="1"/>
  <c r="G1863" i="15"/>
  <c r="G1864" i="15" a="1"/>
  <c r="G1864" i="15"/>
  <c r="G1865" i="15" a="1"/>
  <c r="G1865" i="15"/>
  <c r="G1866" i="15" a="1"/>
  <c r="G1866" i="15"/>
  <c r="G1867" i="15" a="1"/>
  <c r="G1867" i="15"/>
  <c r="G1868" i="15" a="1"/>
  <c r="G1868" i="15"/>
  <c r="G1869" i="15" a="1"/>
  <c r="G1869" i="15"/>
  <c r="G1870" i="15" a="1"/>
  <c r="G1870" i="15"/>
  <c r="G1871" i="15" a="1"/>
  <c r="G1871" i="15"/>
  <c r="G1872" i="15" a="1"/>
  <c r="G1872" i="15"/>
  <c r="G1873" i="15" a="1"/>
  <c r="G1873" i="15"/>
  <c r="G1874" i="15" a="1"/>
  <c r="G1874" i="15"/>
  <c r="G1875" i="15" a="1"/>
  <c r="G1875" i="15"/>
  <c r="G1876" i="15" a="1"/>
  <c r="G1876" i="15"/>
  <c r="G1877" i="15" a="1"/>
  <c r="G1877" i="15"/>
  <c r="G1878" i="15" a="1"/>
  <c r="G1878" i="15"/>
  <c r="G1879" i="15" a="1"/>
  <c r="G1879" i="15"/>
  <c r="G1880" i="15" a="1"/>
  <c r="G1880" i="15"/>
  <c r="G1881" i="15" a="1"/>
  <c r="G1881" i="15"/>
  <c r="G1882" i="15" a="1"/>
  <c r="G1882" i="15"/>
  <c r="G1883" i="15" a="1"/>
  <c r="G1883" i="15"/>
  <c r="G1884" i="15" a="1"/>
  <c r="G1884" i="15"/>
  <c r="G1885" i="15" a="1"/>
  <c r="G1885" i="15"/>
  <c r="G1886" i="15" a="1"/>
  <c r="G1886" i="15"/>
  <c r="G1887" i="15" a="1"/>
  <c r="G1887" i="15"/>
  <c r="G1888" i="15" a="1"/>
  <c r="G1888" i="15"/>
  <c r="G1889" i="15" a="1"/>
  <c r="G1889" i="15"/>
  <c r="G1890" i="15" a="1"/>
  <c r="G1890" i="15"/>
  <c r="G1891" i="15" a="1"/>
  <c r="G1891" i="15"/>
  <c r="G1892" i="15" a="1"/>
  <c r="G1892" i="15"/>
  <c r="G1893" i="15" a="1"/>
  <c r="G1893" i="15"/>
  <c r="G1894" i="15" a="1"/>
  <c r="G1894" i="15"/>
  <c r="G1895" i="15" a="1"/>
  <c r="G1895" i="15"/>
  <c r="G1896" i="15" a="1"/>
  <c r="G1896" i="15"/>
  <c r="G1897" i="15" a="1"/>
  <c r="G1897" i="15"/>
  <c r="G1898" i="15" a="1"/>
  <c r="G1898" i="15"/>
  <c r="G1899" i="15" a="1"/>
  <c r="G1899" i="15"/>
  <c r="G1900" i="15" a="1"/>
  <c r="G1900" i="15"/>
  <c r="G1901" i="15" a="1"/>
  <c r="G1901" i="15"/>
  <c r="G1902" i="15" a="1"/>
  <c r="G1902" i="15"/>
  <c r="G1903" i="15" a="1"/>
  <c r="G1903" i="15"/>
  <c r="G1904" i="15" a="1"/>
  <c r="G1904" i="15"/>
  <c r="G1905" i="15" a="1"/>
  <c r="G1905" i="15"/>
  <c r="G1906" i="15" a="1"/>
  <c r="G1906" i="15"/>
  <c r="G1907" i="15" a="1"/>
  <c r="G1907" i="15"/>
  <c r="G1908" i="15" a="1"/>
  <c r="G1908" i="15"/>
  <c r="G1909" i="15" a="1"/>
  <c r="G1909" i="15"/>
  <c r="G1910" i="15" a="1"/>
  <c r="G1910" i="15"/>
  <c r="G1911" i="15" a="1"/>
  <c r="G1911" i="15"/>
  <c r="G1912" i="15" a="1"/>
  <c r="G1912" i="15"/>
  <c r="G1913" i="15" a="1"/>
  <c r="G1913" i="15"/>
  <c r="G1914" i="15" a="1"/>
  <c r="G1914" i="15"/>
  <c r="G1915" i="15" a="1"/>
  <c r="G1915" i="15"/>
  <c r="G1916" i="15" a="1"/>
  <c r="G1916" i="15"/>
  <c r="G1917" i="15" a="1"/>
  <c r="G1917" i="15"/>
  <c r="G1918" i="15" a="1"/>
  <c r="G1918" i="15"/>
  <c r="G1919" i="15" a="1"/>
  <c r="G1919" i="15"/>
  <c r="G1920" i="15" a="1"/>
  <c r="G1920" i="15"/>
  <c r="G1921" i="15" a="1"/>
  <c r="G1921" i="15"/>
  <c r="G1922" i="15" a="1"/>
  <c r="G1922" i="15"/>
  <c r="G1923" i="15" a="1"/>
  <c r="G1923" i="15"/>
  <c r="G1924" i="15" a="1"/>
  <c r="G1924" i="15"/>
  <c r="G1925" i="15" a="1"/>
  <c r="G1925" i="15"/>
  <c r="G1926" i="15" a="1"/>
  <c r="G1926" i="15"/>
  <c r="G1927" i="15" a="1"/>
  <c r="G1927" i="15"/>
  <c r="G1928" i="15" a="1"/>
  <c r="G1928" i="15"/>
  <c r="G1929" i="15" a="1"/>
  <c r="G1929" i="15"/>
  <c r="G1930" i="15" a="1"/>
  <c r="G1930" i="15"/>
  <c r="G1931" i="15" a="1"/>
  <c r="G1931" i="15"/>
  <c r="G1932" i="15" a="1"/>
  <c r="G1932" i="15"/>
  <c r="G1933" i="15" a="1"/>
  <c r="G1933" i="15"/>
  <c r="G1934" i="15" a="1"/>
  <c r="G1934" i="15"/>
  <c r="G1935" i="15" a="1"/>
  <c r="G1935" i="15"/>
  <c r="G1936" i="15" a="1"/>
  <c r="G1936" i="15"/>
  <c r="G1937" i="15" a="1"/>
  <c r="G1937" i="15"/>
  <c r="G1938" i="15" a="1"/>
  <c r="G1938" i="15"/>
  <c r="G1939" i="15" a="1"/>
  <c r="G1939" i="15"/>
  <c r="G1940" i="15" a="1"/>
  <c r="G1940" i="15"/>
  <c r="G1941" i="15" a="1"/>
  <c r="G1941" i="15"/>
  <c r="G1942" i="15" a="1"/>
  <c r="G1942" i="15"/>
  <c r="G1943" i="15" a="1"/>
  <c r="G1943" i="15"/>
  <c r="G1944" i="15" a="1"/>
  <c r="G1944" i="15"/>
  <c r="G1945" i="15" a="1"/>
  <c r="G1945" i="15"/>
  <c r="G1946" i="15" a="1"/>
  <c r="G1946" i="15"/>
  <c r="G1947" i="15" a="1"/>
  <c r="G1947" i="15"/>
  <c r="G1948" i="15" a="1"/>
  <c r="G1948" i="15"/>
  <c r="G1949" i="15" a="1"/>
  <c r="G1949" i="15"/>
  <c r="G1950" i="15" a="1"/>
  <c r="G1950" i="15"/>
  <c r="G1951" i="15" a="1"/>
  <c r="G1951" i="15"/>
  <c r="G1952" i="15" a="1"/>
  <c r="G1952" i="15"/>
  <c r="G1953" i="15" a="1"/>
  <c r="G1953" i="15"/>
  <c r="G1954" i="15" a="1"/>
  <c r="G1954" i="15"/>
  <c r="G1955" i="15" a="1"/>
  <c r="G1955" i="15"/>
  <c r="G1956" i="15" a="1"/>
  <c r="G1956" i="15"/>
  <c r="G1957" i="15" a="1"/>
  <c r="G1957" i="15"/>
  <c r="G1958" i="15" a="1"/>
  <c r="G1958" i="15"/>
  <c r="G1959" i="15" a="1"/>
  <c r="G1959" i="15" s="1"/>
  <c r="G1960" i="15" a="1"/>
  <c r="G1960" i="15" s="1"/>
  <c r="G1961" i="15" a="1"/>
  <c r="G1961" i="15" s="1"/>
  <c r="G1962" i="15" a="1"/>
  <c r="G1962" i="15" s="1"/>
  <c r="G1963" i="15" a="1"/>
  <c r="G1963" i="15" s="1"/>
  <c r="G1964" i="15" a="1"/>
  <c r="G1964" i="15"/>
  <c r="G1965" i="15" a="1"/>
  <c r="G1965" i="15" s="1"/>
  <c r="G1966" i="15" a="1"/>
  <c r="G1966" i="15"/>
  <c r="G1967" i="15" a="1"/>
  <c r="G1967" i="15" s="1"/>
  <c r="G1968" i="15" a="1"/>
  <c r="G1968" i="15"/>
  <c r="G1969" i="15" a="1"/>
  <c r="G1969" i="15" s="1"/>
  <c r="G1970" i="15" a="1"/>
  <c r="G1970" i="15" s="1"/>
  <c r="G1971" i="15" a="1"/>
  <c r="G1971" i="15" s="1"/>
  <c r="G1972" i="15" a="1"/>
  <c r="G1972" i="15" s="1"/>
  <c r="G1973" i="15" a="1"/>
  <c r="G1973" i="15" s="1"/>
  <c r="G1974" i="15" a="1"/>
  <c r="G1974" i="15" s="1"/>
  <c r="G1975" i="15" a="1"/>
  <c r="G1975" i="15" s="1"/>
  <c r="G1976" i="15" a="1"/>
  <c r="G1976" i="15" s="1"/>
  <c r="G1977" i="15" a="1"/>
  <c r="G1977" i="15" s="1"/>
  <c r="G1978" i="15" a="1"/>
  <c r="G1978" i="15"/>
  <c r="G1979" i="15" a="1"/>
  <c r="G1979" i="15" s="1"/>
  <c r="G1980" i="15" a="1"/>
  <c r="G1980" i="15" s="1"/>
  <c r="G1981" i="15" a="1"/>
  <c r="G1981" i="15" s="1"/>
  <c r="G1982" i="15" a="1"/>
  <c r="G1982" i="15" s="1"/>
  <c r="G1983" i="15" a="1"/>
  <c r="G1983" i="15" s="1"/>
  <c r="G1984" i="15" a="1"/>
  <c r="G1984" i="15" s="1"/>
  <c r="G1985" i="15" a="1"/>
  <c r="G1985" i="15" s="1"/>
  <c r="G1986" i="15" a="1"/>
  <c r="G1986" i="15" s="1"/>
  <c r="G2" i="15" a="1"/>
  <c r="G2" i="15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F1630" i="15"/>
  <c r="F1631" i="15"/>
  <c r="F1632" i="15"/>
  <c r="F1633" i="15"/>
  <c r="F1634" i="15"/>
  <c r="F1635" i="15"/>
  <c r="F1636" i="15"/>
  <c r="F1637" i="15"/>
  <c r="F1638" i="15"/>
  <c r="F1639" i="15"/>
  <c r="F1640" i="15"/>
  <c r="F1641" i="15"/>
  <c r="F1642" i="15"/>
  <c r="F1643" i="15"/>
  <c r="F1644" i="15"/>
  <c r="F1645" i="15"/>
  <c r="F1646" i="15"/>
  <c r="F1647" i="15"/>
  <c r="F1648" i="15"/>
  <c r="F1649" i="15"/>
  <c r="F1650" i="15"/>
  <c r="F1651" i="15"/>
  <c r="F1652" i="15"/>
  <c r="F1653" i="15"/>
  <c r="F1654" i="15"/>
  <c r="F1655" i="15"/>
  <c r="F1656" i="15"/>
  <c r="F1657" i="15"/>
  <c r="F1658" i="15"/>
  <c r="F1659" i="15"/>
  <c r="F1660" i="15"/>
  <c r="F1661" i="15"/>
  <c r="F1662" i="15"/>
  <c r="F1663" i="15"/>
  <c r="F1664" i="15"/>
  <c r="F1665" i="15"/>
  <c r="F1666" i="15"/>
  <c r="F1667" i="15"/>
  <c r="F1668" i="15"/>
  <c r="F1669" i="15"/>
  <c r="F1670" i="15"/>
  <c r="F1671" i="15"/>
  <c r="F1672" i="15"/>
  <c r="F1673" i="15"/>
  <c r="F1674" i="15"/>
  <c r="F1675" i="15"/>
  <c r="F1676" i="15"/>
  <c r="F1677" i="15"/>
  <c r="F1678" i="15"/>
  <c r="F1679" i="15"/>
  <c r="F1680" i="15"/>
  <c r="F1681" i="15"/>
  <c r="F1682" i="15"/>
  <c r="F1683" i="15"/>
  <c r="F1684" i="15"/>
  <c r="F1685" i="15"/>
  <c r="F1686" i="15"/>
  <c r="F1687" i="15"/>
  <c r="F1688" i="15"/>
  <c r="F1689" i="15"/>
  <c r="F1690" i="15"/>
  <c r="F1691" i="15"/>
  <c r="F1692" i="15"/>
  <c r="F1693" i="15"/>
  <c r="F1694" i="15"/>
  <c r="F1695" i="15"/>
  <c r="F1696" i="15"/>
  <c r="F1697" i="15"/>
  <c r="F1698" i="15"/>
  <c r="F1699" i="15"/>
  <c r="F1700" i="15"/>
  <c r="F1701" i="15"/>
  <c r="F1702" i="15"/>
  <c r="F1703" i="15"/>
  <c r="F1704" i="15"/>
  <c r="F1705" i="15"/>
  <c r="F1706" i="15"/>
  <c r="F1707" i="15"/>
  <c r="F1708" i="15"/>
  <c r="F1709" i="15"/>
  <c r="F1710" i="15"/>
  <c r="F1711" i="15"/>
  <c r="F1712" i="15"/>
  <c r="F1713" i="15"/>
  <c r="F1714" i="15"/>
  <c r="F1715" i="15"/>
  <c r="F1716" i="15"/>
  <c r="F1717" i="15"/>
  <c r="F1718" i="15"/>
  <c r="F1719" i="15"/>
  <c r="F1720" i="15"/>
  <c r="F1721" i="15"/>
  <c r="F1722" i="15"/>
  <c r="F1723" i="15"/>
  <c r="F1724" i="15"/>
  <c r="F1725" i="15"/>
  <c r="F1726" i="15"/>
  <c r="F1727" i="15"/>
  <c r="F1728" i="15"/>
  <c r="F1729" i="15"/>
  <c r="F1730" i="15"/>
  <c r="F1731" i="15"/>
  <c r="F1732" i="15"/>
  <c r="F1733" i="15"/>
  <c r="F1734" i="15"/>
  <c r="F1735" i="15"/>
  <c r="F1736" i="15"/>
  <c r="F1737" i="15"/>
  <c r="F1738" i="15"/>
  <c r="F1739" i="15"/>
  <c r="F1740" i="15"/>
  <c r="F1741" i="15"/>
  <c r="F1742" i="15"/>
  <c r="F1743" i="15"/>
  <c r="F1744" i="15"/>
  <c r="F1745" i="15"/>
  <c r="F1746" i="15"/>
  <c r="F1747" i="15"/>
  <c r="F1748" i="15"/>
  <c r="F1749" i="15"/>
  <c r="F1750" i="15"/>
  <c r="F1751" i="15"/>
  <c r="F1752" i="15"/>
  <c r="F1753" i="15"/>
  <c r="F1754" i="15"/>
  <c r="F1755" i="15"/>
  <c r="F1756" i="15"/>
  <c r="F1757" i="15"/>
  <c r="F1758" i="15"/>
  <c r="F1759" i="15"/>
  <c r="F1760" i="15"/>
  <c r="F1761" i="15"/>
  <c r="F1762" i="15"/>
  <c r="F1763" i="15"/>
  <c r="F1764" i="15"/>
  <c r="F1765" i="15"/>
  <c r="F1766" i="15"/>
  <c r="F1767" i="15"/>
  <c r="F1768" i="15"/>
  <c r="F1769" i="15"/>
  <c r="F1770" i="15"/>
  <c r="F1771" i="15"/>
  <c r="F1772" i="15"/>
  <c r="F1773" i="15"/>
  <c r="F1774" i="15"/>
  <c r="F1775" i="15"/>
  <c r="F1776" i="15"/>
  <c r="F1777" i="15"/>
  <c r="F1778" i="15"/>
  <c r="F1779" i="15"/>
  <c r="F1780" i="15"/>
  <c r="F1781" i="15"/>
  <c r="F1782" i="15"/>
  <c r="F1783" i="15"/>
  <c r="F1784" i="15"/>
  <c r="F1785" i="15"/>
  <c r="F1786" i="15"/>
  <c r="F1787" i="15"/>
  <c r="F1788" i="15"/>
  <c r="F1789" i="15"/>
  <c r="F1790" i="15"/>
  <c r="F1791" i="15"/>
  <c r="F1792" i="15"/>
  <c r="F1793" i="15"/>
  <c r="F1794" i="15"/>
  <c r="F1795" i="15"/>
  <c r="F1796" i="15"/>
  <c r="F1797" i="15"/>
  <c r="F1798" i="15"/>
  <c r="F1799" i="15"/>
  <c r="F1800" i="15"/>
  <c r="F1801" i="15"/>
  <c r="F1802" i="15"/>
  <c r="F1803" i="15"/>
  <c r="F1804" i="15"/>
  <c r="F1805" i="15"/>
  <c r="F1806" i="15"/>
  <c r="F1807" i="15"/>
  <c r="F1808" i="15"/>
  <c r="F1809" i="15"/>
  <c r="F1810" i="15"/>
  <c r="F1811" i="15"/>
  <c r="F1812" i="15"/>
  <c r="F1813" i="15"/>
  <c r="F1814" i="15"/>
  <c r="F1815" i="15"/>
  <c r="F1816" i="15"/>
  <c r="F1817" i="15"/>
  <c r="F1818" i="15"/>
  <c r="F1819" i="15"/>
  <c r="F1820" i="15"/>
  <c r="F1821" i="15"/>
  <c r="F1822" i="15"/>
  <c r="F1823" i="15"/>
  <c r="F1824" i="15"/>
  <c r="F1825" i="15"/>
  <c r="F1826" i="15"/>
  <c r="F1827" i="15"/>
  <c r="F1828" i="15"/>
  <c r="F1829" i="15"/>
  <c r="F1830" i="15"/>
  <c r="F1831" i="15"/>
  <c r="F1832" i="15"/>
  <c r="F1833" i="15"/>
  <c r="F1834" i="15"/>
  <c r="F1835" i="15"/>
  <c r="F1836" i="15"/>
  <c r="F1837" i="15"/>
  <c r="F1838" i="15"/>
  <c r="F1839" i="15"/>
  <c r="F1840" i="15"/>
  <c r="F1841" i="15"/>
  <c r="F1842" i="15"/>
  <c r="F1843" i="15"/>
  <c r="F1844" i="15"/>
  <c r="F1845" i="15"/>
  <c r="F1846" i="15"/>
  <c r="F1847" i="15"/>
  <c r="F1848" i="15"/>
  <c r="F1849" i="15"/>
  <c r="F1850" i="15"/>
  <c r="F1851" i="15"/>
  <c r="F1852" i="15"/>
  <c r="F1853" i="15"/>
  <c r="F1854" i="15"/>
  <c r="F1855" i="15"/>
  <c r="F1856" i="15"/>
  <c r="F1857" i="15"/>
  <c r="F1858" i="15"/>
  <c r="F1859" i="15"/>
  <c r="F1860" i="15"/>
  <c r="F1861" i="15"/>
  <c r="F1862" i="15"/>
  <c r="F1863" i="15"/>
  <c r="F1864" i="15"/>
  <c r="F1865" i="15"/>
  <c r="F1866" i="15"/>
  <c r="F1867" i="15"/>
  <c r="F1868" i="15"/>
  <c r="F1869" i="15"/>
  <c r="F1870" i="15"/>
  <c r="F1871" i="15"/>
  <c r="F1872" i="15"/>
  <c r="F1873" i="15"/>
  <c r="F1874" i="15"/>
  <c r="F1875" i="15"/>
  <c r="F1876" i="15"/>
  <c r="F1877" i="15"/>
  <c r="F1878" i="15"/>
  <c r="F1879" i="15"/>
  <c r="F1880" i="15"/>
  <c r="F1881" i="15"/>
  <c r="F1882" i="15"/>
  <c r="F1883" i="15"/>
  <c r="F1884" i="15"/>
  <c r="F1885" i="15"/>
  <c r="F1886" i="15"/>
  <c r="F1887" i="15"/>
  <c r="F1888" i="15"/>
  <c r="F1889" i="15"/>
  <c r="F1890" i="15"/>
  <c r="F1891" i="15"/>
  <c r="F1892" i="15"/>
  <c r="F1893" i="15"/>
  <c r="F1894" i="15"/>
  <c r="F1895" i="15"/>
  <c r="F1896" i="15"/>
  <c r="F1897" i="15"/>
  <c r="F1898" i="15"/>
  <c r="F1899" i="15"/>
  <c r="F1900" i="15"/>
  <c r="F1901" i="15"/>
  <c r="F1902" i="15"/>
  <c r="F1903" i="15"/>
  <c r="F1904" i="15"/>
  <c r="F1905" i="15"/>
  <c r="F1906" i="15"/>
  <c r="F1907" i="15"/>
  <c r="F1908" i="15"/>
  <c r="F1909" i="15"/>
  <c r="F1910" i="15"/>
  <c r="F1911" i="15"/>
  <c r="F1912" i="15"/>
  <c r="F1913" i="15"/>
  <c r="F1914" i="15"/>
  <c r="F1915" i="15"/>
  <c r="F1916" i="15"/>
  <c r="F1917" i="15"/>
  <c r="F1918" i="15"/>
  <c r="F1919" i="15"/>
  <c r="F1920" i="15"/>
  <c r="F1921" i="15"/>
  <c r="F1922" i="15"/>
  <c r="F1923" i="15"/>
  <c r="F1924" i="15"/>
  <c r="F1925" i="15"/>
  <c r="F1926" i="15"/>
  <c r="F1927" i="15"/>
  <c r="F1928" i="15"/>
  <c r="F1929" i="15"/>
  <c r="F1930" i="15"/>
  <c r="F1931" i="15"/>
  <c r="F1932" i="15"/>
  <c r="F1933" i="15"/>
  <c r="F1934" i="15"/>
  <c r="F1935" i="15"/>
  <c r="F1936" i="15"/>
  <c r="F1937" i="15"/>
  <c r="F1938" i="15"/>
  <c r="F1939" i="15"/>
  <c r="F1940" i="15"/>
  <c r="F1941" i="15"/>
  <c r="F1942" i="15"/>
  <c r="F1943" i="15"/>
  <c r="F1944" i="15"/>
  <c r="F1945" i="15"/>
  <c r="F1946" i="15"/>
  <c r="F1947" i="15"/>
  <c r="F1948" i="15"/>
  <c r="F1949" i="15"/>
  <c r="F1950" i="15"/>
  <c r="F1951" i="15"/>
  <c r="F1952" i="15"/>
  <c r="F1953" i="15"/>
  <c r="F1954" i="15"/>
  <c r="F1955" i="15"/>
  <c r="F1956" i="15"/>
  <c r="F1957" i="15"/>
  <c r="F1958" i="15"/>
  <c r="F1959" i="15"/>
  <c r="F1960" i="15"/>
  <c r="F1961" i="15"/>
  <c r="F1962" i="15"/>
  <c r="F1963" i="15"/>
  <c r="F1964" i="15"/>
  <c r="F1965" i="15"/>
  <c r="F1966" i="15"/>
  <c r="F1967" i="15"/>
  <c r="F1968" i="15"/>
  <c r="F1969" i="15"/>
  <c r="F1970" i="15"/>
  <c r="F1971" i="15"/>
  <c r="F1972" i="15"/>
  <c r="F1973" i="15"/>
  <c r="F1974" i="15"/>
  <c r="F1975" i="15"/>
  <c r="F1976" i="15"/>
  <c r="F1977" i="15"/>
  <c r="F1978" i="15"/>
  <c r="F1979" i="15"/>
  <c r="F1980" i="15"/>
  <c r="F1981" i="15"/>
  <c r="F1982" i="15"/>
  <c r="F1983" i="15"/>
  <c r="F1984" i="15"/>
  <c r="F1985" i="15"/>
  <c r="F1986" i="15"/>
  <c r="F2" i="15"/>
  <c r="B3" i="15" a="1"/>
  <c r="B4" i="15" a="1"/>
  <c r="B4" i="15"/>
  <c r="B5" i="15" a="1"/>
  <c r="B6" i="15" a="1"/>
  <c r="B7" i="15" a="1"/>
  <c r="B8" i="15" a="1"/>
  <c r="B9" i="15" a="1"/>
  <c r="B10" i="15" a="1"/>
  <c r="B11" i="15" a="1"/>
  <c r="B11" i="15"/>
  <c r="B12" i="15" a="1"/>
  <c r="B13" i="15" a="1"/>
  <c r="B14" i="15" a="1"/>
  <c r="B15" i="15" a="1"/>
  <c r="B16" i="15" a="1"/>
  <c r="B17" i="15" a="1"/>
  <c r="B18" i="15" a="1"/>
  <c r="B19" i="15" a="1"/>
  <c r="B20" i="15" a="1"/>
  <c r="B21" i="15" a="1"/>
  <c r="B22" i="15" a="1"/>
  <c r="B23" i="15" a="1"/>
  <c r="B24" i="15" a="1"/>
  <c r="B25" i="15" a="1"/>
  <c r="B26" i="15" a="1"/>
  <c r="B27" i="15" a="1"/>
  <c r="B28" i="15" a="1"/>
  <c r="B29" i="15" a="1"/>
  <c r="B30" i="15" a="1"/>
  <c r="B31" i="15" a="1"/>
  <c r="B32" i="15" a="1"/>
  <c r="B33" i="15" a="1"/>
  <c r="B34" i="15" a="1"/>
  <c r="B35" i="15" a="1"/>
  <c r="B36" i="15" a="1"/>
  <c r="B37" i="15" a="1"/>
  <c r="B38" i="15" a="1"/>
  <c r="B39" i="15" a="1"/>
  <c r="B40" i="15" a="1"/>
  <c r="B41" i="15" a="1"/>
  <c r="B42" i="15" a="1"/>
  <c r="B43" i="15" a="1"/>
  <c r="B44" i="15" a="1"/>
  <c r="B45" i="15" a="1"/>
  <c r="B46" i="15" a="1"/>
  <c r="B46" i="15"/>
  <c r="B47" i="15" a="1"/>
  <c r="B48" i="15" a="1"/>
  <c r="B48" i="15"/>
  <c r="B49" i="15" a="1"/>
  <c r="B49" i="15"/>
  <c r="B50" i="15" a="1"/>
  <c r="B50" i="15"/>
  <c r="B51" i="15" a="1"/>
  <c r="B52" i="15" a="1"/>
  <c r="B53" i="15" a="1"/>
  <c r="B54" i="15" a="1"/>
  <c r="B55" i="15" a="1"/>
  <c r="B56" i="15" a="1"/>
  <c r="B57" i="15" a="1"/>
  <c r="B58" i="15" a="1"/>
  <c r="B59" i="15" a="1"/>
  <c r="B59" i="15"/>
  <c r="B60" i="15" a="1"/>
  <c r="B61" i="15" a="1"/>
  <c r="B62" i="15" a="1"/>
  <c r="B63" i="15" a="1"/>
  <c r="B64" i="15" a="1"/>
  <c r="B65" i="15" a="1"/>
  <c r="B66" i="15" a="1"/>
  <c r="B67" i="15" a="1"/>
  <c r="B68" i="15" a="1"/>
  <c r="B69" i="15" a="1"/>
  <c r="B70" i="15" a="1"/>
  <c r="B71" i="15" a="1"/>
  <c r="B72" i="15" a="1"/>
  <c r="B73" i="15" a="1"/>
  <c r="B73" i="15"/>
  <c r="B74" i="15" a="1"/>
  <c r="B75" i="15" a="1"/>
  <c r="B76" i="15" a="1"/>
  <c r="B77" i="15" a="1"/>
  <c r="B78" i="15" a="1"/>
  <c r="B79" i="15" a="1"/>
  <c r="B80" i="15" a="1"/>
  <c r="B81" i="15" a="1"/>
  <c r="B82" i="15" a="1"/>
  <c r="B83" i="15" a="1"/>
  <c r="B84" i="15" a="1"/>
  <c r="B85" i="15" a="1"/>
  <c r="B86" i="15" a="1"/>
  <c r="B87" i="15" a="1"/>
  <c r="B88" i="15" a="1"/>
  <c r="B89" i="15" a="1"/>
  <c r="B90" i="15" a="1"/>
  <c r="B91" i="15" a="1"/>
  <c r="B92" i="15" a="1"/>
  <c r="B93" i="15" a="1"/>
  <c r="B94" i="15" a="1"/>
  <c r="B95" i="15" a="1"/>
  <c r="B96" i="15" a="1"/>
  <c r="B97" i="15" a="1"/>
  <c r="B98" i="15" a="1"/>
  <c r="B99" i="15" a="1"/>
  <c r="B100" i="15" a="1"/>
  <c r="B101" i="15" a="1"/>
  <c r="B102" i="15" a="1"/>
  <c r="B103" i="15" a="1"/>
  <c r="B104" i="15" a="1"/>
  <c r="B105" i="15" a="1"/>
  <c r="B106" i="15" a="1"/>
  <c r="B107" i="15" a="1"/>
  <c r="B108" i="15" a="1"/>
  <c r="B109" i="15" a="1"/>
  <c r="B110" i="15" a="1"/>
  <c r="B111" i="15" a="1"/>
  <c r="B112" i="15" a="1"/>
  <c r="B113" i="15" a="1"/>
  <c r="B114" i="15" a="1"/>
  <c r="B115" i="15" a="1"/>
  <c r="B116" i="15" a="1"/>
  <c r="B117" i="15" a="1"/>
  <c r="B118" i="15" a="1"/>
  <c r="B119" i="15" a="1"/>
  <c r="B120" i="15" a="1"/>
  <c r="B121" i="15" a="1"/>
  <c r="B122" i="15" a="1"/>
  <c r="B123" i="15" a="1"/>
  <c r="B124" i="15" a="1"/>
  <c r="B125" i="15" a="1"/>
  <c r="B126" i="15" a="1"/>
  <c r="B127" i="15" a="1"/>
  <c r="B128" i="15" a="1"/>
  <c r="B129" i="15" a="1"/>
  <c r="B130" i="15" a="1"/>
  <c r="B131" i="15" a="1"/>
  <c r="B132" i="15" a="1"/>
  <c r="B133" i="15" a="1"/>
  <c r="B134" i="15" a="1"/>
  <c r="B135" i="15" a="1"/>
  <c r="B136" i="15" a="1"/>
  <c r="B137" i="15" a="1"/>
  <c r="B138" i="15" a="1"/>
  <c r="B139" i="15" a="1"/>
  <c r="B140" i="15" a="1"/>
  <c r="B141" i="15" a="1"/>
  <c r="B142" i="15" a="1"/>
  <c r="B143" i="15" a="1"/>
  <c r="B144" i="15" a="1"/>
  <c r="B145" i="15" a="1"/>
  <c r="B146" i="15" a="1"/>
  <c r="B147" i="15" a="1"/>
  <c r="B148" i="15" a="1"/>
  <c r="B149" i="15" a="1"/>
  <c r="B150" i="15" a="1"/>
  <c r="B151" i="15" a="1"/>
  <c r="B152" i="15" a="1"/>
  <c r="B153" i="15" a="1"/>
  <c r="B154" i="15" a="1"/>
  <c r="B155" i="15" a="1"/>
  <c r="B156" i="15" a="1"/>
  <c r="B157" i="15" a="1"/>
  <c r="B158" i="15" a="1"/>
  <c r="B159" i="15" a="1"/>
  <c r="B160" i="15" a="1"/>
  <c r="B161" i="15" a="1"/>
  <c r="B162" i="15" a="1"/>
  <c r="B163" i="15" a="1"/>
  <c r="B164" i="15" a="1"/>
  <c r="B165" i="15" a="1"/>
  <c r="B166" i="15" a="1"/>
  <c r="B167" i="15" a="1"/>
  <c r="B168" i="15" a="1"/>
  <c r="B169" i="15" a="1"/>
  <c r="B170" i="15" a="1"/>
  <c r="B171" i="15" a="1"/>
  <c r="B172" i="15" a="1"/>
  <c r="B173" i="15" a="1"/>
  <c r="B174" i="15" a="1"/>
  <c r="B175" i="15" a="1"/>
  <c r="B176" i="15" a="1"/>
  <c r="B177" i="15" a="1"/>
  <c r="B178" i="15" a="1"/>
  <c r="B179" i="15" a="1"/>
  <c r="B180" i="15" a="1"/>
  <c r="B181" i="15" a="1"/>
  <c r="B182" i="15" a="1"/>
  <c r="B183" i="15" a="1"/>
  <c r="B184" i="15" a="1"/>
  <c r="B185" i="15" a="1"/>
  <c r="B186" i="15" a="1"/>
  <c r="B187" i="15" a="1"/>
  <c r="B188" i="15" a="1"/>
  <c r="B189" i="15" a="1"/>
  <c r="B190" i="15" a="1"/>
  <c r="B191" i="15" a="1"/>
  <c r="B192" i="15" a="1"/>
  <c r="B193" i="15" a="1"/>
  <c r="B194" i="15" a="1"/>
  <c r="B195" i="15" a="1"/>
  <c r="B196" i="15" a="1"/>
  <c r="B197" i="15" a="1"/>
  <c r="B198" i="15" a="1"/>
  <c r="B199" i="15" a="1"/>
  <c r="B200" i="15" a="1"/>
  <c r="B201" i="15" a="1"/>
  <c r="B202" i="15" a="1"/>
  <c r="B203" i="15" a="1"/>
  <c r="B204" i="15" a="1"/>
  <c r="B205" i="15" a="1"/>
  <c r="B206" i="15" a="1"/>
  <c r="B207" i="15" a="1"/>
  <c r="B208" i="15" a="1"/>
  <c r="B209" i="15" a="1"/>
  <c r="B210" i="15" a="1"/>
  <c r="B211" i="15" a="1"/>
  <c r="B212" i="15" a="1"/>
  <c r="B213" i="15" a="1"/>
  <c r="B213" i="15"/>
  <c r="B214" i="15" a="1"/>
  <c r="B215" i="15" a="1"/>
  <c r="B216" i="15" a="1"/>
  <c r="B217" i="15" a="1"/>
  <c r="B218" i="15" a="1"/>
  <c r="B219" i="15" a="1"/>
  <c r="B220" i="15" a="1"/>
  <c r="B221" i="15" a="1"/>
  <c r="B222" i="15" a="1"/>
  <c r="B223" i="15" a="1"/>
  <c r="B224" i="15" a="1"/>
  <c r="B225" i="15" a="1"/>
  <c r="B226" i="15" a="1"/>
  <c r="B227" i="15" a="1"/>
  <c r="B228" i="15" a="1"/>
  <c r="B229" i="15" a="1"/>
  <c r="B230" i="15" a="1"/>
  <c r="B231" i="15" a="1"/>
  <c r="B232" i="15" a="1"/>
  <c r="B233" i="15" a="1"/>
  <c r="B234" i="15" a="1"/>
  <c r="B235" i="15" a="1"/>
  <c r="B236" i="15" a="1"/>
  <c r="B237" i="15" a="1"/>
  <c r="B238" i="15" a="1"/>
  <c r="B239" i="15" a="1"/>
  <c r="B240" i="15" a="1"/>
  <c r="B241" i="15" a="1"/>
  <c r="B242" i="15" a="1"/>
  <c r="B243" i="15" a="1"/>
  <c r="B244" i="15" a="1"/>
  <c r="B245" i="15" a="1"/>
  <c r="B246" i="15" a="1"/>
  <c r="B247" i="15" a="1"/>
  <c r="B248" i="15" a="1"/>
  <c r="B249" i="15" a="1"/>
  <c r="B250" i="15" a="1"/>
  <c r="B251" i="15" a="1"/>
  <c r="B252" i="15" a="1"/>
  <c r="B253" i="15" a="1"/>
  <c r="B253" i="15"/>
  <c r="B254" i="15" a="1"/>
  <c r="B255" i="15" a="1"/>
  <c r="B256" i="15" a="1"/>
  <c r="B257" i="15" a="1"/>
  <c r="B258" i="15" a="1"/>
  <c r="B259" i="15" a="1"/>
  <c r="B260" i="15" a="1"/>
  <c r="B261" i="15" a="1"/>
  <c r="B262" i="15" a="1"/>
  <c r="B263" i="15" a="1"/>
  <c r="B264" i="15" a="1"/>
  <c r="B265" i="15" a="1"/>
  <c r="B266" i="15" a="1"/>
  <c r="B267" i="15" a="1"/>
  <c r="B268" i="15" a="1"/>
  <c r="B269" i="15" a="1"/>
  <c r="B270" i="15" a="1"/>
  <c r="B271" i="15" a="1"/>
  <c r="B272" i="15" a="1"/>
  <c r="B273" i="15" a="1"/>
  <c r="B274" i="15" a="1"/>
  <c r="B275" i="15" a="1"/>
  <c r="B276" i="15" a="1"/>
  <c r="B277" i="15" a="1"/>
  <c r="B278" i="15" a="1"/>
  <c r="B279" i="15" a="1"/>
  <c r="B280" i="15" a="1"/>
  <c r="B281" i="15" a="1"/>
  <c r="B282" i="15" a="1"/>
  <c r="B283" i="15" a="1"/>
  <c r="B284" i="15" a="1"/>
  <c r="B285" i="15" a="1"/>
  <c r="B286" i="15" a="1"/>
  <c r="B287" i="15" a="1"/>
  <c r="B288" i="15" a="1"/>
  <c r="B289" i="15" a="1"/>
  <c r="B290" i="15" a="1"/>
  <c r="B291" i="15" a="1"/>
  <c r="B292" i="15" a="1"/>
  <c r="B293" i="15" a="1"/>
  <c r="B294" i="15" a="1"/>
  <c r="B295" i="15" a="1"/>
  <c r="B296" i="15" a="1"/>
  <c r="B297" i="15" a="1"/>
  <c r="B298" i="15" a="1"/>
  <c r="B299" i="15" a="1"/>
  <c r="B300" i="15" a="1"/>
  <c r="B301" i="15" a="1"/>
  <c r="B302" i="15" a="1"/>
  <c r="B303" i="15" a="1"/>
  <c r="B304" i="15" a="1"/>
  <c r="B305" i="15" a="1"/>
  <c r="B306" i="15" a="1"/>
  <c r="B307" i="15" a="1"/>
  <c r="B308" i="15" a="1"/>
  <c r="B309" i="15" a="1"/>
  <c r="B310" i="15" a="1"/>
  <c r="B311" i="15" a="1"/>
  <c r="B312" i="15" a="1"/>
  <c r="B313" i="15" a="1"/>
  <c r="B314" i="15" a="1"/>
  <c r="B315" i="15" a="1"/>
  <c r="B316" i="15" a="1"/>
  <c r="B317" i="15" a="1"/>
  <c r="B318" i="15" a="1"/>
  <c r="B318" i="15"/>
  <c r="B319" i="15" a="1"/>
  <c r="B320" i="15" a="1"/>
  <c r="B321" i="15" a="1"/>
  <c r="B322" i="15" a="1"/>
  <c r="B322" i="15"/>
  <c r="B323" i="15" a="1"/>
  <c r="B324" i="15" a="1"/>
  <c r="B325" i="15" a="1"/>
  <c r="B326" i="15" a="1"/>
  <c r="B327" i="15" a="1"/>
  <c r="B327" i="15"/>
  <c r="B328" i="15" a="1"/>
  <c r="B329" i="15" a="1"/>
  <c r="B329" i="15"/>
  <c r="B330" i="15" a="1"/>
  <c r="B331" i="15" a="1"/>
  <c r="B332" i="15" a="1"/>
  <c r="B333" i="15" a="1"/>
  <c r="B334" i="15" a="1"/>
  <c r="B335" i="15" a="1"/>
  <c r="B336" i="15" a="1"/>
  <c r="B337" i="15" a="1"/>
  <c r="B338" i="15" a="1"/>
  <c r="B339" i="15" a="1"/>
  <c r="B340" i="15" a="1"/>
  <c r="B341" i="15" a="1"/>
  <c r="B342" i="15" a="1"/>
  <c r="B343" i="15" a="1"/>
  <c r="B344" i="15" a="1"/>
  <c r="B345" i="15" a="1"/>
  <c r="B346" i="15" a="1"/>
  <c r="B347" i="15" a="1"/>
  <c r="B348" i="15" a="1"/>
  <c r="B349" i="15" a="1"/>
  <c r="B350" i="15" a="1"/>
  <c r="B351" i="15" a="1"/>
  <c r="B352" i="15" a="1"/>
  <c r="B353" i="15" a="1"/>
  <c r="B354" i="15" a="1"/>
  <c r="B355" i="15" a="1"/>
  <c r="B356" i="15" a="1"/>
  <c r="B357" i="15" a="1"/>
  <c r="B358" i="15" a="1"/>
  <c r="B359" i="15" a="1"/>
  <c r="B360" i="15" a="1"/>
  <c r="B361" i="15" a="1"/>
  <c r="B362" i="15" a="1"/>
  <c r="B363" i="15" a="1"/>
  <c r="B364" i="15" a="1"/>
  <c r="B365" i="15" a="1"/>
  <c r="B366" i="15" a="1"/>
  <c r="B367" i="15" a="1"/>
  <c r="B368" i="15" a="1"/>
  <c r="B369" i="15" a="1"/>
  <c r="B370" i="15" a="1"/>
  <c r="B370" i="15"/>
  <c r="B371" i="15" a="1"/>
  <c r="B372" i="15" a="1"/>
  <c r="B373" i="15" a="1"/>
  <c r="B374" i="15" a="1"/>
  <c r="B375" i="15" a="1"/>
  <c r="B376" i="15" a="1"/>
  <c r="B377" i="15" a="1"/>
  <c r="B377" i="15"/>
  <c r="B378" i="15" a="1"/>
  <c r="B379" i="15" a="1"/>
  <c r="B380" i="15" a="1"/>
  <c r="B381" i="15" a="1"/>
  <c r="B382" i="15" a="1"/>
  <c r="B383" i="15" a="1"/>
  <c r="B384" i="15" a="1"/>
  <c r="B385" i="15" a="1"/>
  <c r="B386" i="15" a="1"/>
  <c r="B387" i="15" a="1"/>
  <c r="B388" i="15" a="1"/>
  <c r="B389" i="15" a="1"/>
  <c r="B390" i="15" a="1"/>
  <c r="B390" i="15"/>
  <c r="B391" i="15" a="1"/>
  <c r="B392" i="15" a="1"/>
  <c r="B393" i="15" a="1"/>
  <c r="B394" i="15" a="1"/>
  <c r="B395" i="15" a="1"/>
  <c r="B396" i="15" a="1"/>
  <c r="B397" i="15" a="1"/>
  <c r="B398" i="15" a="1"/>
  <c r="B399" i="15" a="1"/>
  <c r="B400" i="15" a="1"/>
  <c r="B401" i="15" a="1"/>
  <c r="B402" i="15" a="1"/>
  <c r="B403" i="15" a="1"/>
  <c r="B404" i="15" a="1"/>
  <c r="B404" i="15"/>
  <c r="B405" i="15" a="1"/>
  <c r="B406" i="15" a="1"/>
  <c r="B407" i="15" a="1"/>
  <c r="B408" i="15" a="1"/>
  <c r="B409" i="15" a="1"/>
  <c r="B410" i="15" a="1"/>
  <c r="B411" i="15" a="1"/>
  <c r="B412" i="15" a="1"/>
  <c r="B413" i="15" a="1"/>
  <c r="B414" i="15" a="1"/>
  <c r="B415" i="15" a="1"/>
  <c r="B416" i="15" a="1"/>
  <c r="B417" i="15" a="1"/>
  <c r="B418" i="15" a="1"/>
  <c r="B419" i="15" a="1"/>
  <c r="B420" i="15" a="1"/>
  <c r="B421" i="15" a="1"/>
  <c r="B421" i="15"/>
  <c r="B422" i="15" a="1"/>
  <c r="B423" i="15" a="1"/>
  <c r="B424" i="15" a="1"/>
  <c r="B425" i="15" a="1"/>
  <c r="B426" i="15" a="1"/>
  <c r="B427" i="15" a="1"/>
  <c r="B428" i="15" a="1"/>
  <c r="B429" i="15" a="1"/>
  <c r="B430" i="15" a="1"/>
  <c r="B431" i="15" a="1"/>
  <c r="B432" i="15" a="1"/>
  <c r="B433" i="15" a="1"/>
  <c r="B434" i="15" a="1"/>
  <c r="B435" i="15" a="1"/>
  <c r="B436" i="15" a="1"/>
  <c r="B437" i="15" a="1"/>
  <c r="B437" i="15"/>
  <c r="B438" i="15" a="1"/>
  <c r="B439" i="15" a="1"/>
  <c r="B440" i="15" a="1"/>
  <c r="B441" i="15" a="1"/>
  <c r="B442" i="15" a="1"/>
  <c r="B443" i="15" a="1"/>
  <c r="B444" i="15" a="1"/>
  <c r="B444" i="15"/>
  <c r="B445" i="15" a="1"/>
  <c r="B446" i="15" a="1"/>
  <c r="B447" i="15" a="1"/>
  <c r="B448" i="15" a="1"/>
  <c r="B449" i="15" a="1"/>
  <c r="B450" i="15" a="1"/>
  <c r="B451" i="15" a="1"/>
  <c r="B452" i="15" a="1"/>
  <c r="B453" i="15" a="1"/>
  <c r="B454" i="15" a="1"/>
  <c r="B455" i="15" a="1"/>
  <c r="B456" i="15" a="1"/>
  <c r="B457" i="15" a="1"/>
  <c r="B458" i="15" a="1"/>
  <c r="B459" i="15" a="1"/>
  <c r="B460" i="15" a="1"/>
  <c r="B461" i="15" a="1"/>
  <c r="B462" i="15" a="1"/>
  <c r="B463" i="15" a="1"/>
  <c r="B464" i="15" a="1"/>
  <c r="B465" i="15" a="1"/>
  <c r="B466" i="15" a="1"/>
  <c r="B467" i="15" a="1"/>
  <c r="B468" i="15" a="1"/>
  <c r="B469" i="15" a="1"/>
  <c r="B470" i="15" a="1"/>
  <c r="B471" i="15" a="1"/>
  <c r="B472" i="15" a="1"/>
  <c r="B473" i="15" a="1"/>
  <c r="B474" i="15" a="1"/>
  <c r="B475" i="15" a="1"/>
  <c r="B476" i="15" a="1"/>
  <c r="B477" i="15" a="1"/>
  <c r="B478" i="15" a="1"/>
  <c r="B479" i="15" a="1"/>
  <c r="B480" i="15" a="1"/>
  <c r="B481" i="15" a="1"/>
  <c r="B482" i="15" a="1"/>
  <c r="B483" i="15" a="1"/>
  <c r="B484" i="15" a="1"/>
  <c r="B485" i="15" a="1"/>
  <c r="B486" i="15" a="1"/>
  <c r="B487" i="15" a="1"/>
  <c r="B488" i="15" a="1"/>
  <c r="B489" i="15" a="1"/>
  <c r="B490" i="15" a="1"/>
  <c r="B491" i="15" a="1"/>
  <c r="B492" i="15" a="1"/>
  <c r="B493" i="15" a="1"/>
  <c r="B494" i="15" a="1"/>
  <c r="B495" i="15" a="1"/>
  <c r="B496" i="15" a="1"/>
  <c r="B497" i="15" a="1"/>
  <c r="B498" i="15" a="1"/>
  <c r="B499" i="15" a="1"/>
  <c r="B500" i="15" a="1"/>
  <c r="B501" i="15" a="1"/>
  <c r="B502" i="15" a="1"/>
  <c r="B503" i="15" a="1"/>
  <c r="B504" i="15" a="1"/>
  <c r="B505" i="15" a="1"/>
  <c r="B506" i="15" a="1"/>
  <c r="B507" i="15" a="1"/>
  <c r="B508" i="15" a="1"/>
  <c r="B509" i="15" a="1"/>
  <c r="B510" i="15" a="1"/>
  <c r="B511" i="15" a="1"/>
  <c r="B512" i="15" a="1"/>
  <c r="B513" i="15" a="1"/>
  <c r="B514" i="15" a="1"/>
  <c r="B515" i="15" a="1"/>
  <c r="B516" i="15" a="1"/>
  <c r="B517" i="15" a="1"/>
  <c r="B518" i="15" a="1"/>
  <c r="B519" i="15" a="1"/>
  <c r="B520" i="15" a="1"/>
  <c r="B521" i="15" a="1"/>
  <c r="B521" i="15"/>
  <c r="B522" i="15" a="1"/>
  <c r="B523" i="15" a="1"/>
  <c r="B524" i="15" a="1"/>
  <c r="B525" i="15" a="1"/>
  <c r="B526" i="15" a="1"/>
  <c r="B527" i="15" a="1"/>
  <c r="B528" i="15" a="1"/>
  <c r="B529" i="15" a="1"/>
  <c r="B530" i="15" a="1"/>
  <c r="B531" i="15" a="1"/>
  <c r="B532" i="15" a="1"/>
  <c r="B533" i="15" a="1"/>
  <c r="B534" i="15" a="1"/>
  <c r="B535" i="15" a="1"/>
  <c r="B536" i="15" a="1"/>
  <c r="B537" i="15" a="1"/>
  <c r="B538" i="15" a="1"/>
  <c r="B539" i="15" a="1"/>
  <c r="B540" i="15" a="1"/>
  <c r="B541" i="15" a="1"/>
  <c r="B542" i="15" a="1"/>
  <c r="B543" i="15" a="1"/>
  <c r="B544" i="15" a="1"/>
  <c r="B545" i="15" a="1"/>
  <c r="B546" i="15" a="1"/>
  <c r="B547" i="15" a="1"/>
  <c r="B548" i="15" a="1"/>
  <c r="B549" i="15" a="1"/>
  <c r="B550" i="15" a="1"/>
  <c r="B551" i="15" a="1"/>
  <c r="B552" i="15" a="1"/>
  <c r="B553" i="15" a="1"/>
  <c r="B554" i="15" a="1"/>
  <c r="B555" i="15" a="1"/>
  <c r="B556" i="15" a="1"/>
  <c r="B557" i="15" a="1"/>
  <c r="B558" i="15" a="1"/>
  <c r="B559" i="15" a="1"/>
  <c r="B560" i="15" a="1"/>
  <c r="B561" i="15" a="1"/>
  <c r="B562" i="15" a="1"/>
  <c r="B563" i="15" a="1"/>
  <c r="B564" i="15" a="1"/>
  <c r="B565" i="15" a="1"/>
  <c r="B566" i="15" a="1"/>
  <c r="B567" i="15" a="1"/>
  <c r="B568" i="15" a="1"/>
  <c r="B569" i="15" a="1"/>
  <c r="B570" i="15" a="1"/>
  <c r="B571" i="15" a="1"/>
  <c r="B572" i="15" a="1"/>
  <c r="B573" i="15" a="1"/>
  <c r="B574" i="15" a="1"/>
  <c r="B575" i="15" a="1"/>
  <c r="B576" i="15" a="1"/>
  <c r="B577" i="15" a="1"/>
  <c r="B578" i="15" a="1"/>
  <c r="B579" i="15" a="1"/>
  <c r="B580" i="15" a="1"/>
  <c r="B581" i="15" a="1"/>
  <c r="B582" i="15" a="1"/>
  <c r="B583" i="15" a="1"/>
  <c r="B584" i="15" a="1"/>
  <c r="B585" i="15" a="1"/>
  <c r="B586" i="15" a="1"/>
  <c r="B587" i="15" a="1"/>
  <c r="B588" i="15" a="1"/>
  <c r="B589" i="15" a="1"/>
  <c r="B590" i="15" a="1"/>
  <c r="B591" i="15" a="1"/>
  <c r="B592" i="15" a="1"/>
  <c r="B593" i="15" a="1"/>
  <c r="B594" i="15" a="1"/>
  <c r="B595" i="15" a="1"/>
  <c r="B596" i="15" a="1"/>
  <c r="B597" i="15" a="1"/>
  <c r="B598" i="15" a="1"/>
  <c r="B599" i="15" a="1"/>
  <c r="B600" i="15" a="1"/>
  <c r="B601" i="15" a="1"/>
  <c r="B602" i="15" a="1"/>
  <c r="B603" i="15" a="1"/>
  <c r="B604" i="15" a="1"/>
  <c r="B605" i="15" a="1"/>
  <c r="B606" i="15" a="1"/>
  <c r="B607" i="15" a="1"/>
  <c r="B608" i="15" a="1"/>
  <c r="B609" i="15" a="1"/>
  <c r="B610" i="15" a="1"/>
  <c r="B611" i="15" a="1"/>
  <c r="B612" i="15" a="1"/>
  <c r="B613" i="15" a="1"/>
  <c r="B614" i="15" a="1"/>
  <c r="B615" i="15" a="1"/>
  <c r="B616" i="15" a="1"/>
  <c r="B617" i="15" a="1"/>
  <c r="B618" i="15" a="1"/>
  <c r="B619" i="15" a="1"/>
  <c r="B620" i="15" a="1"/>
  <c r="B621" i="15" a="1"/>
  <c r="B622" i="15" a="1"/>
  <c r="B623" i="15" a="1"/>
  <c r="B624" i="15" a="1"/>
  <c r="B625" i="15" a="1"/>
  <c r="B626" i="15" a="1"/>
  <c r="B627" i="15" a="1"/>
  <c r="B628" i="15" a="1"/>
  <c r="B629" i="15" a="1"/>
  <c r="B630" i="15" a="1"/>
  <c r="B631" i="15" a="1"/>
  <c r="B632" i="15" a="1"/>
  <c r="B633" i="15" a="1"/>
  <c r="B634" i="15" a="1"/>
  <c r="B635" i="15" a="1"/>
  <c r="B636" i="15" a="1"/>
  <c r="B637" i="15" a="1"/>
  <c r="B638" i="15" a="1"/>
  <c r="B639" i="15" a="1"/>
  <c r="B640" i="15" a="1"/>
  <c r="B641" i="15" a="1"/>
  <c r="B642" i="15" a="1"/>
  <c r="B643" i="15" a="1"/>
  <c r="B644" i="15" a="1"/>
  <c r="B645" i="15" a="1"/>
  <c r="B646" i="15" a="1"/>
  <c r="B647" i="15" a="1"/>
  <c r="B648" i="15" a="1"/>
  <c r="B649" i="15" a="1"/>
  <c r="B650" i="15" a="1"/>
  <c r="B651" i="15" a="1"/>
  <c r="B652" i="15" a="1"/>
  <c r="B653" i="15" a="1"/>
  <c r="B654" i="15" a="1"/>
  <c r="B655" i="15" a="1"/>
  <c r="B656" i="15" a="1"/>
  <c r="B657" i="15" a="1"/>
  <c r="B658" i="15" a="1"/>
  <c r="B659" i="15" a="1"/>
  <c r="B660" i="15" a="1"/>
  <c r="B661" i="15" a="1"/>
  <c r="B662" i="15" a="1"/>
  <c r="B663" i="15" a="1"/>
  <c r="B664" i="15" a="1"/>
  <c r="B665" i="15" a="1"/>
  <c r="B666" i="15" a="1"/>
  <c r="B667" i="15" a="1"/>
  <c r="B668" i="15" a="1"/>
  <c r="B669" i="15" a="1"/>
  <c r="B670" i="15" a="1"/>
  <c r="B671" i="15" a="1"/>
  <c r="B672" i="15" a="1"/>
  <c r="B673" i="15" a="1"/>
  <c r="B674" i="15" a="1"/>
  <c r="B675" i="15" a="1"/>
  <c r="B676" i="15" a="1"/>
  <c r="B677" i="15" a="1"/>
  <c r="B678" i="15" a="1"/>
  <c r="B679" i="15" a="1"/>
  <c r="B680" i="15" a="1"/>
  <c r="B681" i="15" a="1"/>
  <c r="B682" i="15" a="1"/>
  <c r="B683" i="15" a="1"/>
  <c r="B684" i="15" a="1"/>
  <c r="B685" i="15" a="1"/>
  <c r="B686" i="15" a="1"/>
  <c r="B687" i="15" a="1"/>
  <c r="B688" i="15" a="1"/>
  <c r="B689" i="15" a="1"/>
  <c r="B690" i="15" a="1"/>
  <c r="B691" i="15" a="1"/>
  <c r="B692" i="15" a="1"/>
  <c r="B693" i="15" a="1"/>
  <c r="B694" i="15" a="1"/>
  <c r="B695" i="15" a="1"/>
  <c r="B696" i="15" a="1"/>
  <c r="B697" i="15" a="1"/>
  <c r="B698" i="15" a="1"/>
  <c r="B699" i="15" a="1"/>
  <c r="B700" i="15" a="1"/>
  <c r="B701" i="15" a="1"/>
  <c r="B702" i="15" a="1"/>
  <c r="B703" i="15" a="1"/>
  <c r="B704" i="15" a="1"/>
  <c r="B705" i="15" a="1"/>
  <c r="B706" i="15" a="1"/>
  <c r="B707" i="15" a="1"/>
  <c r="B708" i="15" a="1"/>
  <c r="B709" i="15" a="1"/>
  <c r="B710" i="15" a="1"/>
  <c r="B711" i="15" a="1"/>
  <c r="B712" i="15" a="1"/>
  <c r="B713" i="15" a="1"/>
  <c r="B714" i="15" a="1"/>
  <c r="B715" i="15" a="1"/>
  <c r="B716" i="15" a="1"/>
  <c r="B717" i="15" a="1"/>
  <c r="B718" i="15" a="1"/>
  <c r="B719" i="15" a="1"/>
  <c r="B720" i="15" a="1"/>
  <c r="B721" i="15" a="1"/>
  <c r="B722" i="15" a="1"/>
  <c r="B723" i="15" a="1"/>
  <c r="B724" i="15" a="1"/>
  <c r="B725" i="15" a="1"/>
  <c r="B726" i="15" a="1"/>
  <c r="B727" i="15" a="1"/>
  <c r="B728" i="15" a="1"/>
  <c r="B729" i="15" a="1"/>
  <c r="B730" i="15" a="1"/>
  <c r="B731" i="15" a="1"/>
  <c r="B732" i="15" a="1"/>
  <c r="B733" i="15" a="1"/>
  <c r="B734" i="15" a="1"/>
  <c r="B735" i="15" a="1"/>
  <c r="B736" i="15" a="1"/>
  <c r="B737" i="15" a="1"/>
  <c r="B738" i="15" a="1"/>
  <c r="B739" i="15" a="1"/>
  <c r="B740" i="15" a="1"/>
  <c r="B741" i="15" a="1"/>
  <c r="B742" i="15" a="1"/>
  <c r="B743" i="15" a="1"/>
  <c r="B744" i="15" a="1"/>
  <c r="B745" i="15" a="1"/>
  <c r="B746" i="15" a="1"/>
  <c r="B747" i="15" a="1"/>
  <c r="B748" i="15" a="1"/>
  <c r="B749" i="15" a="1"/>
  <c r="B750" i="15" a="1"/>
  <c r="B751" i="15" a="1"/>
  <c r="B752" i="15" a="1"/>
  <c r="B753" i="15" a="1"/>
  <c r="B754" i="15" a="1"/>
  <c r="B755" i="15" a="1"/>
  <c r="B756" i="15" a="1"/>
  <c r="B757" i="15" a="1"/>
  <c r="B758" i="15" a="1"/>
  <c r="B759" i="15" a="1"/>
  <c r="B760" i="15" a="1"/>
  <c r="B761" i="15" a="1"/>
  <c r="B762" i="15" a="1"/>
  <c r="B763" i="15" a="1"/>
  <c r="B764" i="15" a="1"/>
  <c r="B765" i="15" a="1"/>
  <c r="B766" i="15" a="1"/>
  <c r="B767" i="15" a="1"/>
  <c r="B768" i="15" a="1"/>
  <c r="B769" i="15" a="1"/>
  <c r="B770" i="15" a="1"/>
  <c r="B771" i="15" a="1"/>
  <c r="B772" i="15" a="1"/>
  <c r="B773" i="15" a="1"/>
  <c r="B774" i="15" a="1"/>
  <c r="B775" i="15" a="1"/>
  <c r="B776" i="15" a="1"/>
  <c r="B777" i="15" a="1"/>
  <c r="B778" i="15" a="1"/>
  <c r="B779" i="15" a="1"/>
  <c r="B780" i="15" a="1"/>
  <c r="B781" i="15" a="1"/>
  <c r="B782" i="15" a="1"/>
  <c r="B783" i="15" a="1"/>
  <c r="B784" i="15" a="1"/>
  <c r="B785" i="15" a="1"/>
  <c r="B786" i="15" a="1"/>
  <c r="B787" i="15" a="1"/>
  <c r="B788" i="15" a="1"/>
  <c r="B789" i="15" a="1"/>
  <c r="B790" i="15" a="1"/>
  <c r="B791" i="15" a="1"/>
  <c r="B792" i="15" a="1"/>
  <c r="B793" i="15" a="1"/>
  <c r="B794" i="15" a="1"/>
  <c r="B795" i="15" a="1"/>
  <c r="B796" i="15" a="1"/>
  <c r="B797" i="15" a="1"/>
  <c r="B798" i="15" a="1"/>
  <c r="B799" i="15" a="1"/>
  <c r="B800" i="15" a="1"/>
  <c r="B801" i="15" a="1"/>
  <c r="B802" i="15" a="1"/>
  <c r="B803" i="15" a="1"/>
  <c r="B804" i="15" a="1"/>
  <c r="B805" i="15" a="1"/>
  <c r="B806" i="15" a="1"/>
  <c r="B807" i="15" a="1"/>
  <c r="B808" i="15" a="1"/>
  <c r="B809" i="15" a="1"/>
  <c r="B810" i="15" a="1"/>
  <c r="B811" i="15" a="1"/>
  <c r="B812" i="15" a="1"/>
  <c r="B813" i="15" a="1"/>
  <c r="B814" i="15" a="1"/>
  <c r="B815" i="15" a="1"/>
  <c r="B816" i="15" a="1"/>
  <c r="B817" i="15" a="1"/>
  <c r="B818" i="15" a="1"/>
  <c r="B819" i="15" a="1"/>
  <c r="B820" i="15" a="1"/>
  <c r="B821" i="15" a="1"/>
  <c r="B822" i="15" a="1"/>
  <c r="B823" i="15" a="1"/>
  <c r="B824" i="15" a="1"/>
  <c r="B825" i="15" a="1"/>
  <c r="B826" i="15" a="1"/>
  <c r="B827" i="15" a="1"/>
  <c r="B827" i="15"/>
  <c r="B828" i="15" a="1"/>
  <c r="B829" i="15" a="1"/>
  <c r="B829" i="15"/>
  <c r="B830" i="15" a="1"/>
  <c r="B831" i="15" a="1"/>
  <c r="B831" i="15"/>
  <c r="B832" i="15" a="1"/>
  <c r="B833" i="15" a="1"/>
  <c r="B834" i="15" a="1"/>
  <c r="B835" i="15" a="1"/>
  <c r="B836" i="15" a="1"/>
  <c r="B837" i="15" a="1"/>
  <c r="B838" i="15" a="1"/>
  <c r="B839" i="15" a="1"/>
  <c r="B840" i="15" a="1"/>
  <c r="B841" i="15" a="1"/>
  <c r="B842" i="15" a="1"/>
  <c r="B843" i="15" a="1"/>
  <c r="B844" i="15" a="1"/>
  <c r="B845" i="15" a="1"/>
  <c r="B846" i="15" a="1"/>
  <c r="B847" i="15" a="1"/>
  <c r="B848" i="15" a="1"/>
  <c r="B849" i="15" a="1"/>
  <c r="B850" i="15" a="1"/>
  <c r="B851" i="15" a="1"/>
  <c r="B852" i="15" a="1"/>
  <c r="B852" i="15"/>
  <c r="B853" i="15" a="1"/>
  <c r="B854" i="15" a="1"/>
  <c r="B855" i="15" a="1"/>
  <c r="B856" i="15" a="1"/>
  <c r="B857" i="15" a="1"/>
  <c r="B858" i="15" a="1"/>
  <c r="B859" i="15" a="1"/>
  <c r="B860" i="15" a="1"/>
  <c r="B861" i="15" a="1"/>
  <c r="B862" i="15" a="1"/>
  <c r="B862" i="15"/>
  <c r="B863" i="15" a="1"/>
  <c r="B864" i="15" a="1"/>
  <c r="B865" i="15" a="1"/>
  <c r="B866" i="15" a="1"/>
  <c r="B867" i="15" a="1"/>
  <c r="B868" i="15" a="1"/>
  <c r="B869" i="15" a="1"/>
  <c r="B870" i="15" a="1"/>
  <c r="B870" i="15"/>
  <c r="B871" i="15" a="1"/>
  <c r="B872" i="15" a="1"/>
  <c r="B873" i="15" a="1"/>
  <c r="B874" i="15" a="1"/>
  <c r="B875" i="15" a="1"/>
  <c r="B876" i="15" a="1"/>
  <c r="B877" i="15" a="1"/>
  <c r="B878" i="15" a="1"/>
  <c r="B879" i="15" a="1"/>
  <c r="B880" i="15" a="1"/>
  <c r="B881" i="15" a="1"/>
  <c r="B882" i="15" a="1"/>
  <c r="B883" i="15" a="1"/>
  <c r="B884" i="15" a="1"/>
  <c r="B885" i="15" a="1"/>
  <c r="B886" i="15" a="1"/>
  <c r="B887" i="15" a="1"/>
  <c r="B888" i="15" a="1"/>
  <c r="B889" i="15" a="1"/>
  <c r="B890" i="15" a="1"/>
  <c r="B891" i="15" a="1"/>
  <c r="B892" i="15" a="1"/>
  <c r="B892" i="15"/>
  <c r="B893" i="15" a="1"/>
  <c r="B893" i="15"/>
  <c r="B894" i="15" a="1"/>
  <c r="B895" i="15" a="1"/>
  <c r="B896" i="15" a="1"/>
  <c r="B897" i="15" a="1"/>
  <c r="B898" i="15" a="1"/>
  <c r="B899" i="15" a="1"/>
  <c r="B900" i="15" a="1"/>
  <c r="B901" i="15" a="1"/>
  <c r="B902" i="15" a="1"/>
  <c r="B903" i="15" a="1"/>
  <c r="B904" i="15" a="1"/>
  <c r="B905" i="15" a="1"/>
  <c r="B906" i="15" a="1"/>
  <c r="B907" i="15" a="1"/>
  <c r="B908" i="15" a="1"/>
  <c r="B909" i="15" a="1"/>
  <c r="B910" i="15" a="1"/>
  <c r="B911" i="15" a="1"/>
  <c r="B912" i="15" a="1"/>
  <c r="B912" i="15"/>
  <c r="B913" i="15" a="1"/>
  <c r="B914" i="15" a="1"/>
  <c r="B915" i="15" a="1"/>
  <c r="B916" i="15" a="1"/>
  <c r="B917" i="15" a="1"/>
  <c r="B918" i="15" a="1"/>
  <c r="B919" i="15" a="1"/>
  <c r="B920" i="15" a="1"/>
  <c r="B921" i="15" a="1"/>
  <c r="B921" i="15"/>
  <c r="B922" i="15" a="1"/>
  <c r="B923" i="15" a="1"/>
  <c r="B924" i="15" a="1"/>
  <c r="B925" i="15" a="1"/>
  <c r="B926" i="15" a="1"/>
  <c r="B927" i="15" a="1"/>
  <c r="B927" i="15"/>
  <c r="B928" i="15" a="1"/>
  <c r="B929" i="15" a="1"/>
  <c r="B930" i="15" a="1"/>
  <c r="B931" i="15" a="1"/>
  <c r="B931" i="15"/>
  <c r="B932" i="15" a="1"/>
  <c r="B933" i="15" a="1"/>
  <c r="B934" i="15" a="1"/>
  <c r="B935" i="15" a="1"/>
  <c r="B935" i="15"/>
  <c r="B936" i="15" a="1"/>
  <c r="B937" i="15" a="1"/>
  <c r="B938" i="15" a="1"/>
  <c r="B938" i="15"/>
  <c r="B939" i="15" a="1"/>
  <c r="B940" i="15" a="1"/>
  <c r="B941" i="15" a="1"/>
  <c r="B942" i="15" a="1"/>
  <c r="B943" i="15" a="1"/>
  <c r="B944" i="15" a="1"/>
  <c r="B944" i="15"/>
  <c r="B945" i="15" a="1"/>
  <c r="B946" i="15" a="1"/>
  <c r="B947" i="15" a="1"/>
  <c r="B948" i="15" a="1"/>
  <c r="B949" i="15" a="1"/>
  <c r="B950" i="15" a="1"/>
  <c r="B951" i="15" a="1"/>
  <c r="B952" i="15" a="1"/>
  <c r="B953" i="15" a="1"/>
  <c r="B954" i="15" a="1"/>
  <c r="B955" i="15" a="1"/>
  <c r="B956" i="15" a="1"/>
  <c r="B957" i="15" a="1"/>
  <c r="B958" i="15" a="1"/>
  <c r="B958" i="15"/>
  <c r="B959" i="15" a="1"/>
  <c r="B960" i="15" a="1"/>
  <c r="B961" i="15" a="1"/>
  <c r="B962" i="15" a="1"/>
  <c r="B962" i="15"/>
  <c r="B963" i="15" a="1"/>
  <c r="B964" i="15" a="1"/>
  <c r="B964" i="15"/>
  <c r="B965" i="15" a="1"/>
  <c r="B966" i="15" a="1"/>
  <c r="B967" i="15" a="1"/>
  <c r="B968" i="15" a="1"/>
  <c r="B969" i="15" a="1"/>
  <c r="B970" i="15" a="1"/>
  <c r="B971" i="15" a="1"/>
  <c r="B972" i="15" a="1"/>
  <c r="B973" i="15" a="1"/>
  <c r="B974" i="15" a="1"/>
  <c r="B975" i="15" a="1"/>
  <c r="B975" i="15"/>
  <c r="B976" i="15" a="1"/>
  <c r="B976" i="15"/>
  <c r="B977" i="15" a="1"/>
  <c r="B977" i="15"/>
  <c r="B978" i="15" a="1"/>
  <c r="B978" i="15"/>
  <c r="B979" i="15" a="1"/>
  <c r="B979" i="15"/>
  <c r="B980" i="15" a="1"/>
  <c r="B980" i="15"/>
  <c r="B981" i="15" a="1"/>
  <c r="B982" i="15" a="1"/>
  <c r="B982" i="15"/>
  <c r="B983" i="15" a="1"/>
  <c r="B983" i="15"/>
  <c r="B984" i="15" a="1"/>
  <c r="B984" i="15"/>
  <c r="B985" i="15" a="1"/>
  <c r="B985" i="15"/>
  <c r="B986" i="15" a="1"/>
  <c r="B986" i="15"/>
  <c r="B987" i="15" a="1"/>
  <c r="B987" i="15"/>
  <c r="B988" i="15" a="1"/>
  <c r="B988" i="15"/>
  <c r="B989" i="15" a="1"/>
  <c r="B989" i="15"/>
  <c r="B990" i="15" a="1"/>
  <c r="B990" i="15"/>
  <c r="B991" i="15" a="1"/>
  <c r="B991" i="15"/>
  <c r="B992" i="15" a="1"/>
  <c r="B992" i="15"/>
  <c r="B993" i="15" a="1"/>
  <c r="B993" i="15"/>
  <c r="B994" i="15" a="1"/>
  <c r="B994" i="15"/>
  <c r="B995" i="15" a="1"/>
  <c r="B995" i="15"/>
  <c r="B996" i="15" a="1"/>
  <c r="B996" i="15"/>
  <c r="B997" i="15" a="1"/>
  <c r="B997" i="15"/>
  <c r="B998" i="15" a="1"/>
  <c r="B998" i="15"/>
  <c r="B999" i="15" a="1"/>
  <c r="B999" i="15"/>
  <c r="B1000" i="15" a="1"/>
  <c r="B1000" i="15"/>
  <c r="B1001" i="15" a="1"/>
  <c r="B1001" i="15"/>
  <c r="B1002" i="15" a="1"/>
  <c r="B1002" i="15"/>
  <c r="B1003" i="15" a="1"/>
  <c r="B1003" i="15"/>
  <c r="B1004" i="15" a="1"/>
  <c r="B1004" i="15"/>
  <c r="B1005" i="15" a="1"/>
  <c r="B1005" i="15"/>
  <c r="B1006" i="15" a="1"/>
  <c r="B1006" i="15"/>
  <c r="B1007" i="15" a="1"/>
  <c r="B1007" i="15"/>
  <c r="B1008" i="15" a="1"/>
  <c r="B1008" i="15"/>
  <c r="B1009" i="15" a="1"/>
  <c r="B1009" i="15"/>
  <c r="B1010" i="15" a="1"/>
  <c r="B1010" i="15"/>
  <c r="B1011" i="15" a="1"/>
  <c r="B1011" i="15"/>
  <c r="B1012" i="15" a="1"/>
  <c r="B1012" i="15"/>
  <c r="B1013" i="15" a="1"/>
  <c r="B1014" i="15" a="1"/>
  <c r="B1015" i="15" a="1"/>
  <c r="B1015" i="15"/>
  <c r="B1016" i="15" a="1"/>
  <c r="B1017" i="15" a="1"/>
  <c r="B1018" i="15" a="1"/>
  <c r="B1018" i="15"/>
  <c r="B1019" i="15" a="1"/>
  <c r="B1020" i="15" a="1"/>
  <c r="B1021" i="15" a="1"/>
  <c r="B1021" i="15"/>
  <c r="B1022" i="15" a="1"/>
  <c r="B1023" i="15" a="1"/>
  <c r="B1024" i="15" a="1"/>
  <c r="B1025" i="15" a="1"/>
  <c r="B1026" i="15" a="1"/>
  <c r="B1027" i="15" a="1"/>
  <c r="B1028" i="15" a="1"/>
  <c r="B1029" i="15" a="1"/>
  <c r="B1030" i="15" a="1"/>
  <c r="B1031" i="15" a="1"/>
  <c r="B1032" i="15" a="1"/>
  <c r="B1033" i="15" a="1"/>
  <c r="B1034" i="15" a="1"/>
  <c r="B1035" i="15" a="1"/>
  <c r="B1036" i="15" a="1"/>
  <c r="B1037" i="15" a="1"/>
  <c r="B1038" i="15" a="1"/>
  <c r="B1039" i="15" a="1"/>
  <c r="B1039" i="15"/>
  <c r="B1040" i="15" a="1"/>
  <c r="B1041" i="15" a="1"/>
  <c r="B1042" i="15" a="1"/>
  <c r="B1043" i="15" a="1"/>
  <c r="B1043" i="15"/>
  <c r="B1044" i="15" a="1"/>
  <c r="B1044" i="15"/>
  <c r="B1045" i="15" a="1"/>
  <c r="B1045" i="15"/>
  <c r="B1046" i="15" a="1"/>
  <c r="B1046" i="15"/>
  <c r="B1047" i="15" a="1"/>
  <c r="B1047" i="15"/>
  <c r="B1048" i="15" a="1"/>
  <c r="B1048" i="15"/>
  <c r="B1049" i="15" a="1"/>
  <c r="B1050" i="15" a="1"/>
  <c r="B1051" i="15" a="1"/>
  <c r="B1051" i="15"/>
  <c r="B1052" i="15" a="1"/>
  <c r="B1053" i="15" a="1"/>
  <c r="B1054" i="15" a="1"/>
  <c r="B1055" i="15" a="1"/>
  <c r="B1056" i="15" a="1"/>
  <c r="B1057" i="15" a="1"/>
  <c r="B1058" i="15" a="1"/>
  <c r="B1059" i="15" a="1"/>
  <c r="B1060" i="15" a="1"/>
  <c r="B1061" i="15" a="1"/>
  <c r="B1062" i="15" a="1"/>
  <c r="B1063" i="15" a="1"/>
  <c r="B1064" i="15" a="1"/>
  <c r="B1065" i="15" a="1"/>
  <c r="B1066" i="15" a="1"/>
  <c r="B1067" i="15" a="1"/>
  <c r="B1068" i="15" a="1"/>
  <c r="B1069" i="15" a="1"/>
  <c r="B1070" i="15" a="1"/>
  <c r="B1071" i="15" a="1"/>
  <c r="B1072" i="15" a="1"/>
  <c r="B1073" i="15" a="1"/>
  <c r="B1074" i="15" a="1"/>
  <c r="B1075" i="15" a="1"/>
  <c r="B1076" i="15" a="1"/>
  <c r="B1077" i="15" a="1"/>
  <c r="B1078" i="15" a="1"/>
  <c r="B1079" i="15" a="1"/>
  <c r="B1079" i="15"/>
  <c r="B1080" i="15" a="1"/>
  <c r="B1081" i="15" a="1"/>
  <c r="B1082" i="15" a="1"/>
  <c r="B1083" i="15" a="1"/>
  <c r="B1084" i="15" a="1"/>
  <c r="B1085" i="15" a="1"/>
  <c r="B1086" i="15" a="1"/>
  <c r="B1087" i="15" a="1"/>
  <c r="B1088" i="15" a="1"/>
  <c r="B1089" i="15" a="1"/>
  <c r="B1090" i="15" a="1"/>
  <c r="B1091" i="15" a="1"/>
  <c r="B1092" i="15" a="1"/>
  <c r="B1093" i="15" a="1"/>
  <c r="B1094" i="15" a="1"/>
  <c r="B1095" i="15" a="1"/>
  <c r="B1096" i="15" a="1"/>
  <c r="B1097" i="15" a="1"/>
  <c r="B1098" i="15" a="1"/>
  <c r="B1099" i="15" a="1"/>
  <c r="B1100" i="15" a="1"/>
  <c r="B1101" i="15" a="1"/>
  <c r="B1102" i="15" a="1"/>
  <c r="B1103" i="15" a="1"/>
  <c r="B1104" i="15" a="1"/>
  <c r="B1105" i="15" a="1"/>
  <c r="B1106" i="15" a="1"/>
  <c r="B1107" i="15" a="1"/>
  <c r="B1108" i="15" a="1"/>
  <c r="B1109" i="15" a="1"/>
  <c r="B1110" i="15" a="1"/>
  <c r="B1111" i="15" a="1"/>
  <c r="B1112" i="15" a="1"/>
  <c r="B1113" i="15" a="1"/>
  <c r="B1113" i="15"/>
  <c r="B1114" i="15" a="1"/>
  <c r="B1115" i="15" a="1"/>
  <c r="B1116" i="15" a="1"/>
  <c r="B1117" i="15" a="1"/>
  <c r="B1118" i="15" a="1"/>
  <c r="B1119" i="15" a="1"/>
  <c r="B1120" i="15" a="1"/>
  <c r="B1121" i="15" a="1"/>
  <c r="B1122" i="15" a="1"/>
  <c r="B1123" i="15" a="1"/>
  <c r="B1124" i="15" a="1"/>
  <c r="B1125" i="15" a="1"/>
  <c r="B1126" i="15" a="1"/>
  <c r="B1127" i="15" a="1"/>
  <c r="B1128" i="15" a="1"/>
  <c r="B1129" i="15" a="1"/>
  <c r="B1130" i="15" a="1"/>
  <c r="B1131" i="15" a="1"/>
  <c r="B1132" i="15" a="1"/>
  <c r="B1133" i="15" a="1"/>
  <c r="B1134" i="15" a="1"/>
  <c r="B1135" i="15" a="1"/>
  <c r="B1136" i="15" a="1"/>
  <c r="B1137" i="15" a="1"/>
  <c r="B1138" i="15" a="1"/>
  <c r="B1139" i="15" a="1"/>
  <c r="B1140" i="15" a="1"/>
  <c r="B1141" i="15" a="1"/>
  <c r="B1142" i="15" a="1"/>
  <c r="B1143" i="15" a="1"/>
  <c r="B1144" i="15" a="1"/>
  <c r="B1145" i="15" a="1"/>
  <c r="B1146" i="15" a="1"/>
  <c r="B1147" i="15" a="1"/>
  <c r="B1148" i="15" a="1"/>
  <c r="B1149" i="15" a="1"/>
  <c r="B1150" i="15" a="1"/>
  <c r="B1151" i="15" a="1"/>
  <c r="B1152" i="15" a="1"/>
  <c r="B1153" i="15" a="1"/>
  <c r="B1154" i="15" a="1"/>
  <c r="B1155" i="15" a="1"/>
  <c r="B1156" i="15" a="1"/>
  <c r="B1157" i="15" a="1"/>
  <c r="B1158" i="15" a="1"/>
  <c r="B1159" i="15" a="1"/>
  <c r="B1160" i="15" a="1"/>
  <c r="B1161" i="15" a="1"/>
  <c r="B1162" i="15" a="1"/>
  <c r="B1163" i="15" a="1"/>
  <c r="B1164" i="15" a="1"/>
  <c r="B1165" i="15" a="1"/>
  <c r="B1166" i="15" a="1"/>
  <c r="B1167" i="15" a="1"/>
  <c r="B1168" i="15" a="1"/>
  <c r="B1169" i="15" a="1"/>
  <c r="B1170" i="15" a="1"/>
  <c r="B1171" i="15" a="1"/>
  <c r="B1172" i="15" a="1"/>
  <c r="B1173" i="15" a="1"/>
  <c r="B1174" i="15" a="1"/>
  <c r="B1175" i="15" a="1"/>
  <c r="B1176" i="15" a="1"/>
  <c r="B1177" i="15" a="1"/>
  <c r="B1178" i="15" a="1"/>
  <c r="B1179" i="15" a="1"/>
  <c r="B1180" i="15" a="1"/>
  <c r="B1181" i="15" a="1"/>
  <c r="B1182" i="15" a="1"/>
  <c r="B1183" i="15" a="1"/>
  <c r="B1184" i="15" a="1"/>
  <c r="B1185" i="15" a="1"/>
  <c r="B1186" i="15" a="1"/>
  <c r="B1187" i="15" a="1"/>
  <c r="B1188" i="15" a="1"/>
  <c r="B1189" i="15" a="1"/>
  <c r="B1190" i="15" a="1"/>
  <c r="B1191" i="15" a="1"/>
  <c r="B1192" i="15" a="1"/>
  <c r="B1193" i="15" a="1"/>
  <c r="B1194" i="15" a="1"/>
  <c r="B1195" i="15" a="1"/>
  <c r="B1196" i="15" a="1"/>
  <c r="B1197" i="15" a="1"/>
  <c r="B1198" i="15" a="1"/>
  <c r="B1199" i="15" a="1"/>
  <c r="B1200" i="15" a="1"/>
  <c r="B1201" i="15" a="1"/>
  <c r="B1202" i="15" a="1"/>
  <c r="B1203" i="15" a="1"/>
  <c r="B1204" i="15" a="1"/>
  <c r="B1205" i="15" a="1"/>
  <c r="B1206" i="15" a="1"/>
  <c r="B1207" i="15" a="1"/>
  <c r="B1208" i="15" a="1"/>
  <c r="B1209" i="15" a="1"/>
  <c r="B1210" i="15" a="1"/>
  <c r="B1211" i="15" a="1"/>
  <c r="B1212" i="15" a="1"/>
  <c r="B1213" i="15" a="1"/>
  <c r="B1214" i="15" a="1"/>
  <c r="B1215" i="15" a="1"/>
  <c r="B1216" i="15" a="1"/>
  <c r="B1217" i="15" a="1"/>
  <c r="B1218" i="15" a="1"/>
  <c r="B1219" i="15" a="1"/>
  <c r="B1220" i="15" a="1"/>
  <c r="B1221" i="15" a="1"/>
  <c r="B1222" i="15" a="1"/>
  <c r="B1223" i="15" a="1"/>
  <c r="B1224" i="15" a="1"/>
  <c r="B1225" i="15" a="1"/>
  <c r="B1226" i="15" a="1"/>
  <c r="B1227" i="15" a="1"/>
  <c r="B1228" i="15" a="1"/>
  <c r="B1229" i="15" a="1"/>
  <c r="B1230" i="15" a="1"/>
  <c r="B1231" i="15" a="1"/>
  <c r="B1232" i="15" a="1"/>
  <c r="B1233" i="15" a="1"/>
  <c r="B1234" i="15" a="1"/>
  <c r="B1235" i="15" a="1"/>
  <c r="B1236" i="15" a="1"/>
  <c r="B1237" i="15" a="1"/>
  <c r="B1238" i="15" a="1"/>
  <c r="B1239" i="15" a="1"/>
  <c r="B1240" i="15" a="1"/>
  <c r="B1241" i="15" a="1"/>
  <c r="B1242" i="15" a="1"/>
  <c r="B1243" i="15" a="1"/>
  <c r="B1244" i="15" a="1"/>
  <c r="B1245" i="15" a="1"/>
  <c r="B1246" i="15" a="1"/>
  <c r="B1247" i="15" a="1"/>
  <c r="B1248" i="15" a="1"/>
  <c r="B1249" i="15" a="1"/>
  <c r="B1250" i="15" a="1"/>
  <c r="B1251" i="15" a="1"/>
  <c r="B1252" i="15" a="1"/>
  <c r="B1253" i="15" a="1"/>
  <c r="B1254" i="15" a="1"/>
  <c r="B1255" i="15" a="1"/>
  <c r="B1256" i="15" a="1"/>
  <c r="B1257" i="15" a="1"/>
  <c r="B1258" i="15" a="1"/>
  <c r="B1259" i="15" a="1"/>
  <c r="B1260" i="15" a="1"/>
  <c r="B1261" i="15" a="1"/>
  <c r="B1262" i="15" a="1"/>
  <c r="B1263" i="15" a="1"/>
  <c r="B1264" i="15" a="1"/>
  <c r="B1265" i="15" a="1"/>
  <c r="B1266" i="15" a="1"/>
  <c r="B1267" i="15" a="1"/>
  <c r="B1268" i="15" a="1"/>
  <c r="B1269" i="15" a="1"/>
  <c r="B1270" i="15" a="1"/>
  <c r="B1271" i="15" a="1"/>
  <c r="B1272" i="15" a="1"/>
  <c r="B1273" i="15" a="1"/>
  <c r="B1274" i="15" a="1"/>
  <c r="B1275" i="15" a="1"/>
  <c r="B1276" i="15" a="1"/>
  <c r="B1277" i="15" a="1"/>
  <c r="B1278" i="15" a="1"/>
  <c r="B1279" i="15" a="1"/>
  <c r="B1280" i="15" a="1"/>
  <c r="B1281" i="15" a="1"/>
  <c r="B1282" i="15" a="1"/>
  <c r="B1283" i="15" a="1"/>
  <c r="B1284" i="15" a="1"/>
  <c r="B1285" i="15" a="1"/>
  <c r="B1286" i="15" a="1"/>
  <c r="B1286" i="15"/>
  <c r="B1287" i="15" a="1"/>
  <c r="B1288" i="15" a="1"/>
  <c r="B1289" i="15" a="1"/>
  <c r="B1290" i="15" a="1"/>
  <c r="B1291" i="15" a="1"/>
  <c r="B1292" i="15" a="1"/>
  <c r="B1293" i="15" a="1"/>
  <c r="B1294" i="15" a="1"/>
  <c r="B1295" i="15" a="1"/>
  <c r="B1296" i="15" a="1"/>
  <c r="B1297" i="15" a="1"/>
  <c r="B1298" i="15" a="1"/>
  <c r="B1299" i="15" a="1"/>
  <c r="B1300" i="15" a="1"/>
  <c r="B1301" i="15" a="1"/>
  <c r="B1302" i="15" a="1"/>
  <c r="B1303" i="15" a="1"/>
  <c r="B1304" i="15" a="1"/>
  <c r="B1305" i="15" a="1"/>
  <c r="B1306" i="15" a="1"/>
  <c r="B1307" i="15" a="1"/>
  <c r="B1308" i="15" a="1"/>
  <c r="B1309" i="15" a="1"/>
  <c r="B1310" i="15" a="1"/>
  <c r="B1311" i="15" a="1"/>
  <c r="B1312" i="15" a="1"/>
  <c r="B1313" i="15" a="1"/>
  <c r="B1314" i="15" a="1"/>
  <c r="B1315" i="15" a="1"/>
  <c r="B1316" i="15" a="1"/>
  <c r="B1317" i="15" a="1"/>
  <c r="B1318" i="15" a="1"/>
  <c r="B1319" i="15" a="1"/>
  <c r="B1320" i="15" a="1"/>
  <c r="B1321" i="15" a="1"/>
  <c r="B1322" i="15" a="1"/>
  <c r="B1323" i="15" a="1"/>
  <c r="B1324" i="15" a="1"/>
  <c r="B1325" i="15" a="1"/>
  <c r="B1326" i="15" a="1"/>
  <c r="B1327" i="15" a="1"/>
  <c r="B1328" i="15" a="1"/>
  <c r="B1329" i="15" a="1"/>
  <c r="B1330" i="15" a="1"/>
  <c r="B1331" i="15" a="1"/>
  <c r="B1332" i="15" a="1"/>
  <c r="B1333" i="15" a="1"/>
  <c r="B1334" i="15" a="1"/>
  <c r="B1335" i="15" a="1"/>
  <c r="B1336" i="15" a="1"/>
  <c r="B1337" i="15" a="1"/>
  <c r="B1338" i="15" a="1"/>
  <c r="B1339" i="15" a="1"/>
  <c r="B1340" i="15" a="1"/>
  <c r="B1341" i="15" a="1"/>
  <c r="B1342" i="15" a="1"/>
  <c r="B1343" i="15" a="1"/>
  <c r="B1344" i="15" a="1"/>
  <c r="B1345" i="15" a="1"/>
  <c r="B1346" i="15" a="1"/>
  <c r="B1347" i="15" a="1"/>
  <c r="B1348" i="15" a="1"/>
  <c r="B1349" i="15" a="1"/>
  <c r="B1350" i="15" a="1"/>
  <c r="B1351" i="15" a="1"/>
  <c r="B1352" i="15" a="1"/>
  <c r="B1353" i="15" a="1"/>
  <c r="B1354" i="15" a="1"/>
  <c r="B1355" i="15" a="1"/>
  <c r="B1356" i="15" a="1"/>
  <c r="B1357" i="15" a="1"/>
  <c r="B1358" i="15" a="1"/>
  <c r="B1359" i="15" a="1"/>
  <c r="B1360" i="15" a="1"/>
  <c r="B1361" i="15" a="1"/>
  <c r="B1362" i="15" a="1"/>
  <c r="B1363" i="15" a="1"/>
  <c r="B1364" i="15" a="1"/>
  <c r="B1365" i="15" a="1"/>
  <c r="B1366" i="15" a="1"/>
  <c r="B1367" i="15" a="1"/>
  <c r="B1368" i="15" a="1"/>
  <c r="B1369" i="15" a="1"/>
  <c r="B1370" i="15" a="1"/>
  <c r="B1371" i="15" a="1"/>
  <c r="B1372" i="15" a="1"/>
  <c r="B1373" i="15" a="1"/>
  <c r="B1374" i="15" a="1"/>
  <c r="B1375" i="15" a="1"/>
  <c r="B1376" i="15" a="1"/>
  <c r="B1377" i="15" a="1"/>
  <c r="B1378" i="15" a="1"/>
  <c r="B1379" i="15" a="1"/>
  <c r="B1380" i="15" a="1"/>
  <c r="B1381" i="15" a="1"/>
  <c r="B1382" i="15" a="1"/>
  <c r="B1383" i="15" a="1"/>
  <c r="B1384" i="15" a="1"/>
  <c r="B1385" i="15" a="1"/>
  <c r="B1386" i="15" a="1"/>
  <c r="B1387" i="15" a="1"/>
  <c r="B1388" i="15" a="1"/>
  <c r="B1389" i="15" a="1"/>
  <c r="B1390" i="15" a="1"/>
  <c r="B1391" i="15" a="1"/>
  <c r="B1392" i="15" a="1"/>
  <c r="B1393" i="15" a="1"/>
  <c r="B1394" i="15" a="1"/>
  <c r="B1395" i="15" a="1"/>
  <c r="B1396" i="15" a="1"/>
  <c r="B1397" i="15" a="1"/>
  <c r="B1398" i="15" a="1"/>
  <c r="B1399" i="15" a="1"/>
  <c r="B1400" i="15" a="1"/>
  <c r="B1401" i="15" a="1"/>
  <c r="B1402" i="15" a="1"/>
  <c r="B1403" i="15" a="1"/>
  <c r="B1404" i="15" a="1"/>
  <c r="B1405" i="15" a="1"/>
  <c r="B1406" i="15" a="1"/>
  <c r="B1407" i="15" a="1"/>
  <c r="B1408" i="15" a="1"/>
  <c r="B1409" i="15" a="1"/>
  <c r="B1410" i="15" a="1"/>
  <c r="B1411" i="15" a="1"/>
  <c r="B1412" i="15" a="1"/>
  <c r="B1413" i="15" a="1"/>
  <c r="B1414" i="15" a="1"/>
  <c r="B1414" i="15"/>
  <c r="B1415" i="15" a="1"/>
  <c r="B1416" i="15" a="1"/>
  <c r="B1417" i="15" a="1"/>
  <c r="B1418" i="15" a="1"/>
  <c r="B1419" i="15" a="1"/>
  <c r="B1420" i="15" a="1"/>
  <c r="B1421" i="15" a="1"/>
  <c r="B1422" i="15" a="1"/>
  <c r="B1423" i="15" a="1"/>
  <c r="B1424" i="15" a="1"/>
  <c r="B1425" i="15" a="1"/>
  <c r="B1426" i="15" a="1"/>
  <c r="B1427" i="15" a="1"/>
  <c r="B1428" i="15" a="1"/>
  <c r="B1429" i="15" a="1"/>
  <c r="B1430" i="15" a="1"/>
  <c r="B1431" i="15" a="1"/>
  <c r="B1432" i="15" a="1"/>
  <c r="B1433" i="15" a="1"/>
  <c r="B1434" i="15" a="1"/>
  <c r="B1435" i="15" a="1"/>
  <c r="B1436" i="15" a="1"/>
  <c r="B1437" i="15" a="1"/>
  <c r="B1438" i="15" a="1"/>
  <c r="B1439" i="15" a="1"/>
  <c r="B1440" i="15" a="1"/>
  <c r="B1441" i="15" a="1"/>
  <c r="B1442" i="15" a="1"/>
  <c r="B1443" i="15" a="1"/>
  <c r="B1444" i="15" a="1"/>
  <c r="B1445" i="15" a="1"/>
  <c r="B1446" i="15" a="1"/>
  <c r="B1447" i="15" a="1"/>
  <c r="B1448" i="15" a="1"/>
  <c r="B1449" i="15" a="1"/>
  <c r="B1450" i="15" a="1"/>
  <c r="B1451" i="15" a="1"/>
  <c r="B1452" i="15" a="1"/>
  <c r="B1453" i="15" a="1"/>
  <c r="B1454" i="15" a="1"/>
  <c r="B1455" i="15" a="1"/>
  <c r="B1456" i="15" a="1"/>
  <c r="B1457" i="15" a="1"/>
  <c r="B1458" i="15" a="1"/>
  <c r="B1459" i="15" a="1"/>
  <c r="B1460" i="15" a="1"/>
  <c r="B1461" i="15" a="1"/>
  <c r="B1462" i="15" a="1"/>
  <c r="B1463" i="15" a="1"/>
  <c r="B1464" i="15" a="1"/>
  <c r="B1465" i="15" a="1"/>
  <c r="B1466" i="15" a="1"/>
  <c r="B1467" i="15" a="1"/>
  <c r="B1468" i="15" a="1"/>
  <c r="B1469" i="15" a="1"/>
  <c r="B1470" i="15" a="1"/>
  <c r="B1471" i="15" a="1"/>
  <c r="B1472" i="15" a="1"/>
  <c r="B1473" i="15" a="1"/>
  <c r="B1474" i="15" a="1"/>
  <c r="B1475" i="15" a="1"/>
  <c r="B1476" i="15" a="1"/>
  <c r="B1477" i="15" a="1"/>
  <c r="B1478" i="15" a="1"/>
  <c r="B1479" i="15" a="1"/>
  <c r="B1480" i="15" a="1"/>
  <c r="B1481" i="15" a="1"/>
  <c r="B1482" i="15" a="1"/>
  <c r="B1483" i="15" a="1"/>
  <c r="B1484" i="15" a="1"/>
  <c r="B1485" i="15" a="1"/>
  <c r="B1486" i="15" a="1"/>
  <c r="B1487" i="15" a="1"/>
  <c r="B1488" i="15" a="1"/>
  <c r="B1489" i="15" a="1"/>
  <c r="B1490" i="15" a="1"/>
  <c r="B1491" i="15" a="1"/>
  <c r="B1492" i="15" a="1"/>
  <c r="B1493" i="15" a="1"/>
  <c r="B1494" i="15" a="1"/>
  <c r="B1495" i="15" a="1"/>
  <c r="B1496" i="15" a="1"/>
  <c r="B1497" i="15" a="1"/>
  <c r="B1498" i="15" a="1"/>
  <c r="B1499" i="15" a="1"/>
  <c r="B1500" i="15" a="1"/>
  <c r="B1501" i="15" a="1"/>
  <c r="B1502" i="15" a="1"/>
  <c r="B1503" i="15" a="1"/>
  <c r="B1504" i="15" a="1"/>
  <c r="B1505" i="15" a="1"/>
  <c r="B1506" i="15" a="1"/>
  <c r="B1507" i="15" a="1"/>
  <c r="B1508" i="15" a="1"/>
  <c r="B1509" i="15" a="1"/>
  <c r="B1510" i="15" a="1"/>
  <c r="B1511" i="15" a="1"/>
  <c r="B1512" i="15" a="1"/>
  <c r="B1513" i="15" a="1"/>
  <c r="B1514" i="15" a="1"/>
  <c r="B1515" i="15" a="1"/>
  <c r="B1516" i="15" a="1"/>
  <c r="B1517" i="15" a="1"/>
  <c r="B1518" i="15" a="1"/>
  <c r="B1519" i="15" a="1"/>
  <c r="B1520" i="15" a="1"/>
  <c r="B1521" i="15" a="1"/>
  <c r="B1522" i="15" a="1"/>
  <c r="B1523" i="15" a="1"/>
  <c r="B1524" i="15" a="1"/>
  <c r="B1525" i="15" a="1"/>
  <c r="B1526" i="15" a="1"/>
  <c r="B1527" i="15" a="1"/>
  <c r="B1528" i="15" a="1"/>
  <c r="B1529" i="15" a="1"/>
  <c r="B1530" i="15" a="1"/>
  <c r="B1531" i="15" a="1"/>
  <c r="B1532" i="15" a="1"/>
  <c r="B1533" i="15" a="1"/>
  <c r="B1534" i="15" a="1"/>
  <c r="B1535" i="15" a="1"/>
  <c r="B1536" i="15" a="1"/>
  <c r="B1537" i="15" a="1"/>
  <c r="B1538" i="15" a="1"/>
  <c r="B1539" i="15" a="1"/>
  <c r="B1540" i="15" a="1"/>
  <c r="B1541" i="15" a="1"/>
  <c r="B1542" i="15" a="1"/>
  <c r="B1543" i="15" a="1"/>
  <c r="B1544" i="15" a="1"/>
  <c r="B1545" i="15" a="1"/>
  <c r="B1546" i="15" a="1"/>
  <c r="B1547" i="15" a="1"/>
  <c r="B1548" i="15" a="1"/>
  <c r="B1549" i="15" a="1"/>
  <c r="B1550" i="15" a="1"/>
  <c r="B1551" i="15" a="1"/>
  <c r="B1552" i="15" a="1"/>
  <c r="B1553" i="15" a="1"/>
  <c r="B1554" i="15" a="1"/>
  <c r="B1555" i="15" a="1"/>
  <c r="B1556" i="15" a="1"/>
  <c r="B1557" i="15" a="1"/>
  <c r="B1558" i="15" a="1"/>
  <c r="B1559" i="15" a="1"/>
  <c r="B1560" i="15" a="1"/>
  <c r="B1561" i="15" a="1"/>
  <c r="B1562" i="15" a="1"/>
  <c r="B1563" i="15" a="1"/>
  <c r="B1564" i="15" a="1"/>
  <c r="B1565" i="15" a="1"/>
  <c r="B1566" i="15" a="1"/>
  <c r="B1567" i="15" a="1"/>
  <c r="B1568" i="15" a="1"/>
  <c r="B1569" i="15" a="1"/>
  <c r="B1570" i="15" a="1"/>
  <c r="B1571" i="15" a="1"/>
  <c r="B1572" i="15" a="1"/>
  <c r="B1573" i="15" a="1"/>
  <c r="B1574" i="15" a="1"/>
  <c r="B1575" i="15" a="1"/>
  <c r="B1576" i="15" a="1"/>
  <c r="B1577" i="15" a="1"/>
  <c r="B1578" i="15" a="1"/>
  <c r="B1579" i="15" a="1"/>
  <c r="B1580" i="15" a="1"/>
  <c r="B1581" i="15" a="1"/>
  <c r="B1582" i="15" a="1"/>
  <c r="B1583" i="15" a="1"/>
  <c r="B1584" i="15" a="1"/>
  <c r="B1585" i="15" a="1"/>
  <c r="B1586" i="15" a="1"/>
  <c r="B1587" i="15" a="1"/>
  <c r="B1588" i="15" a="1"/>
  <c r="B1589" i="15" a="1"/>
  <c r="B1590" i="15" a="1"/>
  <c r="B1591" i="15" a="1"/>
  <c r="B1592" i="15" a="1"/>
  <c r="B1593" i="15" a="1"/>
  <c r="B1594" i="15" a="1"/>
  <c r="B1595" i="15" a="1"/>
  <c r="B1596" i="15" a="1"/>
  <c r="B1597" i="15" a="1"/>
  <c r="B1598" i="15" a="1"/>
  <c r="B1599" i="15" a="1"/>
  <c r="B1600" i="15" a="1"/>
  <c r="B1601" i="15" a="1"/>
  <c r="B1602" i="15" a="1"/>
  <c r="B1603" i="15" a="1"/>
  <c r="B1604" i="15" a="1"/>
  <c r="B1605" i="15" a="1"/>
  <c r="B1606" i="15" a="1"/>
  <c r="B1607" i="15" a="1"/>
  <c r="B1608" i="15" a="1"/>
  <c r="B1609" i="15" a="1"/>
  <c r="B1610" i="15" a="1"/>
  <c r="B1611" i="15" a="1"/>
  <c r="B1612" i="15" a="1"/>
  <c r="B1613" i="15" a="1"/>
  <c r="B1614" i="15" a="1"/>
  <c r="B1615" i="15" a="1"/>
  <c r="B1616" i="15" a="1"/>
  <c r="B1617" i="15" a="1"/>
  <c r="B1618" i="15" a="1"/>
  <c r="B1619" i="15" a="1"/>
  <c r="B1620" i="15" a="1"/>
  <c r="B1621" i="15" a="1"/>
  <c r="B1622" i="15" a="1"/>
  <c r="B1623" i="15" a="1"/>
  <c r="B1624" i="15" a="1"/>
  <c r="B1625" i="15" a="1"/>
  <c r="B1626" i="15" a="1"/>
  <c r="B1627" i="15" a="1"/>
  <c r="B1628" i="15" a="1"/>
  <c r="B1629" i="15" a="1"/>
  <c r="B1630" i="15" a="1"/>
  <c r="B1631" i="15" a="1"/>
  <c r="B1632" i="15" a="1"/>
  <c r="B1633" i="15" a="1"/>
  <c r="B1634" i="15" a="1"/>
  <c r="B1635" i="15" a="1"/>
  <c r="B1636" i="15" a="1"/>
  <c r="B1637" i="15" a="1"/>
  <c r="B1638" i="15" a="1"/>
  <c r="B1639" i="15" a="1"/>
  <c r="B1640" i="15" a="1"/>
  <c r="B1641" i="15" a="1"/>
  <c r="B1642" i="15" a="1"/>
  <c r="B1643" i="15" a="1"/>
  <c r="B1644" i="15" a="1"/>
  <c r="B1645" i="15" a="1"/>
  <c r="B1646" i="15" a="1"/>
  <c r="B1647" i="15" a="1"/>
  <c r="B1648" i="15" a="1"/>
  <c r="B1649" i="15" a="1"/>
  <c r="B1650" i="15" a="1"/>
  <c r="B1651" i="15" a="1"/>
  <c r="B1652" i="15" a="1"/>
  <c r="B1653" i="15" a="1"/>
  <c r="B1654" i="15" a="1"/>
  <c r="B1655" i="15" a="1"/>
  <c r="B1656" i="15" a="1"/>
  <c r="B1657" i="15" a="1"/>
  <c r="B1658" i="15" a="1"/>
  <c r="B1659" i="15" a="1"/>
  <c r="B1660" i="15" a="1"/>
  <c r="B1661" i="15" a="1"/>
  <c r="B1662" i="15" a="1"/>
  <c r="B1663" i="15" a="1"/>
  <c r="B1664" i="15" a="1"/>
  <c r="B1665" i="15" a="1"/>
  <c r="B1666" i="15" a="1"/>
  <c r="B1667" i="15" a="1"/>
  <c r="B1668" i="15" a="1"/>
  <c r="B1669" i="15" a="1"/>
  <c r="B1670" i="15" a="1"/>
  <c r="B1671" i="15" a="1"/>
  <c r="B1672" i="15" a="1"/>
  <c r="B1673" i="15" a="1"/>
  <c r="B1674" i="15" a="1"/>
  <c r="B1675" i="15" a="1"/>
  <c r="B1676" i="15" a="1"/>
  <c r="B1677" i="15" a="1"/>
  <c r="B1678" i="15" a="1"/>
  <c r="B1679" i="15" a="1"/>
  <c r="B1680" i="15" a="1"/>
  <c r="B1681" i="15" a="1"/>
  <c r="B1682" i="15" a="1"/>
  <c r="B1683" i="15" a="1"/>
  <c r="B1684" i="15" a="1"/>
  <c r="B1685" i="15" a="1"/>
  <c r="B1686" i="15" a="1"/>
  <c r="B1687" i="15" a="1"/>
  <c r="B1688" i="15" a="1"/>
  <c r="B1689" i="15" a="1"/>
  <c r="B1690" i="15" a="1"/>
  <c r="B1691" i="15" a="1"/>
  <c r="B1692" i="15" a="1"/>
  <c r="B1693" i="15" a="1"/>
  <c r="B1694" i="15" a="1"/>
  <c r="B1695" i="15" a="1"/>
  <c r="B1696" i="15" a="1"/>
  <c r="B1697" i="15" a="1"/>
  <c r="B1698" i="15" a="1"/>
  <c r="B1699" i="15" a="1"/>
  <c r="B1700" i="15" a="1"/>
  <c r="B1701" i="15" a="1"/>
  <c r="B1702" i="15" a="1"/>
  <c r="B1703" i="15" a="1"/>
  <c r="B1704" i="15" a="1"/>
  <c r="B1705" i="15" a="1"/>
  <c r="B1706" i="15" a="1"/>
  <c r="B1707" i="15" a="1"/>
  <c r="B1708" i="15" a="1"/>
  <c r="B1709" i="15" a="1"/>
  <c r="B1710" i="15" a="1"/>
  <c r="B1711" i="15" a="1"/>
  <c r="B1712" i="15" a="1"/>
  <c r="B1713" i="15" a="1"/>
  <c r="B1714" i="15" a="1"/>
  <c r="B1715" i="15" a="1"/>
  <c r="B1716" i="15" a="1"/>
  <c r="B1717" i="15" a="1"/>
  <c r="B1718" i="15" a="1"/>
  <c r="B1719" i="15" a="1"/>
  <c r="B1720" i="15" a="1"/>
  <c r="B1721" i="15" a="1"/>
  <c r="B1722" i="15" a="1"/>
  <c r="B1723" i="15" a="1"/>
  <c r="B1724" i="15" a="1"/>
  <c r="B1725" i="15" a="1"/>
  <c r="B1726" i="15" a="1"/>
  <c r="B1727" i="15" a="1"/>
  <c r="B1728" i="15" a="1"/>
  <c r="B1729" i="15" a="1"/>
  <c r="B1730" i="15" a="1"/>
  <c r="B1731" i="15" a="1"/>
  <c r="B1732" i="15" a="1"/>
  <c r="B1733" i="15" a="1"/>
  <c r="B1734" i="15" a="1"/>
  <c r="B1735" i="15" a="1"/>
  <c r="B1736" i="15" a="1"/>
  <c r="B1737" i="15" a="1"/>
  <c r="B1738" i="15" a="1"/>
  <c r="B1739" i="15" a="1"/>
  <c r="B1740" i="15" a="1"/>
  <c r="B1741" i="15" a="1"/>
  <c r="B1742" i="15" a="1"/>
  <c r="B1743" i="15" a="1"/>
  <c r="B1744" i="15" a="1"/>
  <c r="B1745" i="15" a="1"/>
  <c r="B1746" i="15" a="1"/>
  <c r="B1747" i="15" a="1"/>
  <c r="B1748" i="15" a="1"/>
  <c r="B1749" i="15" a="1"/>
  <c r="B1750" i="15" a="1"/>
  <c r="B1751" i="15" a="1"/>
  <c r="B1752" i="15" a="1"/>
  <c r="B1753" i="15" a="1"/>
  <c r="B1754" i="15" a="1"/>
  <c r="B1755" i="15" a="1"/>
  <c r="B1756" i="15" a="1"/>
  <c r="B1757" i="15" a="1"/>
  <c r="B1758" i="15" a="1"/>
  <c r="B1759" i="15" a="1"/>
  <c r="B1760" i="15" a="1"/>
  <c r="B1761" i="15" a="1"/>
  <c r="B1762" i="15" a="1"/>
  <c r="B1763" i="15" a="1"/>
  <c r="B1764" i="15" a="1"/>
  <c r="B1765" i="15" a="1"/>
  <c r="B1766" i="15" a="1"/>
  <c r="B1767" i="15" a="1"/>
  <c r="B1768" i="15" a="1"/>
  <c r="B1769" i="15" a="1"/>
  <c r="B1770" i="15" a="1"/>
  <c r="B1771" i="15" a="1"/>
  <c r="B1772" i="15" a="1"/>
  <c r="B1773" i="15" a="1"/>
  <c r="B1774" i="15" a="1"/>
  <c r="B1775" i="15" a="1"/>
  <c r="B1776" i="15" a="1"/>
  <c r="B1777" i="15" a="1"/>
  <c r="B1778" i="15" a="1"/>
  <c r="B1779" i="15" a="1"/>
  <c r="B1780" i="15" a="1"/>
  <c r="B1781" i="15" a="1"/>
  <c r="B1782" i="15" a="1"/>
  <c r="B1783" i="15" a="1"/>
  <c r="B1784" i="15" a="1"/>
  <c r="B1785" i="15" a="1"/>
  <c r="B1786" i="15" a="1"/>
  <c r="B1787" i="15" a="1"/>
  <c r="B1788" i="15" a="1"/>
  <c r="B1789" i="15" a="1"/>
  <c r="B1790" i="15" a="1"/>
  <c r="B1791" i="15" a="1"/>
  <c r="B1792" i="15" a="1"/>
  <c r="B1793" i="15" a="1"/>
  <c r="B1794" i="15" a="1"/>
  <c r="B1795" i="15" a="1"/>
  <c r="B1796" i="15" a="1"/>
  <c r="B1797" i="15" a="1"/>
  <c r="B1798" i="15" a="1"/>
  <c r="B1799" i="15" a="1"/>
  <c r="B1800" i="15" a="1"/>
  <c r="B1801" i="15" a="1"/>
  <c r="B1802" i="15" a="1"/>
  <c r="B1803" i="15" a="1"/>
  <c r="B1804" i="15" a="1"/>
  <c r="B1805" i="15" a="1"/>
  <c r="B1806" i="15" a="1"/>
  <c r="B1807" i="15" a="1"/>
  <c r="B1808" i="15" a="1"/>
  <c r="B1809" i="15" a="1"/>
  <c r="B1810" i="15" a="1"/>
  <c r="B1811" i="15" a="1"/>
  <c r="B1812" i="15" a="1"/>
  <c r="B1813" i="15" a="1"/>
  <c r="B1814" i="15" a="1"/>
  <c r="B1815" i="15" a="1"/>
  <c r="B1816" i="15" a="1"/>
  <c r="B1817" i="15" a="1"/>
  <c r="B1818" i="15" a="1"/>
  <c r="B1819" i="15" a="1"/>
  <c r="B1820" i="15" a="1"/>
  <c r="B1821" i="15" a="1"/>
  <c r="B1822" i="15" a="1"/>
  <c r="B1823" i="15" a="1"/>
  <c r="B1824" i="15" a="1"/>
  <c r="B1825" i="15" a="1"/>
  <c r="B1826" i="15" a="1"/>
  <c r="B1827" i="15" a="1"/>
  <c r="B1828" i="15" a="1"/>
  <c r="B1829" i="15" a="1"/>
  <c r="B1830" i="15" a="1"/>
  <c r="B1831" i="15" a="1"/>
  <c r="B1832" i="15" a="1"/>
  <c r="B1833" i="15" a="1"/>
  <c r="B1834" i="15" a="1"/>
  <c r="B1835" i="15" a="1"/>
  <c r="B1836" i="15" a="1"/>
  <c r="B1837" i="15" a="1"/>
  <c r="B1838" i="15" a="1"/>
  <c r="B1839" i="15" a="1"/>
  <c r="B1840" i="15" a="1"/>
  <c r="B1841" i="15" a="1"/>
  <c r="B1842" i="15" a="1"/>
  <c r="B1843" i="15" a="1"/>
  <c r="B1844" i="15" a="1"/>
  <c r="B1845" i="15" a="1"/>
  <c r="B1846" i="15" a="1"/>
  <c r="B1847" i="15" a="1"/>
  <c r="B1848" i="15" a="1"/>
  <c r="B1849" i="15" a="1"/>
  <c r="B1850" i="15" a="1"/>
  <c r="B1851" i="15" a="1"/>
  <c r="B1852" i="15" a="1"/>
  <c r="B1853" i="15" a="1"/>
  <c r="B1854" i="15" a="1"/>
  <c r="B1855" i="15" a="1"/>
  <c r="B1856" i="15" a="1"/>
  <c r="B1857" i="15" a="1"/>
  <c r="B1858" i="15" a="1"/>
  <c r="B1859" i="15" a="1"/>
  <c r="B1860" i="15" a="1"/>
  <c r="B1861" i="15" a="1"/>
  <c r="B1862" i="15" a="1"/>
  <c r="B1863" i="15" a="1"/>
  <c r="B1864" i="15" a="1"/>
  <c r="B1865" i="15" a="1"/>
  <c r="B1866" i="15" a="1"/>
  <c r="B1867" i="15" a="1"/>
  <c r="B1868" i="15" a="1"/>
  <c r="B1869" i="15" a="1"/>
  <c r="B1870" i="15" a="1"/>
  <c r="B1871" i="15" a="1"/>
  <c r="B1872" i="15" a="1"/>
  <c r="B1873" i="15" a="1"/>
  <c r="B1874" i="15" a="1"/>
  <c r="B1875" i="15" a="1"/>
  <c r="B1876" i="15" a="1"/>
  <c r="B1877" i="15" a="1"/>
  <c r="B1878" i="15" a="1"/>
  <c r="B1879" i="15" a="1"/>
  <c r="B1880" i="15" a="1"/>
  <c r="B1881" i="15" a="1"/>
  <c r="B1882" i="15" a="1"/>
  <c r="B1883" i="15" a="1"/>
  <c r="B1884" i="15" a="1"/>
  <c r="B1885" i="15" a="1"/>
  <c r="B1886" i="15" a="1"/>
  <c r="B1887" i="15" a="1"/>
  <c r="B1888" i="15" a="1"/>
  <c r="B1889" i="15" a="1"/>
  <c r="B1890" i="15" a="1"/>
  <c r="B1891" i="15" a="1"/>
  <c r="B1892" i="15" a="1"/>
  <c r="B1893" i="15" a="1"/>
  <c r="B1894" i="15" a="1"/>
  <c r="B1895" i="15" a="1"/>
  <c r="B1896" i="15" a="1"/>
  <c r="B1897" i="15" a="1"/>
  <c r="B1898" i="15" a="1"/>
  <c r="B1899" i="15" a="1"/>
  <c r="B1900" i="15" a="1"/>
  <c r="B1901" i="15" a="1"/>
  <c r="B1902" i="15" a="1"/>
  <c r="B1903" i="15" a="1"/>
  <c r="B1904" i="15" a="1"/>
  <c r="B1905" i="15" a="1"/>
  <c r="B1906" i="15" a="1"/>
  <c r="B1907" i="15" a="1"/>
  <c r="B1908" i="15" a="1"/>
  <c r="B1909" i="15" a="1"/>
  <c r="B1910" i="15" a="1"/>
  <c r="B1911" i="15" a="1"/>
  <c r="B1912" i="15" a="1"/>
  <c r="B1913" i="15" a="1"/>
  <c r="B1914" i="15" a="1"/>
  <c r="B1915" i="15" a="1"/>
  <c r="B1916" i="15" a="1"/>
  <c r="B1917" i="15" a="1"/>
  <c r="B1918" i="15" a="1"/>
  <c r="B1919" i="15" a="1"/>
  <c r="B1920" i="15" a="1"/>
  <c r="B1921" i="15" a="1"/>
  <c r="B1922" i="15" a="1"/>
  <c r="B1923" i="15" a="1"/>
  <c r="B1924" i="15" a="1"/>
  <c r="B1925" i="15" a="1"/>
  <c r="B1926" i="15" a="1"/>
  <c r="B1927" i="15" a="1"/>
  <c r="B1928" i="15" a="1"/>
  <c r="B1929" i="15" a="1"/>
  <c r="B1930" i="15" a="1"/>
  <c r="B1931" i="15" a="1"/>
  <c r="B1932" i="15" a="1"/>
  <c r="B1933" i="15" a="1"/>
  <c r="B1934" i="15" a="1"/>
  <c r="B1935" i="15" a="1"/>
  <c r="B1936" i="15" a="1"/>
  <c r="B1937" i="15" a="1"/>
  <c r="B1938" i="15" a="1"/>
  <c r="B1939" i="15" a="1"/>
  <c r="B1940" i="15" a="1"/>
  <c r="B1941" i="15" a="1"/>
  <c r="B1942" i="15" a="1"/>
  <c r="B1943" i="15" a="1"/>
  <c r="B1944" i="15" a="1"/>
  <c r="B1945" i="15" a="1"/>
  <c r="B1946" i="15" a="1"/>
  <c r="B1947" i="15" a="1"/>
  <c r="B1948" i="15" a="1"/>
  <c r="B1949" i="15" a="1"/>
  <c r="B1950" i="15" a="1"/>
  <c r="B1951" i="15" a="1"/>
  <c r="B1952" i="15" a="1"/>
  <c r="B1953" i="15" a="1"/>
  <c r="B1954" i="15" a="1"/>
  <c r="B1955" i="15" a="1"/>
  <c r="B1956" i="15" a="1"/>
  <c r="B1957" i="15" a="1"/>
  <c r="B1958" i="15" a="1"/>
  <c r="B1959" i="15" a="1"/>
  <c r="B1960" i="15" a="1"/>
  <c r="B1961" i="15" a="1"/>
  <c r="B1962" i="15" a="1"/>
  <c r="B1963" i="15" a="1"/>
  <c r="B1964" i="15" a="1"/>
  <c r="B1965" i="15" a="1"/>
  <c r="B1966" i="15" a="1"/>
  <c r="B1967" i="15" a="1"/>
  <c r="B1968" i="15" a="1"/>
  <c r="B1969" i="15" a="1"/>
  <c r="B1970" i="15" a="1"/>
  <c r="B1971" i="15" a="1"/>
  <c r="B1972" i="15" a="1"/>
  <c r="B1973" i="15" a="1"/>
  <c r="B1974" i="15" a="1"/>
  <c r="B1975" i="15" a="1"/>
  <c r="B1976" i="15" a="1"/>
  <c r="B1977" i="15" a="1"/>
  <c r="B1978" i="15" a="1"/>
  <c r="B1979" i="15" a="1"/>
  <c r="B1980" i="15" a="1"/>
  <c r="B1981" i="15" a="1"/>
  <c r="B1982" i="15" a="1"/>
  <c r="B1983" i="15" a="1"/>
  <c r="B1984" i="15" a="1"/>
  <c r="B1985" i="15" a="1"/>
  <c r="B1986" i="15" a="1"/>
  <c r="B2" i="15" a="1"/>
  <c r="E2" i="15" s="1"/>
  <c r="C2" i="14"/>
  <c r="D2" i="14" s="1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1" i="14"/>
  <c r="I22" i="14"/>
  <c r="I23" i="14"/>
  <c r="I24" i="14"/>
  <c r="I25" i="14"/>
  <c r="I26" i="14"/>
  <c r="I27" i="14"/>
  <c r="I28" i="14"/>
  <c r="I30" i="14"/>
  <c r="I31" i="14"/>
  <c r="I32" i="14"/>
  <c r="I33" i="14"/>
  <c r="I34" i="14"/>
  <c r="I35" i="14"/>
  <c r="I36" i="14"/>
  <c r="I37" i="14"/>
  <c r="I38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E3" i="14" a="1"/>
  <c r="E4" i="14" a="1"/>
  <c r="E5" i="14" a="1"/>
  <c r="E6" i="14" a="1"/>
  <c r="E7" i="14" a="1"/>
  <c r="E8" i="14" a="1"/>
  <c r="E9" i="14" a="1"/>
  <c r="E10" i="14" a="1"/>
  <c r="E11" i="14" a="1"/>
  <c r="E12" i="14" a="1"/>
  <c r="E13" i="14" a="1"/>
  <c r="E14" i="14" a="1"/>
  <c r="E15" i="14" a="1"/>
  <c r="E16" i="14" a="1"/>
  <c r="E17" i="14" a="1"/>
  <c r="E18" i="14" a="1"/>
  <c r="E19" i="14" a="1"/>
  <c r="E20" i="14" a="1"/>
  <c r="E21" i="14" a="1"/>
  <c r="E22" i="14" a="1"/>
  <c r="E23" i="14" a="1"/>
  <c r="E24" i="14" a="1"/>
  <c r="E25" i="14" a="1"/>
  <c r="E26" i="14" a="1"/>
  <c r="E27" i="14" a="1"/>
  <c r="E28" i="14" a="1"/>
  <c r="E29" i="14" a="1"/>
  <c r="E30" i="14" a="1"/>
  <c r="E31" i="14" a="1"/>
  <c r="E32" i="14" a="1"/>
  <c r="E33" i="14" a="1"/>
  <c r="E34" i="14" a="1"/>
  <c r="E35" i="14" a="1"/>
  <c r="E36" i="14" a="1"/>
  <c r="E37" i="14" a="1"/>
  <c r="E38" i="14" a="1"/>
  <c r="E39" i="14" a="1"/>
  <c r="E40" i="14" a="1"/>
  <c r="E41" i="14" a="1"/>
  <c r="E42" i="14" a="1"/>
  <c r="E43" i="14" a="1"/>
  <c r="E44" i="14" a="1"/>
  <c r="E45" i="14" a="1"/>
  <c r="E46" i="14" a="1"/>
  <c r="E47" i="14" a="1"/>
  <c r="E48" i="14" a="1"/>
  <c r="E49" i="14" a="1"/>
  <c r="E50" i="14" a="1"/>
  <c r="E51" i="14" a="1"/>
  <c r="E52" i="14" a="1"/>
  <c r="E53" i="14" a="1"/>
  <c r="E54" i="14" a="1"/>
  <c r="E55" i="14" a="1"/>
  <c r="E56" i="14" a="1"/>
  <c r="E57" i="14" a="1"/>
  <c r="E58" i="14" a="1"/>
  <c r="E59" i="14" a="1"/>
  <c r="E60" i="14" a="1"/>
  <c r="E61" i="14" a="1"/>
  <c r="E62" i="14" a="1"/>
  <c r="E63" i="14" a="1"/>
  <c r="E64" i="14" a="1"/>
  <c r="E65" i="14" a="1"/>
  <c r="E66" i="14" a="1"/>
  <c r="E67" i="14" a="1"/>
  <c r="E68" i="14" a="1"/>
  <c r="E69" i="14" a="1"/>
  <c r="E70" i="14" a="1"/>
  <c r="E71" i="14" a="1"/>
  <c r="E72" i="14" a="1"/>
  <c r="E73" i="14" a="1"/>
  <c r="E74" i="14" a="1"/>
  <c r="E75" i="14" a="1"/>
  <c r="E76" i="14" a="1"/>
  <c r="E77" i="14" a="1"/>
  <c r="E78" i="14" a="1"/>
  <c r="E79" i="14" a="1"/>
  <c r="E80" i="14" a="1"/>
  <c r="E81" i="14" a="1"/>
  <c r="E82" i="14" a="1"/>
  <c r="E83" i="14" a="1"/>
  <c r="E84" i="14" a="1"/>
  <c r="E85" i="14" a="1"/>
  <c r="E86" i="14" a="1"/>
  <c r="E87" i="14" a="1"/>
  <c r="E88" i="14" a="1"/>
  <c r="E89" i="14" a="1"/>
  <c r="E90" i="14" a="1"/>
  <c r="E91" i="14" a="1"/>
  <c r="E92" i="14" a="1"/>
  <c r="E93" i="14" a="1"/>
  <c r="E94" i="14" a="1"/>
  <c r="E95" i="14" a="1"/>
  <c r="E96" i="14" a="1"/>
  <c r="E97" i="14" a="1"/>
  <c r="E98" i="14" a="1"/>
  <c r="E99" i="14" a="1"/>
  <c r="E100" i="14" a="1"/>
  <c r="E101" i="14" a="1"/>
  <c r="E102" i="14" a="1"/>
  <c r="E103" i="14" a="1"/>
  <c r="E104" i="14" a="1"/>
  <c r="E105" i="14" a="1"/>
  <c r="E106" i="14" a="1"/>
  <c r="E107" i="14" a="1"/>
  <c r="E108" i="14" a="1"/>
  <c r="E109" i="14" a="1"/>
  <c r="E110" i="14" a="1"/>
  <c r="E111" i="14" a="1"/>
  <c r="E112" i="14" a="1"/>
  <c r="E113" i="14" a="1"/>
  <c r="E114" i="14" a="1"/>
  <c r="E115" i="14" a="1"/>
  <c r="E116" i="14" a="1"/>
  <c r="E117" i="14" a="1"/>
  <c r="E118" i="14" a="1"/>
  <c r="E119" i="14" a="1"/>
  <c r="E120" i="14" a="1"/>
  <c r="E121" i="14" a="1"/>
  <c r="E122" i="14" a="1"/>
  <c r="E123" i="14" a="1"/>
  <c r="E124" i="14" a="1"/>
  <c r="E125" i="14" a="1"/>
  <c r="E126" i="14" a="1"/>
  <c r="E127" i="14" a="1"/>
  <c r="E128" i="14" a="1"/>
  <c r="E129" i="14" a="1"/>
  <c r="E130" i="14" a="1"/>
  <c r="E131" i="14" a="1"/>
  <c r="E132" i="14" a="1"/>
  <c r="E133" i="14" a="1"/>
  <c r="E134" i="14" a="1"/>
  <c r="E135" i="14" a="1"/>
  <c r="E136" i="14" a="1"/>
  <c r="E137" i="14" a="1"/>
  <c r="E138" i="14" a="1"/>
  <c r="E139" i="14" a="1"/>
  <c r="E140" i="14" a="1"/>
  <c r="E141" i="14" a="1"/>
  <c r="E142" i="14" a="1"/>
  <c r="E143" i="14" a="1"/>
  <c r="E144" i="14" a="1"/>
  <c r="E145" i="14" a="1"/>
  <c r="E146" i="14" a="1"/>
  <c r="E147" i="14" a="1"/>
  <c r="E148" i="14" a="1"/>
  <c r="E149" i="14" a="1"/>
  <c r="E150" i="14" a="1"/>
  <c r="E151" i="14" a="1"/>
  <c r="E152" i="14" a="1"/>
  <c r="E153" i="14" a="1"/>
  <c r="E154" i="14" a="1"/>
  <c r="E155" i="14" a="1"/>
  <c r="E156" i="14" a="1"/>
  <c r="E157" i="14" a="1"/>
  <c r="E158" i="14" a="1"/>
  <c r="E159" i="14" a="1"/>
  <c r="E160" i="14" a="1"/>
  <c r="E161" i="14" a="1"/>
  <c r="E162" i="14" a="1"/>
  <c r="E163" i="14" a="1"/>
  <c r="E164" i="14" a="1"/>
  <c r="E165" i="14" a="1"/>
  <c r="E166" i="14" a="1"/>
  <c r="E167" i="14" a="1"/>
  <c r="E168" i="14" a="1"/>
  <c r="E169" i="14" a="1"/>
  <c r="E170" i="14" a="1"/>
  <c r="E171" i="14" a="1"/>
  <c r="E172" i="14" a="1"/>
  <c r="E173" i="14" a="1"/>
  <c r="E174" i="14" a="1"/>
  <c r="E175" i="14" a="1"/>
  <c r="E176" i="14" a="1"/>
  <c r="E177" i="14" a="1"/>
  <c r="E178" i="14" a="1"/>
  <c r="E179" i="14" a="1"/>
  <c r="E180" i="14" a="1"/>
  <c r="E181" i="14" a="1"/>
  <c r="E182" i="14" a="1"/>
  <c r="E183" i="14" a="1"/>
  <c r="E184" i="14" a="1"/>
  <c r="E185" i="14" a="1"/>
  <c r="E186" i="14" a="1"/>
  <c r="E187" i="14" a="1"/>
  <c r="E188" i="14" a="1"/>
  <c r="E189" i="14" a="1"/>
  <c r="E190" i="14" a="1"/>
  <c r="E191" i="14" a="1"/>
  <c r="E192" i="14" a="1"/>
  <c r="E193" i="14" a="1"/>
  <c r="E194" i="14" a="1"/>
  <c r="E195" i="14" a="1"/>
  <c r="E196" i="14" a="1"/>
  <c r="E197" i="14" a="1"/>
  <c r="E198" i="14" a="1"/>
  <c r="E199" i="14" a="1"/>
  <c r="E200" i="14" a="1"/>
  <c r="E201" i="14" a="1"/>
  <c r="E202" i="14" a="1"/>
  <c r="E203" i="14" a="1"/>
  <c r="E204" i="14" a="1"/>
  <c r="E205" i="14" a="1"/>
  <c r="E206" i="14" a="1"/>
  <c r="E207" i="14" a="1"/>
  <c r="E208" i="14" a="1"/>
  <c r="E209" i="14" a="1"/>
  <c r="E210" i="14" a="1"/>
  <c r="E211" i="14" a="1"/>
  <c r="E212" i="14" a="1"/>
  <c r="E213" i="14" a="1"/>
  <c r="E214" i="14" a="1"/>
  <c r="E215" i="14" a="1"/>
  <c r="E216" i="14" a="1"/>
  <c r="E217" i="14" a="1"/>
  <c r="E218" i="14" a="1"/>
  <c r="E219" i="14" a="1"/>
  <c r="E220" i="14" a="1"/>
  <c r="E221" i="14" a="1"/>
  <c r="E222" i="14" a="1"/>
  <c r="E223" i="14" a="1"/>
  <c r="E224" i="14" a="1"/>
  <c r="E225" i="14" a="1"/>
  <c r="E226" i="14" a="1"/>
  <c r="E227" i="14" a="1"/>
  <c r="E228" i="14" a="1"/>
  <c r="E229" i="14" a="1"/>
  <c r="E230" i="14" a="1"/>
  <c r="E231" i="14" a="1"/>
  <c r="E232" i="14" a="1"/>
  <c r="E233" i="14" a="1"/>
  <c r="E234" i="14" a="1"/>
  <c r="E235" i="14" a="1"/>
  <c r="E236" i="14" a="1"/>
  <c r="E237" i="14" a="1"/>
  <c r="E238" i="14" a="1"/>
  <c r="E239" i="14" a="1"/>
  <c r="E240" i="14" a="1"/>
  <c r="E241" i="14" a="1"/>
  <c r="E242" i="14" a="1"/>
  <c r="E243" i="14" a="1"/>
  <c r="E244" i="14" a="1"/>
  <c r="E245" i="14" a="1"/>
  <c r="E246" i="14" a="1"/>
  <c r="E247" i="14" a="1"/>
  <c r="E248" i="14" a="1"/>
  <c r="E249" i="14" a="1"/>
  <c r="E250" i="14" a="1"/>
  <c r="E251" i="14" a="1"/>
  <c r="E252" i="14" a="1"/>
  <c r="E253" i="14" a="1"/>
  <c r="E254" i="14" a="1"/>
  <c r="E255" i="14" a="1"/>
  <c r="E256" i="14" a="1"/>
  <c r="E257" i="14" a="1"/>
  <c r="E258" i="14" a="1"/>
  <c r="E259" i="14" a="1"/>
  <c r="E260" i="14" a="1"/>
  <c r="E261" i="14" a="1"/>
  <c r="E262" i="14" a="1"/>
  <c r="E263" i="14" a="1"/>
  <c r="E264" i="14" a="1"/>
  <c r="E265" i="14" a="1"/>
  <c r="E266" i="14" a="1"/>
  <c r="E267" i="14" a="1"/>
  <c r="E268" i="14" a="1"/>
  <c r="E269" i="14" a="1"/>
  <c r="E270" i="14" a="1"/>
  <c r="E271" i="14" a="1"/>
  <c r="E272" i="14" a="1"/>
  <c r="E273" i="14" a="1"/>
  <c r="E274" i="14" a="1"/>
  <c r="E275" i="14" a="1"/>
  <c r="E276" i="14" a="1"/>
  <c r="E277" i="14" a="1"/>
  <c r="E278" i="14" a="1"/>
  <c r="E279" i="14" a="1"/>
  <c r="E280" i="14" a="1"/>
  <c r="E281" i="14" a="1"/>
  <c r="E282" i="14" a="1"/>
  <c r="E283" i="14" a="1"/>
  <c r="E284" i="14" a="1"/>
  <c r="E285" i="14" a="1"/>
  <c r="E286" i="14" a="1"/>
  <c r="E287" i="14" a="1"/>
  <c r="E288" i="14" a="1"/>
  <c r="E289" i="14" a="1"/>
  <c r="E290" i="14" a="1"/>
  <c r="E291" i="14" a="1"/>
  <c r="E292" i="14" a="1"/>
  <c r="E293" i="14" a="1"/>
  <c r="E294" i="14" a="1"/>
  <c r="E295" i="14" a="1"/>
  <c r="E296" i="14" a="1"/>
  <c r="E297" i="14" a="1"/>
  <c r="E298" i="14" a="1"/>
  <c r="E299" i="14" a="1"/>
  <c r="E300" i="14" a="1"/>
  <c r="E301" i="14" a="1"/>
  <c r="E302" i="14" a="1"/>
  <c r="E303" i="14" a="1"/>
  <c r="E304" i="14" a="1"/>
  <c r="E305" i="14" a="1"/>
  <c r="E306" i="14" a="1"/>
  <c r="E307" i="14" a="1"/>
  <c r="E308" i="14" a="1"/>
  <c r="E309" i="14" a="1"/>
  <c r="E310" i="14" a="1"/>
  <c r="E311" i="14" a="1"/>
  <c r="E312" i="14" a="1"/>
  <c r="E313" i="14" a="1"/>
  <c r="E314" i="14" a="1"/>
  <c r="E315" i="14" a="1"/>
  <c r="E316" i="14" a="1"/>
  <c r="E317" i="14" a="1"/>
  <c r="E318" i="14" a="1"/>
  <c r="E319" i="14" a="1"/>
  <c r="E320" i="14" a="1"/>
  <c r="E321" i="14" a="1"/>
  <c r="E322" i="14" a="1"/>
  <c r="E323" i="14" a="1"/>
  <c r="E324" i="14" a="1"/>
  <c r="E325" i="14" a="1"/>
  <c r="E326" i="14" a="1"/>
  <c r="E327" i="14" a="1"/>
  <c r="E328" i="14" a="1"/>
  <c r="E329" i="14" a="1"/>
  <c r="E330" i="14" a="1"/>
  <c r="E331" i="14" a="1"/>
  <c r="E332" i="14" a="1"/>
  <c r="E333" i="14" a="1"/>
  <c r="E334" i="14" a="1"/>
  <c r="E335" i="14" a="1"/>
  <c r="E336" i="14" a="1"/>
  <c r="E337" i="14" a="1"/>
  <c r="E338" i="14" a="1"/>
  <c r="E339" i="14" a="1"/>
  <c r="E340" i="14" a="1"/>
  <c r="E341" i="14" a="1"/>
  <c r="E342" i="14" a="1"/>
  <c r="E343" i="14" a="1"/>
  <c r="E344" i="14" a="1"/>
  <c r="E345" i="14" a="1"/>
  <c r="E346" i="14" a="1"/>
  <c r="E347" i="14" a="1"/>
  <c r="E348" i="14" a="1"/>
  <c r="E349" i="14" a="1"/>
  <c r="E350" i="14" a="1"/>
  <c r="E351" i="14" a="1"/>
  <c r="E352" i="14" a="1"/>
  <c r="E353" i="14" a="1"/>
  <c r="E354" i="14" a="1"/>
  <c r="E355" i="14" a="1"/>
  <c r="E356" i="14" a="1"/>
  <c r="E357" i="14" a="1"/>
  <c r="E358" i="14" a="1"/>
  <c r="E359" i="14" a="1"/>
  <c r="E360" i="14" a="1"/>
  <c r="E361" i="14" a="1"/>
  <c r="E362" i="14" a="1"/>
  <c r="E363" i="14" a="1"/>
  <c r="E364" i="14" a="1"/>
  <c r="E365" i="14" a="1"/>
  <c r="E366" i="14" a="1"/>
  <c r="E367" i="14" a="1"/>
  <c r="E368" i="14" a="1"/>
  <c r="E369" i="14" a="1"/>
  <c r="E370" i="14" a="1"/>
  <c r="E371" i="14" a="1"/>
  <c r="E372" i="14" a="1"/>
  <c r="E373" i="14" a="1"/>
  <c r="E374" i="14" a="1"/>
  <c r="E375" i="14" a="1"/>
  <c r="E376" i="14" a="1"/>
  <c r="E377" i="14" a="1"/>
  <c r="E378" i="14" a="1"/>
  <c r="E379" i="14" a="1"/>
  <c r="E380" i="14" a="1"/>
  <c r="E381" i="14" a="1"/>
  <c r="E382" i="14" a="1"/>
  <c r="E383" i="14" a="1"/>
  <c r="E384" i="14" a="1"/>
  <c r="E385" i="14" a="1"/>
  <c r="E386" i="14" a="1"/>
  <c r="E387" i="14" a="1"/>
  <c r="E388" i="14" a="1"/>
  <c r="E389" i="14" a="1"/>
  <c r="E390" i="14" a="1"/>
  <c r="E391" i="14" a="1"/>
  <c r="E392" i="14" a="1"/>
  <c r="E393" i="14" a="1"/>
  <c r="E394" i="14" a="1"/>
  <c r="E395" i="14" a="1"/>
  <c r="E396" i="14" a="1"/>
  <c r="E397" i="14" a="1"/>
  <c r="E398" i="14" a="1"/>
  <c r="E399" i="14" a="1"/>
  <c r="E400" i="14" a="1"/>
  <c r="E401" i="14" a="1"/>
  <c r="E402" i="14" a="1"/>
  <c r="E403" i="14" a="1"/>
  <c r="E404" i="14" a="1"/>
  <c r="E405" i="14" a="1"/>
  <c r="E406" i="14" a="1"/>
  <c r="E407" i="14" a="1"/>
  <c r="E408" i="14" a="1"/>
  <c r="E409" i="14" a="1"/>
  <c r="E410" i="14" a="1"/>
  <c r="E411" i="14" a="1"/>
  <c r="E412" i="14" a="1"/>
  <c r="E413" i="14" a="1"/>
  <c r="E414" i="14" a="1"/>
  <c r="E415" i="14" a="1"/>
  <c r="E416" i="14" a="1"/>
  <c r="E417" i="14" a="1"/>
  <c r="E418" i="14" a="1"/>
  <c r="E419" i="14" a="1"/>
  <c r="E420" i="14" a="1"/>
  <c r="E421" i="14" a="1"/>
  <c r="E422" i="14" a="1"/>
  <c r="E423" i="14" a="1"/>
  <c r="E424" i="14" a="1"/>
  <c r="E425" i="14" a="1"/>
  <c r="E426" i="14" a="1"/>
  <c r="E427" i="14" a="1"/>
  <c r="E428" i="14" a="1"/>
  <c r="E429" i="14" a="1"/>
  <c r="E430" i="14" a="1"/>
  <c r="E431" i="14" a="1"/>
  <c r="E432" i="14" a="1"/>
  <c r="E433" i="14" a="1"/>
  <c r="E434" i="14" a="1"/>
  <c r="E435" i="14" a="1"/>
  <c r="E436" i="14" a="1"/>
  <c r="E437" i="14" a="1"/>
  <c r="E438" i="14" a="1"/>
  <c r="E439" i="14" a="1"/>
  <c r="E440" i="14" a="1"/>
  <c r="E441" i="14" a="1"/>
  <c r="E442" i="14" a="1"/>
  <c r="E443" i="14" a="1"/>
  <c r="E444" i="14" a="1"/>
  <c r="E445" i="14" a="1"/>
  <c r="E446" i="14" a="1"/>
  <c r="E447" i="14" a="1"/>
  <c r="E448" i="14" a="1"/>
  <c r="E449" i="14" a="1"/>
  <c r="E450" i="14" a="1"/>
  <c r="E451" i="14" a="1"/>
  <c r="E452" i="14" a="1"/>
  <c r="E453" i="14" a="1"/>
  <c r="E454" i="14" a="1"/>
  <c r="E455" i="14" a="1"/>
  <c r="E456" i="14" a="1"/>
  <c r="E457" i="14" a="1"/>
  <c r="E458" i="14" a="1"/>
  <c r="E459" i="14" a="1"/>
  <c r="E460" i="14" a="1"/>
  <c r="E461" i="14" a="1"/>
  <c r="E462" i="14" a="1"/>
  <c r="E463" i="14" a="1"/>
  <c r="E464" i="14" a="1"/>
  <c r="E465" i="14" a="1"/>
  <c r="E466" i="14" a="1"/>
  <c r="E467" i="14" a="1"/>
  <c r="E468" i="14" a="1"/>
  <c r="E469" i="14" a="1"/>
  <c r="E470" i="14" a="1"/>
  <c r="E471" i="14" a="1"/>
  <c r="E472" i="14" a="1"/>
  <c r="E473" i="14" a="1"/>
  <c r="E474" i="14" a="1"/>
  <c r="E475" i="14" a="1"/>
  <c r="E476" i="14" a="1"/>
  <c r="E477" i="14" a="1"/>
  <c r="E478" i="14" a="1"/>
  <c r="E479" i="14" a="1"/>
  <c r="E480" i="14" a="1"/>
  <c r="E481" i="14" a="1"/>
  <c r="E482" i="14" a="1"/>
  <c r="E483" i="14" a="1"/>
  <c r="E484" i="14" a="1"/>
  <c r="E485" i="14" a="1"/>
  <c r="E486" i="14" a="1"/>
  <c r="E487" i="14" a="1"/>
  <c r="E488" i="14" a="1"/>
  <c r="E489" i="14" a="1"/>
  <c r="E490" i="14" a="1"/>
  <c r="E491" i="14" a="1"/>
  <c r="E492" i="14" a="1"/>
  <c r="E493" i="14" a="1"/>
  <c r="E494" i="14" a="1"/>
  <c r="E495" i="14" a="1"/>
  <c r="E496" i="14" a="1"/>
  <c r="E497" i="14" a="1"/>
  <c r="E498" i="14" a="1"/>
  <c r="E499" i="14" a="1"/>
  <c r="E500" i="14" a="1"/>
  <c r="E501" i="14" a="1"/>
  <c r="E2" i="14" a="1"/>
  <c r="H2" i="14" s="1"/>
  <c r="C3" i="14"/>
  <c r="D3" i="14" s="1"/>
  <c r="C4" i="14"/>
  <c r="D4" i="14" s="1"/>
  <c r="C5" i="14"/>
  <c r="D5" i="14" s="1"/>
  <c r="C6" i="14"/>
  <c r="D6" i="14" s="1"/>
  <c r="C7" i="14"/>
  <c r="D7" i="14" s="1"/>
  <c r="C8" i="14"/>
  <c r="D8" i="14" s="1"/>
  <c r="C9" i="14"/>
  <c r="D9" i="14" s="1"/>
  <c r="C10" i="14"/>
  <c r="D10" i="14" s="1"/>
  <c r="C11" i="14"/>
  <c r="D11" i="14" s="1"/>
  <c r="C12" i="14"/>
  <c r="D12" i="14" s="1"/>
  <c r="C13" i="14"/>
  <c r="D13" i="14" s="1"/>
  <c r="C14" i="14"/>
  <c r="D14" i="14" s="1"/>
  <c r="C15" i="14"/>
  <c r="D15" i="14" s="1"/>
  <c r="C16" i="14"/>
  <c r="D16" i="14" s="1"/>
  <c r="C17" i="14"/>
  <c r="D17" i="14" s="1"/>
  <c r="C18" i="14"/>
  <c r="D18" i="14" s="1"/>
  <c r="C19" i="14"/>
  <c r="D19" i="14" s="1"/>
  <c r="C20" i="14"/>
  <c r="D20" i="14" s="1"/>
  <c r="C21" i="14"/>
  <c r="D21" i="14" s="1"/>
  <c r="C22" i="14"/>
  <c r="D22" i="14" s="1"/>
  <c r="C23" i="14"/>
  <c r="D23" i="14" s="1"/>
  <c r="C24" i="14"/>
  <c r="D24" i="14" s="1"/>
  <c r="C25" i="14"/>
  <c r="D25" i="14" s="1"/>
  <c r="C26" i="14"/>
  <c r="D26" i="14" s="1"/>
  <c r="C27" i="14"/>
  <c r="D27" i="14" s="1"/>
  <c r="C28" i="14"/>
  <c r="D28" i="14" s="1"/>
  <c r="C29" i="14"/>
  <c r="D29" i="14" s="1"/>
  <c r="C30" i="14"/>
  <c r="D30" i="14" s="1"/>
  <c r="C31" i="14"/>
  <c r="D31" i="14" s="1"/>
  <c r="C32" i="14"/>
  <c r="D32" i="14" s="1"/>
  <c r="C33" i="14"/>
  <c r="D33" i="14" s="1"/>
  <c r="C34" i="14"/>
  <c r="D34" i="14" s="1"/>
  <c r="C35" i="14"/>
  <c r="D35" i="14" s="1"/>
  <c r="C36" i="14"/>
  <c r="D36" i="14" s="1"/>
  <c r="C37" i="14"/>
  <c r="D37" i="14" s="1"/>
  <c r="C38" i="14"/>
  <c r="D38" i="14" s="1"/>
  <c r="C39" i="14"/>
  <c r="D39" i="14" s="1"/>
  <c r="C40" i="14"/>
  <c r="D40" i="14" s="1"/>
  <c r="C41" i="14"/>
  <c r="D41" i="14" s="1"/>
  <c r="C42" i="14"/>
  <c r="D42" i="14" s="1"/>
  <c r="C43" i="14"/>
  <c r="D43" i="14" s="1"/>
  <c r="C44" i="14"/>
  <c r="D44" i="14" s="1"/>
  <c r="C45" i="14"/>
  <c r="D45" i="14" s="1"/>
  <c r="C46" i="14"/>
  <c r="D46" i="14" s="1"/>
  <c r="C47" i="14"/>
  <c r="D47" i="14" s="1"/>
  <c r="C48" i="14"/>
  <c r="D48" i="14" s="1"/>
  <c r="C49" i="14"/>
  <c r="D49" i="14" s="1"/>
  <c r="C50" i="14"/>
  <c r="D50" i="14" s="1"/>
  <c r="C51" i="14"/>
  <c r="D51" i="14" s="1"/>
  <c r="C52" i="14"/>
  <c r="D52" i="14" s="1"/>
  <c r="C53" i="14"/>
  <c r="D53" i="14" s="1"/>
  <c r="C54" i="14"/>
  <c r="D54" i="14" s="1"/>
  <c r="C55" i="14"/>
  <c r="D55" i="14" s="1"/>
  <c r="C56" i="14"/>
  <c r="D56" i="14" s="1"/>
  <c r="C57" i="14"/>
  <c r="D57" i="14" s="1"/>
  <c r="C58" i="14"/>
  <c r="D58" i="14" s="1"/>
  <c r="C59" i="14"/>
  <c r="D59" i="14" s="1"/>
  <c r="C60" i="14"/>
  <c r="D60" i="14" s="1"/>
  <c r="C61" i="14"/>
  <c r="D61" i="14" s="1"/>
  <c r="C62" i="14"/>
  <c r="D62" i="14" s="1"/>
  <c r="C63" i="14"/>
  <c r="D63" i="14" s="1"/>
  <c r="C64" i="14"/>
  <c r="D64" i="14" s="1"/>
  <c r="C65" i="14"/>
  <c r="D65" i="14" s="1"/>
  <c r="C66" i="14"/>
  <c r="D66" i="14" s="1"/>
  <c r="C67" i="14"/>
  <c r="D67" i="14" s="1"/>
  <c r="C68" i="14"/>
  <c r="D68" i="14" s="1"/>
  <c r="C69" i="14"/>
  <c r="D69" i="14" s="1"/>
  <c r="C70" i="14"/>
  <c r="D70" i="14" s="1"/>
  <c r="C71" i="14"/>
  <c r="D71" i="14" s="1"/>
  <c r="C72" i="14"/>
  <c r="D72" i="14" s="1"/>
  <c r="C73" i="14"/>
  <c r="D73" i="14" s="1"/>
  <c r="C74" i="14"/>
  <c r="D74" i="14" s="1"/>
  <c r="C75" i="14"/>
  <c r="D75" i="14" s="1"/>
  <c r="C76" i="14"/>
  <c r="D76" i="14" s="1"/>
  <c r="C77" i="14"/>
  <c r="D77" i="14" s="1"/>
  <c r="C78" i="14"/>
  <c r="D78" i="14" s="1"/>
  <c r="C79" i="14"/>
  <c r="D79" i="14" s="1"/>
  <c r="C80" i="14"/>
  <c r="D80" i="14" s="1"/>
  <c r="C81" i="14"/>
  <c r="D81" i="14" s="1"/>
  <c r="C82" i="14"/>
  <c r="D82" i="14" s="1"/>
  <c r="C83" i="14"/>
  <c r="D83" i="14" s="1"/>
  <c r="C84" i="14"/>
  <c r="D84" i="14" s="1"/>
  <c r="C85" i="14"/>
  <c r="D85" i="14" s="1"/>
  <c r="C86" i="14"/>
  <c r="D86" i="14" s="1"/>
  <c r="C87" i="14"/>
  <c r="D87" i="14" s="1"/>
  <c r="C88" i="14"/>
  <c r="D88" i="14" s="1"/>
  <c r="C89" i="14"/>
  <c r="D89" i="14" s="1"/>
  <c r="C90" i="14"/>
  <c r="D90" i="14" s="1"/>
  <c r="C91" i="14"/>
  <c r="D91" i="14" s="1"/>
  <c r="C92" i="14"/>
  <c r="D92" i="14" s="1"/>
  <c r="C93" i="14"/>
  <c r="D93" i="14" s="1"/>
  <c r="C94" i="14"/>
  <c r="D94" i="14" s="1"/>
  <c r="C95" i="14"/>
  <c r="D95" i="14" s="1"/>
  <c r="C96" i="14"/>
  <c r="D96" i="14" s="1"/>
  <c r="C97" i="14"/>
  <c r="D97" i="14" s="1"/>
  <c r="C98" i="14"/>
  <c r="D98" i="14" s="1"/>
  <c r="C99" i="14"/>
  <c r="D99" i="14" s="1"/>
  <c r="C100" i="14"/>
  <c r="D100" i="14" s="1"/>
  <c r="C101" i="14"/>
  <c r="D101" i="14" s="1"/>
  <c r="C102" i="14"/>
  <c r="D102" i="14" s="1"/>
  <c r="C103" i="14"/>
  <c r="D103" i="14" s="1"/>
  <c r="C104" i="14"/>
  <c r="D104" i="14" s="1"/>
  <c r="C105" i="14"/>
  <c r="D105" i="14" s="1"/>
  <c r="C106" i="14"/>
  <c r="D106" i="14" s="1"/>
  <c r="C107" i="14"/>
  <c r="D107" i="14" s="1"/>
  <c r="C108" i="14"/>
  <c r="D108" i="14" s="1"/>
  <c r="C109" i="14"/>
  <c r="D109" i="14" s="1"/>
  <c r="C110" i="14"/>
  <c r="D110" i="14" s="1"/>
  <c r="C111" i="14"/>
  <c r="D111" i="14" s="1"/>
  <c r="C112" i="14"/>
  <c r="D112" i="14" s="1"/>
  <c r="C113" i="14"/>
  <c r="D113" i="14" s="1"/>
  <c r="C114" i="14"/>
  <c r="D114" i="14" s="1"/>
  <c r="C115" i="14"/>
  <c r="D115" i="14" s="1"/>
  <c r="C116" i="14"/>
  <c r="D116" i="14" s="1"/>
  <c r="C117" i="14"/>
  <c r="D117" i="14" s="1"/>
  <c r="C118" i="14"/>
  <c r="D118" i="14" s="1"/>
  <c r="C119" i="14"/>
  <c r="D119" i="14" s="1"/>
  <c r="C120" i="14"/>
  <c r="D120" i="14" s="1"/>
  <c r="C121" i="14"/>
  <c r="D121" i="14" s="1"/>
  <c r="C122" i="14"/>
  <c r="D122" i="14" s="1"/>
  <c r="C123" i="14"/>
  <c r="D123" i="14" s="1"/>
  <c r="C124" i="14"/>
  <c r="D124" i="14" s="1"/>
  <c r="C125" i="14"/>
  <c r="D125" i="14" s="1"/>
  <c r="C126" i="14"/>
  <c r="D126" i="14" s="1"/>
  <c r="C127" i="14"/>
  <c r="D127" i="14" s="1"/>
  <c r="C128" i="14"/>
  <c r="D128" i="14" s="1"/>
  <c r="C129" i="14"/>
  <c r="D129" i="14" s="1"/>
  <c r="C130" i="14"/>
  <c r="D130" i="14" s="1"/>
  <c r="C131" i="14"/>
  <c r="D131" i="14" s="1"/>
  <c r="C132" i="14"/>
  <c r="D132" i="14" s="1"/>
  <c r="C133" i="14"/>
  <c r="D133" i="14" s="1"/>
  <c r="C134" i="14"/>
  <c r="D134" i="14" s="1"/>
  <c r="C135" i="14"/>
  <c r="D135" i="14" s="1"/>
  <c r="C136" i="14"/>
  <c r="D136" i="14" s="1"/>
  <c r="C137" i="14"/>
  <c r="D137" i="14" s="1"/>
  <c r="C138" i="14"/>
  <c r="D138" i="14" s="1"/>
  <c r="C139" i="14"/>
  <c r="D139" i="14" s="1"/>
  <c r="C140" i="14"/>
  <c r="D140" i="14" s="1"/>
  <c r="C141" i="14"/>
  <c r="D141" i="14" s="1"/>
  <c r="C142" i="14"/>
  <c r="D142" i="14" s="1"/>
  <c r="C143" i="14"/>
  <c r="D143" i="14" s="1"/>
  <c r="C144" i="14"/>
  <c r="D144" i="14" s="1"/>
  <c r="C145" i="14"/>
  <c r="D145" i="14" s="1"/>
  <c r="C146" i="14"/>
  <c r="D146" i="14" s="1"/>
  <c r="C147" i="14"/>
  <c r="D147" i="14" s="1"/>
  <c r="C148" i="14"/>
  <c r="D148" i="14" s="1"/>
  <c r="C149" i="14"/>
  <c r="D149" i="14" s="1"/>
  <c r="C150" i="14"/>
  <c r="D150" i="14" s="1"/>
  <c r="C151" i="14"/>
  <c r="D151" i="14" s="1"/>
  <c r="C152" i="14"/>
  <c r="D152" i="14" s="1"/>
  <c r="C153" i="14"/>
  <c r="D153" i="14" s="1"/>
  <c r="C154" i="14"/>
  <c r="D154" i="14" s="1"/>
  <c r="C155" i="14"/>
  <c r="D155" i="14" s="1"/>
  <c r="C156" i="14"/>
  <c r="D156" i="14" s="1"/>
  <c r="C157" i="14"/>
  <c r="D157" i="14" s="1"/>
  <c r="C158" i="14"/>
  <c r="D158" i="14" s="1"/>
  <c r="C159" i="14"/>
  <c r="D159" i="14" s="1"/>
  <c r="C160" i="14"/>
  <c r="D160" i="14" s="1"/>
  <c r="C161" i="14"/>
  <c r="D161" i="14" s="1"/>
  <c r="C162" i="14"/>
  <c r="D162" i="14" s="1"/>
  <c r="C163" i="14"/>
  <c r="D163" i="14" s="1"/>
  <c r="C164" i="14"/>
  <c r="D164" i="14" s="1"/>
  <c r="C165" i="14"/>
  <c r="D165" i="14" s="1"/>
  <c r="C166" i="14"/>
  <c r="D166" i="14" s="1"/>
  <c r="C167" i="14"/>
  <c r="D167" i="14" s="1"/>
  <c r="C168" i="14"/>
  <c r="D168" i="14" s="1"/>
  <c r="C169" i="14"/>
  <c r="D169" i="14" s="1"/>
  <c r="C170" i="14"/>
  <c r="D170" i="14" s="1"/>
  <c r="C171" i="14"/>
  <c r="D171" i="14" s="1"/>
  <c r="C172" i="14"/>
  <c r="D172" i="14" s="1"/>
  <c r="C173" i="14"/>
  <c r="D173" i="14" s="1"/>
  <c r="C174" i="14"/>
  <c r="D174" i="14" s="1"/>
  <c r="C175" i="14"/>
  <c r="D175" i="14" s="1"/>
  <c r="C176" i="14"/>
  <c r="D176" i="14" s="1"/>
  <c r="C177" i="14"/>
  <c r="D177" i="14" s="1"/>
  <c r="C178" i="14"/>
  <c r="D178" i="14" s="1"/>
  <c r="C179" i="14"/>
  <c r="D179" i="14" s="1"/>
  <c r="C180" i="14"/>
  <c r="D180" i="14" s="1"/>
  <c r="C181" i="14"/>
  <c r="D181" i="14" s="1"/>
  <c r="C182" i="14"/>
  <c r="D182" i="14" s="1"/>
  <c r="C183" i="14"/>
  <c r="D183" i="14" s="1"/>
  <c r="C184" i="14"/>
  <c r="D184" i="14" s="1"/>
  <c r="C185" i="14"/>
  <c r="D185" i="14" s="1"/>
  <c r="C186" i="14"/>
  <c r="D186" i="14" s="1"/>
  <c r="C187" i="14"/>
  <c r="D187" i="14" s="1"/>
  <c r="C188" i="14"/>
  <c r="D188" i="14" s="1"/>
  <c r="C189" i="14"/>
  <c r="D189" i="14" s="1"/>
  <c r="C190" i="14"/>
  <c r="D190" i="14" s="1"/>
  <c r="C191" i="14"/>
  <c r="D191" i="14" s="1"/>
  <c r="C192" i="14"/>
  <c r="D192" i="14" s="1"/>
  <c r="C193" i="14"/>
  <c r="D193" i="14" s="1"/>
  <c r="C194" i="14"/>
  <c r="D194" i="14" s="1"/>
  <c r="C195" i="14"/>
  <c r="D195" i="14" s="1"/>
  <c r="C196" i="14"/>
  <c r="D196" i="14" s="1"/>
  <c r="C197" i="14"/>
  <c r="D197" i="14" s="1"/>
  <c r="C198" i="14"/>
  <c r="D198" i="14" s="1"/>
  <c r="C199" i="14"/>
  <c r="D199" i="14" s="1"/>
  <c r="C200" i="14"/>
  <c r="D200" i="14" s="1"/>
  <c r="C201" i="14"/>
  <c r="D201" i="14" s="1"/>
  <c r="C202" i="14"/>
  <c r="D202" i="14" s="1"/>
  <c r="C203" i="14"/>
  <c r="D203" i="14" s="1"/>
  <c r="C204" i="14"/>
  <c r="D204" i="14" s="1"/>
  <c r="C205" i="14"/>
  <c r="D205" i="14" s="1"/>
  <c r="C206" i="14"/>
  <c r="D206" i="14" s="1"/>
  <c r="C207" i="14"/>
  <c r="D207" i="14" s="1"/>
  <c r="C208" i="14"/>
  <c r="D208" i="14" s="1"/>
  <c r="C209" i="14"/>
  <c r="D209" i="14" s="1"/>
  <c r="C210" i="14"/>
  <c r="D210" i="14" s="1"/>
  <c r="C211" i="14"/>
  <c r="D211" i="14" s="1"/>
  <c r="C212" i="14"/>
  <c r="D212" i="14" s="1"/>
  <c r="C213" i="14"/>
  <c r="D213" i="14" s="1"/>
  <c r="C214" i="14"/>
  <c r="D214" i="14" s="1"/>
  <c r="C215" i="14"/>
  <c r="D215" i="14" s="1"/>
  <c r="C216" i="14"/>
  <c r="D216" i="14" s="1"/>
  <c r="C217" i="14"/>
  <c r="D217" i="14" s="1"/>
  <c r="C218" i="14"/>
  <c r="D218" i="14" s="1"/>
  <c r="C219" i="14"/>
  <c r="D219" i="14" s="1"/>
  <c r="C220" i="14"/>
  <c r="D220" i="14" s="1"/>
  <c r="C221" i="14"/>
  <c r="D221" i="14" s="1"/>
  <c r="C222" i="14"/>
  <c r="D222" i="14" s="1"/>
  <c r="C223" i="14"/>
  <c r="D223" i="14" s="1"/>
  <c r="C224" i="14"/>
  <c r="D224" i="14" s="1"/>
  <c r="C225" i="14"/>
  <c r="D225" i="14" s="1"/>
  <c r="C226" i="14"/>
  <c r="D226" i="14" s="1"/>
  <c r="C227" i="14"/>
  <c r="D227" i="14" s="1"/>
  <c r="C228" i="14"/>
  <c r="D228" i="14" s="1"/>
  <c r="C229" i="14"/>
  <c r="D229" i="14" s="1"/>
  <c r="C230" i="14"/>
  <c r="D230" i="14" s="1"/>
  <c r="C231" i="14"/>
  <c r="D231" i="14" s="1"/>
  <c r="C232" i="14"/>
  <c r="D232" i="14" s="1"/>
  <c r="C233" i="14"/>
  <c r="D233" i="14" s="1"/>
  <c r="C234" i="14"/>
  <c r="D234" i="14" s="1"/>
  <c r="C235" i="14"/>
  <c r="D235" i="14" s="1"/>
  <c r="C236" i="14"/>
  <c r="D236" i="14" s="1"/>
  <c r="C237" i="14"/>
  <c r="D237" i="14" s="1"/>
  <c r="C238" i="14"/>
  <c r="D238" i="14" s="1"/>
  <c r="C239" i="14"/>
  <c r="D239" i="14" s="1"/>
  <c r="C240" i="14"/>
  <c r="D240" i="14" s="1"/>
  <c r="C241" i="14"/>
  <c r="D241" i="14" s="1"/>
  <c r="C242" i="14"/>
  <c r="D242" i="14" s="1"/>
  <c r="C243" i="14"/>
  <c r="D243" i="14" s="1"/>
  <c r="C244" i="14"/>
  <c r="D244" i="14" s="1"/>
  <c r="C245" i="14"/>
  <c r="D245" i="14" s="1"/>
  <c r="C246" i="14"/>
  <c r="D246" i="14" s="1"/>
  <c r="C247" i="14"/>
  <c r="D247" i="14" s="1"/>
  <c r="C248" i="14"/>
  <c r="D248" i="14" s="1"/>
  <c r="C249" i="14"/>
  <c r="D249" i="14" s="1"/>
  <c r="C250" i="14"/>
  <c r="D250" i="14" s="1"/>
  <c r="C251" i="14"/>
  <c r="D251" i="14" s="1"/>
  <c r="C252" i="14"/>
  <c r="D252" i="14" s="1"/>
  <c r="C253" i="14"/>
  <c r="D253" i="14" s="1"/>
  <c r="C254" i="14"/>
  <c r="D254" i="14" s="1"/>
  <c r="C255" i="14"/>
  <c r="D255" i="14" s="1"/>
  <c r="C256" i="14"/>
  <c r="D256" i="14" s="1"/>
  <c r="C257" i="14"/>
  <c r="D257" i="14" s="1"/>
  <c r="C258" i="14"/>
  <c r="D258" i="14" s="1"/>
  <c r="C259" i="14"/>
  <c r="D259" i="14" s="1"/>
  <c r="C260" i="14"/>
  <c r="D260" i="14" s="1"/>
  <c r="C261" i="14"/>
  <c r="D261" i="14" s="1"/>
  <c r="C262" i="14"/>
  <c r="D262" i="14" s="1"/>
  <c r="C263" i="14"/>
  <c r="D263" i="14" s="1"/>
  <c r="C264" i="14"/>
  <c r="D264" i="14" s="1"/>
  <c r="C265" i="14"/>
  <c r="D265" i="14" s="1"/>
  <c r="C266" i="14"/>
  <c r="D266" i="14" s="1"/>
  <c r="C267" i="14"/>
  <c r="D267" i="14" s="1"/>
  <c r="C268" i="14"/>
  <c r="D268" i="14" s="1"/>
  <c r="C269" i="14"/>
  <c r="D269" i="14" s="1"/>
  <c r="C270" i="14"/>
  <c r="D270" i="14" s="1"/>
  <c r="C271" i="14"/>
  <c r="D271" i="14" s="1"/>
  <c r="C272" i="14"/>
  <c r="D272" i="14" s="1"/>
  <c r="C273" i="14"/>
  <c r="D273" i="14" s="1"/>
  <c r="C274" i="14"/>
  <c r="D274" i="14" s="1"/>
  <c r="C275" i="14"/>
  <c r="D275" i="14" s="1"/>
  <c r="C276" i="14"/>
  <c r="D276" i="14" s="1"/>
  <c r="C277" i="14"/>
  <c r="D277" i="14" s="1"/>
  <c r="C278" i="14"/>
  <c r="D278" i="14" s="1"/>
  <c r="C279" i="14"/>
  <c r="D279" i="14" s="1"/>
  <c r="C280" i="14"/>
  <c r="D280" i="14" s="1"/>
  <c r="C281" i="14"/>
  <c r="D281" i="14" s="1"/>
  <c r="C282" i="14"/>
  <c r="D282" i="14" s="1"/>
  <c r="C283" i="14"/>
  <c r="D283" i="14" s="1"/>
  <c r="C284" i="14"/>
  <c r="D284" i="14" s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C285" i="14" s="1"/>
  <c r="D285" i="14" s="1"/>
  <c r="B286" i="14"/>
  <c r="C286" i="14" s="1"/>
  <c r="D286" i="14" s="1"/>
  <c r="B287" i="14"/>
  <c r="C287" i="14" s="1"/>
  <c r="D287" i="14" s="1"/>
  <c r="B288" i="14"/>
  <c r="C288" i="14" s="1"/>
  <c r="D288" i="14" s="1"/>
  <c r="B289" i="14"/>
  <c r="C289" i="14" s="1"/>
  <c r="D289" i="14" s="1"/>
  <c r="B290" i="14"/>
  <c r="C290" i="14" s="1"/>
  <c r="D290" i="14" s="1"/>
  <c r="B291" i="14"/>
  <c r="C291" i="14" s="1"/>
  <c r="D291" i="14" s="1"/>
  <c r="B292" i="14"/>
  <c r="C292" i="14" s="1"/>
  <c r="D292" i="14" s="1"/>
  <c r="B293" i="14"/>
  <c r="C293" i="14" s="1"/>
  <c r="D293" i="14" s="1"/>
  <c r="B294" i="14"/>
  <c r="C294" i="14" s="1"/>
  <c r="D294" i="14" s="1"/>
  <c r="B295" i="14"/>
  <c r="C295" i="14" s="1"/>
  <c r="D295" i="14" s="1"/>
  <c r="B296" i="14"/>
  <c r="C296" i="14" s="1"/>
  <c r="D296" i="14" s="1"/>
  <c r="B297" i="14"/>
  <c r="C297" i="14" s="1"/>
  <c r="D297" i="14" s="1"/>
  <c r="B298" i="14"/>
  <c r="C298" i="14" s="1"/>
  <c r="D298" i="14" s="1"/>
  <c r="B299" i="14"/>
  <c r="C299" i="14" s="1"/>
  <c r="D299" i="14" s="1"/>
  <c r="B300" i="14"/>
  <c r="C300" i="14" s="1"/>
  <c r="D300" i="14" s="1"/>
  <c r="B301" i="14"/>
  <c r="C301" i="14" s="1"/>
  <c r="D301" i="14" s="1"/>
  <c r="B302" i="14"/>
  <c r="C302" i="14" s="1"/>
  <c r="D302" i="14" s="1"/>
  <c r="B303" i="14"/>
  <c r="C303" i="14" s="1"/>
  <c r="D303" i="14" s="1"/>
  <c r="B304" i="14"/>
  <c r="C304" i="14" s="1"/>
  <c r="D304" i="14" s="1"/>
  <c r="B305" i="14"/>
  <c r="C305" i="14" s="1"/>
  <c r="D305" i="14" s="1"/>
  <c r="B306" i="14"/>
  <c r="C306" i="14" s="1"/>
  <c r="D306" i="14" s="1"/>
  <c r="B307" i="14"/>
  <c r="C307" i="14" s="1"/>
  <c r="D307" i="14" s="1"/>
  <c r="B308" i="14"/>
  <c r="C308" i="14" s="1"/>
  <c r="D308" i="14" s="1"/>
  <c r="B309" i="14"/>
  <c r="C309" i="14" s="1"/>
  <c r="D309" i="14" s="1"/>
  <c r="B310" i="14"/>
  <c r="C310" i="14" s="1"/>
  <c r="D310" i="14" s="1"/>
  <c r="B311" i="14"/>
  <c r="C311" i="14" s="1"/>
  <c r="D311" i="14" s="1"/>
  <c r="B312" i="14"/>
  <c r="C312" i="14" s="1"/>
  <c r="D312" i="14" s="1"/>
  <c r="B313" i="14"/>
  <c r="C313" i="14" s="1"/>
  <c r="D313" i="14" s="1"/>
  <c r="B314" i="14"/>
  <c r="C314" i="14" s="1"/>
  <c r="D314" i="14" s="1"/>
  <c r="B315" i="14"/>
  <c r="C315" i="14" s="1"/>
  <c r="D315" i="14" s="1"/>
  <c r="B316" i="14"/>
  <c r="C316" i="14" s="1"/>
  <c r="D316" i="14" s="1"/>
  <c r="B317" i="14"/>
  <c r="C317" i="14" s="1"/>
  <c r="D317" i="14" s="1"/>
  <c r="B318" i="14"/>
  <c r="C318" i="14" s="1"/>
  <c r="D318" i="14" s="1"/>
  <c r="B319" i="14"/>
  <c r="C319" i="14" s="1"/>
  <c r="D319" i="14" s="1"/>
  <c r="B320" i="14"/>
  <c r="C320" i="14" s="1"/>
  <c r="D320" i="14" s="1"/>
  <c r="B321" i="14"/>
  <c r="C321" i="14" s="1"/>
  <c r="D321" i="14" s="1"/>
  <c r="B322" i="14"/>
  <c r="C322" i="14" s="1"/>
  <c r="D322" i="14" s="1"/>
  <c r="B323" i="14"/>
  <c r="C323" i="14" s="1"/>
  <c r="D323" i="14" s="1"/>
  <c r="B324" i="14"/>
  <c r="C324" i="14" s="1"/>
  <c r="D324" i="14" s="1"/>
  <c r="B325" i="14"/>
  <c r="C325" i="14" s="1"/>
  <c r="D325" i="14" s="1"/>
  <c r="B326" i="14"/>
  <c r="C326" i="14" s="1"/>
  <c r="D326" i="14" s="1"/>
  <c r="B327" i="14"/>
  <c r="C327" i="14" s="1"/>
  <c r="D327" i="14" s="1"/>
  <c r="B328" i="14"/>
  <c r="C328" i="14" s="1"/>
  <c r="D328" i="14" s="1"/>
  <c r="B329" i="14"/>
  <c r="C329" i="14" s="1"/>
  <c r="D329" i="14" s="1"/>
  <c r="B330" i="14"/>
  <c r="C330" i="14" s="1"/>
  <c r="D330" i="14" s="1"/>
  <c r="B331" i="14"/>
  <c r="C331" i="14" s="1"/>
  <c r="D331" i="14" s="1"/>
  <c r="B332" i="14"/>
  <c r="C332" i="14" s="1"/>
  <c r="D332" i="14" s="1"/>
  <c r="B333" i="14"/>
  <c r="C333" i="14" s="1"/>
  <c r="D333" i="14" s="1"/>
  <c r="B334" i="14"/>
  <c r="C334" i="14" s="1"/>
  <c r="D334" i="14" s="1"/>
  <c r="B335" i="14"/>
  <c r="C335" i="14" s="1"/>
  <c r="D335" i="14" s="1"/>
  <c r="B336" i="14"/>
  <c r="C336" i="14" s="1"/>
  <c r="D336" i="14" s="1"/>
  <c r="B337" i="14"/>
  <c r="C337" i="14" s="1"/>
  <c r="D337" i="14" s="1"/>
  <c r="B338" i="14"/>
  <c r="C338" i="14" s="1"/>
  <c r="D338" i="14" s="1"/>
  <c r="B339" i="14"/>
  <c r="C339" i="14" s="1"/>
  <c r="D339" i="14" s="1"/>
  <c r="B340" i="14"/>
  <c r="C340" i="14" s="1"/>
  <c r="D340" i="14" s="1"/>
  <c r="B341" i="14"/>
  <c r="C341" i="14" s="1"/>
  <c r="D341" i="14" s="1"/>
  <c r="B342" i="14"/>
  <c r="C342" i="14" s="1"/>
  <c r="D342" i="14" s="1"/>
  <c r="B343" i="14"/>
  <c r="C343" i="14" s="1"/>
  <c r="D343" i="14" s="1"/>
  <c r="B344" i="14"/>
  <c r="C344" i="14" s="1"/>
  <c r="D344" i="14" s="1"/>
  <c r="B345" i="14"/>
  <c r="C345" i="14" s="1"/>
  <c r="D345" i="14" s="1"/>
  <c r="B346" i="14"/>
  <c r="C346" i="14" s="1"/>
  <c r="D346" i="14" s="1"/>
  <c r="B347" i="14"/>
  <c r="C347" i="14" s="1"/>
  <c r="D347" i="14" s="1"/>
  <c r="B348" i="14"/>
  <c r="C348" i="14" s="1"/>
  <c r="D348" i="14" s="1"/>
  <c r="B349" i="14"/>
  <c r="C349" i="14" s="1"/>
  <c r="D349" i="14" s="1"/>
  <c r="B350" i="14"/>
  <c r="C350" i="14" s="1"/>
  <c r="D350" i="14" s="1"/>
  <c r="B351" i="14"/>
  <c r="C351" i="14" s="1"/>
  <c r="D351" i="14" s="1"/>
  <c r="B352" i="14"/>
  <c r="C352" i="14" s="1"/>
  <c r="D352" i="14" s="1"/>
  <c r="B353" i="14"/>
  <c r="C353" i="14" s="1"/>
  <c r="D353" i="14" s="1"/>
  <c r="B354" i="14"/>
  <c r="C354" i="14" s="1"/>
  <c r="D354" i="14" s="1"/>
  <c r="B355" i="14"/>
  <c r="C355" i="14" s="1"/>
  <c r="D355" i="14" s="1"/>
  <c r="B356" i="14"/>
  <c r="C356" i="14" s="1"/>
  <c r="D356" i="14" s="1"/>
  <c r="B357" i="14"/>
  <c r="C357" i="14" s="1"/>
  <c r="D357" i="14" s="1"/>
  <c r="B358" i="14"/>
  <c r="C358" i="14" s="1"/>
  <c r="D358" i="14" s="1"/>
  <c r="B359" i="14"/>
  <c r="C359" i="14" s="1"/>
  <c r="D359" i="14" s="1"/>
  <c r="B360" i="14"/>
  <c r="C360" i="14" s="1"/>
  <c r="D360" i="14" s="1"/>
  <c r="B361" i="14"/>
  <c r="C361" i="14" s="1"/>
  <c r="D361" i="14" s="1"/>
  <c r="B362" i="14"/>
  <c r="C362" i="14" s="1"/>
  <c r="D362" i="14" s="1"/>
  <c r="B363" i="14"/>
  <c r="C363" i="14" s="1"/>
  <c r="D363" i="14" s="1"/>
  <c r="B364" i="14"/>
  <c r="C364" i="14" s="1"/>
  <c r="D364" i="14" s="1"/>
  <c r="B365" i="14"/>
  <c r="C365" i="14" s="1"/>
  <c r="D365" i="14" s="1"/>
  <c r="B366" i="14"/>
  <c r="C366" i="14" s="1"/>
  <c r="D366" i="14" s="1"/>
  <c r="B367" i="14"/>
  <c r="C367" i="14" s="1"/>
  <c r="D367" i="14" s="1"/>
  <c r="B368" i="14"/>
  <c r="C368" i="14" s="1"/>
  <c r="D368" i="14" s="1"/>
  <c r="B369" i="14"/>
  <c r="C369" i="14" s="1"/>
  <c r="D369" i="14" s="1"/>
  <c r="B370" i="14"/>
  <c r="C370" i="14" s="1"/>
  <c r="D370" i="14" s="1"/>
  <c r="B371" i="14"/>
  <c r="C371" i="14" s="1"/>
  <c r="D371" i="14" s="1"/>
  <c r="B372" i="14"/>
  <c r="C372" i="14" s="1"/>
  <c r="D372" i="14" s="1"/>
  <c r="B373" i="14"/>
  <c r="C373" i="14" s="1"/>
  <c r="D373" i="14" s="1"/>
  <c r="B374" i="14"/>
  <c r="C374" i="14" s="1"/>
  <c r="D374" i="14" s="1"/>
  <c r="B375" i="14"/>
  <c r="C375" i="14" s="1"/>
  <c r="D375" i="14" s="1"/>
  <c r="B376" i="14"/>
  <c r="C376" i="14" s="1"/>
  <c r="D376" i="14" s="1"/>
  <c r="B377" i="14"/>
  <c r="C377" i="14" s="1"/>
  <c r="D377" i="14" s="1"/>
  <c r="B378" i="14"/>
  <c r="C378" i="14" s="1"/>
  <c r="D378" i="14" s="1"/>
  <c r="B379" i="14"/>
  <c r="C379" i="14" s="1"/>
  <c r="D379" i="14" s="1"/>
  <c r="B380" i="14"/>
  <c r="C380" i="14" s="1"/>
  <c r="D380" i="14" s="1"/>
  <c r="B381" i="14"/>
  <c r="C381" i="14" s="1"/>
  <c r="D381" i="14" s="1"/>
  <c r="B382" i="14"/>
  <c r="C382" i="14" s="1"/>
  <c r="D382" i="14" s="1"/>
  <c r="B383" i="14"/>
  <c r="C383" i="14" s="1"/>
  <c r="D383" i="14" s="1"/>
  <c r="B384" i="14"/>
  <c r="C384" i="14" s="1"/>
  <c r="D384" i="14" s="1"/>
  <c r="B385" i="14"/>
  <c r="C385" i="14" s="1"/>
  <c r="D385" i="14" s="1"/>
  <c r="B386" i="14"/>
  <c r="C386" i="14" s="1"/>
  <c r="D386" i="14" s="1"/>
  <c r="B387" i="14"/>
  <c r="C387" i="14" s="1"/>
  <c r="D387" i="14" s="1"/>
  <c r="B388" i="14"/>
  <c r="C388" i="14" s="1"/>
  <c r="D388" i="14" s="1"/>
  <c r="B389" i="14"/>
  <c r="C389" i="14" s="1"/>
  <c r="D389" i="14" s="1"/>
  <c r="B390" i="14"/>
  <c r="C390" i="14" s="1"/>
  <c r="D390" i="14" s="1"/>
  <c r="B391" i="14"/>
  <c r="C391" i="14" s="1"/>
  <c r="D391" i="14" s="1"/>
  <c r="B392" i="14"/>
  <c r="C392" i="14" s="1"/>
  <c r="D392" i="14" s="1"/>
  <c r="B393" i="14"/>
  <c r="C393" i="14" s="1"/>
  <c r="D393" i="14" s="1"/>
  <c r="B394" i="14"/>
  <c r="C394" i="14" s="1"/>
  <c r="D394" i="14" s="1"/>
  <c r="B395" i="14"/>
  <c r="C395" i="14" s="1"/>
  <c r="D395" i="14" s="1"/>
  <c r="B396" i="14"/>
  <c r="C396" i="14" s="1"/>
  <c r="D396" i="14" s="1"/>
  <c r="B397" i="14"/>
  <c r="C397" i="14" s="1"/>
  <c r="D397" i="14" s="1"/>
  <c r="B398" i="14"/>
  <c r="C398" i="14" s="1"/>
  <c r="D398" i="14" s="1"/>
  <c r="B399" i="14"/>
  <c r="C399" i="14" s="1"/>
  <c r="D399" i="14" s="1"/>
  <c r="B400" i="14"/>
  <c r="C400" i="14" s="1"/>
  <c r="D400" i="14" s="1"/>
  <c r="B401" i="14"/>
  <c r="C401" i="14" s="1"/>
  <c r="D401" i="14" s="1"/>
  <c r="B402" i="14"/>
  <c r="C402" i="14" s="1"/>
  <c r="D402" i="14" s="1"/>
  <c r="B403" i="14"/>
  <c r="C403" i="14" s="1"/>
  <c r="D403" i="14" s="1"/>
  <c r="B404" i="14"/>
  <c r="C404" i="14" s="1"/>
  <c r="D404" i="14" s="1"/>
  <c r="B405" i="14"/>
  <c r="C405" i="14" s="1"/>
  <c r="D405" i="14" s="1"/>
  <c r="B406" i="14"/>
  <c r="C406" i="14" s="1"/>
  <c r="D406" i="14" s="1"/>
  <c r="B407" i="14"/>
  <c r="C407" i="14" s="1"/>
  <c r="D407" i="14" s="1"/>
  <c r="B408" i="14"/>
  <c r="C408" i="14" s="1"/>
  <c r="D408" i="14" s="1"/>
  <c r="B409" i="14"/>
  <c r="C409" i="14" s="1"/>
  <c r="D409" i="14" s="1"/>
  <c r="B410" i="14"/>
  <c r="C410" i="14" s="1"/>
  <c r="D410" i="14" s="1"/>
  <c r="B411" i="14"/>
  <c r="C411" i="14" s="1"/>
  <c r="D411" i="14" s="1"/>
  <c r="B412" i="14"/>
  <c r="C412" i="14" s="1"/>
  <c r="D412" i="14" s="1"/>
  <c r="B413" i="14"/>
  <c r="C413" i="14" s="1"/>
  <c r="D413" i="14" s="1"/>
  <c r="B414" i="14"/>
  <c r="C414" i="14" s="1"/>
  <c r="D414" i="14" s="1"/>
  <c r="B415" i="14"/>
  <c r="C415" i="14" s="1"/>
  <c r="D415" i="14" s="1"/>
  <c r="B416" i="14"/>
  <c r="C416" i="14" s="1"/>
  <c r="D416" i="14" s="1"/>
  <c r="B417" i="14"/>
  <c r="C417" i="14" s="1"/>
  <c r="D417" i="14" s="1"/>
  <c r="B418" i="14"/>
  <c r="C418" i="14" s="1"/>
  <c r="D418" i="14" s="1"/>
  <c r="B419" i="14"/>
  <c r="C419" i="14" s="1"/>
  <c r="D419" i="14" s="1"/>
  <c r="B420" i="14"/>
  <c r="C420" i="14" s="1"/>
  <c r="D420" i="14" s="1"/>
  <c r="B421" i="14"/>
  <c r="C421" i="14" s="1"/>
  <c r="D421" i="14" s="1"/>
  <c r="B422" i="14"/>
  <c r="C422" i="14" s="1"/>
  <c r="D422" i="14" s="1"/>
  <c r="B423" i="14"/>
  <c r="C423" i="14" s="1"/>
  <c r="D423" i="14" s="1"/>
  <c r="B424" i="14"/>
  <c r="C424" i="14" s="1"/>
  <c r="D424" i="14" s="1"/>
  <c r="B425" i="14"/>
  <c r="C425" i="14" s="1"/>
  <c r="D425" i="14" s="1"/>
  <c r="B426" i="14"/>
  <c r="C426" i="14" s="1"/>
  <c r="D426" i="14" s="1"/>
  <c r="B427" i="14"/>
  <c r="C427" i="14" s="1"/>
  <c r="D427" i="14" s="1"/>
  <c r="B428" i="14"/>
  <c r="C428" i="14" s="1"/>
  <c r="D428" i="14" s="1"/>
  <c r="B429" i="14"/>
  <c r="C429" i="14" s="1"/>
  <c r="D429" i="14" s="1"/>
  <c r="B430" i="14"/>
  <c r="C430" i="14" s="1"/>
  <c r="D430" i="14" s="1"/>
  <c r="B431" i="14"/>
  <c r="C431" i="14" s="1"/>
  <c r="D431" i="14" s="1"/>
  <c r="B432" i="14"/>
  <c r="C432" i="14" s="1"/>
  <c r="D432" i="14" s="1"/>
  <c r="B433" i="14"/>
  <c r="C433" i="14" s="1"/>
  <c r="D433" i="14" s="1"/>
  <c r="B434" i="14"/>
  <c r="C434" i="14" s="1"/>
  <c r="D434" i="14" s="1"/>
  <c r="B435" i="14"/>
  <c r="C435" i="14" s="1"/>
  <c r="D435" i="14" s="1"/>
  <c r="B436" i="14"/>
  <c r="C436" i="14" s="1"/>
  <c r="D436" i="14" s="1"/>
  <c r="B437" i="14"/>
  <c r="C437" i="14" s="1"/>
  <c r="D437" i="14" s="1"/>
  <c r="B438" i="14"/>
  <c r="C438" i="14" s="1"/>
  <c r="D438" i="14" s="1"/>
  <c r="B439" i="14"/>
  <c r="C439" i="14" s="1"/>
  <c r="D439" i="14" s="1"/>
  <c r="B440" i="14"/>
  <c r="C440" i="14" s="1"/>
  <c r="D440" i="14" s="1"/>
  <c r="B441" i="14"/>
  <c r="C441" i="14" s="1"/>
  <c r="D441" i="14" s="1"/>
  <c r="B442" i="14"/>
  <c r="C442" i="14" s="1"/>
  <c r="D442" i="14" s="1"/>
  <c r="B443" i="14"/>
  <c r="C443" i="14" s="1"/>
  <c r="D443" i="14" s="1"/>
  <c r="B444" i="14"/>
  <c r="C444" i="14" s="1"/>
  <c r="D444" i="14" s="1"/>
  <c r="B445" i="14"/>
  <c r="C445" i="14" s="1"/>
  <c r="D445" i="14" s="1"/>
  <c r="B446" i="14"/>
  <c r="C446" i="14" s="1"/>
  <c r="D446" i="14" s="1"/>
  <c r="B447" i="14"/>
  <c r="C447" i="14" s="1"/>
  <c r="D447" i="14" s="1"/>
  <c r="B448" i="14"/>
  <c r="C448" i="14" s="1"/>
  <c r="D448" i="14" s="1"/>
  <c r="B449" i="14"/>
  <c r="C449" i="14" s="1"/>
  <c r="D449" i="14" s="1"/>
  <c r="B450" i="14"/>
  <c r="C450" i="14" s="1"/>
  <c r="D450" i="14" s="1"/>
  <c r="B451" i="14"/>
  <c r="C451" i="14" s="1"/>
  <c r="D451" i="14" s="1"/>
  <c r="B452" i="14"/>
  <c r="C452" i="14" s="1"/>
  <c r="D452" i="14" s="1"/>
  <c r="B453" i="14"/>
  <c r="C453" i="14" s="1"/>
  <c r="D453" i="14" s="1"/>
  <c r="B454" i="14"/>
  <c r="C454" i="14" s="1"/>
  <c r="D454" i="14" s="1"/>
  <c r="B455" i="14"/>
  <c r="C455" i="14" s="1"/>
  <c r="D455" i="14" s="1"/>
  <c r="B456" i="14"/>
  <c r="C456" i="14" s="1"/>
  <c r="D456" i="14" s="1"/>
  <c r="B457" i="14"/>
  <c r="C457" i="14" s="1"/>
  <c r="D457" i="14" s="1"/>
  <c r="B458" i="14"/>
  <c r="C458" i="14" s="1"/>
  <c r="D458" i="14" s="1"/>
  <c r="B459" i="14"/>
  <c r="C459" i="14" s="1"/>
  <c r="D459" i="14" s="1"/>
  <c r="B460" i="14"/>
  <c r="C460" i="14" s="1"/>
  <c r="D460" i="14" s="1"/>
  <c r="B461" i="14"/>
  <c r="C461" i="14" s="1"/>
  <c r="D461" i="14" s="1"/>
  <c r="B462" i="14"/>
  <c r="C462" i="14" s="1"/>
  <c r="D462" i="14" s="1"/>
  <c r="B463" i="14"/>
  <c r="C463" i="14" s="1"/>
  <c r="D463" i="14" s="1"/>
  <c r="B464" i="14"/>
  <c r="C464" i="14" s="1"/>
  <c r="D464" i="14" s="1"/>
  <c r="B465" i="14"/>
  <c r="C465" i="14" s="1"/>
  <c r="D465" i="14" s="1"/>
  <c r="B466" i="14"/>
  <c r="C466" i="14" s="1"/>
  <c r="D466" i="14" s="1"/>
  <c r="B467" i="14"/>
  <c r="C467" i="14" s="1"/>
  <c r="D467" i="14" s="1"/>
  <c r="B468" i="14"/>
  <c r="C468" i="14" s="1"/>
  <c r="D468" i="14" s="1"/>
  <c r="B469" i="14"/>
  <c r="C469" i="14" s="1"/>
  <c r="D469" i="14" s="1"/>
  <c r="B470" i="14"/>
  <c r="C470" i="14" s="1"/>
  <c r="D470" i="14" s="1"/>
  <c r="B471" i="14"/>
  <c r="C471" i="14" s="1"/>
  <c r="D471" i="14" s="1"/>
  <c r="B472" i="14"/>
  <c r="C472" i="14" s="1"/>
  <c r="D472" i="14" s="1"/>
  <c r="B473" i="14"/>
  <c r="C473" i="14" s="1"/>
  <c r="D473" i="14" s="1"/>
  <c r="B474" i="14"/>
  <c r="C474" i="14" s="1"/>
  <c r="D474" i="14" s="1"/>
  <c r="B475" i="14"/>
  <c r="C475" i="14" s="1"/>
  <c r="D475" i="14" s="1"/>
  <c r="B476" i="14"/>
  <c r="C476" i="14" s="1"/>
  <c r="D476" i="14" s="1"/>
  <c r="B477" i="14"/>
  <c r="C477" i="14" s="1"/>
  <c r="D477" i="14" s="1"/>
  <c r="B478" i="14"/>
  <c r="C478" i="14" s="1"/>
  <c r="D478" i="14" s="1"/>
  <c r="B479" i="14"/>
  <c r="C479" i="14" s="1"/>
  <c r="D479" i="14" s="1"/>
  <c r="B480" i="14"/>
  <c r="C480" i="14" s="1"/>
  <c r="D480" i="14" s="1"/>
  <c r="B481" i="14"/>
  <c r="C481" i="14" s="1"/>
  <c r="D481" i="14" s="1"/>
  <c r="B482" i="14"/>
  <c r="C482" i="14" s="1"/>
  <c r="D482" i="14" s="1"/>
  <c r="B483" i="14"/>
  <c r="C483" i="14" s="1"/>
  <c r="D483" i="14" s="1"/>
  <c r="B484" i="14"/>
  <c r="C484" i="14" s="1"/>
  <c r="D484" i="14" s="1"/>
  <c r="B485" i="14"/>
  <c r="C485" i="14" s="1"/>
  <c r="D485" i="14" s="1"/>
  <c r="B486" i="14"/>
  <c r="C486" i="14" s="1"/>
  <c r="D486" i="14" s="1"/>
  <c r="B487" i="14"/>
  <c r="C487" i="14" s="1"/>
  <c r="D487" i="14" s="1"/>
  <c r="B488" i="14"/>
  <c r="C488" i="14" s="1"/>
  <c r="D488" i="14" s="1"/>
  <c r="B489" i="14"/>
  <c r="C489" i="14" s="1"/>
  <c r="D489" i="14" s="1"/>
  <c r="B490" i="14"/>
  <c r="C490" i="14" s="1"/>
  <c r="D490" i="14" s="1"/>
  <c r="B491" i="14"/>
  <c r="C491" i="14" s="1"/>
  <c r="D491" i="14" s="1"/>
  <c r="B492" i="14"/>
  <c r="C492" i="14" s="1"/>
  <c r="D492" i="14" s="1"/>
  <c r="B493" i="14"/>
  <c r="C493" i="14" s="1"/>
  <c r="D493" i="14" s="1"/>
  <c r="B494" i="14"/>
  <c r="C494" i="14" s="1"/>
  <c r="D494" i="14" s="1"/>
  <c r="B495" i="14"/>
  <c r="C495" i="14" s="1"/>
  <c r="D495" i="14" s="1"/>
  <c r="B496" i="14"/>
  <c r="C496" i="14" s="1"/>
  <c r="D496" i="14" s="1"/>
  <c r="B497" i="14"/>
  <c r="C497" i="14" s="1"/>
  <c r="D497" i="14" s="1"/>
  <c r="B498" i="14"/>
  <c r="C498" i="14" s="1"/>
  <c r="D498" i="14" s="1"/>
  <c r="B499" i="14"/>
  <c r="C499" i="14" s="1"/>
  <c r="D499" i="14" s="1"/>
  <c r="B500" i="14"/>
  <c r="C500" i="14" s="1"/>
  <c r="D500" i="14" s="1"/>
  <c r="B501" i="14"/>
  <c r="C501" i="14" s="1"/>
  <c r="D501" i="14" s="1"/>
  <c r="B2" i="14"/>
  <c r="H1987" i="4"/>
  <c r="G1987" i="4"/>
  <c r="J1987" i="4"/>
  <c r="E3" i="15" l="1"/>
  <c r="D3" i="15"/>
  <c r="B3" i="15"/>
  <c r="E4" i="15"/>
  <c r="D4" i="15"/>
  <c r="E5" i="15"/>
  <c r="B5" i="15"/>
  <c r="D5" i="15"/>
  <c r="E6" i="15"/>
  <c r="D6" i="15"/>
  <c r="B6" i="15"/>
  <c r="E7" i="15"/>
  <c r="D7" i="15"/>
  <c r="B7" i="15"/>
  <c r="E8" i="15"/>
  <c r="B8" i="15"/>
  <c r="D8" i="15"/>
  <c r="E9" i="15"/>
  <c r="B9" i="15"/>
  <c r="D9" i="15"/>
  <c r="E10" i="15"/>
  <c r="D10" i="15"/>
  <c r="B10" i="15"/>
  <c r="E11" i="15"/>
  <c r="D11" i="15"/>
  <c r="E12" i="15"/>
  <c r="B12" i="15"/>
  <c r="D12" i="15"/>
  <c r="E13" i="15"/>
  <c r="B13" i="15"/>
  <c r="D13" i="15"/>
  <c r="E14" i="15"/>
  <c r="B14" i="15"/>
  <c r="D14" i="15"/>
  <c r="E15" i="15"/>
  <c r="D15" i="15"/>
  <c r="B15" i="15"/>
  <c r="E16" i="15"/>
  <c r="D16" i="15"/>
  <c r="B16" i="15"/>
  <c r="B17" i="15"/>
  <c r="D17" i="15"/>
  <c r="E17" i="15"/>
  <c r="B18" i="15"/>
  <c r="E18" i="15"/>
  <c r="D18" i="15"/>
  <c r="E19" i="15"/>
  <c r="B19" i="15"/>
  <c r="D19" i="15"/>
  <c r="E20" i="15"/>
  <c r="D20" i="15"/>
  <c r="B20" i="15"/>
  <c r="E21" i="15"/>
  <c r="B21" i="15"/>
  <c r="D21" i="15"/>
  <c r="E22" i="15"/>
  <c r="B22" i="15"/>
  <c r="D22" i="15"/>
  <c r="E23" i="15"/>
  <c r="D23" i="15"/>
  <c r="B23" i="15"/>
  <c r="E24" i="15"/>
  <c r="D24" i="15"/>
  <c r="B24" i="15"/>
  <c r="E25" i="15"/>
  <c r="D25" i="15"/>
  <c r="B25" i="15"/>
  <c r="E26" i="15"/>
  <c r="B26" i="15"/>
  <c r="D26" i="15"/>
  <c r="D27" i="15"/>
  <c r="B27" i="15"/>
  <c r="E27" i="15"/>
  <c r="B28" i="15"/>
  <c r="D28" i="15"/>
  <c r="E28" i="15"/>
  <c r="E29" i="15"/>
  <c r="D29" i="15"/>
  <c r="B29" i="15"/>
  <c r="E30" i="15"/>
  <c r="B30" i="15"/>
  <c r="D30" i="15"/>
  <c r="D31" i="15"/>
  <c r="B31" i="15"/>
  <c r="E31" i="15"/>
  <c r="E32" i="15"/>
  <c r="B32" i="15"/>
  <c r="D32" i="15"/>
  <c r="E33" i="15"/>
  <c r="D33" i="15"/>
  <c r="B33" i="15"/>
  <c r="B34" i="15"/>
  <c r="E34" i="15"/>
  <c r="D34" i="15"/>
  <c r="D35" i="15"/>
  <c r="E35" i="15"/>
  <c r="B35" i="15"/>
  <c r="B36" i="15"/>
  <c r="D36" i="15"/>
  <c r="E36" i="15"/>
  <c r="E37" i="15"/>
  <c r="B37" i="15"/>
  <c r="D37" i="15"/>
  <c r="B38" i="15"/>
  <c r="D38" i="15"/>
  <c r="E38" i="15"/>
  <c r="E39" i="15"/>
  <c r="B39" i="15"/>
  <c r="D39" i="15"/>
  <c r="D40" i="15"/>
  <c r="E40" i="15"/>
  <c r="B40" i="15"/>
  <c r="D41" i="15"/>
  <c r="E41" i="15"/>
  <c r="B41" i="15"/>
  <c r="B42" i="15"/>
  <c r="D42" i="15"/>
  <c r="E42" i="15"/>
  <c r="D43" i="15"/>
  <c r="B43" i="15"/>
  <c r="E43" i="15"/>
  <c r="E44" i="15"/>
  <c r="D44" i="15"/>
  <c r="B44" i="15"/>
  <c r="E45" i="15"/>
  <c r="D45" i="15"/>
  <c r="B45" i="15"/>
  <c r="E46" i="15"/>
  <c r="D46" i="15"/>
  <c r="E47" i="15"/>
  <c r="B47" i="15"/>
  <c r="D47" i="15"/>
  <c r="D48" i="15"/>
  <c r="E48" i="15"/>
  <c r="E49" i="15"/>
  <c r="D49" i="15"/>
  <c r="D50" i="15"/>
  <c r="E50" i="15"/>
  <c r="E51" i="15"/>
  <c r="B51" i="15"/>
  <c r="D51" i="15"/>
  <c r="D52" i="15"/>
  <c r="E52" i="15"/>
  <c r="B52" i="15"/>
  <c r="D53" i="15"/>
  <c r="E53" i="15"/>
  <c r="B53" i="15"/>
  <c r="E54" i="15"/>
  <c r="B54" i="15"/>
  <c r="D54" i="15"/>
  <c r="E55" i="15"/>
  <c r="B55" i="15"/>
  <c r="D55" i="15"/>
  <c r="D56" i="15"/>
  <c r="E56" i="15"/>
  <c r="B56" i="15"/>
  <c r="D57" i="15"/>
  <c r="B57" i="15"/>
  <c r="E57" i="15"/>
  <c r="D58" i="15"/>
  <c r="E58" i="15"/>
  <c r="B58" i="15"/>
  <c r="D59" i="15"/>
  <c r="E59" i="15"/>
  <c r="D60" i="15"/>
  <c r="E60" i="15"/>
  <c r="B60" i="15"/>
  <c r="D61" i="15"/>
  <c r="B61" i="15"/>
  <c r="E61" i="15"/>
  <c r="D62" i="15"/>
  <c r="B62" i="15"/>
  <c r="E62" i="15"/>
  <c r="E63" i="15"/>
  <c r="D63" i="15"/>
  <c r="B63" i="15"/>
  <c r="E64" i="15"/>
  <c r="D64" i="15"/>
  <c r="B64" i="15"/>
  <c r="D65" i="15"/>
  <c r="E65" i="15"/>
  <c r="B65" i="15"/>
  <c r="E66" i="15"/>
  <c r="D66" i="15"/>
  <c r="B66" i="15"/>
  <c r="B67" i="15"/>
  <c r="E67" i="15"/>
  <c r="D67" i="15"/>
  <c r="D68" i="15"/>
  <c r="E68" i="15"/>
  <c r="B68" i="15"/>
  <c r="B69" i="15"/>
  <c r="E69" i="15"/>
  <c r="D69" i="15"/>
  <c r="B70" i="15"/>
  <c r="E70" i="15"/>
  <c r="D70" i="15"/>
  <c r="B71" i="15"/>
  <c r="E71" i="15"/>
  <c r="D71" i="15"/>
  <c r="B72" i="15"/>
  <c r="D72" i="15"/>
  <c r="E72" i="15"/>
  <c r="D73" i="15"/>
  <c r="E73" i="15"/>
  <c r="B74" i="15"/>
  <c r="D74" i="15"/>
  <c r="E74" i="15"/>
  <c r="B75" i="15"/>
  <c r="D75" i="15"/>
  <c r="E75" i="15"/>
  <c r="B76" i="15"/>
  <c r="E76" i="15"/>
  <c r="D76" i="15"/>
  <c r="B77" i="15"/>
  <c r="D77" i="15"/>
  <c r="E77" i="15"/>
  <c r="E78" i="15"/>
  <c r="B78" i="15"/>
  <c r="D78" i="15"/>
  <c r="B79" i="15"/>
  <c r="E79" i="15"/>
  <c r="D79" i="15"/>
  <c r="B80" i="15"/>
  <c r="E80" i="15"/>
  <c r="D80" i="15"/>
  <c r="B81" i="15"/>
  <c r="E81" i="15"/>
  <c r="D81" i="15"/>
  <c r="B82" i="15"/>
  <c r="E82" i="15"/>
  <c r="D82" i="15"/>
  <c r="B83" i="15"/>
  <c r="E83" i="15"/>
  <c r="D83" i="15"/>
  <c r="B84" i="15"/>
  <c r="E84" i="15"/>
  <c r="D84" i="15"/>
  <c r="B85" i="15"/>
  <c r="E85" i="15"/>
  <c r="D85" i="15"/>
  <c r="B86" i="15"/>
  <c r="E86" i="15"/>
  <c r="D86" i="15"/>
  <c r="B87" i="15"/>
  <c r="E87" i="15"/>
  <c r="D87" i="15"/>
  <c r="B88" i="15"/>
  <c r="E88" i="15"/>
  <c r="D88" i="15"/>
  <c r="B89" i="15"/>
  <c r="E89" i="15"/>
  <c r="D89" i="15"/>
  <c r="E90" i="15"/>
  <c r="B90" i="15"/>
  <c r="D90" i="15"/>
  <c r="B91" i="15"/>
  <c r="E91" i="15"/>
  <c r="D91" i="15"/>
  <c r="B92" i="15"/>
  <c r="E92" i="15"/>
  <c r="D92" i="15"/>
  <c r="B93" i="15"/>
  <c r="E93" i="15"/>
  <c r="D93" i="15"/>
  <c r="B94" i="15"/>
  <c r="E94" i="15"/>
  <c r="D94" i="15"/>
  <c r="E95" i="15"/>
  <c r="D95" i="15"/>
  <c r="B95" i="15"/>
  <c r="B96" i="15"/>
  <c r="E96" i="15"/>
  <c r="D96" i="15"/>
  <c r="B97" i="15"/>
  <c r="E97" i="15"/>
  <c r="D97" i="15"/>
  <c r="B98" i="15"/>
  <c r="D98" i="15"/>
  <c r="E98" i="15"/>
  <c r="B99" i="15"/>
  <c r="E99" i="15"/>
  <c r="D99" i="15"/>
  <c r="B100" i="15"/>
  <c r="D100" i="15"/>
  <c r="E100" i="15"/>
  <c r="B101" i="15"/>
  <c r="E101" i="15"/>
  <c r="D101" i="15"/>
  <c r="B102" i="15"/>
  <c r="E102" i="15"/>
  <c r="D102" i="15"/>
  <c r="B103" i="15"/>
  <c r="E103" i="15"/>
  <c r="D103" i="15"/>
  <c r="B104" i="15"/>
  <c r="E104" i="15"/>
  <c r="D104" i="15"/>
  <c r="E105" i="15"/>
  <c r="D105" i="15"/>
  <c r="B105" i="15"/>
  <c r="B106" i="15"/>
  <c r="E106" i="15"/>
  <c r="D106" i="15"/>
  <c r="B107" i="15"/>
  <c r="E107" i="15"/>
  <c r="D107" i="15"/>
  <c r="B108" i="15"/>
  <c r="E108" i="15"/>
  <c r="D108" i="15"/>
  <c r="B109" i="15"/>
  <c r="E109" i="15"/>
  <c r="D109" i="15"/>
  <c r="B110" i="15"/>
  <c r="E110" i="15"/>
  <c r="D110" i="15"/>
  <c r="E111" i="15"/>
  <c r="D111" i="15"/>
  <c r="B111" i="15"/>
  <c r="B112" i="15"/>
  <c r="E112" i="15"/>
  <c r="D112" i="15"/>
  <c r="B113" i="15"/>
  <c r="E113" i="15"/>
  <c r="D113" i="15"/>
  <c r="B114" i="15"/>
  <c r="E114" i="15"/>
  <c r="D114" i="15"/>
  <c r="B115" i="15"/>
  <c r="E115" i="15"/>
  <c r="D115" i="15"/>
  <c r="B116" i="15"/>
  <c r="D116" i="15"/>
  <c r="E116" i="15"/>
  <c r="B117" i="15"/>
  <c r="D117" i="15"/>
  <c r="E117" i="15"/>
  <c r="B118" i="15"/>
  <c r="D118" i="15"/>
  <c r="E118" i="15"/>
  <c r="B119" i="15"/>
  <c r="D119" i="15"/>
  <c r="E119" i="15"/>
  <c r="B120" i="15"/>
  <c r="D120" i="15"/>
  <c r="E120" i="15"/>
  <c r="B121" i="15"/>
  <c r="D121" i="15"/>
  <c r="E121" i="15"/>
  <c r="E122" i="15"/>
  <c r="D122" i="15"/>
  <c r="B122" i="15"/>
  <c r="B123" i="15"/>
  <c r="D123" i="15"/>
  <c r="E123" i="15"/>
  <c r="B124" i="15"/>
  <c r="D124" i="15"/>
  <c r="E124" i="15"/>
  <c r="B125" i="15"/>
  <c r="D125" i="15"/>
  <c r="E125" i="15"/>
  <c r="B126" i="15"/>
  <c r="D126" i="15"/>
  <c r="E126" i="15"/>
  <c r="B127" i="15"/>
  <c r="E127" i="15"/>
  <c r="D127" i="15"/>
  <c r="B128" i="15"/>
  <c r="D128" i="15"/>
  <c r="E128" i="15"/>
  <c r="B129" i="15"/>
  <c r="E129" i="15"/>
  <c r="D129" i="15"/>
  <c r="B130" i="15"/>
  <c r="D130" i="15"/>
  <c r="E130" i="15"/>
  <c r="B131" i="15"/>
  <c r="E131" i="15"/>
  <c r="D131" i="15"/>
  <c r="B132" i="15"/>
  <c r="E132" i="15"/>
  <c r="D132" i="15"/>
  <c r="B133" i="15"/>
  <c r="D133" i="15"/>
  <c r="E133" i="15"/>
  <c r="B134" i="15"/>
  <c r="E134" i="15"/>
  <c r="D134" i="15"/>
  <c r="B135" i="15"/>
  <c r="D135" i="15"/>
  <c r="E135" i="15"/>
  <c r="B136" i="15"/>
  <c r="E136" i="15"/>
  <c r="D136" i="15"/>
  <c r="B137" i="15"/>
  <c r="E137" i="15"/>
  <c r="D137" i="15"/>
  <c r="B138" i="15"/>
  <c r="E138" i="15"/>
  <c r="D138" i="15"/>
  <c r="B139" i="15"/>
  <c r="E139" i="15"/>
  <c r="D139" i="15"/>
  <c r="B140" i="15"/>
  <c r="E140" i="15"/>
  <c r="D140" i="15"/>
  <c r="B141" i="15"/>
  <c r="D141" i="15"/>
  <c r="E141" i="15"/>
  <c r="B142" i="15"/>
  <c r="E142" i="15"/>
  <c r="D142" i="15"/>
  <c r="B143" i="15"/>
  <c r="E143" i="15"/>
  <c r="D143" i="15"/>
  <c r="E144" i="15"/>
  <c r="D144" i="15"/>
  <c r="B144" i="15"/>
  <c r="B145" i="15"/>
  <c r="E145" i="15"/>
  <c r="D145" i="15"/>
  <c r="B146" i="15"/>
  <c r="E146" i="15"/>
  <c r="D146" i="15"/>
  <c r="B147" i="15"/>
  <c r="E147" i="15"/>
  <c r="D147" i="15"/>
  <c r="B148" i="15"/>
  <c r="E148" i="15"/>
  <c r="D148" i="15"/>
  <c r="B149" i="15"/>
  <c r="E149" i="15"/>
  <c r="D149" i="15"/>
  <c r="B150" i="15"/>
  <c r="E150" i="15"/>
  <c r="D150" i="15"/>
  <c r="B151" i="15"/>
  <c r="E151" i="15"/>
  <c r="D151" i="15"/>
  <c r="B152" i="15"/>
  <c r="E152" i="15"/>
  <c r="D152" i="15"/>
  <c r="B153" i="15"/>
  <c r="E153" i="15"/>
  <c r="D153" i="15"/>
  <c r="B154" i="15"/>
  <c r="E154" i="15"/>
  <c r="D154" i="15"/>
  <c r="B155" i="15"/>
  <c r="E155" i="15"/>
  <c r="D155" i="15"/>
  <c r="B156" i="15"/>
  <c r="E156" i="15"/>
  <c r="D156" i="15"/>
  <c r="E157" i="15"/>
  <c r="D157" i="15"/>
  <c r="B157" i="15"/>
  <c r="B158" i="15"/>
  <c r="E158" i="15"/>
  <c r="D158" i="15"/>
  <c r="E159" i="15"/>
  <c r="B159" i="15"/>
  <c r="D159" i="15"/>
  <c r="B160" i="15"/>
  <c r="E160" i="15"/>
  <c r="D160" i="15"/>
  <c r="B161" i="15"/>
  <c r="E161" i="15"/>
  <c r="D161" i="15"/>
  <c r="B162" i="15"/>
  <c r="E162" i="15"/>
  <c r="D162" i="15"/>
  <c r="B163" i="15"/>
  <c r="E163" i="15"/>
  <c r="D163" i="15"/>
  <c r="B164" i="15"/>
  <c r="E164" i="15"/>
  <c r="D164" i="15"/>
  <c r="B165" i="15"/>
  <c r="E165" i="15"/>
  <c r="D165" i="15"/>
  <c r="B166" i="15"/>
  <c r="E166" i="15"/>
  <c r="D166" i="15"/>
  <c r="B167" i="15"/>
  <c r="D167" i="15"/>
  <c r="E167" i="15"/>
  <c r="B168" i="15"/>
  <c r="D168" i="15"/>
  <c r="E168" i="15"/>
  <c r="B169" i="15"/>
  <c r="D169" i="15"/>
  <c r="E169" i="15"/>
  <c r="D170" i="15"/>
  <c r="B170" i="15"/>
  <c r="E170" i="15"/>
  <c r="B171" i="15"/>
  <c r="E171" i="15"/>
  <c r="D171" i="15"/>
  <c r="B172" i="15"/>
  <c r="E172" i="15"/>
  <c r="D172" i="15"/>
  <c r="E173" i="15"/>
  <c r="D173" i="15"/>
  <c r="B173" i="15"/>
  <c r="B174" i="15"/>
  <c r="D174" i="15"/>
  <c r="E174" i="15"/>
  <c r="B175" i="15"/>
  <c r="D175" i="15"/>
  <c r="E175" i="15"/>
  <c r="E176" i="15"/>
  <c r="B176" i="15"/>
  <c r="D176" i="15"/>
  <c r="B177" i="15"/>
  <c r="E177" i="15"/>
  <c r="D177" i="15"/>
  <c r="B178" i="15"/>
  <c r="E178" i="15"/>
  <c r="D178" i="15"/>
  <c r="B179" i="15"/>
  <c r="D179" i="15"/>
  <c r="E179" i="15"/>
  <c r="B180" i="15"/>
  <c r="D180" i="15"/>
  <c r="E180" i="15"/>
  <c r="B181" i="15"/>
  <c r="D181" i="15"/>
  <c r="E181" i="15"/>
  <c r="B182" i="15"/>
  <c r="E182" i="15"/>
  <c r="D182" i="15"/>
  <c r="B183" i="15"/>
  <c r="E183" i="15"/>
  <c r="D183" i="15"/>
  <c r="E184" i="15"/>
  <c r="B184" i="15"/>
  <c r="D184" i="15"/>
  <c r="B185" i="15"/>
  <c r="E185" i="15"/>
  <c r="D185" i="15"/>
  <c r="B186" i="15"/>
  <c r="E186" i="15"/>
  <c r="D186" i="15"/>
  <c r="B187" i="15"/>
  <c r="E187" i="15"/>
  <c r="D187" i="15"/>
  <c r="B188" i="15"/>
  <c r="E188" i="15"/>
  <c r="D188" i="15"/>
  <c r="B189" i="15"/>
  <c r="E189" i="15"/>
  <c r="D189" i="15"/>
  <c r="B190" i="15"/>
  <c r="E190" i="15"/>
  <c r="D190" i="15"/>
  <c r="B191" i="15"/>
  <c r="D191" i="15"/>
  <c r="E191" i="15"/>
  <c r="B192" i="15"/>
  <c r="E192" i="15"/>
  <c r="D192" i="15"/>
  <c r="B193" i="15"/>
  <c r="E193" i="15"/>
  <c r="D193" i="15"/>
  <c r="B194" i="15"/>
  <c r="E194" i="15"/>
  <c r="D194" i="15"/>
  <c r="B195" i="15"/>
  <c r="E195" i="15"/>
  <c r="D195" i="15"/>
  <c r="B196" i="15"/>
  <c r="D196" i="15"/>
  <c r="E196" i="15"/>
  <c r="B197" i="15"/>
  <c r="D197" i="15"/>
  <c r="E197" i="15"/>
  <c r="B198" i="15"/>
  <c r="D198" i="15"/>
  <c r="E198" i="15"/>
  <c r="B199" i="15"/>
  <c r="E199" i="15"/>
  <c r="D199" i="15"/>
  <c r="B200" i="15"/>
  <c r="E200" i="15"/>
  <c r="D200" i="15"/>
  <c r="B201" i="15"/>
  <c r="E201" i="15"/>
  <c r="D201" i="15"/>
  <c r="B202" i="15"/>
  <c r="E202" i="15"/>
  <c r="D202" i="15"/>
  <c r="B203" i="15"/>
  <c r="D203" i="15"/>
  <c r="E203" i="15"/>
  <c r="B204" i="15"/>
  <c r="D204" i="15"/>
  <c r="E204" i="15"/>
  <c r="B205" i="15"/>
  <c r="D205" i="15"/>
  <c r="E205" i="15"/>
  <c r="B206" i="15"/>
  <c r="D206" i="15"/>
  <c r="E206" i="15"/>
  <c r="B207" i="15"/>
  <c r="D207" i="15"/>
  <c r="E207" i="15"/>
  <c r="B208" i="15"/>
  <c r="D208" i="15"/>
  <c r="E208" i="15"/>
  <c r="B209" i="15"/>
  <c r="D209" i="15"/>
  <c r="E209" i="15"/>
  <c r="B210" i="15"/>
  <c r="E210" i="15"/>
  <c r="D210" i="15"/>
  <c r="B211" i="15"/>
  <c r="D211" i="15"/>
  <c r="E211" i="15"/>
  <c r="B212" i="15"/>
  <c r="D212" i="15"/>
  <c r="E212" i="15"/>
  <c r="E213" i="15"/>
  <c r="D213" i="15"/>
  <c r="B214" i="15"/>
  <c r="D214" i="15"/>
  <c r="E214" i="15"/>
  <c r="B215" i="15"/>
  <c r="E215" i="15"/>
  <c r="D215" i="15"/>
  <c r="B216" i="15"/>
  <c r="D216" i="15"/>
  <c r="E216" i="15"/>
  <c r="B217" i="15"/>
  <c r="D217" i="15"/>
  <c r="E217" i="15"/>
  <c r="D218" i="15"/>
  <c r="B218" i="15"/>
  <c r="E218" i="15"/>
  <c r="B219" i="15"/>
  <c r="E219" i="15"/>
  <c r="D219" i="15"/>
  <c r="B220" i="15"/>
  <c r="D220" i="15"/>
  <c r="E220" i="15"/>
  <c r="B221" i="15"/>
  <c r="D221" i="15"/>
  <c r="E221" i="15"/>
  <c r="B222" i="15"/>
  <c r="E222" i="15"/>
  <c r="D222" i="15"/>
  <c r="B223" i="15"/>
  <c r="D223" i="15"/>
  <c r="E223" i="15"/>
  <c r="E224" i="15"/>
  <c r="D224" i="15"/>
  <c r="B224" i="15"/>
  <c r="B225" i="15"/>
  <c r="E225" i="15"/>
  <c r="D225" i="15"/>
  <c r="B226" i="15"/>
  <c r="E226" i="15"/>
  <c r="D226" i="15"/>
  <c r="B227" i="15"/>
  <c r="E227" i="15"/>
  <c r="D227" i="15"/>
  <c r="B228" i="15"/>
  <c r="E228" i="15"/>
  <c r="D228" i="15"/>
  <c r="B229" i="15"/>
  <c r="E229" i="15"/>
  <c r="D229" i="15"/>
  <c r="B230" i="15"/>
  <c r="D230" i="15"/>
  <c r="E230" i="15"/>
  <c r="B231" i="15"/>
  <c r="E231" i="15"/>
  <c r="D231" i="15"/>
  <c r="B232" i="15"/>
  <c r="D232" i="15"/>
  <c r="E232" i="15"/>
  <c r="B233" i="15"/>
  <c r="E233" i="15"/>
  <c r="D233" i="15"/>
  <c r="B234" i="15"/>
  <c r="D234" i="15"/>
  <c r="E234" i="15"/>
  <c r="B235" i="15"/>
  <c r="E235" i="15"/>
  <c r="D235" i="15"/>
  <c r="B236" i="15"/>
  <c r="D236" i="15"/>
  <c r="E236" i="15"/>
  <c r="E237" i="15"/>
  <c r="D237" i="15"/>
  <c r="B237" i="15"/>
  <c r="B238" i="15"/>
  <c r="D238" i="15"/>
  <c r="E238" i="15"/>
  <c r="B239" i="15"/>
  <c r="E239" i="15"/>
  <c r="D239" i="15"/>
  <c r="B240" i="15"/>
  <c r="E240" i="15"/>
  <c r="D240" i="15"/>
  <c r="B241" i="15"/>
  <c r="E241" i="15"/>
  <c r="D241" i="15"/>
  <c r="B242" i="15"/>
  <c r="E242" i="15"/>
  <c r="D242" i="15"/>
  <c r="E243" i="15"/>
  <c r="D243" i="15"/>
  <c r="B243" i="15"/>
  <c r="B244" i="15"/>
  <c r="E244" i="15"/>
  <c r="D244" i="15"/>
  <c r="B245" i="15"/>
  <c r="D245" i="15"/>
  <c r="E245" i="15"/>
  <c r="B246" i="15"/>
  <c r="D246" i="15"/>
  <c r="E246" i="15"/>
  <c r="B247" i="15"/>
  <c r="E247" i="15"/>
  <c r="D247" i="15"/>
  <c r="B248" i="15"/>
  <c r="E248" i="15"/>
  <c r="D248" i="15"/>
  <c r="B249" i="15"/>
  <c r="D249" i="15"/>
  <c r="E249" i="15"/>
  <c r="B250" i="15"/>
  <c r="D250" i="15"/>
  <c r="E250" i="15"/>
  <c r="B251" i="15"/>
  <c r="E251" i="15"/>
  <c r="D251" i="15"/>
  <c r="B252" i="15"/>
  <c r="D252" i="15"/>
  <c r="E252" i="15"/>
  <c r="D253" i="15"/>
  <c r="E253" i="15"/>
  <c r="B254" i="15"/>
  <c r="D254" i="15"/>
  <c r="E254" i="15"/>
  <c r="B255" i="15"/>
  <c r="D255" i="15"/>
  <c r="E255" i="15"/>
  <c r="B256" i="15"/>
  <c r="E256" i="15"/>
  <c r="D256" i="15"/>
  <c r="B257" i="15"/>
  <c r="D257" i="15"/>
  <c r="E257" i="15"/>
  <c r="B258" i="15"/>
  <c r="D258" i="15"/>
  <c r="E258" i="15"/>
  <c r="B259" i="15"/>
  <c r="D259" i="15"/>
  <c r="E259" i="15"/>
  <c r="B260" i="15"/>
  <c r="D260" i="15"/>
  <c r="E260" i="15"/>
  <c r="B261" i="15"/>
  <c r="E261" i="15"/>
  <c r="D261" i="15"/>
  <c r="B262" i="15"/>
  <c r="E262" i="15"/>
  <c r="D262" i="15"/>
  <c r="D263" i="15"/>
  <c r="E263" i="15"/>
  <c r="B263" i="15"/>
  <c r="E264" i="15"/>
  <c r="D264" i="15"/>
  <c r="B264" i="15"/>
  <c r="B265" i="15"/>
  <c r="E265" i="15"/>
  <c r="D265" i="15"/>
  <c r="B266" i="15"/>
  <c r="D266" i="15"/>
  <c r="E266" i="15"/>
  <c r="B267" i="15"/>
  <c r="D267" i="15"/>
  <c r="E267" i="15"/>
  <c r="B268" i="15"/>
  <c r="E268" i="15"/>
  <c r="D268" i="15"/>
  <c r="B269" i="15"/>
  <c r="E269" i="15"/>
  <c r="D269" i="15"/>
  <c r="B270" i="15"/>
  <c r="D270" i="15"/>
  <c r="E270" i="15"/>
  <c r="B271" i="15"/>
  <c r="E271" i="15"/>
  <c r="D271" i="15"/>
  <c r="B272" i="15"/>
  <c r="D272" i="15"/>
  <c r="E272" i="15"/>
  <c r="B273" i="15"/>
  <c r="D273" i="15"/>
  <c r="E273" i="15"/>
  <c r="B274" i="15"/>
  <c r="D274" i="15"/>
  <c r="E274" i="15"/>
  <c r="B275" i="15"/>
  <c r="D275" i="15"/>
  <c r="E275" i="15"/>
  <c r="B276" i="15"/>
  <c r="E276" i="15"/>
  <c r="D276" i="15"/>
  <c r="E277" i="15"/>
  <c r="D277" i="15"/>
  <c r="B277" i="15"/>
  <c r="B278" i="15"/>
  <c r="E278" i="15"/>
  <c r="D278" i="15"/>
  <c r="B279" i="15"/>
  <c r="E279" i="15"/>
  <c r="D279" i="15"/>
  <c r="B280" i="15"/>
  <c r="E280" i="15"/>
  <c r="D280" i="15"/>
  <c r="B281" i="15"/>
  <c r="E281" i="15"/>
  <c r="D281" i="15"/>
  <c r="B282" i="15"/>
  <c r="E282" i="15"/>
  <c r="D282" i="15"/>
  <c r="B283" i="15"/>
  <c r="E283" i="15"/>
  <c r="D283" i="15"/>
  <c r="B284" i="15"/>
  <c r="E284" i="15"/>
  <c r="D284" i="15"/>
  <c r="B285" i="15"/>
  <c r="D285" i="15"/>
  <c r="E285" i="15"/>
  <c r="B286" i="15"/>
  <c r="E286" i="15"/>
  <c r="D286" i="15"/>
  <c r="B287" i="15"/>
  <c r="E287" i="15"/>
  <c r="D287" i="15"/>
  <c r="B288" i="15"/>
  <c r="D288" i="15"/>
  <c r="E288" i="15"/>
  <c r="B289" i="15"/>
  <c r="D289" i="15"/>
  <c r="E289" i="15"/>
  <c r="B290" i="15"/>
  <c r="E290" i="15"/>
  <c r="D290" i="15"/>
  <c r="B291" i="15"/>
  <c r="D291" i="15"/>
  <c r="E291" i="15"/>
  <c r="B292" i="15"/>
  <c r="E292" i="15"/>
  <c r="D292" i="15"/>
  <c r="B293" i="15"/>
  <c r="E293" i="15"/>
  <c r="D293" i="15"/>
  <c r="E294" i="15"/>
  <c r="D294" i="15"/>
  <c r="B294" i="15"/>
  <c r="B295" i="15"/>
  <c r="E295" i="15"/>
  <c r="D295" i="15"/>
  <c r="B296" i="15"/>
  <c r="E296" i="15"/>
  <c r="D296" i="15"/>
  <c r="B297" i="15"/>
  <c r="E297" i="15"/>
  <c r="D297" i="15"/>
  <c r="B298" i="15"/>
  <c r="E298" i="15"/>
  <c r="D298" i="15"/>
  <c r="B299" i="15"/>
  <c r="E299" i="15"/>
  <c r="D299" i="15"/>
  <c r="B300" i="15"/>
  <c r="E300" i="15"/>
  <c r="D300" i="15"/>
  <c r="B301" i="15"/>
  <c r="E301" i="15"/>
  <c r="D301" i="15"/>
  <c r="B302" i="15"/>
  <c r="E302" i="15"/>
  <c r="D302" i="15"/>
  <c r="B303" i="15"/>
  <c r="E303" i="15"/>
  <c r="D303" i="15"/>
  <c r="B304" i="15"/>
  <c r="E304" i="15"/>
  <c r="D304" i="15"/>
  <c r="B305" i="15"/>
  <c r="E305" i="15"/>
  <c r="D305" i="15"/>
  <c r="B306" i="15"/>
  <c r="E306" i="15"/>
  <c r="D306" i="15"/>
  <c r="B307" i="15"/>
  <c r="E307" i="15"/>
  <c r="D307" i="15"/>
  <c r="B308" i="15"/>
  <c r="E308" i="15"/>
  <c r="D308" i="15"/>
  <c r="D309" i="15"/>
  <c r="B309" i="15"/>
  <c r="E309" i="15"/>
  <c r="B310" i="15"/>
  <c r="D310" i="15"/>
  <c r="E310" i="15"/>
  <c r="E311" i="15"/>
  <c r="D311" i="15"/>
  <c r="B311" i="15"/>
  <c r="B312" i="15"/>
  <c r="D312" i="15"/>
  <c r="E312" i="15"/>
  <c r="B313" i="15"/>
  <c r="D313" i="15"/>
  <c r="E313" i="15"/>
  <c r="B314" i="15"/>
  <c r="D314" i="15"/>
  <c r="E314" i="15"/>
  <c r="B315" i="15"/>
  <c r="E315" i="15"/>
  <c r="D315" i="15"/>
  <c r="B316" i="15"/>
  <c r="D316" i="15"/>
  <c r="E316" i="15"/>
  <c r="B317" i="15"/>
  <c r="E317" i="15"/>
  <c r="D317" i="15"/>
  <c r="E318" i="15"/>
  <c r="D318" i="15"/>
  <c r="B319" i="15"/>
  <c r="E319" i="15"/>
  <c r="D319" i="15"/>
  <c r="B320" i="15"/>
  <c r="E320" i="15"/>
  <c r="D320" i="15"/>
  <c r="D321" i="15"/>
  <c r="B321" i="15"/>
  <c r="E321" i="15"/>
  <c r="E322" i="15"/>
  <c r="D322" i="15"/>
  <c r="D323" i="15"/>
  <c r="E323" i="15"/>
  <c r="B323" i="15"/>
  <c r="E324" i="15"/>
  <c r="B324" i="15"/>
  <c r="D324" i="15"/>
  <c r="E325" i="15"/>
  <c r="B325" i="15"/>
  <c r="D325" i="15"/>
  <c r="B326" i="15"/>
  <c r="D326" i="15"/>
  <c r="E326" i="15"/>
  <c r="D327" i="15"/>
  <c r="E327" i="15"/>
  <c r="B328" i="15"/>
  <c r="E328" i="15"/>
  <c r="D328" i="15"/>
  <c r="E329" i="15"/>
  <c r="D329" i="15"/>
  <c r="E330" i="15"/>
  <c r="D330" i="15"/>
  <c r="B330" i="15"/>
  <c r="B331" i="15"/>
  <c r="D331" i="15"/>
  <c r="E331" i="15"/>
  <c r="E332" i="15"/>
  <c r="D332" i="15"/>
  <c r="B332" i="15"/>
  <c r="B333" i="15"/>
  <c r="D333" i="15"/>
  <c r="E333" i="15"/>
  <c r="E334" i="15"/>
  <c r="D334" i="15"/>
  <c r="B334" i="15"/>
  <c r="B335" i="15"/>
  <c r="D335" i="15"/>
  <c r="E335" i="15"/>
  <c r="B336" i="15"/>
  <c r="D336" i="15"/>
  <c r="E336" i="15"/>
  <c r="B337" i="15"/>
  <c r="D337" i="15"/>
  <c r="E337" i="15"/>
  <c r="D338" i="15"/>
  <c r="E338" i="15"/>
  <c r="B338" i="15"/>
  <c r="B339" i="15"/>
  <c r="D339" i="15"/>
  <c r="E339" i="15"/>
  <c r="B340" i="15"/>
  <c r="D340" i="15"/>
  <c r="E340" i="15"/>
  <c r="D341" i="15"/>
  <c r="E341" i="15"/>
  <c r="B341" i="15"/>
  <c r="B342" i="15"/>
  <c r="E342" i="15"/>
  <c r="D342" i="15"/>
  <c r="B343" i="15"/>
  <c r="D343" i="15"/>
  <c r="E343" i="15"/>
  <c r="B344" i="15"/>
  <c r="E344" i="15"/>
  <c r="D344" i="15"/>
  <c r="B345" i="15"/>
  <c r="D345" i="15"/>
  <c r="E345" i="15"/>
  <c r="B346" i="15"/>
  <c r="E346" i="15"/>
  <c r="D346" i="15"/>
  <c r="B347" i="15"/>
  <c r="D347" i="15"/>
  <c r="E347" i="15"/>
  <c r="E348" i="15"/>
  <c r="D348" i="15"/>
  <c r="B348" i="15"/>
  <c r="E349" i="15"/>
  <c r="D349" i="15"/>
  <c r="B349" i="15"/>
  <c r="B350" i="15"/>
  <c r="E350" i="15"/>
  <c r="D350" i="15"/>
  <c r="E351" i="15"/>
  <c r="D351" i="15"/>
  <c r="B351" i="15"/>
  <c r="B352" i="15"/>
  <c r="E352" i="15"/>
  <c r="D352" i="15"/>
  <c r="B353" i="15"/>
  <c r="E353" i="15"/>
  <c r="D353" i="15"/>
  <c r="B354" i="15"/>
  <c r="D354" i="15"/>
  <c r="E354" i="15"/>
  <c r="B355" i="15"/>
  <c r="D355" i="15"/>
  <c r="E355" i="15"/>
  <c r="B356" i="15"/>
  <c r="E356" i="15"/>
  <c r="D356" i="15"/>
  <c r="B357" i="15"/>
  <c r="D357" i="15"/>
  <c r="E357" i="15"/>
  <c r="B358" i="15"/>
  <c r="E358" i="15"/>
  <c r="D358" i="15"/>
  <c r="B359" i="15"/>
  <c r="D359" i="15"/>
  <c r="E359" i="15"/>
  <c r="B360" i="15"/>
  <c r="E360" i="15"/>
  <c r="D360" i="15"/>
  <c r="B361" i="15"/>
  <c r="D361" i="15"/>
  <c r="E361" i="15"/>
  <c r="B362" i="15"/>
  <c r="E362" i="15"/>
  <c r="D362" i="15"/>
  <c r="B363" i="15"/>
  <c r="D363" i="15"/>
  <c r="E363" i="15"/>
  <c r="B364" i="15"/>
  <c r="E364" i="15"/>
  <c r="D364" i="15"/>
  <c r="D365" i="15"/>
  <c r="E365" i="15"/>
  <c r="B365" i="15"/>
  <c r="E366" i="15"/>
  <c r="D366" i="15"/>
  <c r="B366" i="15"/>
  <c r="B367" i="15"/>
  <c r="D367" i="15"/>
  <c r="E367" i="15"/>
  <c r="B368" i="15"/>
  <c r="E368" i="15"/>
  <c r="D368" i="15"/>
  <c r="B369" i="15"/>
  <c r="E369" i="15"/>
  <c r="D369" i="15"/>
  <c r="D370" i="15"/>
  <c r="E370" i="15"/>
  <c r="D371" i="15"/>
  <c r="E371" i="15"/>
  <c r="B371" i="15"/>
  <c r="B372" i="15"/>
  <c r="D372" i="15"/>
  <c r="E372" i="15"/>
  <c r="B373" i="15"/>
  <c r="D373" i="15"/>
  <c r="E373" i="15"/>
  <c r="B374" i="15"/>
  <c r="D374" i="15"/>
  <c r="E374" i="15"/>
  <c r="D375" i="15"/>
  <c r="E375" i="15"/>
  <c r="B375" i="15"/>
  <c r="B376" i="15"/>
  <c r="D376" i="15"/>
  <c r="E376" i="15"/>
  <c r="D377" i="15"/>
  <c r="E377" i="15"/>
  <c r="B378" i="15"/>
  <c r="D378" i="15"/>
  <c r="E378" i="15"/>
  <c r="B379" i="15"/>
  <c r="D379" i="15"/>
  <c r="E379" i="15"/>
  <c r="B380" i="15"/>
  <c r="E380" i="15"/>
  <c r="D380" i="15"/>
  <c r="D381" i="15"/>
  <c r="E381" i="15"/>
  <c r="B381" i="15"/>
  <c r="B382" i="15"/>
  <c r="E382" i="15"/>
  <c r="D382" i="15"/>
  <c r="B383" i="15"/>
  <c r="D383" i="15"/>
  <c r="E383" i="15"/>
  <c r="B384" i="15"/>
  <c r="D384" i="15"/>
  <c r="E384" i="15"/>
  <c r="B385" i="15"/>
  <c r="D385" i="15"/>
  <c r="E385" i="15"/>
  <c r="B386" i="15"/>
  <c r="D386" i="15"/>
  <c r="E386" i="15"/>
  <c r="E387" i="15"/>
  <c r="D387" i="15"/>
  <c r="B387" i="15"/>
  <c r="B388" i="15"/>
  <c r="D388" i="15"/>
  <c r="E388" i="15"/>
  <c r="B389" i="15"/>
  <c r="E389" i="15"/>
  <c r="D389" i="15"/>
  <c r="E390" i="15"/>
  <c r="D390" i="15"/>
  <c r="B391" i="15"/>
  <c r="E391" i="15"/>
  <c r="D391" i="15"/>
  <c r="B392" i="15"/>
  <c r="E392" i="15"/>
  <c r="D392" i="15"/>
  <c r="B393" i="15"/>
  <c r="E393" i="15"/>
  <c r="D393" i="15"/>
  <c r="B394" i="15"/>
  <c r="E394" i="15"/>
  <c r="D394" i="15"/>
  <c r="B395" i="15"/>
  <c r="E395" i="15"/>
  <c r="D395" i="15"/>
  <c r="B396" i="15"/>
  <c r="E396" i="15"/>
  <c r="D396" i="15"/>
  <c r="B397" i="15"/>
  <c r="E397" i="15"/>
  <c r="D397" i="15"/>
  <c r="B398" i="15"/>
  <c r="E398" i="15"/>
  <c r="D398" i="15"/>
  <c r="B399" i="15"/>
  <c r="E399" i="15"/>
  <c r="D399" i="15"/>
  <c r="B400" i="15"/>
  <c r="E400" i="15"/>
  <c r="D400" i="15"/>
  <c r="B401" i="15"/>
  <c r="E401" i="15"/>
  <c r="D401" i="15"/>
  <c r="B402" i="15"/>
  <c r="E402" i="15"/>
  <c r="D402" i="15"/>
  <c r="B403" i="15"/>
  <c r="E403" i="15"/>
  <c r="D403" i="15"/>
  <c r="E404" i="15"/>
  <c r="D404" i="15"/>
  <c r="B405" i="15"/>
  <c r="D405" i="15"/>
  <c r="E405" i="15"/>
  <c r="E406" i="15"/>
  <c r="D406" i="15"/>
  <c r="B406" i="15"/>
  <c r="B407" i="15"/>
  <c r="E407" i="15"/>
  <c r="D407" i="15"/>
  <c r="D408" i="15"/>
  <c r="E408" i="15"/>
  <c r="B408" i="15"/>
  <c r="E409" i="15"/>
  <c r="D409" i="15"/>
  <c r="B409" i="15"/>
  <c r="D410" i="15"/>
  <c r="B410" i="15"/>
  <c r="E410" i="15"/>
  <c r="E411" i="15"/>
  <c r="B411" i="15"/>
  <c r="D411" i="15"/>
  <c r="B412" i="15"/>
  <c r="E412" i="15"/>
  <c r="D412" i="15"/>
  <c r="E413" i="15"/>
  <c r="B413" i="15"/>
  <c r="D413" i="15"/>
  <c r="B414" i="15"/>
  <c r="E414" i="15"/>
  <c r="D414" i="15"/>
  <c r="E415" i="15"/>
  <c r="B415" i="15"/>
  <c r="D415" i="15"/>
  <c r="B416" i="15"/>
  <c r="E416" i="15"/>
  <c r="D416" i="15"/>
  <c r="E417" i="15"/>
  <c r="B417" i="15"/>
  <c r="D417" i="15"/>
  <c r="E418" i="15"/>
  <c r="B418" i="15"/>
  <c r="D418" i="15"/>
  <c r="E419" i="15"/>
  <c r="D419" i="15"/>
  <c r="B419" i="15"/>
  <c r="E420" i="15"/>
  <c r="D420" i="15"/>
  <c r="B420" i="15"/>
  <c r="E421" i="15"/>
  <c r="D421" i="15"/>
  <c r="D422" i="15"/>
  <c r="B422" i="15"/>
  <c r="E422" i="15"/>
  <c r="D423" i="15"/>
  <c r="E423" i="15"/>
  <c r="B423" i="15"/>
  <c r="E424" i="15"/>
  <c r="B424" i="15"/>
  <c r="D424" i="15"/>
  <c r="D425" i="15"/>
  <c r="E425" i="15"/>
  <c r="B425" i="15"/>
  <c r="B426" i="15"/>
  <c r="E426" i="15"/>
  <c r="D426" i="15"/>
  <c r="E427" i="15"/>
  <c r="D427" i="15"/>
  <c r="B427" i="15"/>
  <c r="E428" i="15"/>
  <c r="D428" i="15"/>
  <c r="B428" i="15"/>
  <c r="D429" i="15"/>
  <c r="E429" i="15"/>
  <c r="B429" i="15"/>
  <c r="E430" i="15"/>
  <c r="D430" i="15"/>
  <c r="B430" i="15"/>
  <c r="B431" i="15"/>
  <c r="E431" i="15"/>
  <c r="D431" i="15"/>
  <c r="E432" i="15"/>
  <c r="D432" i="15"/>
  <c r="B432" i="15"/>
  <c r="E433" i="15"/>
  <c r="D433" i="15"/>
  <c r="B433" i="15"/>
  <c r="E434" i="15"/>
  <c r="D434" i="15"/>
  <c r="B434" i="15"/>
  <c r="B435" i="15"/>
  <c r="E435" i="15"/>
  <c r="D435" i="15"/>
  <c r="E436" i="15"/>
  <c r="D436" i="15"/>
  <c r="B436" i="15"/>
  <c r="E437" i="15"/>
  <c r="D437" i="15"/>
  <c r="B438" i="15"/>
  <c r="E438" i="15"/>
  <c r="D438" i="15"/>
  <c r="E439" i="15"/>
  <c r="D439" i="15"/>
  <c r="B439" i="15"/>
  <c r="B440" i="15"/>
  <c r="E440" i="15"/>
  <c r="D440" i="15"/>
  <c r="D441" i="15"/>
  <c r="E441" i="15"/>
  <c r="B441" i="15"/>
  <c r="B442" i="15"/>
  <c r="D442" i="15"/>
  <c r="E442" i="15"/>
  <c r="E443" i="15"/>
  <c r="D443" i="15"/>
  <c r="B443" i="15"/>
  <c r="E444" i="15"/>
  <c r="D444" i="15"/>
  <c r="E445" i="15"/>
  <c r="D445" i="15"/>
  <c r="B445" i="15"/>
  <c r="D446" i="15"/>
  <c r="E446" i="15"/>
  <c r="B446" i="15"/>
  <c r="D447" i="15"/>
  <c r="B447" i="15"/>
  <c r="E447" i="15"/>
  <c r="E448" i="15"/>
  <c r="D448" i="15"/>
  <c r="B448" i="15"/>
  <c r="B449" i="15"/>
  <c r="D449" i="15"/>
  <c r="E449" i="15"/>
  <c r="D450" i="15"/>
  <c r="E450" i="15"/>
  <c r="B450" i="15"/>
  <c r="B451" i="15"/>
  <c r="E451" i="15"/>
  <c r="D451" i="15"/>
  <c r="E452" i="15"/>
  <c r="B452" i="15"/>
  <c r="D452" i="15"/>
  <c r="B453" i="15"/>
  <c r="E453" i="15"/>
  <c r="D453" i="15"/>
  <c r="B454" i="15"/>
  <c r="D454" i="15"/>
  <c r="E454" i="15"/>
  <c r="B455" i="15"/>
  <c r="E455" i="15"/>
  <c r="D455" i="15"/>
  <c r="B456" i="15"/>
  <c r="D456" i="15"/>
  <c r="E456" i="15"/>
  <c r="B457" i="15"/>
  <c r="E457" i="15"/>
  <c r="D457" i="15"/>
  <c r="B458" i="15"/>
  <c r="D458" i="15"/>
  <c r="E458" i="15"/>
  <c r="B459" i="15"/>
  <c r="E459" i="15"/>
  <c r="D459" i="15"/>
  <c r="B460" i="15"/>
  <c r="E460" i="15"/>
  <c r="D460" i="15"/>
  <c r="B461" i="15"/>
  <c r="E461" i="15"/>
  <c r="D461" i="15"/>
  <c r="B462" i="15"/>
  <c r="D462" i="15"/>
  <c r="E462" i="15"/>
  <c r="B463" i="15"/>
  <c r="D463" i="15"/>
  <c r="E463" i="15"/>
  <c r="B464" i="15"/>
  <c r="D464" i="15"/>
  <c r="E464" i="15"/>
  <c r="B465" i="15"/>
  <c r="E465" i="15"/>
  <c r="D465" i="15"/>
  <c r="D466" i="15"/>
  <c r="B466" i="15"/>
  <c r="E466" i="15"/>
  <c r="B467" i="15"/>
  <c r="E467" i="15"/>
  <c r="D467" i="15"/>
  <c r="B468" i="15"/>
  <c r="E468" i="15"/>
  <c r="D468" i="15"/>
  <c r="B469" i="15"/>
  <c r="E469" i="15"/>
  <c r="D469" i="15"/>
  <c r="B470" i="15"/>
  <c r="E470" i="15"/>
  <c r="D470" i="15"/>
  <c r="B471" i="15"/>
  <c r="E471" i="15"/>
  <c r="D471" i="15"/>
  <c r="B472" i="15"/>
  <c r="D472" i="15"/>
  <c r="E472" i="15"/>
  <c r="B473" i="15"/>
  <c r="D473" i="15"/>
  <c r="E473" i="15"/>
  <c r="B474" i="15"/>
  <c r="E474" i="15"/>
  <c r="D474" i="15"/>
  <c r="B475" i="15"/>
  <c r="D475" i="15"/>
  <c r="E475" i="15"/>
  <c r="B476" i="15"/>
  <c r="E476" i="15"/>
  <c r="D476" i="15"/>
  <c r="B477" i="15"/>
  <c r="D477" i="15"/>
  <c r="E477" i="15"/>
  <c r="B478" i="15"/>
  <c r="E478" i="15"/>
  <c r="D478" i="15"/>
  <c r="B479" i="15"/>
  <c r="D479" i="15"/>
  <c r="E479" i="15"/>
  <c r="D480" i="15"/>
  <c r="B480" i="15"/>
  <c r="E480" i="15"/>
  <c r="B481" i="15"/>
  <c r="D481" i="15"/>
  <c r="E481" i="15"/>
  <c r="B482" i="15"/>
  <c r="D482" i="15"/>
  <c r="E482" i="15"/>
  <c r="B483" i="15"/>
  <c r="D483" i="15"/>
  <c r="E483" i="15"/>
  <c r="B484" i="15"/>
  <c r="D484" i="15"/>
  <c r="E484" i="15"/>
  <c r="B485" i="15"/>
  <c r="D485" i="15"/>
  <c r="E485" i="15"/>
  <c r="B486" i="15"/>
  <c r="E486" i="15"/>
  <c r="D486" i="15"/>
  <c r="B487" i="15"/>
  <c r="E487" i="15"/>
  <c r="D487" i="15"/>
  <c r="B488" i="15"/>
  <c r="D488" i="15"/>
  <c r="E488" i="15"/>
  <c r="B489" i="15"/>
  <c r="D489" i="15"/>
  <c r="E489" i="15"/>
  <c r="B490" i="15"/>
  <c r="E490" i="15"/>
  <c r="D490" i="15"/>
  <c r="B491" i="15"/>
  <c r="D491" i="15"/>
  <c r="E491" i="15"/>
  <c r="E492" i="15"/>
  <c r="B492" i="15"/>
  <c r="D492" i="15"/>
  <c r="B493" i="15"/>
  <c r="D493" i="15"/>
  <c r="E493" i="15"/>
  <c r="B494" i="15"/>
  <c r="D494" i="15"/>
  <c r="E494" i="15"/>
  <c r="B495" i="15"/>
  <c r="E495" i="15"/>
  <c r="D495" i="15"/>
  <c r="B496" i="15"/>
  <c r="E496" i="15"/>
  <c r="D496" i="15"/>
  <c r="B497" i="15"/>
  <c r="D497" i="15"/>
  <c r="E497" i="15"/>
  <c r="B498" i="15"/>
  <c r="E498" i="15"/>
  <c r="D498" i="15"/>
  <c r="B499" i="15"/>
  <c r="D499" i="15"/>
  <c r="E499" i="15"/>
  <c r="B500" i="15"/>
  <c r="D500" i="15"/>
  <c r="E500" i="15"/>
  <c r="B501" i="15"/>
  <c r="E501" i="15"/>
  <c r="D501" i="15"/>
  <c r="B502" i="15"/>
  <c r="E502" i="15"/>
  <c r="D502" i="15"/>
  <c r="B503" i="15"/>
  <c r="E503" i="15"/>
  <c r="D503" i="15"/>
  <c r="B504" i="15"/>
  <c r="E504" i="15"/>
  <c r="D504" i="15"/>
  <c r="B505" i="15"/>
  <c r="E505" i="15"/>
  <c r="D505" i="15"/>
  <c r="B506" i="15"/>
  <c r="D506" i="15"/>
  <c r="E506" i="15"/>
  <c r="B507" i="15"/>
  <c r="E507" i="15"/>
  <c r="D507" i="15"/>
  <c r="B508" i="15"/>
  <c r="D508" i="15"/>
  <c r="E508" i="15"/>
  <c r="B509" i="15"/>
  <c r="E509" i="15"/>
  <c r="D509" i="15"/>
  <c r="B510" i="15"/>
  <c r="D510" i="15"/>
  <c r="E510" i="15"/>
  <c r="B511" i="15"/>
  <c r="E511" i="15"/>
  <c r="D511" i="15"/>
  <c r="B512" i="15"/>
  <c r="E512" i="15"/>
  <c r="D512" i="15"/>
  <c r="B513" i="15"/>
  <c r="E513" i="15"/>
  <c r="D513" i="15"/>
  <c r="B514" i="15"/>
  <c r="E514" i="15"/>
  <c r="D514" i="15"/>
  <c r="B515" i="15"/>
  <c r="D515" i="15"/>
  <c r="E515" i="15"/>
  <c r="B516" i="15"/>
  <c r="E516" i="15"/>
  <c r="D516" i="15"/>
  <c r="E517" i="15"/>
  <c r="D517" i="15"/>
  <c r="B517" i="15"/>
  <c r="B518" i="15"/>
  <c r="D518" i="15"/>
  <c r="E518" i="15"/>
  <c r="B519" i="15"/>
  <c r="E519" i="15"/>
  <c r="D519" i="15"/>
  <c r="B520" i="15"/>
  <c r="E520" i="15"/>
  <c r="D520" i="15"/>
  <c r="E521" i="15"/>
  <c r="D521" i="15"/>
  <c r="B522" i="15"/>
  <c r="E522" i="15"/>
  <c r="D522" i="15"/>
  <c r="B523" i="15"/>
  <c r="E523" i="15"/>
  <c r="D523" i="15"/>
  <c r="B524" i="15"/>
  <c r="D524" i="15"/>
  <c r="E524" i="15"/>
  <c r="B525" i="15"/>
  <c r="E525" i="15"/>
  <c r="D525" i="15"/>
  <c r="B526" i="15"/>
  <c r="D526" i="15"/>
  <c r="E526" i="15"/>
  <c r="B527" i="15"/>
  <c r="D527" i="15"/>
  <c r="E527" i="15"/>
  <c r="B528" i="15"/>
  <c r="D528" i="15"/>
  <c r="E528" i="15"/>
  <c r="B529" i="15"/>
  <c r="D529" i="15"/>
  <c r="E529" i="15"/>
  <c r="B530" i="15"/>
  <c r="D530" i="15"/>
  <c r="E530" i="15"/>
  <c r="B531" i="15"/>
  <c r="D531" i="15"/>
  <c r="E531" i="15"/>
  <c r="B532" i="15"/>
  <c r="D532" i="15"/>
  <c r="E532" i="15"/>
  <c r="B533" i="15"/>
  <c r="D533" i="15"/>
  <c r="E533" i="15"/>
  <c r="B534" i="15"/>
  <c r="D534" i="15"/>
  <c r="E534" i="15"/>
  <c r="D535" i="15"/>
  <c r="B535" i="15"/>
  <c r="E535" i="15"/>
  <c r="B536" i="15"/>
  <c r="D536" i="15"/>
  <c r="E536" i="15"/>
  <c r="B537" i="15"/>
  <c r="D537" i="15"/>
  <c r="E537" i="15"/>
  <c r="B538" i="15"/>
  <c r="E538" i="15"/>
  <c r="D538" i="15"/>
  <c r="B539" i="15"/>
  <c r="E539" i="15"/>
  <c r="D539" i="15"/>
  <c r="B540" i="15"/>
  <c r="E540" i="15"/>
  <c r="D540" i="15"/>
  <c r="B541" i="15"/>
  <c r="E541" i="15"/>
  <c r="D541" i="15"/>
  <c r="D542" i="15"/>
  <c r="B542" i="15"/>
  <c r="E542" i="15"/>
  <c r="B543" i="15"/>
  <c r="E543" i="15"/>
  <c r="D543" i="15"/>
  <c r="B544" i="15"/>
  <c r="D544" i="15"/>
  <c r="E544" i="15"/>
  <c r="B545" i="15"/>
  <c r="E545" i="15"/>
  <c r="D545" i="15"/>
  <c r="B546" i="15"/>
  <c r="D546" i="15"/>
  <c r="E546" i="15"/>
  <c r="B547" i="15"/>
  <c r="D547" i="15"/>
  <c r="E547" i="15"/>
  <c r="B548" i="15"/>
  <c r="D548" i="15"/>
  <c r="E548" i="15"/>
  <c r="B549" i="15"/>
  <c r="E549" i="15"/>
  <c r="D549" i="15"/>
  <c r="B550" i="15"/>
  <c r="D550" i="15"/>
  <c r="E550" i="15"/>
  <c r="B551" i="15"/>
  <c r="D551" i="15"/>
  <c r="E551" i="15"/>
  <c r="B552" i="15"/>
  <c r="D552" i="15"/>
  <c r="E552" i="15"/>
  <c r="B553" i="15"/>
  <c r="E553" i="15"/>
  <c r="D553" i="15"/>
  <c r="B554" i="15"/>
  <c r="D554" i="15"/>
  <c r="E554" i="15"/>
  <c r="B555" i="15"/>
  <c r="E555" i="15"/>
  <c r="D555" i="15"/>
  <c r="B556" i="15"/>
  <c r="D556" i="15"/>
  <c r="E556" i="15"/>
  <c r="B557" i="15"/>
  <c r="E557" i="15"/>
  <c r="D557" i="15"/>
  <c r="B558" i="15"/>
  <c r="E558" i="15"/>
  <c r="D558" i="15"/>
  <c r="B559" i="15"/>
  <c r="E559" i="15"/>
  <c r="D559" i="15"/>
  <c r="B560" i="15"/>
  <c r="E560" i="15"/>
  <c r="D560" i="15"/>
  <c r="B561" i="15"/>
  <c r="D561" i="15"/>
  <c r="E561" i="15"/>
  <c r="B562" i="15"/>
  <c r="D562" i="15"/>
  <c r="E562" i="15"/>
  <c r="B563" i="15"/>
  <c r="D563" i="15"/>
  <c r="E563" i="15"/>
  <c r="B564" i="15"/>
  <c r="E564" i="15"/>
  <c r="D564" i="15"/>
  <c r="B565" i="15"/>
  <c r="E565" i="15"/>
  <c r="D565" i="15"/>
  <c r="B566" i="15"/>
  <c r="E566" i="15"/>
  <c r="D566" i="15"/>
  <c r="B567" i="15"/>
  <c r="E567" i="15"/>
  <c r="D567" i="15"/>
  <c r="B568" i="15"/>
  <c r="E568" i="15"/>
  <c r="D568" i="15"/>
  <c r="B569" i="15"/>
  <c r="E569" i="15"/>
  <c r="D569" i="15"/>
  <c r="B570" i="15"/>
  <c r="E570" i="15"/>
  <c r="D570" i="15"/>
  <c r="E571" i="15"/>
  <c r="B571" i="15"/>
  <c r="D571" i="15"/>
  <c r="B572" i="15"/>
  <c r="D572" i="15"/>
  <c r="E572" i="15"/>
  <c r="B573" i="15"/>
  <c r="E573" i="15"/>
  <c r="D573" i="15"/>
  <c r="B574" i="15"/>
  <c r="D574" i="15"/>
  <c r="E574" i="15"/>
  <c r="B575" i="15"/>
  <c r="D575" i="15"/>
  <c r="E575" i="15"/>
  <c r="B576" i="15"/>
  <c r="E576" i="15"/>
  <c r="D576" i="15"/>
  <c r="B577" i="15"/>
  <c r="E577" i="15"/>
  <c r="D577" i="15"/>
  <c r="B578" i="15"/>
  <c r="E578" i="15"/>
  <c r="D578" i="15"/>
  <c r="B579" i="15"/>
  <c r="D579" i="15"/>
  <c r="E579" i="15"/>
  <c r="B580" i="15"/>
  <c r="E580" i="15"/>
  <c r="D580" i="15"/>
  <c r="B581" i="15"/>
  <c r="E581" i="15"/>
  <c r="D581" i="15"/>
  <c r="B582" i="15"/>
  <c r="E582" i="15"/>
  <c r="D582" i="15"/>
  <c r="B583" i="15"/>
  <c r="E583" i="15"/>
  <c r="D583" i="15"/>
  <c r="B584" i="15"/>
  <c r="E584" i="15"/>
  <c r="D584" i="15"/>
  <c r="B585" i="15"/>
  <c r="E585" i="15"/>
  <c r="D585" i="15"/>
  <c r="B586" i="15"/>
  <c r="E586" i="15"/>
  <c r="D586" i="15"/>
  <c r="B587" i="15"/>
  <c r="E587" i="15"/>
  <c r="D587" i="15"/>
  <c r="E588" i="15"/>
  <c r="B588" i="15"/>
  <c r="D588" i="15"/>
  <c r="B589" i="15"/>
  <c r="E589" i="15"/>
  <c r="D589" i="15"/>
  <c r="B590" i="15"/>
  <c r="E590" i="15"/>
  <c r="D590" i="15"/>
  <c r="B591" i="15"/>
  <c r="E591" i="15"/>
  <c r="D591" i="15"/>
  <c r="B592" i="15"/>
  <c r="E592" i="15"/>
  <c r="D592" i="15"/>
  <c r="B593" i="15"/>
  <c r="E593" i="15"/>
  <c r="D593" i="15"/>
  <c r="B594" i="15"/>
  <c r="E594" i="15"/>
  <c r="D594" i="15"/>
  <c r="B595" i="15"/>
  <c r="E595" i="15"/>
  <c r="D595" i="15"/>
  <c r="B596" i="15"/>
  <c r="E596" i="15"/>
  <c r="D596" i="15"/>
  <c r="B597" i="15"/>
  <c r="E597" i="15"/>
  <c r="D597" i="15"/>
  <c r="B598" i="15"/>
  <c r="E598" i="15"/>
  <c r="D598" i="15"/>
  <c r="B599" i="15"/>
  <c r="E599" i="15"/>
  <c r="D599" i="15"/>
  <c r="B600" i="15"/>
  <c r="E600" i="15"/>
  <c r="D600" i="15"/>
  <c r="B601" i="15"/>
  <c r="E601" i="15"/>
  <c r="D601" i="15"/>
  <c r="B602" i="15"/>
  <c r="E602" i="15"/>
  <c r="D602" i="15"/>
  <c r="B603" i="15"/>
  <c r="E603" i="15"/>
  <c r="D603" i="15"/>
  <c r="B604" i="15"/>
  <c r="E604" i="15"/>
  <c r="D604" i="15"/>
  <c r="B605" i="15"/>
  <c r="E605" i="15"/>
  <c r="D605" i="15"/>
  <c r="B606" i="15"/>
  <c r="E606" i="15"/>
  <c r="D606" i="15"/>
  <c r="B607" i="15"/>
  <c r="E607" i="15"/>
  <c r="D607" i="15"/>
  <c r="B608" i="15"/>
  <c r="E608" i="15"/>
  <c r="D608" i="15"/>
  <c r="B609" i="15"/>
  <c r="E609" i="15"/>
  <c r="D609" i="15"/>
  <c r="E610" i="15"/>
  <c r="B610" i="15"/>
  <c r="D610" i="15"/>
  <c r="E611" i="15"/>
  <c r="D611" i="15"/>
  <c r="B611" i="15"/>
  <c r="E612" i="15"/>
  <c r="B612" i="15"/>
  <c r="D612" i="15"/>
  <c r="D613" i="15"/>
  <c r="E613" i="15"/>
  <c r="B613" i="15"/>
  <c r="D614" i="15"/>
  <c r="B614" i="15"/>
  <c r="E614" i="15"/>
  <c r="E615" i="15"/>
  <c r="D615" i="15"/>
  <c r="B615" i="15"/>
  <c r="B616" i="15"/>
  <c r="E616" i="15"/>
  <c r="D616" i="15"/>
  <c r="B617" i="15"/>
  <c r="D617" i="15"/>
  <c r="E617" i="15"/>
  <c r="B618" i="15"/>
  <c r="E618" i="15"/>
  <c r="D618" i="15"/>
  <c r="B619" i="15"/>
  <c r="E619" i="15"/>
  <c r="D619" i="15"/>
  <c r="B620" i="15"/>
  <c r="D620" i="15"/>
  <c r="E620" i="15"/>
  <c r="B621" i="15"/>
  <c r="D621" i="15"/>
  <c r="E621" i="15"/>
  <c r="D622" i="15"/>
  <c r="B622" i="15"/>
  <c r="E622" i="15"/>
  <c r="B623" i="15"/>
  <c r="D623" i="15"/>
  <c r="E623" i="15"/>
  <c r="B624" i="15"/>
  <c r="D624" i="15"/>
  <c r="E624" i="15"/>
  <c r="B625" i="15"/>
  <c r="E625" i="15"/>
  <c r="D625" i="15"/>
  <c r="B626" i="15"/>
  <c r="D626" i="15"/>
  <c r="E626" i="15"/>
  <c r="B627" i="15"/>
  <c r="E627" i="15"/>
  <c r="D627" i="15"/>
  <c r="B628" i="15"/>
  <c r="D628" i="15"/>
  <c r="E628" i="15"/>
  <c r="B629" i="15"/>
  <c r="E629" i="15"/>
  <c r="D629" i="15"/>
  <c r="B630" i="15"/>
  <c r="D630" i="15"/>
  <c r="E630" i="15"/>
  <c r="B631" i="15"/>
  <c r="E631" i="15"/>
  <c r="D631" i="15"/>
  <c r="B632" i="15"/>
  <c r="D632" i="15"/>
  <c r="E632" i="15"/>
  <c r="B633" i="15"/>
  <c r="D633" i="15"/>
  <c r="E633" i="15"/>
  <c r="B634" i="15"/>
  <c r="D634" i="15"/>
  <c r="E634" i="15"/>
  <c r="B635" i="15"/>
  <c r="D635" i="15"/>
  <c r="E635" i="15"/>
  <c r="B636" i="15"/>
  <c r="D636" i="15"/>
  <c r="E636" i="15"/>
  <c r="B637" i="15"/>
  <c r="D637" i="15"/>
  <c r="E637" i="15"/>
  <c r="B638" i="15"/>
  <c r="D638" i="15"/>
  <c r="E638" i="15"/>
  <c r="D639" i="15"/>
  <c r="E639" i="15"/>
  <c r="B639" i="15"/>
  <c r="B640" i="15"/>
  <c r="E640" i="15"/>
  <c r="D640" i="15"/>
  <c r="B641" i="15"/>
  <c r="E641" i="15"/>
  <c r="D641" i="15"/>
  <c r="B642" i="15"/>
  <c r="E642" i="15"/>
  <c r="D642" i="15"/>
  <c r="D643" i="15"/>
  <c r="E643" i="15"/>
  <c r="B643" i="15"/>
  <c r="B644" i="15"/>
  <c r="D644" i="15"/>
  <c r="E644" i="15"/>
  <c r="B645" i="15"/>
  <c r="D645" i="15"/>
  <c r="E645" i="15"/>
  <c r="B646" i="15"/>
  <c r="D646" i="15"/>
  <c r="E646" i="15"/>
  <c r="B647" i="15"/>
  <c r="D647" i="15"/>
  <c r="E647" i="15"/>
  <c r="B648" i="15"/>
  <c r="D648" i="15"/>
  <c r="E648" i="15"/>
  <c r="B649" i="15"/>
  <c r="D649" i="15"/>
  <c r="E649" i="15"/>
  <c r="B650" i="15"/>
  <c r="D650" i="15"/>
  <c r="E650" i="15"/>
  <c r="B651" i="15"/>
  <c r="D651" i="15"/>
  <c r="E651" i="15"/>
  <c r="B652" i="15"/>
  <c r="E652" i="15"/>
  <c r="D652" i="15"/>
  <c r="B653" i="15"/>
  <c r="E653" i="15"/>
  <c r="D653" i="15"/>
  <c r="B654" i="15"/>
  <c r="E654" i="15"/>
  <c r="D654" i="15"/>
  <c r="B655" i="15"/>
  <c r="D655" i="15"/>
  <c r="E655" i="15"/>
  <c r="B656" i="15"/>
  <c r="E656" i="15"/>
  <c r="D656" i="15"/>
  <c r="B657" i="15"/>
  <c r="E657" i="15"/>
  <c r="D657" i="15"/>
  <c r="B658" i="15"/>
  <c r="E658" i="15"/>
  <c r="D658" i="15"/>
  <c r="B659" i="15"/>
  <c r="E659" i="15"/>
  <c r="D659" i="15"/>
  <c r="B660" i="15"/>
  <c r="D660" i="15"/>
  <c r="E660" i="15"/>
  <c r="B661" i="15"/>
  <c r="D661" i="15"/>
  <c r="E661" i="15"/>
  <c r="B662" i="15"/>
  <c r="E662" i="15"/>
  <c r="D662" i="15"/>
  <c r="B663" i="15"/>
  <c r="D663" i="15"/>
  <c r="E663" i="15"/>
  <c r="B664" i="15"/>
  <c r="E664" i="15"/>
  <c r="D664" i="15"/>
  <c r="B665" i="15"/>
  <c r="E665" i="15"/>
  <c r="D665" i="15"/>
  <c r="B666" i="15"/>
  <c r="E666" i="15"/>
  <c r="D666" i="15"/>
  <c r="B667" i="15"/>
  <c r="D667" i="15"/>
  <c r="E667" i="15"/>
  <c r="B668" i="15"/>
  <c r="E668" i="15"/>
  <c r="D668" i="15"/>
  <c r="B669" i="15"/>
  <c r="E669" i="15"/>
  <c r="D669" i="15"/>
  <c r="B670" i="15"/>
  <c r="E670" i="15"/>
  <c r="D670" i="15"/>
  <c r="B671" i="15"/>
  <c r="D671" i="15"/>
  <c r="E671" i="15"/>
  <c r="B672" i="15"/>
  <c r="E672" i="15"/>
  <c r="D672" i="15"/>
  <c r="B673" i="15"/>
  <c r="E673" i="15"/>
  <c r="D673" i="15"/>
  <c r="B674" i="15"/>
  <c r="E674" i="15"/>
  <c r="D674" i="15"/>
  <c r="B675" i="15"/>
  <c r="E675" i="15"/>
  <c r="D675" i="15"/>
  <c r="B676" i="15"/>
  <c r="D676" i="15"/>
  <c r="E676" i="15"/>
  <c r="B677" i="15"/>
  <c r="D677" i="15"/>
  <c r="E677" i="15"/>
  <c r="B678" i="15"/>
  <c r="E678" i="15"/>
  <c r="D678" i="15"/>
  <c r="B679" i="15"/>
  <c r="D679" i="15"/>
  <c r="E679" i="15"/>
  <c r="B680" i="15"/>
  <c r="D680" i="15"/>
  <c r="E680" i="15"/>
  <c r="B681" i="15"/>
  <c r="D681" i="15"/>
  <c r="E681" i="15"/>
  <c r="B682" i="15"/>
  <c r="D682" i="15"/>
  <c r="E682" i="15"/>
  <c r="B683" i="15"/>
  <c r="E683" i="15"/>
  <c r="D683" i="15"/>
  <c r="B684" i="15"/>
  <c r="E684" i="15"/>
  <c r="D684" i="15"/>
  <c r="B685" i="15"/>
  <c r="E685" i="15"/>
  <c r="D685" i="15"/>
  <c r="B686" i="15"/>
  <c r="E686" i="15"/>
  <c r="D686" i="15"/>
  <c r="B687" i="15"/>
  <c r="E687" i="15"/>
  <c r="D687" i="15"/>
  <c r="B688" i="15"/>
  <c r="E688" i="15"/>
  <c r="D688" i="15"/>
  <c r="B689" i="15"/>
  <c r="D689" i="15"/>
  <c r="E689" i="15"/>
  <c r="B690" i="15"/>
  <c r="D690" i="15"/>
  <c r="E690" i="15"/>
  <c r="B691" i="15"/>
  <c r="E691" i="15"/>
  <c r="D691" i="15"/>
  <c r="B692" i="15"/>
  <c r="D692" i="15"/>
  <c r="E692" i="15"/>
  <c r="B693" i="15"/>
  <c r="E693" i="15"/>
  <c r="D693" i="15"/>
  <c r="B694" i="15"/>
  <c r="D694" i="15"/>
  <c r="E694" i="15"/>
  <c r="B695" i="15"/>
  <c r="E695" i="15"/>
  <c r="D695" i="15"/>
  <c r="B696" i="15"/>
  <c r="E696" i="15"/>
  <c r="D696" i="15"/>
  <c r="B697" i="15"/>
  <c r="E697" i="15"/>
  <c r="D697" i="15"/>
  <c r="B698" i="15"/>
  <c r="D698" i="15"/>
  <c r="E698" i="15"/>
  <c r="B699" i="15"/>
  <c r="D699" i="15"/>
  <c r="E699" i="15"/>
  <c r="B700" i="15"/>
  <c r="E700" i="15"/>
  <c r="D700" i="15"/>
  <c r="B701" i="15"/>
  <c r="E701" i="15"/>
  <c r="D701" i="15"/>
  <c r="B702" i="15"/>
  <c r="E702" i="15"/>
  <c r="D702" i="15"/>
  <c r="B703" i="15"/>
  <c r="E703" i="15"/>
  <c r="D703" i="15"/>
  <c r="E704" i="15"/>
  <c r="B704" i="15"/>
  <c r="D704" i="15"/>
  <c r="B705" i="15"/>
  <c r="E705" i="15"/>
  <c r="D705" i="15"/>
  <c r="B706" i="15"/>
  <c r="E706" i="15"/>
  <c r="D706" i="15"/>
  <c r="B707" i="15"/>
  <c r="E707" i="15"/>
  <c r="D707" i="15"/>
  <c r="B708" i="15"/>
  <c r="E708" i="15"/>
  <c r="D708" i="15"/>
  <c r="B709" i="15"/>
  <c r="D709" i="15"/>
  <c r="E709" i="15"/>
  <c r="B710" i="15"/>
  <c r="E710" i="15"/>
  <c r="D710" i="15"/>
  <c r="B711" i="15"/>
  <c r="E711" i="15"/>
  <c r="D711" i="15"/>
  <c r="B712" i="15"/>
  <c r="E712" i="15"/>
  <c r="D712" i="15"/>
  <c r="B713" i="15"/>
  <c r="E713" i="15"/>
  <c r="D713" i="15"/>
  <c r="B714" i="15"/>
  <c r="D714" i="15"/>
  <c r="E714" i="15"/>
  <c r="B715" i="15"/>
  <c r="D715" i="15"/>
  <c r="E715" i="15"/>
  <c r="B716" i="15"/>
  <c r="D716" i="15"/>
  <c r="E716" i="15"/>
  <c r="D717" i="15"/>
  <c r="E717" i="15"/>
  <c r="B717" i="15"/>
  <c r="B718" i="15"/>
  <c r="D718" i="15"/>
  <c r="E718" i="15"/>
  <c r="B719" i="15"/>
  <c r="D719" i="15"/>
  <c r="E719" i="15"/>
  <c r="B720" i="15"/>
  <c r="D720" i="15"/>
  <c r="E720" i="15"/>
  <c r="D721" i="15"/>
  <c r="E721" i="15"/>
  <c r="B721" i="15"/>
  <c r="D722" i="15"/>
  <c r="B722" i="15"/>
  <c r="E722" i="15"/>
  <c r="B723" i="15"/>
  <c r="D723" i="15"/>
  <c r="E723" i="15"/>
  <c r="B724" i="15"/>
  <c r="D724" i="15"/>
  <c r="E724" i="15"/>
  <c r="B725" i="15"/>
  <c r="D725" i="15"/>
  <c r="E725" i="15"/>
  <c r="B726" i="15"/>
  <c r="E726" i="15"/>
  <c r="D726" i="15"/>
  <c r="B727" i="15"/>
  <c r="E727" i="15"/>
  <c r="D727" i="15"/>
  <c r="B728" i="15"/>
  <c r="D728" i="15"/>
  <c r="E728" i="15"/>
  <c r="B729" i="15"/>
  <c r="D729" i="15"/>
  <c r="E729" i="15"/>
  <c r="B730" i="15"/>
  <c r="D730" i="15"/>
  <c r="E730" i="15"/>
  <c r="B731" i="15"/>
  <c r="D731" i="15"/>
  <c r="E731" i="15"/>
  <c r="B732" i="15"/>
  <c r="D732" i="15"/>
  <c r="E732" i="15"/>
  <c r="B733" i="15"/>
  <c r="D733" i="15"/>
  <c r="E733" i="15"/>
  <c r="B734" i="15"/>
  <c r="D734" i="15"/>
  <c r="E734" i="15"/>
  <c r="B735" i="15"/>
  <c r="D735" i="15"/>
  <c r="E735" i="15"/>
  <c r="B736" i="15"/>
  <c r="D736" i="15"/>
  <c r="E736" i="15"/>
  <c r="B737" i="15"/>
  <c r="D737" i="15"/>
  <c r="E737" i="15"/>
  <c r="D738" i="15"/>
  <c r="B738" i="15"/>
  <c r="E738" i="15"/>
  <c r="B739" i="15"/>
  <c r="D739" i="15"/>
  <c r="E739" i="15"/>
  <c r="B740" i="15"/>
  <c r="D740" i="15"/>
  <c r="E740" i="15"/>
  <c r="B741" i="15"/>
  <c r="D741" i="15"/>
  <c r="E741" i="15"/>
  <c r="B742" i="15"/>
  <c r="D742" i="15"/>
  <c r="E742" i="15"/>
  <c r="B743" i="15"/>
  <c r="D743" i="15"/>
  <c r="E743" i="15"/>
  <c r="B744" i="15"/>
  <c r="D744" i="15"/>
  <c r="E744" i="15"/>
  <c r="B745" i="15"/>
  <c r="D745" i="15"/>
  <c r="E745" i="15"/>
  <c r="B746" i="15"/>
  <c r="D746" i="15"/>
  <c r="E746" i="15"/>
  <c r="B747" i="15"/>
  <c r="D747" i="15"/>
  <c r="E747" i="15"/>
  <c r="B748" i="15"/>
  <c r="D748" i="15"/>
  <c r="E748" i="15"/>
  <c r="B749" i="15"/>
  <c r="D749" i="15"/>
  <c r="E749" i="15"/>
  <c r="B750" i="15"/>
  <c r="E750" i="15"/>
  <c r="D750" i="15"/>
  <c r="B751" i="15"/>
  <c r="E751" i="15"/>
  <c r="D751" i="15"/>
  <c r="B752" i="15"/>
  <c r="E752" i="15"/>
  <c r="D752" i="15"/>
  <c r="B753" i="15"/>
  <c r="E753" i="15"/>
  <c r="D753" i="15"/>
  <c r="B754" i="15"/>
  <c r="E754" i="15"/>
  <c r="D754" i="15"/>
  <c r="B755" i="15"/>
  <c r="D755" i="15"/>
  <c r="E755" i="15"/>
  <c r="B756" i="15"/>
  <c r="E756" i="15"/>
  <c r="D756" i="15"/>
  <c r="D757" i="15"/>
  <c r="B757" i="15"/>
  <c r="E757" i="15"/>
  <c r="B758" i="15"/>
  <c r="E758" i="15"/>
  <c r="D758" i="15"/>
  <c r="B759" i="15"/>
  <c r="E759" i="15"/>
  <c r="D759" i="15"/>
  <c r="B760" i="15"/>
  <c r="E760" i="15"/>
  <c r="D760" i="15"/>
  <c r="B761" i="15"/>
  <c r="D761" i="15"/>
  <c r="E761" i="15"/>
  <c r="B762" i="15"/>
  <c r="E762" i="15"/>
  <c r="D762" i="15"/>
  <c r="B763" i="15"/>
  <c r="E763" i="15"/>
  <c r="D763" i="15"/>
  <c r="D764" i="15"/>
  <c r="E764" i="15"/>
  <c r="B764" i="15"/>
  <c r="B765" i="15"/>
  <c r="E765" i="15"/>
  <c r="D765" i="15"/>
  <c r="B766" i="15"/>
  <c r="D766" i="15"/>
  <c r="E766" i="15"/>
  <c r="B767" i="15"/>
  <c r="D767" i="15"/>
  <c r="E767" i="15"/>
  <c r="B768" i="15"/>
  <c r="D768" i="15"/>
  <c r="E768" i="15"/>
  <c r="E769" i="15"/>
  <c r="D769" i="15"/>
  <c r="B769" i="15"/>
  <c r="B770" i="15"/>
  <c r="E770" i="15"/>
  <c r="D770" i="15"/>
  <c r="B771" i="15"/>
  <c r="E771" i="15"/>
  <c r="D771" i="15"/>
  <c r="B772" i="15"/>
  <c r="E772" i="15"/>
  <c r="D772" i="15"/>
  <c r="B773" i="15"/>
  <c r="E773" i="15"/>
  <c r="D773" i="15"/>
  <c r="B774" i="15"/>
  <c r="D774" i="15"/>
  <c r="E774" i="15"/>
  <c r="B775" i="15"/>
  <c r="E775" i="15"/>
  <c r="D775" i="15"/>
  <c r="B776" i="15"/>
  <c r="E776" i="15"/>
  <c r="D776" i="15"/>
  <c r="B777" i="15"/>
  <c r="D777" i="15"/>
  <c r="E777" i="15"/>
  <c r="B778" i="15"/>
  <c r="D778" i="15"/>
  <c r="E778" i="15"/>
  <c r="B779" i="15"/>
  <c r="D779" i="15"/>
  <c r="E779" i="15"/>
  <c r="B780" i="15"/>
  <c r="E780" i="15"/>
  <c r="D780" i="15"/>
  <c r="B781" i="15"/>
  <c r="D781" i="15"/>
  <c r="E781" i="15"/>
  <c r="B782" i="15"/>
  <c r="E782" i="15"/>
  <c r="D782" i="15"/>
  <c r="B783" i="15"/>
  <c r="E783" i="15"/>
  <c r="D783" i="15"/>
  <c r="B784" i="15"/>
  <c r="E784" i="15"/>
  <c r="D784" i="15"/>
  <c r="B785" i="15"/>
  <c r="D785" i="15"/>
  <c r="E785" i="15"/>
  <c r="B786" i="15"/>
  <c r="E786" i="15"/>
  <c r="D786" i="15"/>
  <c r="B787" i="15"/>
  <c r="E787" i="15"/>
  <c r="D787" i="15"/>
  <c r="B788" i="15"/>
  <c r="D788" i="15"/>
  <c r="E788" i="15"/>
  <c r="B789" i="15"/>
  <c r="E789" i="15"/>
  <c r="D789" i="15"/>
  <c r="D790" i="15"/>
  <c r="E790" i="15"/>
  <c r="B790" i="15"/>
  <c r="E791" i="15"/>
  <c r="D791" i="15"/>
  <c r="B791" i="15"/>
  <c r="D792" i="15"/>
  <c r="E792" i="15"/>
  <c r="B792" i="15"/>
  <c r="D793" i="15"/>
  <c r="B793" i="15"/>
  <c r="E793" i="15"/>
  <c r="E794" i="15"/>
  <c r="D794" i="15"/>
  <c r="B794" i="15"/>
  <c r="B795" i="15"/>
  <c r="E795" i="15"/>
  <c r="D795" i="15"/>
  <c r="B796" i="15"/>
  <c r="E796" i="15"/>
  <c r="D796" i="15"/>
  <c r="B797" i="15"/>
  <c r="E797" i="15"/>
  <c r="D797" i="15"/>
  <c r="B798" i="15"/>
  <c r="E798" i="15"/>
  <c r="D798" i="15"/>
  <c r="B799" i="15"/>
  <c r="D799" i="15"/>
  <c r="E799" i="15"/>
  <c r="B800" i="15"/>
  <c r="D800" i="15"/>
  <c r="E800" i="15"/>
  <c r="B801" i="15"/>
  <c r="D801" i="15"/>
  <c r="E801" i="15"/>
  <c r="B802" i="15"/>
  <c r="D802" i="15"/>
  <c r="E802" i="15"/>
  <c r="B803" i="15"/>
  <c r="E803" i="15"/>
  <c r="D803" i="15"/>
  <c r="B804" i="15"/>
  <c r="E804" i="15"/>
  <c r="D804" i="15"/>
  <c r="B805" i="15"/>
  <c r="E805" i="15"/>
  <c r="D805" i="15"/>
  <c r="B806" i="15"/>
  <c r="E806" i="15"/>
  <c r="D806" i="15"/>
  <c r="B807" i="15"/>
  <c r="E807" i="15"/>
  <c r="D807" i="15"/>
  <c r="B808" i="15"/>
  <c r="E808" i="15"/>
  <c r="D808" i="15"/>
  <c r="B809" i="15"/>
  <c r="E809" i="15"/>
  <c r="D809" i="15"/>
  <c r="B810" i="15"/>
  <c r="D810" i="15"/>
  <c r="E810" i="15"/>
  <c r="B811" i="15"/>
  <c r="E811" i="15"/>
  <c r="D811" i="15"/>
  <c r="E812" i="15"/>
  <c r="D812" i="15"/>
  <c r="B812" i="15"/>
  <c r="B813" i="15"/>
  <c r="E813" i="15"/>
  <c r="D813" i="15"/>
  <c r="B814" i="15"/>
  <c r="E814" i="15"/>
  <c r="D814" i="15"/>
  <c r="E815" i="15"/>
  <c r="B815" i="15"/>
  <c r="D815" i="15"/>
  <c r="D816" i="15"/>
  <c r="E816" i="15"/>
  <c r="B816" i="15"/>
  <c r="E817" i="15"/>
  <c r="B817" i="15"/>
  <c r="D817" i="15"/>
  <c r="B818" i="15"/>
  <c r="E818" i="15"/>
  <c r="D818" i="15"/>
  <c r="B819" i="15"/>
  <c r="E819" i="15"/>
  <c r="D819" i="15"/>
  <c r="D820" i="15"/>
  <c r="B820" i="15"/>
  <c r="E820" i="15"/>
  <c r="E821" i="15"/>
  <c r="B821" i="15"/>
  <c r="D821" i="15"/>
  <c r="D822" i="15"/>
  <c r="E822" i="15"/>
  <c r="B822" i="15"/>
  <c r="B823" i="15"/>
  <c r="D823" i="15"/>
  <c r="E823" i="15"/>
  <c r="D824" i="15"/>
  <c r="B824" i="15"/>
  <c r="E824" i="15"/>
  <c r="D825" i="15"/>
  <c r="B825" i="15"/>
  <c r="E825" i="15"/>
  <c r="B826" i="15"/>
  <c r="D826" i="15"/>
  <c r="E826" i="15"/>
  <c r="E827" i="15"/>
  <c r="D827" i="15"/>
  <c r="E828" i="15"/>
  <c r="D828" i="15"/>
  <c r="B828" i="15"/>
  <c r="E829" i="15"/>
  <c r="D829" i="15"/>
  <c r="E830" i="15"/>
  <c r="D830" i="15"/>
  <c r="B830" i="15"/>
  <c r="E831" i="15"/>
  <c r="D831" i="15"/>
  <c r="E832" i="15"/>
  <c r="D832" i="15"/>
  <c r="B832" i="15"/>
  <c r="E833" i="15"/>
  <c r="B833" i="15"/>
  <c r="D833" i="15"/>
  <c r="E834" i="15"/>
  <c r="D834" i="15"/>
  <c r="B834" i="15"/>
  <c r="E835" i="15"/>
  <c r="D835" i="15"/>
  <c r="B835" i="15"/>
  <c r="B836" i="15"/>
  <c r="D836" i="15"/>
  <c r="E836" i="15"/>
  <c r="E837" i="15"/>
  <c r="D837" i="15"/>
  <c r="B837" i="15"/>
  <c r="E838" i="15"/>
  <c r="B838" i="15"/>
  <c r="D838" i="15"/>
  <c r="D839" i="15"/>
  <c r="E839" i="15"/>
  <c r="B839" i="15"/>
  <c r="B840" i="15"/>
  <c r="D840" i="15"/>
  <c r="E840" i="15"/>
  <c r="D841" i="15"/>
  <c r="E841" i="15"/>
  <c r="B841" i="15"/>
  <c r="B842" i="15"/>
  <c r="D842" i="15"/>
  <c r="E842" i="15"/>
  <c r="B843" i="15"/>
  <c r="D843" i="15"/>
  <c r="E843" i="15"/>
  <c r="D844" i="15"/>
  <c r="E844" i="15"/>
  <c r="B844" i="15"/>
  <c r="B845" i="15"/>
  <c r="D845" i="15"/>
  <c r="E845" i="15"/>
  <c r="E846" i="15"/>
  <c r="D846" i="15"/>
  <c r="B846" i="15"/>
  <c r="E847" i="15"/>
  <c r="D847" i="15"/>
  <c r="B847" i="15"/>
  <c r="E848" i="15"/>
  <c r="D848" i="15"/>
  <c r="B848" i="15"/>
  <c r="E849" i="15"/>
  <c r="D849" i="15"/>
  <c r="B849" i="15"/>
  <c r="E850" i="15"/>
  <c r="D850" i="15"/>
  <c r="B850" i="15"/>
  <c r="E851" i="15"/>
  <c r="D851" i="15"/>
  <c r="B851" i="15"/>
  <c r="E852" i="15"/>
  <c r="D852" i="15"/>
  <c r="E853" i="15"/>
  <c r="B853" i="15"/>
  <c r="D853" i="15"/>
  <c r="E854" i="15"/>
  <c r="D854" i="15"/>
  <c r="B854" i="15"/>
  <c r="E855" i="15"/>
  <c r="B855" i="15"/>
  <c r="D855" i="15"/>
  <c r="E856" i="15"/>
  <c r="B856" i="15"/>
  <c r="D856" i="15"/>
  <c r="E857" i="15"/>
  <c r="D857" i="15"/>
  <c r="B857" i="15"/>
  <c r="E858" i="15"/>
  <c r="D858" i="15"/>
  <c r="B858" i="15"/>
  <c r="E859" i="15"/>
  <c r="D859" i="15"/>
  <c r="B859" i="15"/>
  <c r="E860" i="15"/>
  <c r="D860" i="15"/>
  <c r="B860" i="15"/>
  <c r="E861" i="15"/>
  <c r="D861" i="15"/>
  <c r="B861" i="15"/>
  <c r="E862" i="15"/>
  <c r="D862" i="15"/>
  <c r="E863" i="15"/>
  <c r="D863" i="15"/>
  <c r="B863" i="15"/>
  <c r="E864" i="15"/>
  <c r="B864" i="15"/>
  <c r="D864" i="15"/>
  <c r="E865" i="15"/>
  <c r="D865" i="15"/>
  <c r="B865" i="15"/>
  <c r="D866" i="15"/>
  <c r="B866" i="15"/>
  <c r="E866" i="15"/>
  <c r="E867" i="15"/>
  <c r="D867" i="15"/>
  <c r="B867" i="15"/>
  <c r="B868" i="15"/>
  <c r="D868" i="15"/>
  <c r="E868" i="15"/>
  <c r="E869" i="15"/>
  <c r="D869" i="15"/>
  <c r="B869" i="15"/>
  <c r="E870" i="15"/>
  <c r="D870" i="15"/>
  <c r="E871" i="15"/>
  <c r="B871" i="15"/>
  <c r="D871" i="15"/>
  <c r="B872" i="15"/>
  <c r="E872" i="15"/>
  <c r="D872" i="15"/>
  <c r="B873" i="15"/>
  <c r="D873" i="15"/>
  <c r="E873" i="15"/>
  <c r="D874" i="15"/>
  <c r="B874" i="15"/>
  <c r="E874" i="15"/>
  <c r="D875" i="15"/>
  <c r="E875" i="15"/>
  <c r="B875" i="15"/>
  <c r="E876" i="15"/>
  <c r="D876" i="15"/>
  <c r="B876" i="15"/>
  <c r="D877" i="15"/>
  <c r="E877" i="15"/>
  <c r="B877" i="15"/>
  <c r="D878" i="15"/>
  <c r="E878" i="15"/>
  <c r="B878" i="15"/>
  <c r="D879" i="15"/>
  <c r="B879" i="15"/>
  <c r="E879" i="15"/>
  <c r="E880" i="15"/>
  <c r="D880" i="15"/>
  <c r="B880" i="15"/>
  <c r="E881" i="15"/>
  <c r="D881" i="15"/>
  <c r="B881" i="15"/>
  <c r="E882" i="15"/>
  <c r="D882" i="15"/>
  <c r="B882" i="15"/>
  <c r="B883" i="15"/>
  <c r="E883" i="15"/>
  <c r="D883" i="15"/>
  <c r="D884" i="15"/>
  <c r="E884" i="15"/>
  <c r="B884" i="15"/>
  <c r="D885" i="15"/>
  <c r="E885" i="15"/>
  <c r="B885" i="15"/>
  <c r="E886" i="15"/>
  <c r="D886" i="15"/>
  <c r="B886" i="15"/>
  <c r="D887" i="15"/>
  <c r="E887" i="15"/>
  <c r="B887" i="15"/>
  <c r="E888" i="15"/>
  <c r="D888" i="15"/>
  <c r="B888" i="15"/>
  <c r="E889" i="15"/>
  <c r="D889" i="15"/>
  <c r="B889" i="15"/>
  <c r="E890" i="15"/>
  <c r="D890" i="15"/>
  <c r="B890" i="15"/>
  <c r="E891" i="15"/>
  <c r="B891" i="15"/>
  <c r="D891" i="15"/>
  <c r="D892" i="15"/>
  <c r="E892" i="15"/>
  <c r="D893" i="15"/>
  <c r="E893" i="15"/>
  <c r="B894" i="15"/>
  <c r="D894" i="15"/>
  <c r="E894" i="15"/>
  <c r="E895" i="15"/>
  <c r="B895" i="15"/>
  <c r="D895" i="15"/>
  <c r="E896" i="15"/>
  <c r="B896" i="15"/>
  <c r="D896" i="15"/>
  <c r="B897" i="15"/>
  <c r="D897" i="15"/>
  <c r="E897" i="15"/>
  <c r="B898" i="15"/>
  <c r="E898" i="15"/>
  <c r="D898" i="15"/>
  <c r="B899" i="15"/>
  <c r="D899" i="15"/>
  <c r="E899" i="15"/>
  <c r="E900" i="15"/>
  <c r="B900" i="15"/>
  <c r="D900" i="15"/>
  <c r="B901" i="15"/>
  <c r="E901" i="15"/>
  <c r="D901" i="15"/>
  <c r="E902" i="15"/>
  <c r="B902" i="15"/>
  <c r="D902" i="15"/>
  <c r="B903" i="15"/>
  <c r="E903" i="15"/>
  <c r="D903" i="15"/>
  <c r="E904" i="15"/>
  <c r="D904" i="15"/>
  <c r="B904" i="15"/>
  <c r="B905" i="15"/>
  <c r="E905" i="15"/>
  <c r="D905" i="15"/>
  <c r="E906" i="15"/>
  <c r="B906" i="15"/>
  <c r="D906" i="15"/>
  <c r="E907" i="15"/>
  <c r="B907" i="15"/>
  <c r="D907" i="15"/>
  <c r="B908" i="15"/>
  <c r="E908" i="15"/>
  <c r="D908" i="15"/>
  <c r="E909" i="15"/>
  <c r="B909" i="15"/>
  <c r="D909" i="15"/>
  <c r="E910" i="15"/>
  <c r="D910" i="15"/>
  <c r="B910" i="15"/>
  <c r="E911" i="15"/>
  <c r="B911" i="15"/>
  <c r="D911" i="15"/>
  <c r="D912" i="15"/>
  <c r="E912" i="15"/>
  <c r="E913" i="15"/>
  <c r="B913" i="15"/>
  <c r="D913" i="15"/>
  <c r="B914" i="15"/>
  <c r="E914" i="15"/>
  <c r="D914" i="15"/>
  <c r="E915" i="15"/>
  <c r="B915" i="15"/>
  <c r="D915" i="15"/>
  <c r="B916" i="15"/>
  <c r="E916" i="15"/>
  <c r="D916" i="15"/>
  <c r="B917" i="15"/>
  <c r="E917" i="15"/>
  <c r="D917" i="15"/>
  <c r="B918" i="15"/>
  <c r="D918" i="15"/>
  <c r="E918" i="15"/>
  <c r="D919" i="15"/>
  <c r="E919" i="15"/>
  <c r="B919" i="15"/>
  <c r="D920" i="15"/>
  <c r="E920" i="15"/>
  <c r="B920" i="15"/>
  <c r="D921" i="15"/>
  <c r="E921" i="15"/>
  <c r="B922" i="15"/>
  <c r="E922" i="15"/>
  <c r="D922" i="15"/>
  <c r="D923" i="15"/>
  <c r="B923" i="15"/>
  <c r="E923" i="15"/>
  <c r="D924" i="15"/>
  <c r="B924" i="15"/>
  <c r="E924" i="15"/>
  <c r="D925" i="15"/>
  <c r="B925" i="15"/>
  <c r="E925" i="15"/>
  <c r="D926" i="15"/>
  <c r="B926" i="15"/>
  <c r="E926" i="15"/>
  <c r="D927" i="15"/>
  <c r="E927" i="15"/>
  <c r="B928" i="15"/>
  <c r="D928" i="15"/>
  <c r="E928" i="15"/>
  <c r="B929" i="15"/>
  <c r="E929" i="15"/>
  <c r="D929" i="15"/>
  <c r="D930" i="15"/>
  <c r="B930" i="15"/>
  <c r="E930" i="15"/>
  <c r="E931" i="15"/>
  <c r="D931" i="15"/>
  <c r="D932" i="15"/>
  <c r="E932" i="15"/>
  <c r="B932" i="15"/>
  <c r="E933" i="15"/>
  <c r="D933" i="15"/>
  <c r="B933" i="15"/>
  <c r="B934" i="15"/>
  <c r="D934" i="15"/>
  <c r="E934" i="15"/>
  <c r="E935" i="15"/>
  <c r="D935" i="15"/>
  <c r="E936" i="15"/>
  <c r="D936" i="15"/>
  <c r="B936" i="15"/>
  <c r="E937" i="15"/>
  <c r="D937" i="15"/>
  <c r="B937" i="15"/>
  <c r="E938" i="15"/>
  <c r="D938" i="15"/>
  <c r="D939" i="15"/>
  <c r="E939" i="15"/>
  <c r="B939" i="15"/>
  <c r="E940" i="15"/>
  <c r="D940" i="15"/>
  <c r="B940" i="15"/>
  <c r="E941" i="15"/>
  <c r="D941" i="15"/>
  <c r="B941" i="15"/>
  <c r="E942" i="15"/>
  <c r="D942" i="15"/>
  <c r="B942" i="15"/>
  <c r="E943" i="15"/>
  <c r="B943" i="15"/>
  <c r="D943" i="15"/>
  <c r="E944" i="15"/>
  <c r="D944" i="15"/>
  <c r="E945" i="15"/>
  <c r="D945" i="15"/>
  <c r="B945" i="15"/>
  <c r="E946" i="15"/>
  <c r="D946" i="15"/>
  <c r="B946" i="15"/>
  <c r="E947" i="15"/>
  <c r="D947" i="15"/>
  <c r="B947" i="15"/>
  <c r="E948" i="15"/>
  <c r="B948" i="15"/>
  <c r="D948" i="15"/>
  <c r="D949" i="15"/>
  <c r="E949" i="15"/>
  <c r="B949" i="15"/>
  <c r="E950" i="15"/>
  <c r="B950" i="15"/>
  <c r="D950" i="15"/>
  <c r="E951" i="15"/>
  <c r="D951" i="15"/>
  <c r="B951" i="15"/>
  <c r="E952" i="15"/>
  <c r="D952" i="15"/>
  <c r="B952" i="15"/>
  <c r="E953" i="15"/>
  <c r="B953" i="15"/>
  <c r="D953" i="15"/>
  <c r="D954" i="15"/>
  <c r="E954" i="15"/>
  <c r="B954" i="15"/>
  <c r="E955" i="15"/>
  <c r="B955" i="15"/>
  <c r="D955" i="15"/>
  <c r="E956" i="15"/>
  <c r="D956" i="15"/>
  <c r="B956" i="15"/>
  <c r="E957" i="15"/>
  <c r="B957" i="15"/>
  <c r="D957" i="15"/>
  <c r="D958" i="15"/>
  <c r="E958" i="15"/>
  <c r="D959" i="15"/>
  <c r="E959" i="15"/>
  <c r="B959" i="15"/>
  <c r="D960" i="15"/>
  <c r="E960" i="15"/>
  <c r="B960" i="15"/>
  <c r="E961" i="15"/>
  <c r="B961" i="15"/>
  <c r="D961" i="15"/>
  <c r="E962" i="15"/>
  <c r="D962" i="15"/>
  <c r="E963" i="15"/>
  <c r="D963" i="15"/>
  <c r="B963" i="15"/>
  <c r="D964" i="15"/>
  <c r="E964" i="15"/>
  <c r="B965" i="15"/>
  <c r="D965" i="15"/>
  <c r="E965" i="15"/>
  <c r="D966" i="15"/>
  <c r="E966" i="15"/>
  <c r="B966" i="15"/>
  <c r="B967" i="15"/>
  <c r="D967" i="15"/>
  <c r="E967" i="15"/>
  <c r="E968" i="15"/>
  <c r="D968" i="15"/>
  <c r="B968" i="15"/>
  <c r="D969" i="15"/>
  <c r="B969" i="15"/>
  <c r="E969" i="15"/>
  <c r="E970" i="15"/>
  <c r="D970" i="15"/>
  <c r="B970" i="15"/>
  <c r="D971" i="15"/>
  <c r="B971" i="15"/>
  <c r="E971" i="15"/>
  <c r="D972" i="15"/>
  <c r="E972" i="15"/>
  <c r="B972" i="15"/>
  <c r="E973" i="15"/>
  <c r="B973" i="15"/>
  <c r="D973" i="15"/>
  <c r="D974" i="15"/>
  <c r="E974" i="15"/>
  <c r="B974" i="15"/>
  <c r="E975" i="15"/>
  <c r="D975" i="15"/>
  <c r="E976" i="15"/>
  <c r="D976" i="15"/>
  <c r="E977" i="15"/>
  <c r="D977" i="15"/>
  <c r="E978" i="15"/>
  <c r="D978" i="15"/>
  <c r="E979" i="15"/>
  <c r="D979" i="15"/>
  <c r="D980" i="15"/>
  <c r="E980" i="15"/>
  <c r="D981" i="15"/>
  <c r="E981" i="15"/>
  <c r="B981" i="15"/>
  <c r="E982" i="15"/>
  <c r="D982" i="15"/>
  <c r="E983" i="15"/>
  <c r="D983" i="15"/>
  <c r="E984" i="15"/>
  <c r="D984" i="15"/>
  <c r="D985" i="15"/>
  <c r="E985" i="15"/>
  <c r="E986" i="15"/>
  <c r="D986" i="15"/>
  <c r="E987" i="15"/>
  <c r="D987" i="15"/>
  <c r="D988" i="15"/>
  <c r="E988" i="15"/>
  <c r="E989" i="15"/>
  <c r="D989" i="15"/>
  <c r="D990" i="15"/>
  <c r="E990" i="15"/>
  <c r="D991" i="15"/>
  <c r="E991" i="15"/>
  <c r="D992" i="15"/>
  <c r="E992" i="15"/>
  <c r="D993" i="15"/>
  <c r="E993" i="15"/>
  <c r="E994" i="15"/>
  <c r="D994" i="15"/>
  <c r="D995" i="15"/>
  <c r="E995" i="15"/>
  <c r="E996" i="15"/>
  <c r="D996" i="15"/>
  <c r="D997" i="15"/>
  <c r="E997" i="15"/>
  <c r="D998" i="15"/>
  <c r="E998" i="15"/>
  <c r="D999" i="15"/>
  <c r="E999" i="15"/>
  <c r="E1000" i="15"/>
  <c r="D1000" i="15"/>
  <c r="D1001" i="15"/>
  <c r="E1001" i="15"/>
  <c r="D1002" i="15"/>
  <c r="E1002" i="15"/>
  <c r="D1003" i="15"/>
  <c r="E1003" i="15"/>
  <c r="D1004" i="15"/>
  <c r="E1004" i="15"/>
  <c r="D1005" i="15"/>
  <c r="E1005" i="15"/>
  <c r="D1006" i="15"/>
  <c r="E1006" i="15"/>
  <c r="E1007" i="15"/>
  <c r="D1007" i="15"/>
  <c r="D1008" i="15"/>
  <c r="E1008" i="15"/>
  <c r="E1009" i="15"/>
  <c r="D1009" i="15"/>
  <c r="E1010" i="15"/>
  <c r="D1010" i="15"/>
  <c r="E1011" i="15"/>
  <c r="D1011" i="15"/>
  <c r="E1012" i="15"/>
  <c r="D1012" i="15"/>
  <c r="B1013" i="15"/>
  <c r="E1013" i="15"/>
  <c r="D1013" i="15"/>
  <c r="B1014" i="15"/>
  <c r="E1014" i="15"/>
  <c r="D1014" i="15"/>
  <c r="D1015" i="15"/>
  <c r="E1015" i="15"/>
  <c r="B1016" i="15"/>
  <c r="E1016" i="15"/>
  <c r="D1016" i="15"/>
  <c r="B1017" i="15"/>
  <c r="D1017" i="15"/>
  <c r="E1017" i="15"/>
  <c r="E1018" i="15"/>
  <c r="D1018" i="15"/>
  <c r="D1019" i="15"/>
  <c r="B1019" i="15"/>
  <c r="E1019" i="15"/>
  <c r="E1020" i="15"/>
  <c r="D1020" i="15"/>
  <c r="B1020" i="15"/>
  <c r="D1021" i="15"/>
  <c r="E1021" i="15"/>
  <c r="E1022" i="15"/>
  <c r="D1022" i="15"/>
  <c r="B1022" i="15"/>
  <c r="D1023" i="15"/>
  <c r="E1023" i="15"/>
  <c r="B1023" i="15"/>
  <c r="D1024" i="15"/>
  <c r="B1024" i="15"/>
  <c r="E1024" i="15"/>
  <c r="D1025" i="15"/>
  <c r="E1025" i="15"/>
  <c r="B1025" i="15"/>
  <c r="D1026" i="15"/>
  <c r="E1026" i="15"/>
  <c r="B1026" i="15"/>
  <c r="D1027" i="15"/>
  <c r="B1027" i="15"/>
  <c r="E1027" i="15"/>
  <c r="E1028" i="15"/>
  <c r="D1028" i="15"/>
  <c r="B1028" i="15"/>
  <c r="B1029" i="15"/>
  <c r="E1029" i="15"/>
  <c r="D1029" i="15"/>
  <c r="E1030" i="15"/>
  <c r="D1030" i="15"/>
  <c r="B1030" i="15"/>
  <c r="B1031" i="15"/>
  <c r="E1031" i="15"/>
  <c r="D1031" i="15"/>
  <c r="E1032" i="15"/>
  <c r="D1032" i="15"/>
  <c r="B1032" i="15"/>
  <c r="B1033" i="15"/>
  <c r="D1033" i="15"/>
  <c r="E1033" i="15"/>
  <c r="D1034" i="15"/>
  <c r="E1034" i="15"/>
  <c r="B1034" i="15"/>
  <c r="D1035" i="15"/>
  <c r="B1035" i="15"/>
  <c r="E1035" i="15"/>
  <c r="D1036" i="15"/>
  <c r="E1036" i="15"/>
  <c r="B1036" i="15"/>
  <c r="D1037" i="15"/>
  <c r="E1037" i="15"/>
  <c r="B1037" i="15"/>
  <c r="D1038" i="15"/>
  <c r="E1038" i="15"/>
  <c r="B1038" i="15"/>
  <c r="E1039" i="15"/>
  <c r="D1039" i="15"/>
  <c r="E1040" i="15"/>
  <c r="D1040" i="15"/>
  <c r="B1040" i="15"/>
  <c r="E1041" i="15"/>
  <c r="D1041" i="15"/>
  <c r="B1041" i="15"/>
  <c r="D1042" i="15"/>
  <c r="B1042" i="15"/>
  <c r="E1042" i="15"/>
  <c r="D1043" i="15"/>
  <c r="E1043" i="15"/>
  <c r="D1044" i="15"/>
  <c r="E1044" i="15"/>
  <c r="D1045" i="15"/>
  <c r="E1045" i="15"/>
  <c r="D1046" i="15"/>
  <c r="E1046" i="15"/>
  <c r="D1047" i="15"/>
  <c r="E1047" i="15"/>
  <c r="D1048" i="15"/>
  <c r="E1048" i="15"/>
  <c r="D1049" i="15"/>
  <c r="B1049" i="15"/>
  <c r="E1049" i="15"/>
  <c r="D1050" i="15"/>
  <c r="B1050" i="15"/>
  <c r="E1050" i="15"/>
  <c r="E1051" i="15"/>
  <c r="D1051" i="15"/>
  <c r="E1052" i="15"/>
  <c r="B1052" i="15"/>
  <c r="D1052" i="15"/>
  <c r="D1053" i="15"/>
  <c r="B1053" i="15"/>
  <c r="E1053" i="15"/>
  <c r="B1054" i="15"/>
  <c r="D1054" i="15"/>
  <c r="E1054" i="15"/>
  <c r="B1055" i="15"/>
  <c r="D1055" i="15"/>
  <c r="E1055" i="15"/>
  <c r="B1056" i="15"/>
  <c r="E1056" i="15"/>
  <c r="D1056" i="15"/>
  <c r="B1057" i="15"/>
  <c r="E1057" i="15"/>
  <c r="D1057" i="15"/>
  <c r="B1058" i="15"/>
  <c r="E1058" i="15"/>
  <c r="D1058" i="15"/>
  <c r="B1059" i="15"/>
  <c r="E1059" i="15"/>
  <c r="D1059" i="15"/>
  <c r="B1060" i="15"/>
  <c r="E1060" i="15"/>
  <c r="D1060" i="15"/>
  <c r="B1061" i="15"/>
  <c r="E1061" i="15"/>
  <c r="D1061" i="15"/>
  <c r="B1062" i="15"/>
  <c r="D1062" i="15"/>
  <c r="E1062" i="15"/>
  <c r="B1063" i="15"/>
  <c r="D1063" i="15"/>
  <c r="E1063" i="15"/>
  <c r="B1064" i="15"/>
  <c r="D1064" i="15"/>
  <c r="E1064" i="15"/>
  <c r="B1065" i="15"/>
  <c r="E1065" i="15"/>
  <c r="D1065" i="15"/>
  <c r="B1066" i="15"/>
  <c r="E1066" i="15"/>
  <c r="D1066" i="15"/>
  <c r="B1067" i="15"/>
  <c r="D1067" i="15"/>
  <c r="E1067" i="15"/>
  <c r="B1068" i="15"/>
  <c r="D1068" i="15"/>
  <c r="E1068" i="15"/>
  <c r="B1069" i="15"/>
  <c r="E1069" i="15"/>
  <c r="D1069" i="15"/>
  <c r="B1070" i="15"/>
  <c r="D1070" i="15"/>
  <c r="E1070" i="15"/>
  <c r="B1071" i="15"/>
  <c r="D1071" i="15"/>
  <c r="E1071" i="15"/>
  <c r="B1072" i="15"/>
  <c r="E1072" i="15"/>
  <c r="D1072" i="15"/>
  <c r="B1073" i="15"/>
  <c r="D1073" i="15"/>
  <c r="E1073" i="15"/>
  <c r="B1074" i="15"/>
  <c r="D1074" i="15"/>
  <c r="E1074" i="15"/>
  <c r="B1075" i="15"/>
  <c r="D1075" i="15"/>
  <c r="E1075" i="15"/>
  <c r="B1076" i="15"/>
  <c r="D1076" i="15"/>
  <c r="E1076" i="15"/>
  <c r="B1077" i="15"/>
  <c r="E1077" i="15"/>
  <c r="D1077" i="15"/>
  <c r="B1078" i="15"/>
  <c r="D1078" i="15"/>
  <c r="E1078" i="15"/>
  <c r="E1079" i="15"/>
  <c r="D1079" i="15"/>
  <c r="B1080" i="15"/>
  <c r="E1080" i="15"/>
  <c r="D1080" i="15"/>
  <c r="B1081" i="15"/>
  <c r="E1081" i="15"/>
  <c r="D1081" i="15"/>
  <c r="B1082" i="15"/>
  <c r="E1082" i="15"/>
  <c r="D1082" i="15"/>
  <c r="B1083" i="15"/>
  <c r="E1083" i="15"/>
  <c r="D1083" i="15"/>
  <c r="B1084" i="15"/>
  <c r="E1084" i="15"/>
  <c r="D1084" i="15"/>
  <c r="B1085" i="15"/>
  <c r="E1085" i="15"/>
  <c r="D1085" i="15"/>
  <c r="B1086" i="15"/>
  <c r="E1086" i="15"/>
  <c r="D1086" i="15"/>
  <c r="B1087" i="15"/>
  <c r="E1087" i="15"/>
  <c r="D1087" i="15"/>
  <c r="B1088" i="15"/>
  <c r="E1088" i="15"/>
  <c r="D1088" i="15"/>
  <c r="B1089" i="15"/>
  <c r="E1089" i="15"/>
  <c r="D1089" i="15"/>
  <c r="B1090" i="15"/>
  <c r="E1090" i="15"/>
  <c r="D1090" i="15"/>
  <c r="B1091" i="15"/>
  <c r="E1091" i="15"/>
  <c r="D1091" i="15"/>
  <c r="B1092" i="15"/>
  <c r="D1092" i="15"/>
  <c r="E1092" i="15"/>
  <c r="B1093" i="15"/>
  <c r="D1093" i="15"/>
  <c r="E1093" i="15"/>
  <c r="B1094" i="15"/>
  <c r="D1094" i="15"/>
  <c r="E1094" i="15"/>
  <c r="B1095" i="15"/>
  <c r="D1095" i="15"/>
  <c r="E1095" i="15"/>
  <c r="B1096" i="15"/>
  <c r="D1096" i="15"/>
  <c r="E1096" i="15"/>
  <c r="B1097" i="15"/>
  <c r="D1097" i="15"/>
  <c r="E1097" i="15"/>
  <c r="B1098" i="15"/>
  <c r="E1098" i="15"/>
  <c r="D1098" i="15"/>
  <c r="B1099" i="15"/>
  <c r="D1099" i="15"/>
  <c r="E1099" i="15"/>
  <c r="B1100" i="15"/>
  <c r="E1100" i="15"/>
  <c r="D1100" i="15"/>
  <c r="B1101" i="15"/>
  <c r="D1101" i="15"/>
  <c r="E1101" i="15"/>
  <c r="B1102" i="15"/>
  <c r="E1102" i="15"/>
  <c r="D1102" i="15"/>
  <c r="B1103" i="15"/>
  <c r="E1103" i="15"/>
  <c r="D1103" i="15"/>
  <c r="B1104" i="15"/>
  <c r="E1104" i="15"/>
  <c r="D1104" i="15"/>
  <c r="B1105" i="15"/>
  <c r="E1105" i="15"/>
  <c r="D1105" i="15"/>
  <c r="B1106" i="15"/>
  <c r="E1106" i="15"/>
  <c r="D1106" i="15"/>
  <c r="B1107" i="15"/>
  <c r="E1107" i="15"/>
  <c r="D1107" i="15"/>
  <c r="B1108" i="15"/>
  <c r="E1108" i="15"/>
  <c r="D1108" i="15"/>
  <c r="B1109" i="15"/>
  <c r="E1109" i="15"/>
  <c r="D1109" i="15"/>
  <c r="B1110" i="15"/>
  <c r="E1110" i="15"/>
  <c r="D1110" i="15"/>
  <c r="B1111" i="15"/>
  <c r="E1111" i="15"/>
  <c r="D1111" i="15"/>
  <c r="B1112" i="15"/>
  <c r="E1112" i="15"/>
  <c r="D1112" i="15"/>
  <c r="D1113" i="15"/>
  <c r="E1113" i="15"/>
  <c r="B1114" i="15"/>
  <c r="D1114" i="15"/>
  <c r="E1114" i="15"/>
  <c r="B1115" i="15"/>
  <c r="E1115" i="15"/>
  <c r="D1115" i="15"/>
  <c r="B1116" i="15"/>
  <c r="D1116" i="15"/>
  <c r="E1116" i="15"/>
  <c r="B1117" i="15"/>
  <c r="E1117" i="15"/>
  <c r="D1117" i="15"/>
  <c r="B1118" i="15"/>
  <c r="E1118" i="15"/>
  <c r="D1118" i="15"/>
  <c r="B1119" i="15"/>
  <c r="E1119" i="15"/>
  <c r="D1119" i="15"/>
  <c r="B1120" i="15"/>
  <c r="E1120" i="15"/>
  <c r="D1120" i="15"/>
  <c r="B1121" i="15"/>
  <c r="E1121" i="15"/>
  <c r="D1121" i="15"/>
  <c r="B1122" i="15"/>
  <c r="E1122" i="15"/>
  <c r="D1122" i="15"/>
  <c r="B1123" i="15"/>
  <c r="D1123" i="15"/>
  <c r="E1123" i="15"/>
  <c r="B1124" i="15"/>
  <c r="D1124" i="15"/>
  <c r="E1124" i="15"/>
  <c r="B1125" i="15"/>
  <c r="E1125" i="15"/>
  <c r="D1125" i="15"/>
  <c r="B1126" i="15"/>
  <c r="D1126" i="15"/>
  <c r="E1126" i="15"/>
  <c r="B1127" i="15"/>
  <c r="E1127" i="15"/>
  <c r="D1127" i="15"/>
  <c r="B1128" i="15"/>
  <c r="D1128" i="15"/>
  <c r="E1128" i="15"/>
  <c r="B1129" i="15"/>
  <c r="E1129" i="15"/>
  <c r="D1129" i="15"/>
  <c r="B1130" i="15"/>
  <c r="E1130" i="15"/>
  <c r="D1130" i="15"/>
  <c r="B1131" i="15"/>
  <c r="D1131" i="15"/>
  <c r="E1131" i="15"/>
  <c r="B1132" i="15"/>
  <c r="D1132" i="15"/>
  <c r="E1132" i="15"/>
  <c r="B1133" i="15"/>
  <c r="D1133" i="15"/>
  <c r="E1133" i="15"/>
  <c r="B1134" i="15"/>
  <c r="D1134" i="15"/>
  <c r="E1134" i="15"/>
  <c r="B1135" i="15"/>
  <c r="E1135" i="15"/>
  <c r="D1135" i="15"/>
  <c r="B1136" i="15"/>
  <c r="D1136" i="15"/>
  <c r="E1136" i="15"/>
  <c r="B1137" i="15"/>
  <c r="E1137" i="15"/>
  <c r="D1137" i="15"/>
  <c r="B1138" i="15"/>
  <c r="D1138" i="15"/>
  <c r="E1138" i="15"/>
  <c r="B1139" i="15"/>
  <c r="E1139" i="15"/>
  <c r="D1139" i="15"/>
  <c r="B1140" i="15"/>
  <c r="E1140" i="15"/>
  <c r="D1140" i="15"/>
  <c r="B1141" i="15"/>
  <c r="E1141" i="15"/>
  <c r="D1141" i="15"/>
  <c r="B1142" i="15"/>
  <c r="E1142" i="15"/>
  <c r="D1142" i="15"/>
  <c r="B1143" i="15"/>
  <c r="E1143" i="15"/>
  <c r="D1143" i="15"/>
  <c r="B1144" i="15"/>
  <c r="E1144" i="15"/>
  <c r="D1144" i="15"/>
  <c r="B1145" i="15"/>
  <c r="E1145" i="15"/>
  <c r="D1145" i="15"/>
  <c r="B1146" i="15"/>
  <c r="E1146" i="15"/>
  <c r="D1146" i="15"/>
  <c r="B1147" i="15"/>
  <c r="E1147" i="15"/>
  <c r="D1147" i="15"/>
  <c r="B1148" i="15"/>
  <c r="E1148" i="15"/>
  <c r="D1148" i="15"/>
  <c r="B1149" i="15"/>
  <c r="D1149" i="15"/>
  <c r="E1149" i="15"/>
  <c r="B1150" i="15"/>
  <c r="D1150" i="15"/>
  <c r="E1150" i="15"/>
  <c r="B1151" i="15"/>
  <c r="D1151" i="15"/>
  <c r="E1151" i="15"/>
  <c r="B1152" i="15"/>
  <c r="D1152" i="15"/>
  <c r="E1152" i="15"/>
  <c r="B1153" i="15"/>
  <c r="D1153" i="15"/>
  <c r="E1153" i="15"/>
  <c r="B1154" i="15"/>
  <c r="E1154" i="15"/>
  <c r="D1154" i="15"/>
  <c r="B1155" i="15"/>
  <c r="E1155" i="15"/>
  <c r="D1155" i="15"/>
  <c r="B1156" i="15"/>
  <c r="E1156" i="15"/>
  <c r="D1156" i="15"/>
  <c r="B1157" i="15"/>
  <c r="E1157" i="15"/>
  <c r="D1157" i="15"/>
  <c r="B1158" i="15"/>
  <c r="E1158" i="15"/>
  <c r="D1158" i="15"/>
  <c r="B1159" i="15"/>
  <c r="E1159" i="15"/>
  <c r="D1159" i="15"/>
  <c r="B1160" i="15"/>
  <c r="E1160" i="15"/>
  <c r="D1160" i="15"/>
  <c r="D1161" i="15"/>
  <c r="E1161" i="15"/>
  <c r="B1161" i="15"/>
  <c r="B1162" i="15"/>
  <c r="E1162" i="15"/>
  <c r="D1162" i="15"/>
  <c r="B1163" i="15"/>
  <c r="E1163" i="15"/>
  <c r="D1163" i="15"/>
  <c r="B1164" i="15"/>
  <c r="E1164" i="15"/>
  <c r="D1164" i="15"/>
  <c r="B1165" i="15"/>
  <c r="D1165" i="15"/>
  <c r="E1165" i="15"/>
  <c r="B1166" i="15"/>
  <c r="E1166" i="15"/>
  <c r="D1166" i="15"/>
  <c r="B1167" i="15"/>
  <c r="E1167" i="15"/>
  <c r="D1167" i="15"/>
  <c r="B1168" i="15"/>
  <c r="D1168" i="15"/>
  <c r="E1168" i="15"/>
  <c r="B1169" i="15"/>
  <c r="D1169" i="15"/>
  <c r="E1169" i="15"/>
  <c r="B1170" i="15"/>
  <c r="D1170" i="15"/>
  <c r="E1170" i="15"/>
  <c r="B1171" i="15"/>
  <c r="D1171" i="15"/>
  <c r="E1171" i="15"/>
  <c r="B1172" i="15"/>
  <c r="D1172" i="15"/>
  <c r="E1172" i="15"/>
  <c r="B1173" i="15"/>
  <c r="D1173" i="15"/>
  <c r="E1173" i="15"/>
  <c r="B1174" i="15"/>
  <c r="D1174" i="15"/>
  <c r="E1174" i="15"/>
  <c r="B1175" i="15"/>
  <c r="D1175" i="15"/>
  <c r="E1175" i="15"/>
  <c r="B1176" i="15"/>
  <c r="D1176" i="15"/>
  <c r="E1176" i="15"/>
  <c r="B1177" i="15"/>
  <c r="E1177" i="15"/>
  <c r="D1177" i="15"/>
  <c r="B1178" i="15"/>
  <c r="D1178" i="15"/>
  <c r="E1178" i="15"/>
  <c r="B1179" i="15"/>
  <c r="D1179" i="15"/>
  <c r="E1179" i="15"/>
  <c r="B1180" i="15"/>
  <c r="D1180" i="15"/>
  <c r="E1180" i="15"/>
  <c r="B1181" i="15"/>
  <c r="E1181" i="15"/>
  <c r="D1181" i="15"/>
  <c r="B1182" i="15"/>
  <c r="D1182" i="15"/>
  <c r="E1182" i="15"/>
  <c r="B1183" i="15"/>
  <c r="E1183" i="15"/>
  <c r="D1183" i="15"/>
  <c r="B1184" i="15"/>
  <c r="D1184" i="15"/>
  <c r="E1184" i="15"/>
  <c r="B1185" i="15"/>
  <c r="E1185" i="15"/>
  <c r="D1185" i="15"/>
  <c r="B1186" i="15"/>
  <c r="D1186" i="15"/>
  <c r="E1186" i="15"/>
  <c r="B1187" i="15"/>
  <c r="D1187" i="15"/>
  <c r="E1187" i="15"/>
  <c r="B1188" i="15"/>
  <c r="D1188" i="15"/>
  <c r="E1188" i="15"/>
  <c r="B1189" i="15"/>
  <c r="D1189" i="15"/>
  <c r="E1189" i="15"/>
  <c r="B1190" i="15"/>
  <c r="D1190" i="15"/>
  <c r="E1190" i="15"/>
  <c r="B1191" i="15"/>
  <c r="E1191" i="15"/>
  <c r="D1191" i="15"/>
  <c r="B1192" i="15"/>
  <c r="E1192" i="15"/>
  <c r="D1192" i="15"/>
  <c r="B1193" i="15"/>
  <c r="D1193" i="15"/>
  <c r="E1193" i="15"/>
  <c r="B1194" i="15"/>
  <c r="E1194" i="15"/>
  <c r="D1194" i="15"/>
  <c r="B1195" i="15"/>
  <c r="E1195" i="15"/>
  <c r="D1195" i="15"/>
  <c r="B1196" i="15"/>
  <c r="D1196" i="15"/>
  <c r="E1196" i="15"/>
  <c r="B1197" i="15"/>
  <c r="D1197" i="15"/>
  <c r="E1197" i="15"/>
  <c r="B1198" i="15"/>
  <c r="D1198" i="15"/>
  <c r="E1198" i="15"/>
  <c r="B1199" i="15"/>
  <c r="E1199" i="15"/>
  <c r="D1199" i="15"/>
  <c r="B1200" i="15"/>
  <c r="D1200" i="15"/>
  <c r="E1200" i="15"/>
  <c r="B1201" i="15"/>
  <c r="D1201" i="15"/>
  <c r="E1201" i="15"/>
  <c r="B1202" i="15"/>
  <c r="E1202" i="15"/>
  <c r="D1202" i="15"/>
  <c r="B1203" i="15"/>
  <c r="D1203" i="15"/>
  <c r="E1203" i="15"/>
  <c r="B1204" i="15"/>
  <c r="D1204" i="15"/>
  <c r="E1204" i="15"/>
  <c r="B1205" i="15"/>
  <c r="D1205" i="15"/>
  <c r="E1205" i="15"/>
  <c r="B1206" i="15"/>
  <c r="D1206" i="15"/>
  <c r="E1206" i="15"/>
  <c r="B1207" i="15"/>
  <c r="D1207" i="15"/>
  <c r="E1207" i="15"/>
  <c r="B1208" i="15"/>
  <c r="E1208" i="15"/>
  <c r="D1208" i="15"/>
  <c r="B1209" i="15"/>
  <c r="D1209" i="15"/>
  <c r="E1209" i="15"/>
  <c r="B1210" i="15"/>
  <c r="D1210" i="15"/>
  <c r="E1210" i="15"/>
  <c r="B1211" i="15"/>
  <c r="D1211" i="15"/>
  <c r="E1211" i="15"/>
  <c r="B1212" i="15"/>
  <c r="E1212" i="15"/>
  <c r="D1212" i="15"/>
  <c r="B1213" i="15"/>
  <c r="D1213" i="15"/>
  <c r="E1213" i="15"/>
  <c r="B1214" i="15"/>
  <c r="D1214" i="15"/>
  <c r="E1214" i="15"/>
  <c r="B1215" i="15"/>
  <c r="E1215" i="15"/>
  <c r="D1215" i="15"/>
  <c r="B1216" i="15"/>
  <c r="E1216" i="15"/>
  <c r="D1216" i="15"/>
  <c r="B1217" i="15"/>
  <c r="E1217" i="15"/>
  <c r="D1217" i="15"/>
  <c r="B1218" i="15"/>
  <c r="E1218" i="15"/>
  <c r="D1218" i="15"/>
  <c r="B1219" i="15"/>
  <c r="D1219" i="15"/>
  <c r="E1219" i="15"/>
  <c r="B1220" i="15"/>
  <c r="E1220" i="15"/>
  <c r="D1220" i="15"/>
  <c r="B1221" i="15"/>
  <c r="E1221" i="15"/>
  <c r="D1221" i="15"/>
  <c r="B1222" i="15"/>
  <c r="E1222" i="15"/>
  <c r="D1222" i="15"/>
  <c r="B1223" i="15"/>
  <c r="E1223" i="15"/>
  <c r="D1223" i="15"/>
  <c r="B1224" i="15"/>
  <c r="E1224" i="15"/>
  <c r="D1224" i="15"/>
  <c r="B1225" i="15"/>
  <c r="E1225" i="15"/>
  <c r="D1225" i="15"/>
  <c r="B1226" i="15"/>
  <c r="E1226" i="15"/>
  <c r="D1226" i="15"/>
  <c r="B1227" i="15"/>
  <c r="E1227" i="15"/>
  <c r="D1227" i="15"/>
  <c r="B1228" i="15"/>
  <c r="E1228" i="15"/>
  <c r="D1228" i="15"/>
  <c r="B1229" i="15"/>
  <c r="E1229" i="15"/>
  <c r="D1229" i="15"/>
  <c r="B1230" i="15"/>
  <c r="E1230" i="15"/>
  <c r="D1230" i="15"/>
  <c r="B1231" i="15"/>
  <c r="E1231" i="15"/>
  <c r="D1231" i="15"/>
  <c r="B1232" i="15"/>
  <c r="D1232" i="15"/>
  <c r="E1232" i="15"/>
  <c r="B1233" i="15"/>
  <c r="D1233" i="15"/>
  <c r="E1233" i="15"/>
  <c r="B1234" i="15"/>
  <c r="E1234" i="15"/>
  <c r="D1234" i="15"/>
  <c r="B1235" i="15"/>
  <c r="D1235" i="15"/>
  <c r="E1235" i="15"/>
  <c r="B1236" i="15"/>
  <c r="D1236" i="15"/>
  <c r="E1236" i="15"/>
  <c r="B1237" i="15"/>
  <c r="E1237" i="15"/>
  <c r="D1237" i="15"/>
  <c r="B1238" i="15"/>
  <c r="E1238" i="15"/>
  <c r="D1238" i="15"/>
  <c r="B1239" i="15"/>
  <c r="D1239" i="15"/>
  <c r="E1239" i="15"/>
  <c r="B1240" i="15"/>
  <c r="E1240" i="15"/>
  <c r="D1240" i="15"/>
  <c r="B1241" i="15"/>
  <c r="D1241" i="15"/>
  <c r="E1241" i="15"/>
  <c r="B1242" i="15"/>
  <c r="D1242" i="15"/>
  <c r="E1242" i="15"/>
  <c r="B1243" i="15"/>
  <c r="E1243" i="15"/>
  <c r="D1243" i="15"/>
  <c r="B1244" i="15"/>
  <c r="E1244" i="15"/>
  <c r="D1244" i="15"/>
  <c r="B1245" i="15"/>
  <c r="D1245" i="15"/>
  <c r="E1245" i="15"/>
  <c r="B1246" i="15"/>
  <c r="E1246" i="15"/>
  <c r="D1246" i="15"/>
  <c r="B1247" i="15"/>
  <c r="D1247" i="15"/>
  <c r="E1247" i="15"/>
  <c r="B1248" i="15"/>
  <c r="D1248" i="15"/>
  <c r="E1248" i="15"/>
  <c r="B1249" i="15"/>
  <c r="E1249" i="15"/>
  <c r="D1249" i="15"/>
  <c r="B1250" i="15"/>
  <c r="E1250" i="15"/>
  <c r="D1250" i="15"/>
  <c r="B1251" i="15"/>
  <c r="E1251" i="15"/>
  <c r="D1251" i="15"/>
  <c r="B1252" i="15"/>
  <c r="E1252" i="15"/>
  <c r="D1252" i="15"/>
  <c r="B1253" i="15"/>
  <c r="D1253" i="15"/>
  <c r="E1253" i="15"/>
  <c r="B1254" i="15"/>
  <c r="E1254" i="15"/>
  <c r="D1254" i="15"/>
  <c r="B1255" i="15"/>
  <c r="D1255" i="15"/>
  <c r="E1255" i="15"/>
  <c r="B1256" i="15"/>
  <c r="E1256" i="15"/>
  <c r="D1256" i="15"/>
  <c r="B1257" i="15"/>
  <c r="D1257" i="15"/>
  <c r="E1257" i="15"/>
  <c r="E1258" i="15"/>
  <c r="D1258" i="15"/>
  <c r="B1258" i="15"/>
  <c r="B1259" i="15"/>
  <c r="D1259" i="15"/>
  <c r="E1259" i="15"/>
  <c r="B1260" i="15"/>
  <c r="D1260" i="15"/>
  <c r="E1260" i="15"/>
  <c r="B1261" i="15"/>
  <c r="E1261" i="15"/>
  <c r="D1261" i="15"/>
  <c r="B1262" i="15"/>
  <c r="D1262" i="15"/>
  <c r="E1262" i="15"/>
  <c r="B1263" i="15"/>
  <c r="D1263" i="15"/>
  <c r="E1263" i="15"/>
  <c r="B1264" i="15"/>
  <c r="D1264" i="15"/>
  <c r="E1264" i="15"/>
  <c r="B1265" i="15"/>
  <c r="D1265" i="15"/>
  <c r="E1265" i="15"/>
  <c r="B1266" i="15"/>
  <c r="D1266" i="15"/>
  <c r="E1266" i="15"/>
  <c r="B1267" i="15"/>
  <c r="E1267" i="15"/>
  <c r="D1267" i="15"/>
  <c r="B1268" i="15"/>
  <c r="D1268" i="15"/>
  <c r="E1268" i="15"/>
  <c r="B1269" i="15"/>
  <c r="E1269" i="15"/>
  <c r="D1269" i="15"/>
  <c r="B1270" i="15"/>
  <c r="E1270" i="15"/>
  <c r="D1270" i="15"/>
  <c r="B1271" i="15"/>
  <c r="E1271" i="15"/>
  <c r="D1271" i="15"/>
  <c r="B1272" i="15"/>
  <c r="E1272" i="15"/>
  <c r="D1272" i="15"/>
  <c r="B1273" i="15"/>
  <c r="E1273" i="15"/>
  <c r="D1273" i="15"/>
  <c r="B1274" i="15"/>
  <c r="D1274" i="15"/>
  <c r="E1274" i="15"/>
  <c r="B1275" i="15"/>
  <c r="E1275" i="15"/>
  <c r="D1275" i="15"/>
  <c r="B1276" i="15"/>
  <c r="E1276" i="15"/>
  <c r="D1276" i="15"/>
  <c r="B1277" i="15"/>
  <c r="E1277" i="15"/>
  <c r="D1277" i="15"/>
  <c r="B1278" i="15"/>
  <c r="D1278" i="15"/>
  <c r="E1278" i="15"/>
  <c r="B1279" i="15"/>
  <c r="D1279" i="15"/>
  <c r="E1279" i="15"/>
  <c r="B1280" i="15"/>
  <c r="D1280" i="15"/>
  <c r="E1280" i="15"/>
  <c r="B1281" i="15"/>
  <c r="D1281" i="15"/>
  <c r="E1281" i="15"/>
  <c r="B1282" i="15"/>
  <c r="D1282" i="15"/>
  <c r="E1282" i="15"/>
  <c r="B1283" i="15"/>
  <c r="D1283" i="15"/>
  <c r="E1283" i="15"/>
  <c r="B1284" i="15"/>
  <c r="E1284" i="15"/>
  <c r="D1284" i="15"/>
  <c r="B1285" i="15"/>
  <c r="D1285" i="15"/>
  <c r="E1285" i="15"/>
  <c r="E1286" i="15"/>
  <c r="D1286" i="15"/>
  <c r="B1287" i="15"/>
  <c r="D1287" i="15"/>
  <c r="E1287" i="15"/>
  <c r="B1288" i="15"/>
  <c r="E1288" i="15"/>
  <c r="D1288" i="15"/>
  <c r="B1289" i="15"/>
  <c r="D1289" i="15"/>
  <c r="E1289" i="15"/>
  <c r="B1290" i="15"/>
  <c r="D1290" i="15"/>
  <c r="E1290" i="15"/>
  <c r="B1291" i="15"/>
  <c r="E1291" i="15"/>
  <c r="D1291" i="15"/>
  <c r="B1292" i="15"/>
  <c r="D1292" i="15"/>
  <c r="E1292" i="15"/>
  <c r="B1293" i="15"/>
  <c r="D1293" i="15"/>
  <c r="E1293" i="15"/>
  <c r="B1294" i="15"/>
  <c r="D1294" i="15"/>
  <c r="E1294" i="15"/>
  <c r="B1295" i="15"/>
  <c r="D1295" i="15"/>
  <c r="E1295" i="15"/>
  <c r="B1296" i="15"/>
  <c r="E1296" i="15"/>
  <c r="D1296" i="15"/>
  <c r="B1297" i="15"/>
  <c r="E1297" i="15"/>
  <c r="D1297" i="15"/>
  <c r="B1298" i="15"/>
  <c r="E1298" i="15"/>
  <c r="D1298" i="15"/>
  <c r="B1299" i="15"/>
  <c r="E1299" i="15"/>
  <c r="D1299" i="15"/>
  <c r="B1300" i="15"/>
  <c r="E1300" i="15"/>
  <c r="D1300" i="15"/>
  <c r="B1301" i="15"/>
  <c r="E1301" i="15"/>
  <c r="D1301" i="15"/>
  <c r="B1302" i="15"/>
  <c r="E1302" i="15"/>
  <c r="D1302" i="15"/>
  <c r="B1303" i="15"/>
  <c r="E1303" i="15"/>
  <c r="D1303" i="15"/>
  <c r="B1304" i="15"/>
  <c r="E1304" i="15"/>
  <c r="D1304" i="15"/>
  <c r="B1305" i="15"/>
  <c r="E1305" i="15"/>
  <c r="D1305" i="15"/>
  <c r="B1306" i="15"/>
  <c r="E1306" i="15"/>
  <c r="D1306" i="15"/>
  <c r="B1307" i="15"/>
  <c r="E1307" i="15"/>
  <c r="D1307" i="15"/>
  <c r="B1308" i="15"/>
  <c r="D1308" i="15"/>
  <c r="E1308" i="15"/>
  <c r="B1309" i="15"/>
  <c r="D1309" i="15"/>
  <c r="E1309" i="15"/>
  <c r="B1310" i="15"/>
  <c r="D1310" i="15"/>
  <c r="E1310" i="15"/>
  <c r="B1311" i="15"/>
  <c r="E1311" i="15"/>
  <c r="D1311" i="15"/>
  <c r="B1312" i="15"/>
  <c r="E1312" i="15"/>
  <c r="D1312" i="15"/>
  <c r="B1313" i="15"/>
  <c r="D1313" i="15"/>
  <c r="E1313" i="15"/>
  <c r="B1314" i="15"/>
  <c r="E1314" i="15"/>
  <c r="D1314" i="15"/>
  <c r="B1315" i="15"/>
  <c r="D1315" i="15"/>
  <c r="E1315" i="15"/>
  <c r="B1316" i="15"/>
  <c r="D1316" i="15"/>
  <c r="E1316" i="15"/>
  <c r="B1317" i="15"/>
  <c r="D1317" i="15"/>
  <c r="E1317" i="15"/>
  <c r="B1318" i="15"/>
  <c r="E1318" i="15"/>
  <c r="D1318" i="15"/>
  <c r="B1319" i="15"/>
  <c r="E1319" i="15"/>
  <c r="D1319" i="15"/>
  <c r="B1320" i="15"/>
  <c r="D1320" i="15"/>
  <c r="E1320" i="15"/>
  <c r="B1321" i="15"/>
  <c r="E1321" i="15"/>
  <c r="D1321" i="15"/>
  <c r="B1322" i="15"/>
  <c r="D1322" i="15"/>
  <c r="E1322" i="15"/>
  <c r="B1323" i="15"/>
  <c r="E1323" i="15"/>
  <c r="D1323" i="15"/>
  <c r="B1324" i="15"/>
  <c r="E1324" i="15"/>
  <c r="D1324" i="15"/>
  <c r="B1325" i="15"/>
  <c r="D1325" i="15"/>
  <c r="E1325" i="15"/>
  <c r="B1326" i="15"/>
  <c r="D1326" i="15"/>
  <c r="E1326" i="15"/>
  <c r="B1327" i="15"/>
  <c r="D1327" i="15"/>
  <c r="E1327" i="15"/>
  <c r="B1328" i="15"/>
  <c r="E1328" i="15"/>
  <c r="D1328" i="15"/>
  <c r="B1329" i="15"/>
  <c r="E1329" i="15"/>
  <c r="D1329" i="15"/>
  <c r="B1330" i="15"/>
  <c r="D1330" i="15"/>
  <c r="E1330" i="15"/>
  <c r="D1331" i="15"/>
  <c r="B1331" i="15"/>
  <c r="E1331" i="15"/>
  <c r="B1332" i="15"/>
  <c r="D1332" i="15"/>
  <c r="E1332" i="15"/>
  <c r="D1333" i="15"/>
  <c r="E1333" i="15"/>
  <c r="B1333" i="15"/>
  <c r="B1334" i="15"/>
  <c r="D1334" i="15"/>
  <c r="E1334" i="15"/>
  <c r="B1335" i="15"/>
  <c r="D1335" i="15"/>
  <c r="E1335" i="15"/>
  <c r="B1336" i="15"/>
  <c r="D1336" i="15"/>
  <c r="E1336" i="15"/>
  <c r="D1337" i="15"/>
  <c r="B1337" i="15"/>
  <c r="E1337" i="15"/>
  <c r="B1338" i="15"/>
  <c r="D1338" i="15"/>
  <c r="E1338" i="15"/>
  <c r="B1339" i="15"/>
  <c r="E1339" i="15"/>
  <c r="D1339" i="15"/>
  <c r="B1340" i="15"/>
  <c r="D1340" i="15"/>
  <c r="E1340" i="15"/>
  <c r="B1341" i="15"/>
  <c r="E1341" i="15"/>
  <c r="D1341" i="15"/>
  <c r="B1342" i="15"/>
  <c r="E1342" i="15"/>
  <c r="D1342" i="15"/>
  <c r="B1343" i="15"/>
  <c r="E1343" i="15"/>
  <c r="D1343" i="15"/>
  <c r="B1344" i="15"/>
  <c r="E1344" i="15"/>
  <c r="D1344" i="15"/>
  <c r="B1345" i="15"/>
  <c r="E1345" i="15"/>
  <c r="D1345" i="15"/>
  <c r="B1346" i="15"/>
  <c r="E1346" i="15"/>
  <c r="D1346" i="15"/>
  <c r="B1347" i="15"/>
  <c r="E1347" i="15"/>
  <c r="D1347" i="15"/>
  <c r="D1348" i="15"/>
  <c r="B1348" i="15"/>
  <c r="E1348" i="15"/>
  <c r="B1349" i="15"/>
  <c r="E1349" i="15"/>
  <c r="D1349" i="15"/>
  <c r="B1350" i="15"/>
  <c r="D1350" i="15"/>
  <c r="E1350" i="15"/>
  <c r="B1351" i="15"/>
  <c r="E1351" i="15"/>
  <c r="D1351" i="15"/>
  <c r="B1352" i="15"/>
  <c r="D1352" i="15"/>
  <c r="E1352" i="15"/>
  <c r="B1353" i="15"/>
  <c r="E1353" i="15"/>
  <c r="D1353" i="15"/>
  <c r="B1354" i="15"/>
  <c r="E1354" i="15"/>
  <c r="D1354" i="15"/>
  <c r="B1355" i="15"/>
  <c r="E1355" i="15"/>
  <c r="D1355" i="15"/>
  <c r="B1356" i="15"/>
  <c r="D1356" i="15"/>
  <c r="E1356" i="15"/>
  <c r="B1357" i="15"/>
  <c r="D1357" i="15"/>
  <c r="E1357" i="15"/>
  <c r="B1358" i="15"/>
  <c r="D1358" i="15"/>
  <c r="E1358" i="15"/>
  <c r="B1359" i="15"/>
  <c r="E1359" i="15"/>
  <c r="D1359" i="15"/>
  <c r="B1360" i="15"/>
  <c r="D1360" i="15"/>
  <c r="E1360" i="15"/>
  <c r="B1361" i="15"/>
  <c r="E1361" i="15"/>
  <c r="D1361" i="15"/>
  <c r="B1362" i="15"/>
  <c r="E1362" i="15"/>
  <c r="D1362" i="15"/>
  <c r="B1363" i="15"/>
  <c r="E1363" i="15"/>
  <c r="D1363" i="15"/>
  <c r="B1364" i="15"/>
  <c r="D1364" i="15"/>
  <c r="E1364" i="15"/>
  <c r="B1365" i="15"/>
  <c r="D1365" i="15"/>
  <c r="E1365" i="15"/>
  <c r="B1366" i="15"/>
  <c r="D1366" i="15"/>
  <c r="E1366" i="15"/>
  <c r="B1367" i="15"/>
  <c r="D1367" i="15"/>
  <c r="E1367" i="15"/>
  <c r="B1368" i="15"/>
  <c r="E1368" i="15"/>
  <c r="D1368" i="15"/>
  <c r="B1369" i="15"/>
  <c r="D1369" i="15"/>
  <c r="E1369" i="15"/>
  <c r="B1370" i="15"/>
  <c r="D1370" i="15"/>
  <c r="E1370" i="15"/>
  <c r="D1371" i="15"/>
  <c r="B1371" i="15"/>
  <c r="E1371" i="15"/>
  <c r="B1372" i="15"/>
  <c r="D1372" i="15"/>
  <c r="E1372" i="15"/>
  <c r="B1373" i="15"/>
  <c r="E1373" i="15"/>
  <c r="D1373" i="15"/>
  <c r="B1374" i="15"/>
  <c r="D1374" i="15"/>
  <c r="E1374" i="15"/>
  <c r="B1375" i="15"/>
  <c r="E1375" i="15"/>
  <c r="D1375" i="15"/>
  <c r="B1376" i="15"/>
  <c r="E1376" i="15"/>
  <c r="D1376" i="15"/>
  <c r="B1377" i="15"/>
  <c r="E1377" i="15"/>
  <c r="D1377" i="15"/>
  <c r="B1378" i="15"/>
  <c r="E1378" i="15"/>
  <c r="D1378" i="15"/>
  <c r="B1379" i="15"/>
  <c r="D1379" i="15"/>
  <c r="E1379" i="15"/>
  <c r="D1380" i="15"/>
  <c r="B1380" i="15"/>
  <c r="E1380" i="15"/>
  <c r="D1381" i="15"/>
  <c r="B1381" i="15"/>
  <c r="E1381" i="15"/>
  <c r="B1382" i="15"/>
  <c r="D1382" i="15"/>
  <c r="E1382" i="15"/>
  <c r="B1383" i="15"/>
  <c r="D1383" i="15"/>
  <c r="E1383" i="15"/>
  <c r="B1384" i="15"/>
  <c r="D1384" i="15"/>
  <c r="E1384" i="15"/>
  <c r="B1385" i="15"/>
  <c r="D1385" i="15"/>
  <c r="E1385" i="15"/>
  <c r="B1386" i="15"/>
  <c r="D1386" i="15"/>
  <c r="E1386" i="15"/>
  <c r="B1387" i="15"/>
  <c r="D1387" i="15"/>
  <c r="E1387" i="15"/>
  <c r="B1388" i="15"/>
  <c r="D1388" i="15"/>
  <c r="E1388" i="15"/>
  <c r="B1389" i="15"/>
  <c r="D1389" i="15"/>
  <c r="E1389" i="15"/>
  <c r="B1390" i="15"/>
  <c r="D1390" i="15"/>
  <c r="E1390" i="15"/>
  <c r="B1391" i="15"/>
  <c r="D1391" i="15"/>
  <c r="E1391" i="15"/>
  <c r="B1392" i="15"/>
  <c r="E1392" i="15"/>
  <c r="D1392" i="15"/>
  <c r="B1393" i="15"/>
  <c r="E1393" i="15"/>
  <c r="D1393" i="15"/>
  <c r="B1394" i="15"/>
  <c r="E1394" i="15"/>
  <c r="D1394" i="15"/>
  <c r="B1395" i="15"/>
  <c r="D1395" i="15"/>
  <c r="E1395" i="15"/>
  <c r="B1396" i="15"/>
  <c r="D1396" i="15"/>
  <c r="E1396" i="15"/>
  <c r="B1397" i="15"/>
  <c r="E1397" i="15"/>
  <c r="D1397" i="15"/>
  <c r="B1398" i="15"/>
  <c r="D1398" i="15"/>
  <c r="E1398" i="15"/>
  <c r="B1399" i="15"/>
  <c r="E1399" i="15"/>
  <c r="D1399" i="15"/>
  <c r="B1400" i="15"/>
  <c r="E1400" i="15"/>
  <c r="D1400" i="15"/>
  <c r="B1401" i="15"/>
  <c r="E1401" i="15"/>
  <c r="D1401" i="15"/>
  <c r="B1402" i="15"/>
  <c r="E1402" i="15"/>
  <c r="D1402" i="15"/>
  <c r="B1403" i="15"/>
  <c r="E1403" i="15"/>
  <c r="D1403" i="15"/>
  <c r="B1404" i="15"/>
  <c r="E1404" i="15"/>
  <c r="D1404" i="15"/>
  <c r="B1405" i="15"/>
  <c r="E1405" i="15"/>
  <c r="D1405" i="15"/>
  <c r="B1406" i="15"/>
  <c r="E1406" i="15"/>
  <c r="D1406" i="15"/>
  <c r="B1407" i="15"/>
  <c r="E1407" i="15"/>
  <c r="D1407" i="15"/>
  <c r="B1408" i="15"/>
  <c r="E1408" i="15"/>
  <c r="D1408" i="15"/>
  <c r="B1409" i="15"/>
  <c r="E1409" i="15"/>
  <c r="D1409" i="15"/>
  <c r="B1410" i="15"/>
  <c r="D1410" i="15"/>
  <c r="E1410" i="15"/>
  <c r="B1411" i="15"/>
  <c r="E1411" i="15"/>
  <c r="D1411" i="15"/>
  <c r="B1412" i="15"/>
  <c r="D1412" i="15"/>
  <c r="E1412" i="15"/>
  <c r="B1413" i="15"/>
  <c r="E1413" i="15"/>
  <c r="D1413" i="15"/>
  <c r="E1414" i="15"/>
  <c r="D1414" i="15"/>
  <c r="B1415" i="15"/>
  <c r="E1415" i="15"/>
  <c r="D1415" i="15"/>
  <c r="B1416" i="15"/>
  <c r="E1416" i="15"/>
  <c r="D1416" i="15"/>
  <c r="B1417" i="15"/>
  <c r="E1417" i="15"/>
  <c r="D1417" i="15"/>
  <c r="B1418" i="15"/>
  <c r="E1418" i="15"/>
  <c r="D1418" i="15"/>
  <c r="B1419" i="15"/>
  <c r="E1419" i="15"/>
  <c r="D1419" i="15"/>
  <c r="E1420" i="15"/>
  <c r="D1420" i="15"/>
  <c r="B1420" i="15"/>
  <c r="D1421" i="15"/>
  <c r="E1421" i="15"/>
  <c r="B1421" i="15"/>
  <c r="E1422" i="15"/>
  <c r="B1422" i="15"/>
  <c r="D1422" i="15"/>
  <c r="D1423" i="15"/>
  <c r="E1423" i="15"/>
  <c r="B1423" i="15"/>
  <c r="E1424" i="15"/>
  <c r="B1424" i="15"/>
  <c r="D1424" i="15"/>
  <c r="B1425" i="15"/>
  <c r="D1425" i="15"/>
  <c r="E1425" i="15"/>
  <c r="B1426" i="15"/>
  <c r="E1426" i="15"/>
  <c r="D1426" i="15"/>
  <c r="B1427" i="15"/>
  <c r="D1427" i="15"/>
  <c r="E1427" i="15"/>
  <c r="E1428" i="15"/>
  <c r="B1428" i="15"/>
  <c r="D1428" i="15"/>
  <c r="D1429" i="15"/>
  <c r="B1429" i="15"/>
  <c r="E1429" i="15"/>
  <c r="B1430" i="15"/>
  <c r="E1430" i="15"/>
  <c r="D1430" i="15"/>
  <c r="E1431" i="15"/>
  <c r="D1431" i="15"/>
  <c r="B1431" i="15"/>
  <c r="D1432" i="15"/>
  <c r="B1432" i="15"/>
  <c r="E1432" i="15"/>
  <c r="B1433" i="15"/>
  <c r="E1433" i="15"/>
  <c r="D1433" i="15"/>
  <c r="B1434" i="15"/>
  <c r="D1434" i="15"/>
  <c r="E1434" i="15"/>
  <c r="B1435" i="15"/>
  <c r="D1435" i="15"/>
  <c r="E1435" i="15"/>
  <c r="B1436" i="15"/>
  <c r="E1436" i="15"/>
  <c r="D1436" i="15"/>
  <c r="B1437" i="15"/>
  <c r="D1437" i="15"/>
  <c r="E1437" i="15"/>
  <c r="B1438" i="15"/>
  <c r="E1438" i="15"/>
  <c r="D1438" i="15"/>
  <c r="B1439" i="15"/>
  <c r="E1439" i="15"/>
  <c r="D1439" i="15"/>
  <c r="B1440" i="15"/>
  <c r="E1440" i="15"/>
  <c r="D1440" i="15"/>
  <c r="B1441" i="15"/>
  <c r="D1441" i="15"/>
  <c r="E1441" i="15"/>
  <c r="B1442" i="15"/>
  <c r="D1442" i="15"/>
  <c r="E1442" i="15"/>
  <c r="B1443" i="15"/>
  <c r="D1443" i="15"/>
  <c r="E1443" i="15"/>
  <c r="B1444" i="15"/>
  <c r="D1444" i="15"/>
  <c r="E1444" i="15"/>
  <c r="B1445" i="15"/>
  <c r="E1445" i="15"/>
  <c r="D1445" i="15"/>
  <c r="B1446" i="15"/>
  <c r="E1446" i="15"/>
  <c r="D1446" i="15"/>
  <c r="B1447" i="15"/>
  <c r="D1447" i="15"/>
  <c r="E1447" i="15"/>
  <c r="B1448" i="15"/>
  <c r="D1448" i="15"/>
  <c r="E1448" i="15"/>
  <c r="B1449" i="15"/>
  <c r="D1449" i="15"/>
  <c r="E1449" i="15"/>
  <c r="B1450" i="15"/>
  <c r="D1450" i="15"/>
  <c r="E1450" i="15"/>
  <c r="B1451" i="15"/>
  <c r="E1451" i="15"/>
  <c r="D1451" i="15"/>
  <c r="B1452" i="15"/>
  <c r="E1452" i="15"/>
  <c r="D1452" i="15"/>
  <c r="B1453" i="15"/>
  <c r="E1453" i="15"/>
  <c r="D1453" i="15"/>
  <c r="B1454" i="15"/>
  <c r="E1454" i="15"/>
  <c r="D1454" i="15"/>
  <c r="B1455" i="15"/>
  <c r="D1455" i="15"/>
  <c r="E1455" i="15"/>
  <c r="B1456" i="15"/>
  <c r="D1456" i="15"/>
  <c r="E1456" i="15"/>
  <c r="B1457" i="15"/>
  <c r="E1457" i="15"/>
  <c r="D1457" i="15"/>
  <c r="B1458" i="15"/>
  <c r="E1458" i="15"/>
  <c r="D1458" i="15"/>
  <c r="B1459" i="15"/>
  <c r="E1459" i="15"/>
  <c r="D1459" i="15"/>
  <c r="B1460" i="15"/>
  <c r="E1460" i="15"/>
  <c r="D1460" i="15"/>
  <c r="B1461" i="15"/>
  <c r="E1461" i="15"/>
  <c r="D1461" i="15"/>
  <c r="B1462" i="15"/>
  <c r="E1462" i="15"/>
  <c r="D1462" i="15"/>
  <c r="B1463" i="15"/>
  <c r="E1463" i="15"/>
  <c r="D1463" i="15"/>
  <c r="B1464" i="15"/>
  <c r="D1464" i="15"/>
  <c r="E1464" i="15"/>
  <c r="B1465" i="15"/>
  <c r="D1465" i="15"/>
  <c r="E1465" i="15"/>
  <c r="B1466" i="15"/>
  <c r="E1466" i="15"/>
  <c r="D1466" i="15"/>
  <c r="B1467" i="15"/>
  <c r="E1467" i="15"/>
  <c r="D1467" i="15"/>
  <c r="B1468" i="15"/>
  <c r="D1468" i="15"/>
  <c r="E1468" i="15"/>
  <c r="B1469" i="15"/>
  <c r="E1469" i="15"/>
  <c r="D1469" i="15"/>
  <c r="B1470" i="15"/>
  <c r="E1470" i="15"/>
  <c r="D1470" i="15"/>
  <c r="B1471" i="15"/>
  <c r="D1471" i="15"/>
  <c r="E1471" i="15"/>
  <c r="B1472" i="15"/>
  <c r="D1472" i="15"/>
  <c r="E1472" i="15"/>
  <c r="B1473" i="15"/>
  <c r="D1473" i="15"/>
  <c r="E1473" i="15"/>
  <c r="B1474" i="15"/>
  <c r="D1474" i="15"/>
  <c r="E1474" i="15"/>
  <c r="B1475" i="15"/>
  <c r="D1475" i="15"/>
  <c r="E1475" i="15"/>
  <c r="B1476" i="15"/>
  <c r="E1476" i="15"/>
  <c r="D1476" i="15"/>
  <c r="B1477" i="15"/>
  <c r="E1477" i="15"/>
  <c r="D1477" i="15"/>
  <c r="B1478" i="15"/>
  <c r="D1478" i="15"/>
  <c r="E1478" i="15"/>
  <c r="B1479" i="15"/>
  <c r="E1479" i="15"/>
  <c r="D1479" i="15"/>
  <c r="B1480" i="15"/>
  <c r="D1480" i="15"/>
  <c r="E1480" i="15"/>
  <c r="B1481" i="15"/>
  <c r="D1481" i="15"/>
  <c r="E1481" i="15"/>
  <c r="B1482" i="15"/>
  <c r="D1482" i="15"/>
  <c r="E1482" i="15"/>
  <c r="B1483" i="15"/>
  <c r="D1483" i="15"/>
  <c r="E1483" i="15"/>
  <c r="B1484" i="15"/>
  <c r="E1484" i="15"/>
  <c r="D1484" i="15"/>
  <c r="B1485" i="15"/>
  <c r="D1485" i="15"/>
  <c r="E1485" i="15"/>
  <c r="B1486" i="15"/>
  <c r="D1486" i="15"/>
  <c r="E1486" i="15"/>
  <c r="B1487" i="15"/>
  <c r="D1487" i="15"/>
  <c r="E1487" i="15"/>
  <c r="B1488" i="15"/>
  <c r="D1488" i="15"/>
  <c r="E1488" i="15"/>
  <c r="B1489" i="15"/>
  <c r="D1489" i="15"/>
  <c r="E1489" i="15"/>
  <c r="B1490" i="15"/>
  <c r="D1490" i="15"/>
  <c r="E1490" i="15"/>
  <c r="B1491" i="15"/>
  <c r="E1491" i="15"/>
  <c r="D1491" i="15"/>
  <c r="B1492" i="15"/>
  <c r="E1492" i="15"/>
  <c r="D1492" i="15"/>
  <c r="B1493" i="15"/>
  <c r="D1493" i="15"/>
  <c r="E1493" i="15"/>
  <c r="B1494" i="15"/>
  <c r="D1494" i="15"/>
  <c r="E1494" i="15"/>
  <c r="B1495" i="15"/>
  <c r="D1495" i="15"/>
  <c r="E1495" i="15"/>
  <c r="B1496" i="15"/>
  <c r="E1496" i="15"/>
  <c r="D1496" i="15"/>
  <c r="B1497" i="15"/>
  <c r="D1497" i="15"/>
  <c r="E1497" i="15"/>
  <c r="B1498" i="15"/>
  <c r="E1498" i="15"/>
  <c r="D1498" i="15"/>
  <c r="B1499" i="15"/>
  <c r="D1499" i="15"/>
  <c r="E1499" i="15"/>
  <c r="B1500" i="15"/>
  <c r="E1500" i="15"/>
  <c r="D1500" i="15"/>
  <c r="B1501" i="15"/>
  <c r="E1501" i="15"/>
  <c r="D1501" i="15"/>
  <c r="B1502" i="15"/>
  <c r="D1502" i="15"/>
  <c r="E1502" i="15"/>
  <c r="B1503" i="15"/>
  <c r="E1503" i="15"/>
  <c r="D1503" i="15"/>
  <c r="B1504" i="15"/>
  <c r="E1504" i="15"/>
  <c r="D1504" i="15"/>
  <c r="B1505" i="15"/>
  <c r="E1505" i="15"/>
  <c r="D1505" i="15"/>
  <c r="B1506" i="15"/>
  <c r="E1506" i="15"/>
  <c r="D1506" i="15"/>
  <c r="B1507" i="15"/>
  <c r="D1507" i="15"/>
  <c r="E1507" i="15"/>
  <c r="B1508" i="15"/>
  <c r="E1508" i="15"/>
  <c r="D1508" i="15"/>
  <c r="B1509" i="15"/>
  <c r="D1509" i="15"/>
  <c r="E1509" i="15"/>
  <c r="B1510" i="15"/>
  <c r="D1510" i="15"/>
  <c r="E1510" i="15"/>
  <c r="B1511" i="15"/>
  <c r="D1511" i="15"/>
  <c r="E1511" i="15"/>
  <c r="B1512" i="15"/>
  <c r="E1512" i="15"/>
  <c r="D1512" i="15"/>
  <c r="B1513" i="15"/>
  <c r="E1513" i="15"/>
  <c r="D1513" i="15"/>
  <c r="B1514" i="15"/>
  <c r="E1514" i="15"/>
  <c r="D1514" i="15"/>
  <c r="B1515" i="15"/>
  <c r="E1515" i="15"/>
  <c r="D1515" i="15"/>
  <c r="B1516" i="15"/>
  <c r="D1516" i="15"/>
  <c r="E1516" i="15"/>
  <c r="B1517" i="15"/>
  <c r="E1517" i="15"/>
  <c r="D1517" i="15"/>
  <c r="B1518" i="15"/>
  <c r="D1518" i="15"/>
  <c r="E1518" i="15"/>
  <c r="B1519" i="15"/>
  <c r="E1519" i="15"/>
  <c r="D1519" i="15"/>
  <c r="B1520" i="15"/>
  <c r="E1520" i="15"/>
  <c r="D1520" i="15"/>
  <c r="B1521" i="15"/>
  <c r="E1521" i="15"/>
  <c r="D1521" i="15"/>
  <c r="B1522" i="15"/>
  <c r="D1522" i="15"/>
  <c r="E1522" i="15"/>
  <c r="B1523" i="15"/>
  <c r="D1523" i="15"/>
  <c r="E1523" i="15"/>
  <c r="B1524" i="15"/>
  <c r="D1524" i="15"/>
  <c r="E1524" i="15"/>
  <c r="B1525" i="15"/>
  <c r="E1525" i="15"/>
  <c r="D1525" i="15"/>
  <c r="B1526" i="15"/>
  <c r="E1526" i="15"/>
  <c r="D1526" i="15"/>
  <c r="B1527" i="15"/>
  <c r="D1527" i="15"/>
  <c r="E1527" i="15"/>
  <c r="B1528" i="15"/>
  <c r="E1528" i="15"/>
  <c r="D1528" i="15"/>
  <c r="B1529" i="15"/>
  <c r="D1529" i="15"/>
  <c r="E1529" i="15"/>
  <c r="B1530" i="15"/>
  <c r="E1530" i="15"/>
  <c r="D1530" i="15"/>
  <c r="B1531" i="15"/>
  <c r="E1531" i="15"/>
  <c r="D1531" i="15"/>
  <c r="B1532" i="15"/>
  <c r="E1532" i="15"/>
  <c r="D1532" i="15"/>
  <c r="B1533" i="15"/>
  <c r="D1533" i="15"/>
  <c r="E1533" i="15"/>
  <c r="B1534" i="15"/>
  <c r="D1534" i="15"/>
  <c r="E1534" i="15"/>
  <c r="B1535" i="15"/>
  <c r="E1535" i="15"/>
  <c r="D1535" i="15"/>
  <c r="B1536" i="15"/>
  <c r="D1536" i="15"/>
  <c r="E1536" i="15"/>
  <c r="B1537" i="15"/>
  <c r="E1537" i="15"/>
  <c r="D1537" i="15"/>
  <c r="B1538" i="15"/>
  <c r="D1538" i="15"/>
  <c r="E1538" i="15"/>
  <c r="B1539" i="15"/>
  <c r="E1539" i="15"/>
  <c r="D1539" i="15"/>
  <c r="B1540" i="15"/>
  <c r="D1540" i="15"/>
  <c r="E1540" i="15"/>
  <c r="B1541" i="15"/>
  <c r="E1541" i="15"/>
  <c r="D1541" i="15"/>
  <c r="B1542" i="15"/>
  <c r="E1542" i="15"/>
  <c r="D1542" i="15"/>
  <c r="B1543" i="15"/>
  <c r="D1543" i="15"/>
  <c r="E1543" i="15"/>
  <c r="B1544" i="15"/>
  <c r="D1544" i="15"/>
  <c r="E1544" i="15"/>
  <c r="B1545" i="15"/>
  <c r="E1545" i="15"/>
  <c r="D1545" i="15"/>
  <c r="B1546" i="15"/>
  <c r="E1546" i="15"/>
  <c r="D1546" i="15"/>
  <c r="B1547" i="15"/>
  <c r="E1547" i="15"/>
  <c r="D1547" i="15"/>
  <c r="B1548" i="15"/>
  <c r="E1548" i="15"/>
  <c r="D1548" i="15"/>
  <c r="B1549" i="15"/>
  <c r="E1549" i="15"/>
  <c r="D1549" i="15"/>
  <c r="B1550" i="15"/>
  <c r="D1550" i="15"/>
  <c r="E1550" i="15"/>
  <c r="B1551" i="15"/>
  <c r="E1551" i="15"/>
  <c r="D1551" i="15"/>
  <c r="B1552" i="15"/>
  <c r="E1552" i="15"/>
  <c r="D1552" i="15"/>
  <c r="B1553" i="15"/>
  <c r="E1553" i="15"/>
  <c r="D1553" i="15"/>
  <c r="B1554" i="15"/>
  <c r="D1554" i="15"/>
  <c r="E1554" i="15"/>
  <c r="B1555" i="15"/>
  <c r="D1555" i="15"/>
  <c r="E1555" i="15"/>
  <c r="B1556" i="15"/>
  <c r="E1556" i="15"/>
  <c r="D1556" i="15"/>
  <c r="B1557" i="15"/>
  <c r="D1557" i="15"/>
  <c r="E1557" i="15"/>
  <c r="B1558" i="15"/>
  <c r="E1558" i="15"/>
  <c r="D1558" i="15"/>
  <c r="B1559" i="15"/>
  <c r="D1559" i="15"/>
  <c r="E1559" i="15"/>
  <c r="B1560" i="15"/>
  <c r="D1560" i="15"/>
  <c r="E1560" i="15"/>
  <c r="B1561" i="15"/>
  <c r="E1561" i="15"/>
  <c r="D1561" i="15"/>
  <c r="B1562" i="15"/>
  <c r="D1562" i="15"/>
  <c r="E1562" i="15"/>
  <c r="B1563" i="15"/>
  <c r="D1563" i="15"/>
  <c r="E1563" i="15"/>
  <c r="B1564" i="15"/>
  <c r="E1564" i="15"/>
  <c r="D1564" i="15"/>
  <c r="B1565" i="15"/>
  <c r="E1565" i="15"/>
  <c r="D1565" i="15"/>
  <c r="B1566" i="15"/>
  <c r="D1566" i="15"/>
  <c r="E1566" i="15"/>
  <c r="B1567" i="15"/>
  <c r="D1567" i="15"/>
  <c r="E1567" i="15"/>
  <c r="B1568" i="15"/>
  <c r="D1568" i="15"/>
  <c r="E1568" i="15"/>
  <c r="B1569" i="15"/>
  <c r="D1569" i="15"/>
  <c r="E1569" i="15"/>
  <c r="B1570" i="15"/>
  <c r="E1570" i="15"/>
  <c r="D1570" i="15"/>
  <c r="B1571" i="15"/>
  <c r="D1571" i="15"/>
  <c r="E1571" i="15"/>
  <c r="B1572" i="15"/>
  <c r="D1572" i="15"/>
  <c r="E1572" i="15"/>
  <c r="B1573" i="15"/>
  <c r="E1573" i="15"/>
  <c r="D1573" i="15"/>
  <c r="B1574" i="15"/>
  <c r="D1574" i="15"/>
  <c r="E1574" i="15"/>
  <c r="B1575" i="15"/>
  <c r="E1575" i="15"/>
  <c r="D1575" i="15"/>
  <c r="B1576" i="15"/>
  <c r="D1576" i="15"/>
  <c r="E1576" i="15"/>
  <c r="B1577" i="15"/>
  <c r="D1577" i="15"/>
  <c r="E1577" i="15"/>
  <c r="B1578" i="15"/>
  <c r="D1578" i="15"/>
  <c r="E1578" i="15"/>
  <c r="B1579" i="15"/>
  <c r="D1579" i="15"/>
  <c r="E1579" i="15"/>
  <c r="B1580" i="15"/>
  <c r="D1580" i="15"/>
  <c r="E1580" i="15"/>
  <c r="B1581" i="15"/>
  <c r="D1581" i="15"/>
  <c r="E1581" i="15"/>
  <c r="B1582" i="15"/>
  <c r="E1582" i="15"/>
  <c r="D1582" i="15"/>
  <c r="B1583" i="15"/>
  <c r="E1583" i="15"/>
  <c r="D1583" i="15"/>
  <c r="B1584" i="15"/>
  <c r="D1584" i="15"/>
  <c r="E1584" i="15"/>
  <c r="B1585" i="15"/>
  <c r="E1585" i="15"/>
  <c r="D1585" i="15"/>
  <c r="B1586" i="15"/>
  <c r="E1586" i="15"/>
  <c r="D1586" i="15"/>
  <c r="B1587" i="15"/>
  <c r="E1587" i="15"/>
  <c r="D1587" i="15"/>
  <c r="B1588" i="15"/>
  <c r="D1588" i="15"/>
  <c r="E1588" i="15"/>
  <c r="B1589" i="15"/>
  <c r="D1589" i="15"/>
  <c r="E1589" i="15"/>
  <c r="B1590" i="15"/>
  <c r="D1590" i="15"/>
  <c r="E1590" i="15"/>
  <c r="B1591" i="15"/>
  <c r="E1591" i="15"/>
  <c r="D1591" i="15"/>
  <c r="B1592" i="15"/>
  <c r="D1592" i="15"/>
  <c r="E1592" i="15"/>
  <c r="B1593" i="15"/>
  <c r="D1593" i="15"/>
  <c r="E1593" i="15"/>
  <c r="B1594" i="15"/>
  <c r="E1594" i="15"/>
  <c r="D1594" i="15"/>
  <c r="B1595" i="15"/>
  <c r="E1595" i="15"/>
  <c r="D1595" i="15"/>
  <c r="B1596" i="15"/>
  <c r="E1596" i="15"/>
  <c r="D1596" i="15"/>
  <c r="B1597" i="15"/>
  <c r="E1597" i="15"/>
  <c r="D1597" i="15"/>
  <c r="B1598" i="15"/>
  <c r="E1598" i="15"/>
  <c r="D1598" i="15"/>
  <c r="B1599" i="15"/>
  <c r="E1599" i="15"/>
  <c r="D1599" i="15"/>
  <c r="B1600" i="15"/>
  <c r="E1600" i="15"/>
  <c r="D1600" i="15"/>
  <c r="B1601" i="15"/>
  <c r="E1601" i="15"/>
  <c r="D1601" i="15"/>
  <c r="B1602" i="15"/>
  <c r="E1602" i="15"/>
  <c r="D1602" i="15"/>
  <c r="B1603" i="15"/>
  <c r="D1603" i="15"/>
  <c r="E1603" i="15"/>
  <c r="B1604" i="15"/>
  <c r="E1604" i="15"/>
  <c r="D1604" i="15"/>
  <c r="B1605" i="15"/>
  <c r="D1605" i="15"/>
  <c r="E1605" i="15"/>
  <c r="B1606" i="15"/>
  <c r="E1606" i="15"/>
  <c r="D1606" i="15"/>
  <c r="B1607" i="15"/>
  <c r="E1607" i="15"/>
  <c r="D1607" i="15"/>
  <c r="B1608" i="15"/>
  <c r="E1608" i="15"/>
  <c r="D1608" i="15"/>
  <c r="B1609" i="15"/>
  <c r="E1609" i="15"/>
  <c r="D1609" i="15"/>
  <c r="B1610" i="15"/>
  <c r="E1610" i="15"/>
  <c r="D1610" i="15"/>
  <c r="B1611" i="15"/>
  <c r="E1611" i="15"/>
  <c r="D1611" i="15"/>
  <c r="B1612" i="15"/>
  <c r="E1612" i="15"/>
  <c r="D1612" i="15"/>
  <c r="B1613" i="15"/>
  <c r="E1613" i="15"/>
  <c r="D1613" i="15"/>
  <c r="B1614" i="15"/>
  <c r="D1614" i="15"/>
  <c r="E1614" i="15"/>
  <c r="B1615" i="15"/>
  <c r="E1615" i="15"/>
  <c r="D1615" i="15"/>
  <c r="B1616" i="15"/>
  <c r="D1616" i="15"/>
  <c r="E1616" i="15"/>
  <c r="D1617" i="15"/>
  <c r="B1617" i="15"/>
  <c r="E1617" i="15"/>
  <c r="B1618" i="15"/>
  <c r="E1618" i="15"/>
  <c r="D1618" i="15"/>
  <c r="B1619" i="15"/>
  <c r="E1619" i="15"/>
  <c r="D1619" i="15"/>
  <c r="B1620" i="15"/>
  <c r="D1620" i="15"/>
  <c r="E1620" i="15"/>
  <c r="B1621" i="15"/>
  <c r="D1621" i="15"/>
  <c r="E1621" i="15"/>
  <c r="B1622" i="15"/>
  <c r="D1622" i="15"/>
  <c r="E1622" i="15"/>
  <c r="B1623" i="15"/>
  <c r="D1623" i="15"/>
  <c r="E1623" i="15"/>
  <c r="B1624" i="15"/>
  <c r="D1624" i="15"/>
  <c r="E1624" i="15"/>
  <c r="B1625" i="15"/>
  <c r="E1625" i="15"/>
  <c r="D1625" i="15"/>
  <c r="B1626" i="15"/>
  <c r="E1626" i="15"/>
  <c r="D1626" i="15"/>
  <c r="B1627" i="15"/>
  <c r="E1627" i="15"/>
  <c r="D1627" i="15"/>
  <c r="B1628" i="15"/>
  <c r="E1628" i="15"/>
  <c r="D1628" i="15"/>
  <c r="B1629" i="15"/>
  <c r="D1629" i="15"/>
  <c r="E1629" i="15"/>
  <c r="B1630" i="15"/>
  <c r="E1630" i="15"/>
  <c r="D1630" i="15"/>
  <c r="B1631" i="15"/>
  <c r="D1631" i="15"/>
  <c r="E1631" i="15"/>
  <c r="B1632" i="15"/>
  <c r="D1632" i="15"/>
  <c r="E1632" i="15"/>
  <c r="B1633" i="15"/>
  <c r="E1633" i="15"/>
  <c r="D1633" i="15"/>
  <c r="B1634" i="15"/>
  <c r="D1634" i="15"/>
  <c r="E1634" i="15"/>
  <c r="B1635" i="15"/>
  <c r="D1635" i="15"/>
  <c r="E1635" i="15"/>
  <c r="B1636" i="15"/>
  <c r="D1636" i="15"/>
  <c r="E1636" i="15"/>
  <c r="B1637" i="15"/>
  <c r="E1637" i="15"/>
  <c r="D1637" i="15"/>
  <c r="B1638" i="15"/>
  <c r="E1638" i="15"/>
  <c r="D1638" i="15"/>
  <c r="B1639" i="15"/>
  <c r="E1639" i="15"/>
  <c r="D1639" i="15"/>
  <c r="B1640" i="15"/>
  <c r="E1640" i="15"/>
  <c r="D1640" i="15"/>
  <c r="B1641" i="15"/>
  <c r="D1641" i="15"/>
  <c r="E1641" i="15"/>
  <c r="B1642" i="15"/>
  <c r="D1642" i="15"/>
  <c r="E1642" i="15"/>
  <c r="B1643" i="15"/>
  <c r="E1643" i="15"/>
  <c r="D1643" i="15"/>
  <c r="B1644" i="15"/>
  <c r="E1644" i="15"/>
  <c r="D1644" i="15"/>
  <c r="E1645" i="15"/>
  <c r="D1645" i="15"/>
  <c r="B1645" i="15"/>
  <c r="B1646" i="15"/>
  <c r="D1646" i="15"/>
  <c r="E1646" i="15"/>
  <c r="B1647" i="15"/>
  <c r="E1647" i="15"/>
  <c r="D1647" i="15"/>
  <c r="B1648" i="15"/>
  <c r="E1648" i="15"/>
  <c r="D1648" i="15"/>
  <c r="B1649" i="15"/>
  <c r="D1649" i="15"/>
  <c r="E1649" i="15"/>
  <c r="B1650" i="15"/>
  <c r="E1650" i="15"/>
  <c r="D1650" i="15"/>
  <c r="B1651" i="15"/>
  <c r="D1651" i="15"/>
  <c r="E1651" i="15"/>
  <c r="B1652" i="15"/>
  <c r="D1652" i="15"/>
  <c r="E1652" i="15"/>
  <c r="B1653" i="15"/>
  <c r="D1653" i="15"/>
  <c r="E1653" i="15"/>
  <c r="B1654" i="15"/>
  <c r="D1654" i="15"/>
  <c r="E1654" i="15"/>
  <c r="B1655" i="15"/>
  <c r="D1655" i="15"/>
  <c r="E1655" i="15"/>
  <c r="B1656" i="15"/>
  <c r="E1656" i="15"/>
  <c r="D1656" i="15"/>
  <c r="B1657" i="15"/>
  <c r="E1657" i="15"/>
  <c r="D1657" i="15"/>
  <c r="B1658" i="15"/>
  <c r="D1658" i="15"/>
  <c r="E1658" i="15"/>
  <c r="B1659" i="15"/>
  <c r="E1659" i="15"/>
  <c r="D1659" i="15"/>
  <c r="B1660" i="15"/>
  <c r="D1660" i="15"/>
  <c r="E1660" i="15"/>
  <c r="B1661" i="15"/>
  <c r="E1661" i="15"/>
  <c r="D1661" i="15"/>
  <c r="B1662" i="15"/>
  <c r="E1662" i="15"/>
  <c r="D1662" i="15"/>
  <c r="B1663" i="15"/>
  <c r="D1663" i="15"/>
  <c r="E1663" i="15"/>
  <c r="B1664" i="15"/>
  <c r="E1664" i="15"/>
  <c r="D1664" i="15"/>
  <c r="B1665" i="15"/>
  <c r="D1665" i="15"/>
  <c r="E1665" i="15"/>
  <c r="B1666" i="15"/>
  <c r="E1666" i="15"/>
  <c r="D1666" i="15"/>
  <c r="B1667" i="15"/>
  <c r="D1667" i="15"/>
  <c r="E1667" i="15"/>
  <c r="B1668" i="15"/>
  <c r="E1668" i="15"/>
  <c r="D1668" i="15"/>
  <c r="B1669" i="15"/>
  <c r="E1669" i="15"/>
  <c r="D1669" i="15"/>
  <c r="B1670" i="15"/>
  <c r="D1670" i="15"/>
  <c r="E1670" i="15"/>
  <c r="B1671" i="15"/>
  <c r="D1671" i="15"/>
  <c r="E1671" i="15"/>
  <c r="B1672" i="15"/>
  <c r="E1672" i="15"/>
  <c r="D1672" i="15"/>
  <c r="B1673" i="15"/>
  <c r="D1673" i="15"/>
  <c r="E1673" i="15"/>
  <c r="B1674" i="15"/>
  <c r="E1674" i="15"/>
  <c r="D1674" i="15"/>
  <c r="B1675" i="15"/>
  <c r="D1675" i="15"/>
  <c r="E1675" i="15"/>
  <c r="B1676" i="15"/>
  <c r="E1676" i="15"/>
  <c r="D1676" i="15"/>
  <c r="B1677" i="15"/>
  <c r="E1677" i="15"/>
  <c r="D1677" i="15"/>
  <c r="B1678" i="15"/>
  <c r="E1678" i="15"/>
  <c r="D1678" i="15"/>
  <c r="B1679" i="15"/>
  <c r="E1679" i="15"/>
  <c r="D1679" i="15"/>
  <c r="B1680" i="15"/>
  <c r="E1680" i="15"/>
  <c r="D1680" i="15"/>
  <c r="B1681" i="15"/>
  <c r="E1681" i="15"/>
  <c r="D1681" i="15"/>
  <c r="B1682" i="15"/>
  <c r="E1682" i="15"/>
  <c r="D1682" i="15"/>
  <c r="B1683" i="15"/>
  <c r="E1683" i="15"/>
  <c r="D1683" i="15"/>
  <c r="B1684" i="15"/>
  <c r="E1684" i="15"/>
  <c r="D1684" i="15"/>
  <c r="B1685" i="15"/>
  <c r="D1685" i="15"/>
  <c r="E1685" i="15"/>
  <c r="B1686" i="15"/>
  <c r="D1686" i="15"/>
  <c r="E1686" i="15"/>
  <c r="B1687" i="15"/>
  <c r="D1687" i="15"/>
  <c r="E1687" i="15"/>
  <c r="B1688" i="15"/>
  <c r="E1688" i="15"/>
  <c r="D1688" i="15"/>
  <c r="B1689" i="15"/>
  <c r="E1689" i="15"/>
  <c r="D1689" i="15"/>
  <c r="B1690" i="15"/>
  <c r="D1690" i="15"/>
  <c r="E1690" i="15"/>
  <c r="B1691" i="15"/>
  <c r="E1691" i="15"/>
  <c r="D1691" i="15"/>
  <c r="B1692" i="15"/>
  <c r="E1692" i="15"/>
  <c r="D1692" i="15"/>
  <c r="B1693" i="15"/>
  <c r="D1693" i="15"/>
  <c r="E1693" i="15"/>
  <c r="B1694" i="15"/>
  <c r="E1694" i="15"/>
  <c r="D1694" i="15"/>
  <c r="B1695" i="15"/>
  <c r="D1695" i="15"/>
  <c r="E1695" i="15"/>
  <c r="B1696" i="15"/>
  <c r="D1696" i="15"/>
  <c r="E1696" i="15"/>
  <c r="B1697" i="15"/>
  <c r="E1697" i="15"/>
  <c r="D1697" i="15"/>
  <c r="B1698" i="15"/>
  <c r="E1698" i="15"/>
  <c r="D1698" i="15"/>
  <c r="B1699" i="15"/>
  <c r="E1699" i="15"/>
  <c r="D1699" i="15"/>
  <c r="B1700" i="15"/>
  <c r="E1700" i="15"/>
  <c r="D1700" i="15"/>
  <c r="B1701" i="15"/>
  <c r="E1701" i="15"/>
  <c r="D1701" i="15"/>
  <c r="B1702" i="15"/>
  <c r="D1702" i="15"/>
  <c r="E1702" i="15"/>
  <c r="B1703" i="15"/>
  <c r="E1703" i="15"/>
  <c r="D1703" i="15"/>
  <c r="B1704" i="15"/>
  <c r="E1704" i="15"/>
  <c r="D1704" i="15"/>
  <c r="B1705" i="15"/>
  <c r="E1705" i="15"/>
  <c r="D1705" i="15"/>
  <c r="B1706" i="15"/>
  <c r="D1706" i="15"/>
  <c r="E1706" i="15"/>
  <c r="B1707" i="15"/>
  <c r="E1707" i="15"/>
  <c r="D1707" i="15"/>
  <c r="B1708" i="15"/>
  <c r="E1708" i="15"/>
  <c r="D1708" i="15"/>
  <c r="B1709" i="15"/>
  <c r="D1709" i="15"/>
  <c r="E1709" i="15"/>
  <c r="B1710" i="15"/>
  <c r="D1710" i="15"/>
  <c r="E1710" i="15"/>
  <c r="B1711" i="15"/>
  <c r="E1711" i="15"/>
  <c r="D1711" i="15"/>
  <c r="B1712" i="15"/>
  <c r="D1712" i="15"/>
  <c r="E1712" i="15"/>
  <c r="B1713" i="15"/>
  <c r="E1713" i="15"/>
  <c r="D1713" i="15"/>
  <c r="B1714" i="15"/>
  <c r="D1714" i="15"/>
  <c r="E1714" i="15"/>
  <c r="B1715" i="15"/>
  <c r="E1715" i="15"/>
  <c r="D1715" i="15"/>
  <c r="B1716" i="15"/>
  <c r="E1716" i="15"/>
  <c r="D1716" i="15"/>
  <c r="B1717" i="15"/>
  <c r="E1717" i="15"/>
  <c r="D1717" i="15"/>
  <c r="B1718" i="15"/>
  <c r="D1718" i="15"/>
  <c r="E1718" i="15"/>
  <c r="B1719" i="15"/>
  <c r="E1719" i="15"/>
  <c r="D1719" i="15"/>
  <c r="B1720" i="15"/>
  <c r="E1720" i="15"/>
  <c r="D1720" i="15"/>
  <c r="B1721" i="15"/>
  <c r="E1721" i="15"/>
  <c r="D1721" i="15"/>
  <c r="B1722" i="15"/>
  <c r="E1722" i="15"/>
  <c r="D1722" i="15"/>
  <c r="B1723" i="15"/>
  <c r="E1723" i="15"/>
  <c r="D1723" i="15"/>
  <c r="B1724" i="15"/>
  <c r="D1724" i="15"/>
  <c r="E1724" i="15"/>
  <c r="E1725" i="15"/>
  <c r="D1725" i="15"/>
  <c r="B1725" i="15"/>
  <c r="B1726" i="15"/>
  <c r="E1726" i="15"/>
  <c r="D1726" i="15"/>
  <c r="B1727" i="15"/>
  <c r="D1727" i="15"/>
  <c r="E1727" i="15"/>
  <c r="B1728" i="15"/>
  <c r="D1728" i="15"/>
  <c r="E1728" i="15"/>
  <c r="B1729" i="15"/>
  <c r="E1729" i="15"/>
  <c r="D1729" i="15"/>
  <c r="B1730" i="15"/>
  <c r="E1730" i="15"/>
  <c r="D1730" i="15"/>
  <c r="B1731" i="15"/>
  <c r="E1731" i="15"/>
  <c r="D1731" i="15"/>
  <c r="B1732" i="15"/>
  <c r="D1732" i="15"/>
  <c r="E1732" i="15"/>
  <c r="B1733" i="15"/>
  <c r="E1733" i="15"/>
  <c r="D1733" i="15"/>
  <c r="B1734" i="15"/>
  <c r="D1734" i="15"/>
  <c r="E1734" i="15"/>
  <c r="B1735" i="15"/>
  <c r="D1735" i="15"/>
  <c r="E1735" i="15"/>
  <c r="B1736" i="15"/>
  <c r="D1736" i="15"/>
  <c r="E1736" i="15"/>
  <c r="B1737" i="15"/>
  <c r="E1737" i="15"/>
  <c r="D1737" i="15"/>
  <c r="B1738" i="15"/>
  <c r="E1738" i="15"/>
  <c r="D1738" i="15"/>
  <c r="B1739" i="15"/>
  <c r="D1739" i="15"/>
  <c r="E1739" i="15"/>
  <c r="B1740" i="15"/>
  <c r="D1740" i="15"/>
  <c r="E1740" i="15"/>
  <c r="B1741" i="15"/>
  <c r="E1741" i="15"/>
  <c r="D1741" i="15"/>
  <c r="B1742" i="15"/>
  <c r="D1742" i="15"/>
  <c r="E1742" i="15"/>
  <c r="B1743" i="15"/>
  <c r="D1743" i="15"/>
  <c r="E1743" i="15"/>
  <c r="B1744" i="15"/>
  <c r="E1744" i="15"/>
  <c r="D1744" i="15"/>
  <c r="B1745" i="15"/>
  <c r="D1745" i="15"/>
  <c r="E1745" i="15"/>
  <c r="B1746" i="15"/>
  <c r="E1746" i="15"/>
  <c r="D1746" i="15"/>
  <c r="B1747" i="15"/>
  <c r="E1747" i="15"/>
  <c r="D1747" i="15"/>
  <c r="B1748" i="15"/>
  <c r="E1748" i="15"/>
  <c r="D1748" i="15"/>
  <c r="B1749" i="15"/>
  <c r="E1749" i="15"/>
  <c r="D1749" i="15"/>
  <c r="B1750" i="15"/>
  <c r="D1750" i="15"/>
  <c r="E1750" i="15"/>
  <c r="B1751" i="15"/>
  <c r="D1751" i="15"/>
  <c r="E1751" i="15"/>
  <c r="B1752" i="15"/>
  <c r="D1752" i="15"/>
  <c r="E1752" i="15"/>
  <c r="B1753" i="15"/>
  <c r="E1753" i="15"/>
  <c r="D1753" i="15"/>
  <c r="B1754" i="15"/>
  <c r="D1754" i="15"/>
  <c r="E1754" i="15"/>
  <c r="B1755" i="15"/>
  <c r="D1755" i="15"/>
  <c r="E1755" i="15"/>
  <c r="D1756" i="15"/>
  <c r="B1756" i="15"/>
  <c r="E1756" i="15"/>
  <c r="B1757" i="15"/>
  <c r="E1757" i="15"/>
  <c r="D1757" i="15"/>
  <c r="B1758" i="15"/>
  <c r="D1758" i="15"/>
  <c r="E1758" i="15"/>
  <c r="B1759" i="15"/>
  <c r="E1759" i="15"/>
  <c r="D1759" i="15"/>
  <c r="B1760" i="15"/>
  <c r="D1760" i="15"/>
  <c r="E1760" i="15"/>
  <c r="B1761" i="15"/>
  <c r="D1761" i="15"/>
  <c r="E1761" i="15"/>
  <c r="B1762" i="15"/>
  <c r="E1762" i="15"/>
  <c r="D1762" i="15"/>
  <c r="B1763" i="15"/>
  <c r="E1763" i="15"/>
  <c r="D1763" i="15"/>
  <c r="B1764" i="15"/>
  <c r="E1764" i="15"/>
  <c r="D1764" i="15"/>
  <c r="B1765" i="15"/>
  <c r="E1765" i="15"/>
  <c r="D1765" i="15"/>
  <c r="B1766" i="15"/>
  <c r="E1766" i="15"/>
  <c r="D1766" i="15"/>
  <c r="B1767" i="15"/>
  <c r="E1767" i="15"/>
  <c r="D1767" i="15"/>
  <c r="B1768" i="15"/>
  <c r="D1768" i="15"/>
  <c r="E1768" i="15"/>
  <c r="B1769" i="15"/>
  <c r="D1769" i="15"/>
  <c r="E1769" i="15"/>
  <c r="B1770" i="15"/>
  <c r="D1770" i="15"/>
  <c r="E1770" i="15"/>
  <c r="B1771" i="15"/>
  <c r="E1771" i="15"/>
  <c r="D1771" i="15"/>
  <c r="B1772" i="15"/>
  <c r="E1772" i="15"/>
  <c r="D1772" i="15"/>
  <c r="B1773" i="15"/>
  <c r="D1773" i="15"/>
  <c r="E1773" i="15"/>
  <c r="B1774" i="15"/>
  <c r="E1774" i="15"/>
  <c r="D1774" i="15"/>
  <c r="B1775" i="15"/>
  <c r="E1775" i="15"/>
  <c r="D1775" i="15"/>
  <c r="B1776" i="15"/>
  <c r="D1776" i="15"/>
  <c r="E1776" i="15"/>
  <c r="B1777" i="15"/>
  <c r="D1777" i="15"/>
  <c r="E1777" i="15"/>
  <c r="B1778" i="15"/>
  <c r="D1778" i="15"/>
  <c r="E1778" i="15"/>
  <c r="B1779" i="15"/>
  <c r="D1779" i="15"/>
  <c r="E1779" i="15"/>
  <c r="B1780" i="15"/>
  <c r="D1780" i="15"/>
  <c r="E1780" i="15"/>
  <c r="B1781" i="15"/>
  <c r="E1781" i="15"/>
  <c r="D1781" i="15"/>
  <c r="B1782" i="15"/>
  <c r="E1782" i="15"/>
  <c r="D1782" i="15"/>
  <c r="B1783" i="15"/>
  <c r="E1783" i="15"/>
  <c r="D1783" i="15"/>
  <c r="B1784" i="15"/>
  <c r="D1784" i="15"/>
  <c r="E1784" i="15"/>
  <c r="B1785" i="15"/>
  <c r="E1785" i="15"/>
  <c r="D1785" i="15"/>
  <c r="B1786" i="15"/>
  <c r="D1786" i="15"/>
  <c r="E1786" i="15"/>
  <c r="B1787" i="15"/>
  <c r="D1787" i="15"/>
  <c r="E1787" i="15"/>
  <c r="B1788" i="15"/>
  <c r="D1788" i="15"/>
  <c r="E1788" i="15"/>
  <c r="B1789" i="15"/>
  <c r="E1789" i="15"/>
  <c r="D1789" i="15"/>
  <c r="B1790" i="15"/>
  <c r="E1790" i="15"/>
  <c r="D1790" i="15"/>
  <c r="B1791" i="15"/>
  <c r="E1791" i="15"/>
  <c r="D1791" i="15"/>
  <c r="B1792" i="15"/>
  <c r="E1792" i="15"/>
  <c r="D1792" i="15"/>
  <c r="B1793" i="15"/>
  <c r="E1793" i="15"/>
  <c r="D1793" i="15"/>
  <c r="B1794" i="15"/>
  <c r="E1794" i="15"/>
  <c r="D1794" i="15"/>
  <c r="B1795" i="15"/>
  <c r="E1795" i="15"/>
  <c r="D1795" i="15"/>
  <c r="B1796" i="15"/>
  <c r="E1796" i="15"/>
  <c r="D1796" i="15"/>
  <c r="B1797" i="15"/>
  <c r="E1797" i="15"/>
  <c r="D1797" i="15"/>
  <c r="B1798" i="15"/>
  <c r="E1798" i="15"/>
  <c r="D1798" i="15"/>
  <c r="B1799" i="15"/>
  <c r="E1799" i="15"/>
  <c r="D1799" i="15"/>
  <c r="B1800" i="15"/>
  <c r="E1800" i="15"/>
  <c r="D1800" i="15"/>
  <c r="B1801" i="15"/>
  <c r="E1801" i="15"/>
  <c r="D1801" i="15"/>
  <c r="B1802" i="15"/>
  <c r="E1802" i="15"/>
  <c r="D1802" i="15"/>
  <c r="B1803" i="15"/>
  <c r="E1803" i="15"/>
  <c r="D1803" i="15"/>
  <c r="B1804" i="15"/>
  <c r="E1804" i="15"/>
  <c r="D1804" i="15"/>
  <c r="B1805" i="15"/>
  <c r="E1805" i="15"/>
  <c r="D1805" i="15"/>
  <c r="B1806" i="15"/>
  <c r="D1806" i="15"/>
  <c r="E1806" i="15"/>
  <c r="B1807" i="15"/>
  <c r="E1807" i="15"/>
  <c r="D1807" i="15"/>
  <c r="B1808" i="15"/>
  <c r="E1808" i="15"/>
  <c r="D1808" i="15"/>
  <c r="B1809" i="15"/>
  <c r="E1809" i="15"/>
  <c r="D1809" i="15"/>
  <c r="B1810" i="15"/>
  <c r="D1810" i="15"/>
  <c r="E1810" i="15"/>
  <c r="B1811" i="15"/>
  <c r="E1811" i="15"/>
  <c r="D1811" i="15"/>
  <c r="B1812" i="15"/>
  <c r="E1812" i="15"/>
  <c r="D1812" i="15"/>
  <c r="B1813" i="15"/>
  <c r="D1813" i="15"/>
  <c r="E1813" i="15"/>
  <c r="B1814" i="15"/>
  <c r="E1814" i="15"/>
  <c r="D1814" i="15"/>
  <c r="B1815" i="15"/>
  <c r="E1815" i="15"/>
  <c r="D1815" i="15"/>
  <c r="B1816" i="15"/>
  <c r="E1816" i="15"/>
  <c r="D1816" i="15"/>
  <c r="B1817" i="15"/>
  <c r="E1817" i="15"/>
  <c r="D1817" i="15"/>
  <c r="B1818" i="15"/>
  <c r="D1818" i="15"/>
  <c r="E1818" i="15"/>
  <c r="B1819" i="15"/>
  <c r="E1819" i="15"/>
  <c r="D1819" i="15"/>
  <c r="B1820" i="15"/>
  <c r="E1820" i="15"/>
  <c r="D1820" i="15"/>
  <c r="B1821" i="15"/>
  <c r="D1821" i="15"/>
  <c r="E1821" i="15"/>
  <c r="B1822" i="15"/>
  <c r="D1822" i="15"/>
  <c r="E1822" i="15"/>
  <c r="B1823" i="15"/>
  <c r="D1823" i="15"/>
  <c r="E1823" i="15"/>
  <c r="B1824" i="15"/>
  <c r="D1824" i="15"/>
  <c r="E1824" i="15"/>
  <c r="B1825" i="15"/>
  <c r="D1825" i="15"/>
  <c r="E1825" i="15"/>
  <c r="B1826" i="15"/>
  <c r="D1826" i="15"/>
  <c r="E1826" i="15"/>
  <c r="B1827" i="15"/>
  <c r="E1827" i="15"/>
  <c r="D1827" i="15"/>
  <c r="B1828" i="15"/>
  <c r="E1828" i="15"/>
  <c r="D1828" i="15"/>
  <c r="B1829" i="15"/>
  <c r="E1829" i="15"/>
  <c r="D1829" i="15"/>
  <c r="B1830" i="15"/>
  <c r="E1830" i="15"/>
  <c r="D1830" i="15"/>
  <c r="B1831" i="15"/>
  <c r="E1831" i="15"/>
  <c r="D1831" i="15"/>
  <c r="B1832" i="15"/>
  <c r="E1832" i="15"/>
  <c r="D1832" i="15"/>
  <c r="B1833" i="15"/>
  <c r="E1833" i="15"/>
  <c r="D1833" i="15"/>
  <c r="B1834" i="15"/>
  <c r="E1834" i="15"/>
  <c r="D1834" i="15"/>
  <c r="B1835" i="15"/>
  <c r="D1835" i="15"/>
  <c r="E1835" i="15"/>
  <c r="B1836" i="15"/>
  <c r="D1836" i="15"/>
  <c r="E1836" i="15"/>
  <c r="B1837" i="15"/>
  <c r="E1837" i="15"/>
  <c r="D1837" i="15"/>
  <c r="B1838" i="15"/>
  <c r="D1838" i="15"/>
  <c r="E1838" i="15"/>
  <c r="B1839" i="15"/>
  <c r="E1839" i="15"/>
  <c r="D1839" i="15"/>
  <c r="B1840" i="15"/>
  <c r="E1840" i="15"/>
  <c r="D1840" i="15"/>
  <c r="B1841" i="15"/>
  <c r="E1841" i="15"/>
  <c r="D1841" i="15"/>
  <c r="B1842" i="15"/>
  <c r="D1842" i="15"/>
  <c r="E1842" i="15"/>
  <c r="B1843" i="15"/>
  <c r="D1843" i="15"/>
  <c r="E1843" i="15"/>
  <c r="B1844" i="15"/>
  <c r="E1844" i="15"/>
  <c r="D1844" i="15"/>
  <c r="B1845" i="15"/>
  <c r="E1845" i="15"/>
  <c r="D1845" i="15"/>
  <c r="B1846" i="15"/>
  <c r="E1846" i="15"/>
  <c r="D1846" i="15"/>
  <c r="B1847" i="15"/>
  <c r="E1847" i="15"/>
  <c r="D1847" i="15"/>
  <c r="B1848" i="15"/>
  <c r="E1848" i="15"/>
  <c r="D1848" i="15"/>
  <c r="B1849" i="15"/>
  <c r="D1849" i="15"/>
  <c r="E1849" i="15"/>
  <c r="B1850" i="15"/>
  <c r="E1850" i="15"/>
  <c r="D1850" i="15"/>
  <c r="B1851" i="15"/>
  <c r="D1851" i="15"/>
  <c r="E1851" i="15"/>
  <c r="B1852" i="15"/>
  <c r="D1852" i="15"/>
  <c r="E1852" i="15"/>
  <c r="B1853" i="15"/>
  <c r="E1853" i="15"/>
  <c r="D1853" i="15"/>
  <c r="B1854" i="15"/>
  <c r="E1854" i="15"/>
  <c r="D1854" i="15"/>
  <c r="B1855" i="15"/>
  <c r="E1855" i="15"/>
  <c r="D1855" i="15"/>
  <c r="B1856" i="15"/>
  <c r="D1856" i="15"/>
  <c r="E1856" i="15"/>
  <c r="B1857" i="15"/>
  <c r="D1857" i="15"/>
  <c r="E1857" i="15"/>
  <c r="B1858" i="15"/>
  <c r="E1858" i="15"/>
  <c r="D1858" i="15"/>
  <c r="B1859" i="15"/>
  <c r="D1859" i="15"/>
  <c r="E1859" i="15"/>
  <c r="B1860" i="15"/>
  <c r="D1860" i="15"/>
  <c r="E1860" i="15"/>
  <c r="B1861" i="15"/>
  <c r="D1861" i="15"/>
  <c r="E1861" i="15"/>
  <c r="B1862" i="15"/>
  <c r="D1862" i="15"/>
  <c r="E1862" i="15"/>
  <c r="B1863" i="15"/>
  <c r="D1863" i="15"/>
  <c r="E1863" i="15"/>
  <c r="B1864" i="15"/>
  <c r="D1864" i="15"/>
  <c r="E1864" i="15"/>
  <c r="B1865" i="15"/>
  <c r="E1865" i="15"/>
  <c r="D1865" i="15"/>
  <c r="B1866" i="15"/>
  <c r="E1866" i="15"/>
  <c r="D1866" i="15"/>
  <c r="B1867" i="15"/>
  <c r="E1867" i="15"/>
  <c r="D1867" i="15"/>
  <c r="B1868" i="15"/>
  <c r="D1868" i="15"/>
  <c r="E1868" i="15"/>
  <c r="B1869" i="15"/>
  <c r="D1869" i="15"/>
  <c r="E1869" i="15"/>
  <c r="B1870" i="15"/>
  <c r="E1870" i="15"/>
  <c r="D1870" i="15"/>
  <c r="B1871" i="15"/>
  <c r="E1871" i="15"/>
  <c r="D1871" i="15"/>
  <c r="B1872" i="15"/>
  <c r="D1872" i="15"/>
  <c r="E1872" i="15"/>
  <c r="B1873" i="15"/>
  <c r="E1873" i="15"/>
  <c r="D1873" i="15"/>
  <c r="B1874" i="15"/>
  <c r="D1874" i="15"/>
  <c r="E1874" i="15"/>
  <c r="B1875" i="15"/>
  <c r="E1875" i="15"/>
  <c r="D1875" i="15"/>
  <c r="B1876" i="15"/>
  <c r="D1876" i="15"/>
  <c r="E1876" i="15"/>
  <c r="B1877" i="15"/>
  <c r="D1877" i="15"/>
  <c r="E1877" i="15"/>
  <c r="B1878" i="15"/>
  <c r="D1878" i="15"/>
  <c r="E1878" i="15"/>
  <c r="D1879" i="15"/>
  <c r="B1879" i="15"/>
  <c r="E1879" i="15"/>
  <c r="B1880" i="15"/>
  <c r="D1880" i="15"/>
  <c r="E1880" i="15"/>
  <c r="B1881" i="15"/>
  <c r="D1881" i="15"/>
  <c r="E1881" i="15"/>
  <c r="B1882" i="15"/>
  <c r="D1882" i="15"/>
  <c r="E1882" i="15"/>
  <c r="B1883" i="15"/>
  <c r="E1883" i="15"/>
  <c r="D1883" i="15"/>
  <c r="B1884" i="15"/>
  <c r="D1884" i="15"/>
  <c r="E1884" i="15"/>
  <c r="B1885" i="15"/>
  <c r="D1885" i="15"/>
  <c r="E1885" i="15"/>
  <c r="B1886" i="15"/>
  <c r="E1886" i="15"/>
  <c r="D1886" i="15"/>
  <c r="B1887" i="15"/>
  <c r="D1887" i="15"/>
  <c r="E1887" i="15"/>
  <c r="B1888" i="15"/>
  <c r="D1888" i="15"/>
  <c r="E1888" i="15"/>
  <c r="B1889" i="15"/>
  <c r="E1889" i="15"/>
  <c r="D1889" i="15"/>
  <c r="B1890" i="15"/>
  <c r="D1890" i="15"/>
  <c r="E1890" i="15"/>
  <c r="B1891" i="15"/>
  <c r="E1891" i="15"/>
  <c r="D1891" i="15"/>
  <c r="B1892" i="15"/>
  <c r="E1892" i="15"/>
  <c r="D1892" i="15"/>
  <c r="B1893" i="15"/>
  <c r="E1893" i="15"/>
  <c r="D1893" i="15"/>
  <c r="B1894" i="15"/>
  <c r="E1894" i="15"/>
  <c r="D1894" i="15"/>
  <c r="B1895" i="15"/>
  <c r="D1895" i="15"/>
  <c r="E1895" i="15"/>
  <c r="B1896" i="15"/>
  <c r="E1896" i="15"/>
  <c r="D1896" i="15"/>
  <c r="B1897" i="15"/>
  <c r="E1897" i="15"/>
  <c r="D1897" i="15"/>
  <c r="B1898" i="15"/>
  <c r="E1898" i="15"/>
  <c r="D1898" i="15"/>
  <c r="B1899" i="15"/>
  <c r="E1899" i="15"/>
  <c r="D1899" i="15"/>
  <c r="B1900" i="15"/>
  <c r="E1900" i="15"/>
  <c r="D1900" i="15"/>
  <c r="B1901" i="15"/>
  <c r="E1901" i="15"/>
  <c r="D1901" i="15"/>
  <c r="B1902" i="15"/>
  <c r="E1902" i="15"/>
  <c r="D1902" i="15"/>
  <c r="B1903" i="15"/>
  <c r="E1903" i="15"/>
  <c r="D1903" i="15"/>
  <c r="B1904" i="15"/>
  <c r="E1904" i="15"/>
  <c r="D1904" i="15"/>
  <c r="B1905" i="15"/>
  <c r="E1905" i="15"/>
  <c r="D1905" i="15"/>
  <c r="B1906" i="15"/>
  <c r="E1906" i="15"/>
  <c r="D1906" i="15"/>
  <c r="B1907" i="15"/>
  <c r="D1907" i="15"/>
  <c r="E1907" i="15"/>
  <c r="B1908" i="15"/>
  <c r="E1908" i="15"/>
  <c r="D1908" i="15"/>
  <c r="B1909" i="15"/>
  <c r="D1909" i="15"/>
  <c r="E1909" i="15"/>
  <c r="B1910" i="15"/>
  <c r="E1910" i="15"/>
  <c r="D1910" i="15"/>
  <c r="B1911" i="15"/>
  <c r="E1911" i="15"/>
  <c r="D1911" i="15"/>
  <c r="B1912" i="15"/>
  <c r="D1912" i="15"/>
  <c r="E1912" i="15"/>
  <c r="B1913" i="15"/>
  <c r="E1913" i="15"/>
  <c r="D1913" i="15"/>
  <c r="B1914" i="15"/>
  <c r="D1914" i="15"/>
  <c r="E1914" i="15"/>
  <c r="B1915" i="15"/>
  <c r="D1915" i="15"/>
  <c r="E1915" i="15"/>
  <c r="B1916" i="15"/>
  <c r="E1916" i="15"/>
  <c r="D1916" i="15"/>
  <c r="B1917" i="15"/>
  <c r="E1917" i="15"/>
  <c r="D1917" i="15"/>
  <c r="B1918" i="15"/>
  <c r="E1918" i="15"/>
  <c r="D1918" i="15"/>
  <c r="B1919" i="15"/>
  <c r="D1919" i="15"/>
  <c r="E1919" i="15"/>
  <c r="B1920" i="15"/>
  <c r="D1920" i="15"/>
  <c r="E1920" i="15"/>
  <c r="B1921" i="15"/>
  <c r="D1921" i="15"/>
  <c r="E1921" i="15"/>
  <c r="B1922" i="15"/>
  <c r="D1922" i="15"/>
  <c r="E1922" i="15"/>
  <c r="B1923" i="15"/>
  <c r="D1923" i="15"/>
  <c r="E1923" i="15"/>
  <c r="B1924" i="15"/>
  <c r="E1924" i="15"/>
  <c r="D1924" i="15"/>
  <c r="B1925" i="15"/>
  <c r="D1925" i="15"/>
  <c r="E1925" i="15"/>
  <c r="B1926" i="15"/>
  <c r="E1926" i="15"/>
  <c r="D1926" i="15"/>
  <c r="D1927" i="15"/>
  <c r="E1927" i="15"/>
  <c r="B1927" i="15"/>
  <c r="B1928" i="15"/>
  <c r="D1928" i="15"/>
  <c r="E1928" i="15"/>
  <c r="B1929" i="15"/>
  <c r="D1929" i="15"/>
  <c r="E1929" i="15"/>
  <c r="B1930" i="15"/>
  <c r="D1930" i="15"/>
  <c r="E1930" i="15"/>
  <c r="B1931" i="15"/>
  <c r="D1931" i="15"/>
  <c r="E1931" i="15"/>
  <c r="B1932" i="15"/>
  <c r="E1932" i="15"/>
  <c r="D1932" i="15"/>
  <c r="B1933" i="15"/>
  <c r="D1933" i="15"/>
  <c r="E1933" i="15"/>
  <c r="B1934" i="15"/>
  <c r="E1934" i="15"/>
  <c r="D1934" i="15"/>
  <c r="B1935" i="15"/>
  <c r="D1935" i="15"/>
  <c r="E1935" i="15"/>
  <c r="B1936" i="15"/>
  <c r="E1936" i="15"/>
  <c r="D1936" i="15"/>
  <c r="B1937" i="15"/>
  <c r="D1937" i="15"/>
  <c r="E1937" i="15"/>
  <c r="E1938" i="15"/>
  <c r="D1938" i="15"/>
  <c r="B1938" i="15"/>
  <c r="B1939" i="15"/>
  <c r="D1939" i="15"/>
  <c r="E1939" i="15"/>
  <c r="B1940" i="15"/>
  <c r="D1940" i="15"/>
  <c r="E1940" i="15"/>
  <c r="B1941" i="15"/>
  <c r="E1941" i="15"/>
  <c r="D1941" i="15"/>
  <c r="B1942" i="15"/>
  <c r="D1942" i="15"/>
  <c r="E1942" i="15"/>
  <c r="E1943" i="15"/>
  <c r="B1943" i="15"/>
  <c r="D1943" i="15"/>
  <c r="B1944" i="15"/>
  <c r="D1944" i="15"/>
  <c r="E1944" i="15"/>
  <c r="B1945" i="15"/>
  <c r="E1945" i="15"/>
  <c r="D1945" i="15"/>
  <c r="B1946" i="15"/>
  <c r="E1946" i="15"/>
  <c r="D1946" i="15"/>
  <c r="B1947" i="15"/>
  <c r="D1947" i="15"/>
  <c r="E1947" i="15"/>
  <c r="B1948" i="15"/>
  <c r="E1948" i="15"/>
  <c r="D1948" i="15"/>
  <c r="B1949" i="15"/>
  <c r="D1949" i="15"/>
  <c r="E1949" i="15"/>
  <c r="B1950" i="15"/>
  <c r="E1950" i="15"/>
  <c r="D1950" i="15"/>
  <c r="B1951" i="15"/>
  <c r="E1951" i="15"/>
  <c r="D1951" i="15"/>
  <c r="B1952" i="15"/>
  <c r="E1952" i="15"/>
  <c r="D1952" i="15"/>
  <c r="B1953" i="15"/>
  <c r="D1953" i="15"/>
  <c r="E1953" i="15"/>
  <c r="B1954" i="15"/>
  <c r="D1954" i="15"/>
  <c r="E1954" i="15"/>
  <c r="B1955" i="15"/>
  <c r="E1955" i="15"/>
  <c r="D1955" i="15"/>
  <c r="B1956" i="15"/>
  <c r="E1956" i="15"/>
  <c r="D1956" i="15"/>
  <c r="B1957" i="15"/>
  <c r="D1957" i="15"/>
  <c r="E1957" i="15"/>
  <c r="B1958" i="15"/>
  <c r="D1958" i="15"/>
  <c r="E1958" i="15"/>
  <c r="B1959" i="15"/>
  <c r="E1959" i="15"/>
  <c r="D1959" i="15"/>
  <c r="B1960" i="15"/>
  <c r="D1960" i="15"/>
  <c r="E1960" i="15"/>
  <c r="B1961" i="15"/>
  <c r="D1961" i="15"/>
  <c r="E1961" i="15"/>
  <c r="B1962" i="15"/>
  <c r="D1962" i="15"/>
  <c r="E1962" i="15"/>
  <c r="B1963" i="15"/>
  <c r="D1963" i="15"/>
  <c r="E1963" i="15"/>
  <c r="D1964" i="15"/>
  <c r="B1964" i="15"/>
  <c r="E1964" i="15"/>
  <c r="B1965" i="15"/>
  <c r="E1965" i="15"/>
  <c r="D1965" i="15"/>
  <c r="B1966" i="15"/>
  <c r="D1966" i="15"/>
  <c r="E1966" i="15"/>
  <c r="B1967" i="15"/>
  <c r="D1967" i="15"/>
  <c r="E1967" i="15"/>
  <c r="B1968" i="15"/>
  <c r="D1968" i="15"/>
  <c r="E1968" i="15"/>
  <c r="B1969" i="15"/>
  <c r="D1969" i="15"/>
  <c r="E1969" i="15"/>
  <c r="B1970" i="15"/>
  <c r="D1970" i="15"/>
  <c r="E1970" i="15"/>
  <c r="B1971" i="15"/>
  <c r="E1971" i="15"/>
  <c r="D1971" i="15"/>
  <c r="B1972" i="15"/>
  <c r="E1972" i="15"/>
  <c r="D1972" i="15"/>
  <c r="B1973" i="15"/>
  <c r="E1973" i="15"/>
  <c r="D1973" i="15"/>
  <c r="B1974" i="15"/>
  <c r="E1974" i="15"/>
  <c r="D1974" i="15"/>
  <c r="B1975" i="15"/>
  <c r="D1975" i="15"/>
  <c r="E1975" i="15"/>
  <c r="B1976" i="15"/>
  <c r="E1976" i="15"/>
  <c r="D1976" i="15"/>
  <c r="B1977" i="15"/>
  <c r="D1977" i="15"/>
  <c r="E1977" i="15"/>
  <c r="B1978" i="15"/>
  <c r="E1978" i="15"/>
  <c r="D1978" i="15"/>
  <c r="B1979" i="15"/>
  <c r="D1979" i="15"/>
  <c r="E1979" i="15"/>
  <c r="B1980" i="15"/>
  <c r="E1980" i="15"/>
  <c r="D1980" i="15"/>
  <c r="B1981" i="15"/>
  <c r="D1981" i="15"/>
  <c r="E1981" i="15"/>
  <c r="B1982" i="15"/>
  <c r="D1982" i="15"/>
  <c r="E1982" i="15"/>
  <c r="B1983" i="15"/>
  <c r="D1983" i="15"/>
  <c r="E1983" i="15"/>
  <c r="B1984" i="15"/>
  <c r="D1984" i="15"/>
  <c r="E1984" i="15"/>
  <c r="B1985" i="15"/>
  <c r="E1985" i="15"/>
  <c r="D1985" i="15"/>
  <c r="B1986" i="15"/>
  <c r="D1986" i="15"/>
  <c r="E1986" i="15"/>
  <c r="B2" i="15"/>
  <c r="D2" i="15"/>
  <c r="H4" i="14"/>
  <c r="E4" i="14"/>
  <c r="H6" i="14"/>
  <c r="E6" i="14"/>
  <c r="H116" i="14"/>
  <c r="E116" i="14"/>
  <c r="H144" i="14"/>
  <c r="E144" i="14"/>
  <c r="H148" i="14"/>
  <c r="E148" i="14"/>
  <c r="H8" i="14"/>
  <c r="E8" i="14"/>
  <c r="H10" i="14"/>
  <c r="E10" i="14"/>
  <c r="H12" i="14"/>
  <c r="E12" i="14"/>
  <c r="H19" i="14"/>
  <c r="E19" i="14"/>
  <c r="H20" i="14"/>
  <c r="E20" i="14"/>
  <c r="H21" i="14"/>
  <c r="E21" i="14"/>
  <c r="H22" i="14"/>
  <c r="E22" i="14"/>
  <c r="H23" i="14"/>
  <c r="E23" i="14"/>
  <c r="H49" i="14"/>
  <c r="E49" i="14"/>
  <c r="H51" i="14"/>
  <c r="E51" i="14"/>
  <c r="H53" i="14"/>
  <c r="E53" i="14"/>
  <c r="H57" i="14"/>
  <c r="E57" i="14"/>
  <c r="H59" i="14"/>
  <c r="E59" i="14"/>
  <c r="H62" i="14"/>
  <c r="E62" i="14"/>
  <c r="H63" i="14"/>
  <c r="E63" i="14"/>
  <c r="H64" i="14"/>
  <c r="E64" i="14"/>
  <c r="H65" i="14"/>
  <c r="E65" i="14"/>
  <c r="H66" i="14"/>
  <c r="E66" i="14"/>
  <c r="H109" i="14"/>
  <c r="E109" i="14"/>
  <c r="H115" i="14"/>
  <c r="E115" i="14"/>
  <c r="H119" i="14"/>
  <c r="E119" i="14"/>
  <c r="H121" i="14"/>
  <c r="E121" i="14"/>
  <c r="H123" i="14"/>
  <c r="E123" i="14"/>
  <c r="H125" i="14"/>
  <c r="E125" i="14"/>
  <c r="H127" i="14"/>
  <c r="E127" i="14"/>
  <c r="H129" i="14"/>
  <c r="E129" i="14"/>
  <c r="H131" i="14"/>
  <c r="E131" i="14"/>
  <c r="H133" i="14"/>
  <c r="E133" i="14"/>
  <c r="H135" i="14"/>
  <c r="E135" i="14"/>
  <c r="H137" i="14"/>
  <c r="E137" i="14"/>
  <c r="H139" i="14"/>
  <c r="E139" i="14"/>
  <c r="H141" i="14"/>
  <c r="E141" i="14"/>
  <c r="H143" i="14"/>
  <c r="E143" i="14"/>
  <c r="H145" i="14"/>
  <c r="E145" i="14"/>
  <c r="H219" i="14"/>
  <c r="E219" i="14"/>
  <c r="H222" i="14"/>
  <c r="E222" i="14"/>
  <c r="H223" i="14"/>
  <c r="E223" i="14"/>
  <c r="H225" i="14"/>
  <c r="E225" i="14"/>
  <c r="H227" i="14"/>
  <c r="E227" i="14"/>
  <c r="H239" i="14"/>
  <c r="E239" i="14"/>
  <c r="H240" i="14"/>
  <c r="E240" i="14"/>
  <c r="H241" i="14"/>
  <c r="E241" i="14"/>
  <c r="H242" i="14"/>
  <c r="E242" i="14"/>
  <c r="H243" i="14"/>
  <c r="E243" i="14"/>
  <c r="H244" i="14"/>
  <c r="E244" i="14"/>
  <c r="H245" i="14"/>
  <c r="E245" i="14"/>
  <c r="H246" i="14"/>
  <c r="E246" i="14"/>
  <c r="H247" i="14"/>
  <c r="E247" i="14"/>
  <c r="H248" i="14"/>
  <c r="E248" i="14"/>
  <c r="H249" i="14"/>
  <c r="E249" i="14"/>
  <c r="H250" i="14"/>
  <c r="E250" i="14"/>
  <c r="H251" i="14"/>
  <c r="E251" i="14"/>
  <c r="H252" i="14"/>
  <c r="E252" i="14"/>
  <c r="H253" i="14"/>
  <c r="E253" i="14"/>
  <c r="H254" i="14"/>
  <c r="E254" i="14"/>
  <c r="H255" i="14"/>
  <c r="E255" i="14"/>
  <c r="H256" i="14"/>
  <c r="E256" i="14"/>
  <c r="H257" i="14"/>
  <c r="E257" i="14"/>
  <c r="H3" i="14"/>
  <c r="E3" i="14"/>
  <c r="H5" i="14"/>
  <c r="E5" i="14"/>
  <c r="H7" i="14"/>
  <c r="E7" i="14"/>
  <c r="H9" i="14"/>
  <c r="E9" i="14"/>
  <c r="H11" i="14"/>
  <c r="E11" i="14"/>
  <c r="H13" i="14"/>
  <c r="E13" i="14"/>
  <c r="H14" i="14"/>
  <c r="E14" i="14"/>
  <c r="H15" i="14"/>
  <c r="E15" i="14"/>
  <c r="H16" i="14"/>
  <c r="E16" i="14"/>
  <c r="H17" i="14"/>
  <c r="E17" i="14"/>
  <c r="H18" i="14"/>
  <c r="E18" i="14"/>
  <c r="H24" i="14"/>
  <c r="E24" i="14"/>
  <c r="H25" i="14"/>
  <c r="E25" i="14"/>
  <c r="H26" i="14"/>
  <c r="E26" i="14"/>
  <c r="H27" i="14"/>
  <c r="E27" i="14"/>
  <c r="H28" i="14"/>
  <c r="E28" i="14"/>
  <c r="H29" i="14"/>
  <c r="E29" i="14"/>
  <c r="H30" i="14"/>
  <c r="E30" i="14"/>
  <c r="H31" i="14"/>
  <c r="E31" i="14"/>
  <c r="H32" i="14"/>
  <c r="E32" i="14"/>
  <c r="H33" i="14"/>
  <c r="E33" i="14"/>
  <c r="H34" i="14"/>
  <c r="E34" i="14"/>
  <c r="H35" i="14"/>
  <c r="E35" i="14"/>
  <c r="H36" i="14"/>
  <c r="E36" i="14"/>
  <c r="H37" i="14"/>
  <c r="E37" i="14"/>
  <c r="H38" i="14"/>
  <c r="E38" i="14"/>
  <c r="H39" i="14"/>
  <c r="E39" i="14"/>
  <c r="H40" i="14"/>
  <c r="E40" i="14"/>
  <c r="H41" i="14"/>
  <c r="E41" i="14"/>
  <c r="H42" i="14"/>
  <c r="E42" i="14"/>
  <c r="H43" i="14"/>
  <c r="E43" i="14"/>
  <c r="H44" i="14"/>
  <c r="E44" i="14"/>
  <c r="H45" i="14"/>
  <c r="E45" i="14"/>
  <c r="H46" i="14"/>
  <c r="E46" i="14"/>
  <c r="H47" i="14"/>
  <c r="E47" i="14"/>
  <c r="H48" i="14"/>
  <c r="E48" i="14"/>
  <c r="H50" i="14"/>
  <c r="E50" i="14"/>
  <c r="H52" i="14"/>
  <c r="E52" i="14"/>
  <c r="H54" i="14"/>
  <c r="E54" i="14"/>
  <c r="H55" i="14"/>
  <c r="E55" i="14"/>
  <c r="H56" i="14"/>
  <c r="E56" i="14"/>
  <c r="H58" i="14"/>
  <c r="E58" i="14"/>
  <c r="H60" i="14"/>
  <c r="E60" i="14"/>
  <c r="H61" i="14"/>
  <c r="E61" i="14"/>
  <c r="H67" i="14"/>
  <c r="E67" i="14"/>
  <c r="H68" i="14"/>
  <c r="E68" i="14"/>
  <c r="H69" i="14"/>
  <c r="E69" i="14"/>
  <c r="H70" i="14"/>
  <c r="E70" i="14"/>
  <c r="H71" i="14"/>
  <c r="E71" i="14"/>
  <c r="H72" i="14"/>
  <c r="E72" i="14"/>
  <c r="H73" i="14"/>
  <c r="E73" i="14"/>
  <c r="H74" i="14"/>
  <c r="E74" i="14"/>
  <c r="H75" i="14"/>
  <c r="E75" i="14"/>
  <c r="H76" i="14"/>
  <c r="E76" i="14"/>
  <c r="H77" i="14"/>
  <c r="E77" i="14"/>
  <c r="H78" i="14"/>
  <c r="E78" i="14"/>
  <c r="H79" i="14"/>
  <c r="E79" i="14"/>
  <c r="H80" i="14"/>
  <c r="E80" i="14"/>
  <c r="H81" i="14"/>
  <c r="E81" i="14"/>
  <c r="H82" i="14"/>
  <c r="E82" i="14"/>
  <c r="H83" i="14"/>
  <c r="E83" i="14"/>
  <c r="H84" i="14"/>
  <c r="E84" i="14"/>
  <c r="H85" i="14"/>
  <c r="E85" i="14"/>
  <c r="H86" i="14"/>
  <c r="E86" i="14"/>
  <c r="H87" i="14"/>
  <c r="E87" i="14"/>
  <c r="H88" i="14"/>
  <c r="E88" i="14"/>
  <c r="H89" i="14"/>
  <c r="E89" i="14"/>
  <c r="H90" i="14"/>
  <c r="E90" i="14"/>
  <c r="H91" i="14"/>
  <c r="E91" i="14"/>
  <c r="H92" i="14"/>
  <c r="E92" i="14"/>
  <c r="H93" i="14"/>
  <c r="E93" i="14"/>
  <c r="H94" i="14"/>
  <c r="E94" i="14"/>
  <c r="H95" i="14"/>
  <c r="E95" i="14"/>
  <c r="H96" i="14"/>
  <c r="E96" i="14"/>
  <c r="H97" i="14"/>
  <c r="E97" i="14"/>
  <c r="H98" i="14"/>
  <c r="E98" i="14"/>
  <c r="H99" i="14"/>
  <c r="E99" i="14"/>
  <c r="H100" i="14"/>
  <c r="E100" i="14"/>
  <c r="H101" i="14"/>
  <c r="E101" i="14"/>
  <c r="H102" i="14"/>
  <c r="E102" i="14"/>
  <c r="H103" i="14"/>
  <c r="E103" i="14"/>
  <c r="H104" i="14"/>
  <c r="E104" i="14"/>
  <c r="H105" i="14"/>
  <c r="E105" i="14"/>
  <c r="H106" i="14"/>
  <c r="E106" i="14"/>
  <c r="H107" i="14"/>
  <c r="E107" i="14"/>
  <c r="H108" i="14"/>
  <c r="E108" i="14"/>
  <c r="H110" i="14"/>
  <c r="E110" i="14"/>
  <c r="H111" i="14"/>
  <c r="E111" i="14"/>
  <c r="H112" i="14"/>
  <c r="E112" i="14"/>
  <c r="H113" i="14"/>
  <c r="E113" i="14"/>
  <c r="H114" i="14"/>
  <c r="E114" i="14"/>
  <c r="H117" i="14"/>
  <c r="E117" i="14"/>
  <c r="H118" i="14"/>
  <c r="E118" i="14"/>
  <c r="H120" i="14"/>
  <c r="E120" i="14"/>
  <c r="H122" i="14"/>
  <c r="E122" i="14"/>
  <c r="H124" i="14"/>
  <c r="E124" i="14"/>
  <c r="H126" i="14"/>
  <c r="E126" i="14"/>
  <c r="H128" i="14"/>
  <c r="E128" i="14"/>
  <c r="H130" i="14"/>
  <c r="E130" i="14"/>
  <c r="H132" i="14"/>
  <c r="E132" i="14"/>
  <c r="H134" i="14"/>
  <c r="E134" i="14"/>
  <c r="H136" i="14"/>
  <c r="E136" i="14"/>
  <c r="H138" i="14"/>
  <c r="E138" i="14"/>
  <c r="H140" i="14"/>
  <c r="E140" i="14"/>
  <c r="H142" i="14"/>
  <c r="E142" i="14"/>
  <c r="H146" i="14"/>
  <c r="E146" i="14"/>
  <c r="H147" i="14"/>
  <c r="E147" i="14"/>
  <c r="H149" i="14"/>
  <c r="E149" i="14"/>
  <c r="H150" i="14"/>
  <c r="E150" i="14"/>
  <c r="H151" i="14"/>
  <c r="E151" i="14"/>
  <c r="H152" i="14"/>
  <c r="E152" i="14"/>
  <c r="H153" i="14"/>
  <c r="E153" i="14"/>
  <c r="H154" i="14"/>
  <c r="E154" i="14"/>
  <c r="H155" i="14"/>
  <c r="E155" i="14"/>
  <c r="H156" i="14"/>
  <c r="E156" i="14"/>
  <c r="H157" i="14"/>
  <c r="E157" i="14"/>
  <c r="H158" i="14"/>
  <c r="E158" i="14"/>
  <c r="H159" i="14"/>
  <c r="E159" i="14"/>
  <c r="H160" i="14"/>
  <c r="E160" i="14"/>
  <c r="H161" i="14"/>
  <c r="E161" i="14"/>
  <c r="H162" i="14"/>
  <c r="E162" i="14"/>
  <c r="H163" i="14"/>
  <c r="E163" i="14"/>
  <c r="H164" i="14"/>
  <c r="E164" i="14"/>
  <c r="H165" i="14"/>
  <c r="E165" i="14"/>
  <c r="H166" i="14"/>
  <c r="E166" i="14"/>
  <c r="H167" i="14"/>
  <c r="E167" i="14"/>
  <c r="H168" i="14"/>
  <c r="E168" i="14"/>
  <c r="H169" i="14"/>
  <c r="E169" i="14"/>
  <c r="H170" i="14"/>
  <c r="E170" i="14"/>
  <c r="H171" i="14"/>
  <c r="E171" i="14"/>
  <c r="H172" i="14"/>
  <c r="E172" i="14"/>
  <c r="H173" i="14"/>
  <c r="E173" i="14"/>
  <c r="H174" i="14"/>
  <c r="E174" i="14"/>
  <c r="H175" i="14"/>
  <c r="E175" i="14"/>
  <c r="H176" i="14"/>
  <c r="E176" i="14"/>
  <c r="H177" i="14"/>
  <c r="E177" i="14"/>
  <c r="H178" i="14"/>
  <c r="E178" i="14"/>
  <c r="H179" i="14"/>
  <c r="E179" i="14"/>
  <c r="H180" i="14"/>
  <c r="E180" i="14"/>
  <c r="H181" i="14"/>
  <c r="E181" i="14"/>
  <c r="H182" i="14"/>
  <c r="E182" i="14"/>
  <c r="H183" i="14"/>
  <c r="E183" i="14"/>
  <c r="H184" i="14"/>
  <c r="E184" i="14"/>
  <c r="H185" i="14"/>
  <c r="E185" i="14"/>
  <c r="H186" i="14"/>
  <c r="E186" i="14"/>
  <c r="H187" i="14"/>
  <c r="E187" i="14"/>
  <c r="H188" i="14"/>
  <c r="E188" i="14"/>
  <c r="H189" i="14"/>
  <c r="E189" i="14"/>
  <c r="H190" i="14"/>
  <c r="E190" i="14"/>
  <c r="H191" i="14"/>
  <c r="E191" i="14"/>
  <c r="H192" i="14"/>
  <c r="E192" i="14"/>
  <c r="H193" i="14"/>
  <c r="E193" i="14"/>
  <c r="H194" i="14"/>
  <c r="E194" i="14"/>
  <c r="H195" i="14"/>
  <c r="E195" i="14"/>
  <c r="H196" i="14"/>
  <c r="E196" i="14"/>
  <c r="H197" i="14"/>
  <c r="E197" i="14"/>
  <c r="H198" i="14"/>
  <c r="E198" i="14"/>
  <c r="H199" i="14"/>
  <c r="E199" i="14"/>
  <c r="H200" i="14"/>
  <c r="E200" i="14"/>
  <c r="H201" i="14"/>
  <c r="E201" i="14"/>
  <c r="H202" i="14"/>
  <c r="E202" i="14"/>
  <c r="H203" i="14"/>
  <c r="E203" i="14"/>
  <c r="H204" i="14"/>
  <c r="E204" i="14"/>
  <c r="H205" i="14"/>
  <c r="E205" i="14"/>
  <c r="H206" i="14"/>
  <c r="E206" i="14"/>
  <c r="H207" i="14"/>
  <c r="E207" i="14"/>
  <c r="H208" i="14"/>
  <c r="E208" i="14"/>
  <c r="H209" i="14"/>
  <c r="E209" i="14"/>
  <c r="H210" i="14"/>
  <c r="E210" i="14"/>
  <c r="H211" i="14"/>
  <c r="E211" i="14"/>
  <c r="H212" i="14"/>
  <c r="E212" i="14"/>
  <c r="H213" i="14"/>
  <c r="E213" i="14"/>
  <c r="H214" i="14"/>
  <c r="E214" i="14"/>
  <c r="H215" i="14"/>
  <c r="E215" i="14"/>
  <c r="H216" i="14"/>
  <c r="E216" i="14"/>
  <c r="H217" i="14"/>
  <c r="E217" i="14"/>
  <c r="H218" i="14"/>
  <c r="E218" i="14"/>
  <c r="H220" i="14"/>
  <c r="E220" i="14"/>
  <c r="H221" i="14"/>
  <c r="E221" i="14"/>
  <c r="H224" i="14"/>
  <c r="E224" i="14"/>
  <c r="H226" i="14"/>
  <c r="E226" i="14"/>
  <c r="H228" i="14"/>
  <c r="E228" i="14"/>
  <c r="H229" i="14"/>
  <c r="E229" i="14"/>
  <c r="H230" i="14"/>
  <c r="E230" i="14"/>
  <c r="H231" i="14"/>
  <c r="E231" i="14"/>
  <c r="H232" i="14"/>
  <c r="E232" i="14"/>
  <c r="H233" i="14"/>
  <c r="E233" i="14"/>
  <c r="H234" i="14"/>
  <c r="E234" i="14"/>
  <c r="H235" i="14"/>
  <c r="E235" i="14"/>
  <c r="H236" i="14"/>
  <c r="E236" i="14"/>
  <c r="H237" i="14"/>
  <c r="E237" i="14"/>
  <c r="H238" i="14"/>
  <c r="E238" i="14"/>
  <c r="H258" i="14"/>
  <c r="E258" i="14"/>
  <c r="H259" i="14"/>
  <c r="E259" i="14"/>
  <c r="H260" i="14"/>
  <c r="E260" i="14"/>
  <c r="H261" i="14"/>
  <c r="E261" i="14"/>
  <c r="H262" i="14"/>
  <c r="E262" i="14"/>
  <c r="H263" i="14"/>
  <c r="E263" i="14"/>
  <c r="H264" i="14"/>
  <c r="E264" i="14"/>
  <c r="H265" i="14"/>
  <c r="E265" i="14"/>
  <c r="H266" i="14"/>
  <c r="E266" i="14"/>
  <c r="H278" i="14"/>
  <c r="E278" i="14"/>
  <c r="H322" i="14"/>
  <c r="E322" i="14"/>
  <c r="H338" i="14"/>
  <c r="E338" i="14"/>
  <c r="H352" i="14"/>
  <c r="E352" i="14"/>
  <c r="H354" i="14"/>
  <c r="E354" i="14"/>
  <c r="H366" i="14"/>
  <c r="E366" i="14"/>
  <c r="H368" i="14"/>
  <c r="E368" i="14"/>
  <c r="H398" i="14"/>
  <c r="E398" i="14"/>
  <c r="H402" i="14"/>
  <c r="E402" i="14"/>
  <c r="H422" i="14"/>
  <c r="E422" i="14"/>
  <c r="H426" i="14"/>
  <c r="E426" i="14"/>
  <c r="H432" i="14"/>
  <c r="E432" i="14"/>
  <c r="H434" i="14"/>
  <c r="E434" i="14"/>
  <c r="H436" i="14"/>
  <c r="E436" i="14"/>
  <c r="H440" i="14"/>
  <c r="E440" i="14"/>
  <c r="H452" i="14"/>
  <c r="E452" i="14"/>
  <c r="H456" i="14"/>
  <c r="E456" i="14"/>
  <c r="H464" i="14"/>
  <c r="E464" i="14"/>
  <c r="H474" i="14"/>
  <c r="E474" i="14"/>
  <c r="H475" i="14"/>
  <c r="E475" i="14"/>
  <c r="H499" i="14"/>
  <c r="E499" i="14"/>
  <c r="E267" i="14"/>
  <c r="H267" i="14"/>
  <c r="E268" i="14"/>
  <c r="H268" i="14"/>
  <c r="E269" i="14"/>
  <c r="H269" i="14"/>
  <c r="E270" i="14"/>
  <c r="H270" i="14"/>
  <c r="E271" i="14"/>
  <c r="H271" i="14"/>
  <c r="E272" i="14"/>
  <c r="H272" i="14"/>
  <c r="E273" i="14"/>
  <c r="H273" i="14"/>
  <c r="E274" i="14"/>
  <c r="H274" i="14"/>
  <c r="E275" i="14"/>
  <c r="H275" i="14"/>
  <c r="E276" i="14"/>
  <c r="H276" i="14"/>
  <c r="E277" i="14"/>
  <c r="H277" i="14"/>
  <c r="E279" i="14"/>
  <c r="H279" i="14"/>
  <c r="E280" i="14"/>
  <c r="H280" i="14"/>
  <c r="E281" i="14"/>
  <c r="H281" i="14"/>
  <c r="E282" i="14"/>
  <c r="H282" i="14"/>
  <c r="E283" i="14"/>
  <c r="H283" i="14"/>
  <c r="E284" i="14"/>
  <c r="H284" i="14"/>
  <c r="E285" i="14"/>
  <c r="H285" i="14"/>
  <c r="E286" i="14"/>
  <c r="H286" i="14"/>
  <c r="E287" i="14"/>
  <c r="H287" i="14"/>
  <c r="E288" i="14"/>
  <c r="H288" i="14"/>
  <c r="E289" i="14"/>
  <c r="H289" i="14"/>
  <c r="E290" i="14"/>
  <c r="H290" i="14"/>
  <c r="E291" i="14"/>
  <c r="H291" i="14"/>
  <c r="E292" i="14"/>
  <c r="H292" i="14"/>
  <c r="E293" i="14"/>
  <c r="H293" i="14"/>
  <c r="E294" i="14"/>
  <c r="H294" i="14"/>
  <c r="E295" i="14"/>
  <c r="H295" i="14"/>
  <c r="E296" i="14"/>
  <c r="H296" i="14"/>
  <c r="E297" i="14"/>
  <c r="H297" i="14"/>
  <c r="E298" i="14"/>
  <c r="H298" i="14"/>
  <c r="E299" i="14"/>
  <c r="H299" i="14"/>
  <c r="E300" i="14"/>
  <c r="H300" i="14"/>
  <c r="E301" i="14"/>
  <c r="H301" i="14"/>
  <c r="E302" i="14"/>
  <c r="H302" i="14"/>
  <c r="E303" i="14"/>
  <c r="H303" i="14"/>
  <c r="E304" i="14"/>
  <c r="H304" i="14"/>
  <c r="E305" i="14"/>
  <c r="H305" i="14"/>
  <c r="E306" i="14"/>
  <c r="H306" i="14"/>
  <c r="E307" i="14"/>
  <c r="H307" i="14"/>
  <c r="E308" i="14"/>
  <c r="H308" i="14"/>
  <c r="E309" i="14"/>
  <c r="H309" i="14"/>
  <c r="E310" i="14"/>
  <c r="H310" i="14"/>
  <c r="E311" i="14"/>
  <c r="H311" i="14"/>
  <c r="E312" i="14"/>
  <c r="H312" i="14"/>
  <c r="E313" i="14"/>
  <c r="H313" i="14"/>
  <c r="E314" i="14"/>
  <c r="H314" i="14"/>
  <c r="E315" i="14"/>
  <c r="H315" i="14"/>
  <c r="E316" i="14"/>
  <c r="H316" i="14"/>
  <c r="E317" i="14"/>
  <c r="H317" i="14"/>
  <c r="E318" i="14"/>
  <c r="H318" i="14"/>
  <c r="E319" i="14"/>
  <c r="H319" i="14"/>
  <c r="E320" i="14"/>
  <c r="H320" i="14"/>
  <c r="E321" i="14"/>
  <c r="H321" i="14"/>
  <c r="E323" i="14"/>
  <c r="H323" i="14"/>
  <c r="E324" i="14"/>
  <c r="H324" i="14"/>
  <c r="E325" i="14"/>
  <c r="H325" i="14"/>
  <c r="E326" i="14"/>
  <c r="H326" i="14"/>
  <c r="E327" i="14"/>
  <c r="H327" i="14"/>
  <c r="E328" i="14"/>
  <c r="H328" i="14"/>
  <c r="E329" i="14"/>
  <c r="H329" i="14"/>
  <c r="E330" i="14"/>
  <c r="H330" i="14"/>
  <c r="E331" i="14"/>
  <c r="H331" i="14"/>
  <c r="E332" i="14"/>
  <c r="H332" i="14"/>
  <c r="E333" i="14"/>
  <c r="H333" i="14"/>
  <c r="E334" i="14"/>
  <c r="H334" i="14"/>
  <c r="E335" i="14"/>
  <c r="H335" i="14"/>
  <c r="E336" i="14"/>
  <c r="H336" i="14"/>
  <c r="E337" i="14"/>
  <c r="H337" i="14"/>
  <c r="E339" i="14"/>
  <c r="H339" i="14"/>
  <c r="E340" i="14"/>
  <c r="H340" i="14"/>
  <c r="E341" i="14"/>
  <c r="H341" i="14"/>
  <c r="E342" i="14"/>
  <c r="H342" i="14"/>
  <c r="E343" i="14"/>
  <c r="H343" i="14"/>
  <c r="E344" i="14"/>
  <c r="H344" i="14"/>
  <c r="E345" i="14"/>
  <c r="H345" i="14"/>
  <c r="E346" i="14"/>
  <c r="H346" i="14"/>
  <c r="E347" i="14"/>
  <c r="H347" i="14"/>
  <c r="E348" i="14"/>
  <c r="H348" i="14"/>
  <c r="E349" i="14"/>
  <c r="H349" i="14"/>
  <c r="E350" i="14"/>
  <c r="H350" i="14"/>
  <c r="E351" i="14"/>
  <c r="H351" i="14"/>
  <c r="E353" i="14"/>
  <c r="H353" i="14"/>
  <c r="E355" i="14"/>
  <c r="H355" i="14"/>
  <c r="E356" i="14"/>
  <c r="H356" i="14"/>
  <c r="E357" i="14"/>
  <c r="H357" i="14"/>
  <c r="E358" i="14"/>
  <c r="H358" i="14"/>
  <c r="E359" i="14"/>
  <c r="H359" i="14"/>
  <c r="E360" i="14"/>
  <c r="H360" i="14"/>
  <c r="E361" i="14"/>
  <c r="H361" i="14"/>
  <c r="E362" i="14"/>
  <c r="H362" i="14"/>
  <c r="E363" i="14"/>
  <c r="H363" i="14"/>
  <c r="E364" i="14"/>
  <c r="H364" i="14"/>
  <c r="E365" i="14"/>
  <c r="H365" i="14"/>
  <c r="E367" i="14"/>
  <c r="H367" i="14"/>
  <c r="E369" i="14"/>
  <c r="H369" i="14"/>
  <c r="E370" i="14"/>
  <c r="H370" i="14"/>
  <c r="E371" i="14"/>
  <c r="H371" i="14"/>
  <c r="E372" i="14"/>
  <c r="H372" i="14"/>
  <c r="E373" i="14"/>
  <c r="H373" i="14"/>
  <c r="E374" i="14"/>
  <c r="H374" i="14"/>
  <c r="E375" i="14"/>
  <c r="H375" i="14"/>
  <c r="E376" i="14"/>
  <c r="H376" i="14"/>
  <c r="E377" i="14"/>
  <c r="H377" i="14"/>
  <c r="E378" i="14"/>
  <c r="H378" i="14"/>
  <c r="E379" i="14"/>
  <c r="H379" i="14"/>
  <c r="E380" i="14"/>
  <c r="H380" i="14"/>
  <c r="E381" i="14"/>
  <c r="H381" i="14"/>
  <c r="E382" i="14"/>
  <c r="H382" i="14"/>
  <c r="E383" i="14"/>
  <c r="H383" i="14"/>
  <c r="E384" i="14"/>
  <c r="H384" i="14"/>
  <c r="E385" i="14"/>
  <c r="H385" i="14"/>
  <c r="E386" i="14"/>
  <c r="H386" i="14"/>
  <c r="E387" i="14"/>
  <c r="H387" i="14"/>
  <c r="E388" i="14"/>
  <c r="H388" i="14"/>
  <c r="E389" i="14"/>
  <c r="H389" i="14"/>
  <c r="E390" i="14"/>
  <c r="H390" i="14"/>
  <c r="E391" i="14"/>
  <c r="H391" i="14"/>
  <c r="E392" i="14"/>
  <c r="H392" i="14"/>
  <c r="E393" i="14"/>
  <c r="H393" i="14"/>
  <c r="E394" i="14"/>
  <c r="H394" i="14"/>
  <c r="E395" i="14"/>
  <c r="H395" i="14"/>
  <c r="E396" i="14"/>
  <c r="H396" i="14"/>
  <c r="E397" i="14"/>
  <c r="H397" i="14"/>
  <c r="E399" i="14"/>
  <c r="H399" i="14"/>
  <c r="E400" i="14"/>
  <c r="H400" i="14"/>
  <c r="E401" i="14"/>
  <c r="H401" i="14"/>
  <c r="E403" i="14"/>
  <c r="H403" i="14"/>
  <c r="E404" i="14"/>
  <c r="H404" i="14"/>
  <c r="E405" i="14"/>
  <c r="H405" i="14"/>
  <c r="E406" i="14"/>
  <c r="H406" i="14"/>
  <c r="E407" i="14"/>
  <c r="H407" i="14"/>
  <c r="E408" i="14"/>
  <c r="H408" i="14"/>
  <c r="E409" i="14"/>
  <c r="H409" i="14"/>
  <c r="E410" i="14"/>
  <c r="H410" i="14"/>
  <c r="E411" i="14"/>
  <c r="H411" i="14"/>
  <c r="E412" i="14"/>
  <c r="H412" i="14"/>
  <c r="E413" i="14"/>
  <c r="H413" i="14"/>
  <c r="E414" i="14"/>
  <c r="H414" i="14"/>
  <c r="E415" i="14"/>
  <c r="H415" i="14"/>
  <c r="E416" i="14"/>
  <c r="H416" i="14"/>
  <c r="E417" i="14"/>
  <c r="H417" i="14"/>
  <c r="E418" i="14"/>
  <c r="H418" i="14"/>
  <c r="E419" i="14"/>
  <c r="H419" i="14"/>
  <c r="E420" i="14"/>
  <c r="H420" i="14"/>
  <c r="E421" i="14"/>
  <c r="H421" i="14"/>
  <c r="E423" i="14"/>
  <c r="H423" i="14"/>
  <c r="E424" i="14"/>
  <c r="H424" i="14"/>
  <c r="E425" i="14"/>
  <c r="H425" i="14"/>
  <c r="E427" i="14"/>
  <c r="H427" i="14"/>
  <c r="E428" i="14"/>
  <c r="H428" i="14"/>
  <c r="E429" i="14"/>
  <c r="H429" i="14"/>
  <c r="E430" i="14"/>
  <c r="H430" i="14"/>
  <c r="E431" i="14"/>
  <c r="H431" i="14"/>
  <c r="E433" i="14"/>
  <c r="H433" i="14"/>
  <c r="E435" i="14"/>
  <c r="H435" i="14"/>
  <c r="E437" i="14"/>
  <c r="H437" i="14"/>
  <c r="E438" i="14"/>
  <c r="H438" i="14"/>
  <c r="E439" i="14"/>
  <c r="H439" i="14"/>
  <c r="E441" i="14"/>
  <c r="H441" i="14"/>
  <c r="E442" i="14"/>
  <c r="H442" i="14"/>
  <c r="E443" i="14"/>
  <c r="H443" i="14"/>
  <c r="E444" i="14"/>
  <c r="H444" i="14"/>
  <c r="E445" i="14"/>
  <c r="H445" i="14"/>
  <c r="E446" i="14"/>
  <c r="H446" i="14"/>
  <c r="E447" i="14"/>
  <c r="H447" i="14"/>
  <c r="E448" i="14"/>
  <c r="H448" i="14"/>
  <c r="E449" i="14"/>
  <c r="H449" i="14"/>
  <c r="E450" i="14"/>
  <c r="H450" i="14"/>
  <c r="E451" i="14"/>
  <c r="H451" i="14"/>
  <c r="E453" i="14"/>
  <c r="H453" i="14"/>
  <c r="E454" i="14"/>
  <c r="H454" i="14"/>
  <c r="E455" i="14"/>
  <c r="H455" i="14"/>
  <c r="E457" i="14"/>
  <c r="H457" i="14"/>
  <c r="E458" i="14"/>
  <c r="H458" i="14"/>
  <c r="E459" i="14"/>
  <c r="H459" i="14"/>
  <c r="E460" i="14"/>
  <c r="H460" i="14"/>
  <c r="E461" i="14"/>
  <c r="H461" i="14"/>
  <c r="E462" i="14"/>
  <c r="H462" i="14"/>
  <c r="E463" i="14"/>
  <c r="H463" i="14"/>
  <c r="E465" i="14"/>
  <c r="H465" i="14"/>
  <c r="E466" i="14"/>
  <c r="H466" i="14"/>
  <c r="E467" i="14"/>
  <c r="H467" i="14"/>
  <c r="E468" i="14"/>
  <c r="H468" i="14"/>
  <c r="E469" i="14"/>
  <c r="H469" i="14"/>
  <c r="E470" i="14"/>
  <c r="H470" i="14"/>
  <c r="E471" i="14"/>
  <c r="H471" i="14"/>
  <c r="E472" i="14"/>
  <c r="H472" i="14"/>
  <c r="E473" i="14"/>
  <c r="H473" i="14"/>
  <c r="E476" i="14"/>
  <c r="H476" i="14"/>
  <c r="E477" i="14"/>
  <c r="H477" i="14"/>
  <c r="E478" i="14"/>
  <c r="H478" i="14"/>
  <c r="E479" i="14"/>
  <c r="H479" i="14"/>
  <c r="E480" i="14"/>
  <c r="H480" i="14"/>
  <c r="E481" i="14"/>
  <c r="H481" i="14"/>
  <c r="E482" i="14"/>
  <c r="H482" i="14"/>
  <c r="E483" i="14"/>
  <c r="H483" i="14"/>
  <c r="E484" i="14"/>
  <c r="H484" i="14"/>
  <c r="E485" i="14"/>
  <c r="H485" i="14"/>
  <c r="E486" i="14"/>
  <c r="H486" i="14"/>
  <c r="E487" i="14"/>
  <c r="H487" i="14"/>
  <c r="E488" i="14"/>
  <c r="H488" i="14"/>
  <c r="E489" i="14"/>
  <c r="H489" i="14"/>
  <c r="E490" i="14"/>
  <c r="H490" i="14"/>
  <c r="E491" i="14"/>
  <c r="H491" i="14"/>
  <c r="E492" i="14"/>
  <c r="H492" i="14"/>
  <c r="E493" i="14"/>
  <c r="H493" i="14"/>
  <c r="E494" i="14"/>
  <c r="H494" i="14"/>
  <c r="E495" i="14"/>
  <c r="H495" i="14"/>
  <c r="E496" i="14"/>
  <c r="H496" i="14"/>
  <c r="E497" i="14"/>
  <c r="H497" i="14"/>
  <c r="E498" i="14"/>
  <c r="H498" i="14"/>
  <c r="E500" i="14"/>
  <c r="H500" i="14"/>
  <c r="E501" i="14"/>
  <c r="H501" i="14"/>
  <c r="E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<sst xmlns="http://schemas.openxmlformats.org/spreadsheetml/2006/main" count="16616" uniqueCount="3963">
  <si>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</si>
  <si>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</si>
  <si>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</si>
  <si>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</si>
  <si>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</si>
  <si>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</si>
  <si>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</si>
  <si>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</si>
  <si>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</si>
  <si>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</si>
  <si>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</si>
  <si>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</si>
  <si>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</si>
  <si>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</si>
  <si>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</si>
  <si>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</si>
  <si>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</si>
  <si>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</si>
  <si>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</si>
  <si>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</si>
  <si>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</si>
  <si>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</si>
  <si>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</si>
  <si>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</si>
  <si>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</si>
  <si>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</si>
  <si>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</si>
  <si>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</si>
  <si>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</si>
  <si>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</si>
  <si>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</si>
  <si>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</si>
  <si>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</si>
  <si>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</si>
  <si>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</si>
  <si>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</si>
  <si>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</si>
  <si>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</si>
  <si>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</si>
  <si>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</si>
  <si>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</si>
  <si>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</si>
  <si>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</si>
  <si>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</si>
  <si>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</si>
  <si>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</si>
  <si>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</si>
  <si>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</si>
  <si>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</si>
  <si>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</si>
  <si>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</si>
  <si>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</si>
  <si>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</si>
  <si>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</si>
  <si>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</si>
  <si>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</si>
  <si>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</si>
  <si>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</si>
  <si>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</si>
  <si>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</si>
  <si>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</si>
  <si>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</si>
  <si>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</si>
  <si>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</si>
  <si>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</si>
  <si>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</si>
  <si>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</si>
  <si>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</si>
  <si>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</si>
  <si>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</si>
  <si>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</si>
  <si>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</si>
  <si>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</si>
  <si>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</si>
  <si>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</si>
  <si>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</si>
  <si>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</si>
  <si>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</si>
  <si>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</si>
  <si>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</si>
  <si>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</si>
  <si>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</si>
  <si>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</si>
  <si>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</si>
  <si>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</si>
  <si>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</si>
  <si>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</si>
  <si>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</si>
  <si>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</si>
  <si>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</si>
  <si>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</si>
  <si>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</si>
  <si>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</si>
  <si>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</si>
  <si>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</si>
  <si>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</si>
  <si>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</si>
  <si>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</si>
  <si>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</si>
  <si>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</si>
  <si>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</si>
  <si>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</si>
  <si>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</si>
  <si>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</si>
  <si>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</si>
  <si>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</si>
  <si>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</si>
  <si>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</si>
  <si>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</si>
  <si>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</si>
  <si>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</si>
  <si>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</si>
  <si>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</si>
  <si>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</si>
  <si>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</si>
  <si>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</si>
  <si>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</si>
  <si>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</si>
  <si>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</si>
  <si>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</si>
  <si>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</si>
  <si>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</si>
  <si>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</si>
  <si>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</si>
  <si>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</si>
  <si>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</si>
  <si>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</si>
  <si>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</si>
  <si>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</si>
  <si>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</si>
  <si>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</si>
  <si>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</si>
  <si>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</si>
  <si>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</si>
  <si>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</si>
  <si>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</si>
  <si>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</si>
  <si>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</si>
  <si>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</si>
  <si>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</si>
  <si>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</si>
  <si>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</si>
  <si>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</si>
  <si>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</si>
  <si>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</si>
  <si>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</si>
  <si>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</si>
  <si>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</si>
  <si>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</si>
  <si>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</si>
  <si>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</si>
  <si>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</si>
  <si>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</si>
  <si>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</si>
  <si>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</si>
  <si>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</si>
  <si>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</si>
  <si>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</si>
  <si>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</si>
  <si>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</si>
  <si>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</si>
  <si>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</si>
  <si>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</si>
  <si>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</si>
  <si>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</si>
  <si>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</si>
  <si>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</si>
  <si>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</si>
  <si>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</si>
  <si>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</si>
  <si>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</si>
  <si>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</si>
  <si>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</si>
  <si>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</si>
  <si>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</si>
  <si>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</si>
  <si>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</si>
  <si>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</si>
  <si>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</si>
  <si>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</si>
  <si>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</si>
  <si>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</si>
  <si>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</si>
  <si>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</si>
  <si>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</si>
  <si>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</si>
  <si>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</si>
  <si>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</si>
  <si>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</si>
  <si>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</si>
  <si>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</si>
  <si>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</si>
  <si>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</si>
  <si>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</si>
  <si>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</si>
  <si>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</si>
  <si>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</si>
  <si>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</si>
  <si>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</si>
  <si>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</si>
  <si>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</si>
  <si>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</si>
  <si>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</si>
  <si>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</si>
  <si>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</si>
  <si>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</si>
  <si>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</si>
  <si>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</si>
  <si>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</si>
  <si>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</si>
  <si>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</si>
  <si>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</si>
  <si>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</si>
  <si>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</si>
  <si>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</si>
  <si>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</si>
  <si>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</si>
  <si>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</si>
  <si>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</si>
  <si>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</si>
  <si>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</si>
  <si>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</si>
  <si>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</si>
  <si>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</si>
  <si>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</si>
  <si>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</si>
  <si>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</si>
  <si>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</si>
  <si>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</si>
  <si>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</si>
  <si>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</si>
  <si>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</si>
  <si>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</si>
  <si>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</si>
  <si>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</si>
  <si>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</si>
  <si>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</si>
  <si>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</si>
  <si>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</si>
  <si>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</si>
  <si>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</si>
  <si>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</si>
  <si>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</si>
  <si>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</si>
  <si>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</si>
  <si>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</si>
  <si>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</si>
  <si>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</si>
  <si>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</si>
  <si>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</si>
  <si>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</si>
  <si>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</si>
  <si>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</si>
  <si>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</si>
  <si>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</si>
  <si>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</si>
  <si>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</si>
  <si>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</si>
  <si>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</si>
  <si>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</si>
  <si>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</si>
  <si>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</si>
  <si>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</si>
  <si>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</si>
  <si>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</si>
  <si>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</si>
  <si>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</si>
  <si>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</si>
  <si>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</si>
  <si>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</si>
  <si>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</si>
  <si>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</si>
  <si>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</si>
  <si>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</si>
  <si>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</si>
  <si>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</si>
  <si>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</si>
  <si>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</si>
  <si>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</si>
  <si>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</si>
  <si>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</si>
  <si>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</si>
  <si>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</si>
  <si>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</si>
  <si>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</si>
  <si>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</si>
  <si>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</si>
  <si>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</si>
  <si>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</si>
  <si>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</si>
  <si>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</si>
  <si>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</si>
  <si>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</si>
  <si>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</si>
  <si>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</si>
  <si>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</si>
  <si>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</si>
  <si>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</si>
  <si>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</si>
  <si>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</si>
  <si>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</si>
  <si>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</si>
  <si>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</si>
  <si>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</si>
  <si>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</si>
  <si>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</si>
  <si>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</si>
  <si>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</si>
  <si>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</si>
  <si>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</si>
  <si>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</si>
  <si>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</si>
  <si>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</si>
  <si>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</si>
  <si>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</si>
  <si>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</si>
  <si>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</si>
  <si>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</si>
  <si>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</si>
  <si>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</si>
  <si>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</si>
  <si>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</si>
  <si>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</si>
  <si>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</si>
  <si>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</si>
  <si>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</si>
  <si>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</si>
  <si>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</si>
  <si>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</si>
  <si>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</si>
  <si>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</si>
  <si>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</si>
  <si>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</si>
  <si>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</si>
  <si>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</si>
  <si>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</si>
  <si>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</si>
  <si>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</si>
  <si>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</si>
  <si>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</si>
  <si>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</si>
  <si>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</si>
  <si>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</si>
  <si>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</si>
  <si>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</si>
  <si>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</si>
  <si>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</si>
  <si>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</si>
  <si>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</si>
  <si>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</si>
  <si>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</si>
  <si>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</si>
  <si>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</si>
  <si>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</si>
  <si>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</si>
  <si>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</si>
  <si>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</si>
  <si>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</si>
  <si>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</si>
  <si>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</si>
  <si>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</si>
  <si>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</si>
  <si>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</si>
  <si>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</si>
  <si>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</si>
  <si>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</si>
  <si>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</si>
  <si>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</si>
  <si>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</si>
  <si>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</si>
  <si>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</si>
  <si>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</si>
  <si>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</si>
  <si>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</si>
  <si>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</si>
  <si>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</si>
  <si>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</si>
  <si>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</si>
  <si>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</si>
  <si>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</si>
  <si>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</si>
  <si>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</si>
  <si>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</si>
  <si>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</si>
  <si>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</si>
  <si>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</si>
  <si>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</si>
  <si>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</si>
  <si>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</si>
  <si>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</si>
  <si>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</si>
  <si>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</si>
  <si>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</si>
  <si>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</si>
  <si>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</si>
  <si>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</si>
  <si>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</si>
  <si>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</si>
  <si>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</si>
  <si>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</si>
  <si>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</si>
  <si>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</si>
  <si>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</si>
  <si>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</si>
  <si>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</si>
  <si>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</si>
  <si>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</si>
  <si>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</si>
  <si>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</si>
  <si>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</si>
  <si>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</si>
  <si>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</si>
  <si>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</si>
  <si>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</si>
  <si>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</si>
  <si>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</si>
  <si>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</si>
  <si>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</si>
  <si>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</si>
  <si>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</si>
  <si>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</si>
  <si>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</si>
  <si>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</si>
  <si>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</si>
  <si>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</si>
  <si>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</si>
  <si>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</si>
  <si>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</si>
  <si>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</si>
  <si>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</si>
  <si>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</si>
  <si>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</si>
  <si>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</si>
  <si>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</si>
  <si>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</si>
  <si>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</si>
  <si>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</si>
  <si>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</si>
  <si>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</si>
  <si>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</si>
  <si>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</si>
  <si>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</si>
  <si>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</si>
  <si>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</si>
  <si>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</si>
  <si>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</si>
  <si>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</si>
  <si>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</si>
  <si>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</si>
  <si>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</si>
  <si>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</si>
  <si>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</si>
  <si>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</si>
  <si>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</si>
  <si>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</si>
  <si>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</si>
  <si>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</si>
  <si>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</si>
  <si>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</si>
  <si>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</si>
  <si>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</si>
  <si>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</si>
  <si>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</si>
  <si>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</si>
  <si>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</si>
  <si>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</si>
  <si>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</si>
  <si>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</si>
  <si>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</si>
  <si>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</si>
  <si>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</si>
  <si>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</si>
  <si>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</si>
  <si>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</si>
  <si>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</si>
  <si>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</si>
  <si>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</si>
  <si>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</si>
  <si>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</si>
  <si>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</si>
  <si>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</si>
  <si>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</si>
  <si>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</si>
  <si>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</si>
  <si>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</si>
  <si>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</si>
  <si>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</si>
  <si>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</si>
  <si>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</si>
  <si>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</si>
  <si>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</si>
  <si>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</si>
  <si>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</si>
  <si>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</si>
  <si>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</si>
  <si>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</si>
  <si>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</si>
  <si>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</si>
  <si>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</si>
  <si>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</si>
  <si>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</si>
  <si>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</si>
  <si>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</si>
  <si>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</si>
  <si>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</si>
  <si>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</si>
  <si>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</si>
  <si>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</si>
  <si>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</si>
  <si>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</si>
  <si>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</si>
  <si>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</si>
  <si>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</si>
  <si>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</si>
  <si>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</si>
  <si>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</si>
  <si>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</si>
  <si>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</si>
  <si>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</si>
  <si>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</si>
  <si>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</si>
  <si>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</si>
  <si>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</si>
  <si>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</si>
  <si>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</si>
  <si>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</si>
  <si>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</si>
  <si>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</si>
  <si>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</si>
  <si>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</si>
  <si>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</si>
  <si>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</si>
  <si>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</si>
  <si>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</si>
  <si>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</si>
  <si>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</si>
  <si>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</si>
  <si>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</si>
  <si>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</si>
  <si>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</si>
  <si>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</si>
  <si>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</si>
  <si>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</si>
  <si>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</si>
  <si>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</si>
  <si>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</si>
  <si>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</si>
  <si>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</si>
  <si>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</si>
  <si>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</si>
  <si>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</si>
  <si>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</si>
  <si>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</si>
  <si>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</si>
  <si>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</si>
  <si>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</si>
  <si>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</si>
  <si>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</si>
  <si>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</si>
  <si>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</si>
  <si>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</si>
  <si>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</si>
  <si>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</si>
  <si>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</si>
  <si>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</si>
  <si>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</si>
  <si>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</si>
  <si>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</si>
  <si>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</si>
  <si>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</si>
  <si>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</si>
  <si>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</si>
  <si>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</si>
  <si>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</si>
  <si>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</si>
  <si>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</si>
  <si>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</si>
  <si>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</si>
  <si>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</si>
  <si>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</si>
  <si>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</si>
  <si>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</si>
  <si>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</si>
  <si>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</si>
  <si>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</si>
  <si>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</si>
  <si>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</si>
  <si>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</si>
  <si>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</si>
  <si>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</si>
  <si>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</si>
  <si>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</si>
  <si>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</si>
  <si>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</si>
  <si>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</si>
  <si>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</si>
  <si>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</si>
  <si>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</si>
  <si>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</si>
  <si>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</si>
  <si>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</si>
  <si>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</si>
  <si>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</si>
  <si>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</si>
  <si>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</si>
  <si>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</si>
  <si>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</si>
  <si>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</si>
  <si>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</si>
  <si>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</si>
  <si>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</si>
  <si>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</si>
  <si>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</si>
  <si>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</si>
  <si>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</si>
  <si>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</si>
  <si>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</si>
  <si>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</si>
  <si>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</si>
  <si>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</si>
  <si>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</si>
  <si>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</si>
  <si>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</si>
  <si>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</si>
  <si>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</si>
  <si>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</si>
  <si>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</si>
  <si>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</si>
  <si>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</si>
  <si>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</si>
  <si>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</si>
  <si>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</si>
  <si>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</si>
  <si>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</si>
  <si>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</si>
  <si>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</si>
  <si>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</si>
  <si>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</si>
  <si>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</si>
  <si>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</si>
  <si>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</si>
  <si>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</si>
  <si>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</si>
  <si>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</si>
  <si>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</si>
  <si>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</si>
  <si>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</si>
  <si>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</si>
  <si>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</si>
  <si>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</si>
  <si>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</si>
  <si>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</si>
  <si>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</si>
  <si>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</si>
  <si>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</si>
  <si>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</si>
  <si>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</si>
  <si>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</si>
  <si>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</si>
  <si>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</si>
  <si>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</si>
  <si>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</si>
  <si>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</si>
  <si>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</si>
  <si>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</si>
  <si>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</si>
  <si>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</si>
  <si>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</si>
  <si>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</si>
  <si>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</si>
  <si>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</si>
  <si>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</si>
  <si>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</si>
  <si>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</si>
  <si>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</si>
  <si>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</si>
  <si>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</si>
  <si>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</si>
  <si>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</si>
  <si>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</si>
  <si>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</si>
  <si>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</si>
  <si>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</si>
  <si>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</si>
  <si>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</si>
  <si>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</si>
  <si>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</si>
  <si>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</si>
  <si>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</si>
  <si>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</si>
  <si>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</si>
  <si>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</si>
  <si>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</si>
  <si>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</si>
  <si>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</si>
  <si>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</si>
  <si>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</si>
  <si>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</si>
  <si>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</si>
  <si>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</si>
  <si>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</si>
  <si>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</si>
  <si>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</si>
  <si>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</si>
  <si>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</si>
  <si>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</si>
  <si>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</si>
  <si>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</si>
  <si>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</si>
  <si>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</si>
  <si>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</si>
  <si>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</si>
  <si>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</si>
  <si>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</si>
  <si>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</si>
  <si>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</si>
  <si>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</si>
  <si>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</si>
  <si>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</si>
  <si>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</si>
  <si>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</si>
  <si>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</si>
  <si>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</si>
  <si>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</si>
  <si>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</si>
  <si>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</si>
  <si>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</si>
  <si>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</si>
  <si>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</si>
  <si>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</si>
  <si>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</si>
  <si>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</si>
  <si>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</si>
  <si>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</si>
  <si>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</si>
  <si>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</si>
  <si>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</si>
  <si>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</si>
  <si>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</si>
  <si>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</si>
  <si>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</si>
  <si>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</si>
  <si>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</si>
  <si>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</si>
  <si>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</si>
  <si>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</si>
  <si>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</si>
  <si>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</si>
  <si>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</si>
  <si>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</si>
  <si>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</si>
  <si>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</si>
  <si>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</si>
  <si>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</si>
  <si>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</si>
  <si>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</si>
  <si>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</si>
  <si>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</si>
  <si>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</si>
  <si>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</si>
  <si>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</si>
  <si>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</si>
  <si>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</si>
  <si>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</si>
  <si>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</si>
  <si>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</si>
  <si>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</si>
  <si>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</si>
  <si>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</si>
  <si>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</si>
  <si>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</si>
  <si>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</si>
  <si>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</si>
  <si>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</si>
  <si>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</si>
  <si>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</si>
  <si>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</si>
  <si>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</si>
  <si>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</si>
  <si>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</si>
  <si>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</si>
  <si>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</si>
  <si>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</si>
  <si>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</si>
  <si>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</si>
  <si>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</si>
  <si>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</si>
  <si>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</si>
  <si>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</si>
  <si>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</si>
  <si>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</si>
  <si>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</si>
  <si>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</si>
  <si>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</si>
  <si>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</si>
  <si>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</si>
  <si>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</si>
  <si>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</si>
  <si>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</si>
  <si>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</si>
  <si>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</si>
  <si>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</si>
  <si>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</si>
  <si>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</si>
  <si>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</si>
  <si>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</si>
  <si>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</si>
  <si>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</si>
  <si>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</si>
  <si>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</si>
  <si>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</si>
  <si>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</si>
  <si>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</si>
  <si>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</si>
  <si>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</si>
  <si>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</si>
  <si>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</si>
  <si>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</si>
  <si>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</si>
  <si>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</si>
  <si>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</si>
  <si>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</si>
  <si>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</si>
  <si>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</si>
  <si>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</si>
  <si>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</si>
  <si>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</si>
  <si>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</si>
  <si>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</si>
  <si>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</si>
  <si>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</si>
  <si>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</si>
  <si>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</si>
  <si>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</si>
  <si>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</si>
  <si>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</si>
  <si>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</si>
  <si>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</si>
  <si>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</si>
  <si>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</si>
  <si>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</si>
  <si>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</si>
  <si>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</si>
  <si>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</si>
  <si>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</si>
  <si>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</si>
  <si>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</si>
  <si>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</si>
  <si>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</si>
  <si>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</si>
  <si>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</si>
  <si>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</si>
  <si>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</si>
  <si>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</si>
  <si>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</si>
  <si>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</si>
  <si>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</si>
  <si>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</si>
  <si>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</si>
  <si>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</si>
  <si>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</si>
  <si>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</si>
  <si>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</si>
  <si>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</si>
  <si>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</si>
  <si>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</si>
  <si>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</si>
  <si>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</si>
  <si>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</si>
  <si>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</si>
  <si>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</si>
  <si>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</si>
  <si>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</si>
  <si>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</si>
  <si>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</si>
  <si>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</si>
  <si>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</si>
  <si>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</si>
  <si>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</si>
  <si>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</si>
  <si>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</si>
  <si>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</si>
  <si>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</si>
  <si>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</si>
  <si>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</si>
  <si>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</si>
  <si>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</si>
  <si>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</si>
  <si>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</si>
  <si>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</si>
  <si>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</si>
  <si>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</si>
  <si>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</si>
  <si>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</si>
  <si>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</si>
  <si>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</si>
  <si>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</si>
  <si>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</si>
  <si>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</si>
  <si>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</si>
  <si>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</si>
  <si>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</si>
  <si>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</si>
  <si>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</si>
  <si>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</si>
  <si>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</si>
  <si>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</si>
  <si>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</si>
  <si>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</si>
  <si>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</si>
  <si>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</si>
  <si>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</si>
  <si>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</si>
  <si>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</si>
  <si>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</si>
  <si>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</si>
  <si>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</si>
  <si>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</si>
  <si>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</si>
  <si>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</si>
  <si>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</si>
  <si>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</si>
  <si>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</si>
  <si>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</si>
  <si>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</si>
  <si>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</si>
  <si>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</si>
  <si>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</si>
  <si>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</si>
  <si>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</si>
  <si>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</si>
  <si>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</si>
  <si>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</si>
  <si>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</si>
  <si>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</si>
  <si>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</si>
  <si>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</si>
  <si>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</si>
  <si>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</si>
  <si>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</si>
  <si>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</si>
  <si>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</si>
  <si>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</si>
  <si>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</si>
  <si>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</si>
  <si>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</si>
  <si>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</si>
  <si>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</si>
  <si>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</si>
  <si>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</si>
  <si>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</si>
  <si>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</si>
  <si>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</si>
  <si>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</si>
  <si>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</si>
  <si>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</si>
  <si>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</si>
  <si>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</si>
  <si>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</si>
  <si>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</si>
  <si>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</si>
  <si>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</si>
  <si>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</si>
  <si>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</si>
  <si>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</si>
  <si>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</si>
  <si>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</si>
  <si>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</si>
  <si>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</si>
  <si>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</si>
  <si>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</si>
  <si>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</si>
  <si>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</si>
  <si>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</si>
  <si>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</si>
  <si>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</si>
  <si>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</si>
  <si>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</si>
  <si>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</si>
  <si>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</si>
  <si>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</si>
  <si>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</si>
  <si>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</si>
  <si>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</si>
  <si>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</si>
  <si>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</si>
  <si>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</si>
  <si>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</si>
  <si>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</si>
  <si>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</si>
  <si>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</si>
  <si>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</si>
  <si>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</si>
  <si>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</si>
  <si>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</si>
  <si>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</si>
  <si>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</si>
  <si>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</si>
  <si>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</si>
  <si>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</si>
  <si>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</si>
  <si>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</si>
  <si>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</si>
  <si>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</si>
  <si>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</si>
  <si>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</si>
  <si>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</si>
  <si>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</si>
  <si>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</si>
  <si>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</si>
  <si>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</si>
  <si>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</si>
  <si>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</si>
  <si>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</si>
  <si>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</si>
  <si>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</si>
  <si>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</si>
  <si>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</si>
  <si>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</si>
  <si>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</si>
  <si>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</si>
  <si>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</si>
  <si>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</si>
  <si>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</si>
  <si>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</si>
  <si>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</si>
  <si>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</si>
  <si>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</si>
  <si>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</si>
  <si>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</si>
  <si>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</si>
  <si>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</si>
  <si>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</si>
  <si>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</si>
  <si>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</si>
  <si>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</si>
  <si>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</si>
  <si>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</si>
  <si>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</si>
  <si>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</si>
  <si>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</si>
  <si>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</si>
  <si>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</si>
  <si>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</si>
  <si>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</si>
  <si>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</si>
  <si>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</si>
  <si>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</si>
  <si>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</si>
  <si>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</si>
  <si>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</si>
  <si>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</si>
  <si>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</si>
  <si>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</si>
  <si>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</si>
  <si>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</si>
  <si>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</si>
  <si>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</si>
  <si>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</si>
  <si>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</si>
  <si>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</si>
  <si>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</si>
  <si>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</si>
  <si>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</si>
  <si>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</si>
  <si>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</si>
  <si>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</si>
  <si>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</si>
  <si>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</si>
  <si>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</si>
  <si>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</si>
  <si>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</si>
  <si>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</si>
  <si>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</si>
  <si>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</si>
  <si>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</si>
  <si>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</si>
  <si>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</si>
  <si>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</si>
  <si>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</si>
  <si>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</si>
  <si>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</si>
  <si>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</si>
  <si>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</si>
  <si>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</si>
  <si>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</si>
  <si>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</si>
  <si>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</si>
  <si>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</si>
  <si>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</si>
  <si>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</si>
  <si>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</si>
  <si>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</si>
  <si>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</si>
  <si>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</si>
  <si>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</si>
  <si>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</si>
  <si>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</si>
  <si>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</si>
  <si>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</si>
  <si>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</si>
  <si>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</si>
  <si>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</si>
  <si>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</si>
  <si>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</si>
  <si>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</si>
  <si>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</si>
  <si>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</si>
  <si>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</si>
  <si>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</si>
  <si>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</si>
  <si>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</si>
  <si>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</si>
  <si>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</si>
  <si>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</si>
  <si>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</si>
  <si>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</si>
  <si>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</si>
  <si>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</si>
  <si>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</si>
  <si>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</si>
  <si>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</si>
  <si>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</si>
  <si>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</si>
  <si>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</si>
  <si>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</si>
  <si>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</si>
  <si>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</si>
  <si>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</si>
  <si>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</si>
  <si>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</si>
  <si>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</si>
  <si>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</si>
  <si>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</si>
  <si>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</si>
  <si>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</si>
  <si>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</si>
  <si>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</si>
  <si>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</si>
  <si>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</si>
  <si>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</si>
  <si>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</si>
  <si>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</si>
  <si>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</si>
  <si>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</si>
  <si>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</si>
  <si>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</si>
  <si>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</si>
  <si>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</si>
  <si>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</si>
  <si>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</si>
  <si>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</si>
  <si>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</si>
  <si>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</si>
  <si>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</si>
  <si>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</si>
  <si>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</si>
  <si>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</si>
  <si>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</si>
  <si>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</si>
  <si>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</si>
  <si>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</si>
  <si>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</si>
  <si>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</si>
  <si>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</si>
  <si>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</si>
  <si>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</si>
  <si>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</si>
  <si>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</si>
  <si>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</si>
  <si>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</si>
  <si>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</si>
  <si>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</si>
  <si>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</si>
  <si>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</si>
  <si>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</si>
  <si>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</si>
  <si>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</si>
  <si>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</si>
  <si>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</si>
  <si>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</si>
  <si>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</si>
  <si>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</si>
  <si>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</si>
  <si>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</si>
  <si>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</si>
  <si>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</si>
  <si>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</si>
  <si>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</si>
  <si>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</si>
  <si>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</si>
  <si>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</si>
  <si>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</si>
  <si>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</si>
  <si>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</si>
  <si>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</si>
  <si>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</si>
  <si>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</si>
  <si>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</si>
  <si>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</si>
  <si>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</si>
  <si>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</si>
  <si>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</si>
  <si>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</si>
  <si>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</si>
  <si>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</si>
  <si>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</si>
  <si>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</si>
  <si>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</si>
  <si>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</si>
  <si>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</si>
  <si>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</si>
  <si>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</si>
  <si>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</si>
  <si>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</si>
  <si>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</si>
  <si>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</si>
  <si>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</si>
  <si>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</si>
  <si>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</si>
  <si>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</si>
  <si>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</si>
  <si>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</si>
  <si>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</si>
  <si>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</si>
  <si>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</si>
  <si>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</si>
  <si>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</si>
  <si>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</si>
  <si>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</si>
  <si>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</si>
  <si>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</si>
  <si>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</si>
  <si>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</si>
  <si>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</si>
  <si>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</si>
  <si>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</si>
  <si>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</si>
  <si>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</si>
  <si>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</si>
  <si>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</si>
  <si>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</si>
  <si>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</si>
  <si>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</si>
  <si>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</si>
  <si>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</si>
  <si>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</si>
  <si>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</si>
  <si>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</si>
  <si>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</si>
  <si>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</si>
  <si>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</si>
  <si>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</si>
  <si>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</si>
  <si>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</si>
  <si>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</si>
  <si>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</si>
  <si>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</si>
  <si>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</si>
  <si>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</si>
  <si>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</si>
  <si>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</si>
  <si>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</si>
  <si>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</si>
  <si>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</si>
  <si>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</si>
  <si>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</si>
  <si>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</si>
  <si>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</si>
  <si>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</si>
  <si>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</si>
  <si>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</si>
  <si>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</si>
  <si>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</si>
  <si>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</si>
  <si>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</si>
  <si>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</si>
  <si>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</si>
  <si>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</si>
  <si>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</si>
  <si>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</si>
  <si>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</si>
  <si>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</si>
  <si>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</si>
  <si>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</si>
  <si>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</si>
  <si>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</si>
  <si>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</si>
  <si>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</si>
  <si>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</si>
  <si>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</si>
  <si>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</si>
  <si>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</si>
  <si>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</si>
  <si>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</si>
  <si>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</si>
  <si>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</si>
  <si>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</si>
  <si>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</si>
  <si>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</si>
  <si>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</si>
  <si>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</si>
  <si>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</si>
  <si>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</si>
  <si>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</si>
  <si>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</si>
  <si>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</si>
  <si>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</si>
  <si>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</si>
  <si>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</si>
  <si>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</si>
  <si>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</si>
  <si>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</si>
  <si>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</si>
  <si>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</si>
  <si>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</si>
  <si>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</si>
  <si>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</si>
  <si>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</si>
  <si>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</si>
  <si>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</si>
  <si>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</si>
  <si>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</si>
  <si>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</si>
  <si>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</si>
  <si>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</si>
  <si>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</si>
  <si>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</si>
  <si>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</si>
  <si>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</si>
  <si>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</si>
  <si>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</si>
  <si>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</si>
  <si>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</si>
  <si>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</si>
  <si>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</si>
  <si>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</si>
  <si>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</si>
  <si>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</si>
  <si>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</si>
  <si>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</si>
  <si>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</si>
  <si>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</si>
  <si>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</si>
  <si>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</si>
  <si>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</si>
  <si>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</si>
  <si>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</si>
  <si>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</si>
  <si>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</si>
  <si>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</si>
  <si>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</si>
  <si>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</si>
  <si>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</si>
  <si>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</si>
  <si>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</si>
  <si>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</si>
  <si>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</si>
  <si>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</si>
  <si>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</si>
  <si>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</si>
  <si>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</si>
  <si>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</si>
  <si>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</si>
  <si>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</si>
  <si>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</si>
  <si>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</si>
  <si>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</si>
  <si>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</si>
  <si>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</si>
  <si>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</si>
  <si>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</si>
  <si>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</si>
  <si>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</si>
  <si>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</si>
  <si>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</si>
  <si>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</si>
  <si>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</si>
  <si>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</si>
  <si>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</si>
  <si>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</si>
  <si>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</si>
  <si>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</si>
  <si>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</si>
  <si>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</si>
  <si>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</si>
  <si>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</si>
  <si>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</si>
  <si>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</si>
  <si>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</si>
  <si>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</si>
  <si>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</si>
  <si>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</si>
  <si>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</si>
  <si>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</si>
  <si>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</si>
  <si>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</si>
  <si>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</si>
  <si>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</si>
  <si>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</si>
  <si>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</si>
  <si>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</si>
  <si>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</si>
  <si>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</si>
  <si>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</si>
  <si>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</si>
  <si>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</si>
  <si>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</si>
  <si>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</si>
  <si>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</si>
  <si>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</si>
  <si>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</si>
  <si>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</si>
  <si>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</si>
  <si>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</si>
  <si>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</si>
  <si>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</si>
  <si>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</si>
  <si>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</si>
  <si>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</si>
  <si>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</si>
  <si>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</si>
  <si>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</si>
  <si>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</si>
  <si>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</si>
  <si>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</si>
  <si>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</si>
  <si>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</si>
  <si>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</si>
  <si>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</si>
  <si>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</si>
  <si>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</si>
  <si>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</si>
  <si>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</si>
  <si>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</si>
  <si>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</si>
  <si>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</si>
  <si>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</si>
  <si>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</si>
  <si>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</si>
  <si>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</si>
  <si>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</si>
  <si>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</si>
  <si>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</si>
  <si>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</si>
  <si>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</si>
  <si>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</si>
  <si>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</si>
  <si>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</si>
  <si>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</si>
  <si>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</si>
  <si>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</si>
  <si>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</si>
  <si>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</si>
  <si>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</si>
  <si>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</si>
  <si>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</si>
  <si>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</si>
  <si>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</si>
  <si>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</si>
  <si>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</si>
  <si>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</si>
  <si>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</si>
  <si>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</si>
  <si>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</si>
  <si>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</si>
  <si>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</si>
  <si>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</si>
  <si>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</si>
  <si>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</si>
  <si>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</si>
  <si>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</si>
  <si>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</si>
  <si>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</si>
  <si>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</si>
  <si>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</si>
  <si>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</si>
  <si>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</si>
  <si>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</si>
  <si>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</si>
  <si>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</si>
  <si>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</si>
  <si>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</si>
  <si>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</si>
  <si>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</si>
  <si>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</si>
  <si>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</si>
  <si>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</si>
  <si>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</si>
  <si>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</si>
  <si>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</si>
  <si>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</si>
  <si>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</si>
  <si>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</si>
  <si>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</si>
  <si>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</si>
  <si>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</si>
  <si>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</si>
  <si>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</si>
  <si>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</si>
  <si>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</si>
  <si>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</si>
  <si>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</si>
  <si>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</si>
  <si>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</si>
  <si>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</si>
  <si>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</si>
  <si>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</si>
  <si>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</si>
  <si>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</si>
  <si>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</si>
  <si>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</si>
  <si>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</si>
  <si>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</si>
  <si>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</si>
  <si>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</si>
  <si>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</si>
  <si>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</si>
  <si>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</si>
  <si>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</si>
  <si>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</si>
  <si>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</si>
  <si>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</si>
  <si>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</si>
  <si>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</si>
  <si>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</si>
  <si>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</si>
  <si>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</si>
  <si>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</si>
  <si>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</si>
  <si>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</si>
  <si>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</si>
  <si>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</si>
  <si>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</si>
  <si>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</si>
  <si>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</si>
  <si>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</si>
  <si>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</si>
  <si>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</si>
  <si>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</si>
  <si>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</si>
  <si>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</si>
  <si>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</si>
  <si>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</si>
  <si>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</si>
  <si>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</si>
  <si>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</si>
  <si>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</si>
  <si>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</si>
  <si>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</si>
  <si>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</si>
  <si>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</si>
  <si>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</si>
  <si>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</si>
  <si>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</si>
  <si>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</si>
  <si>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</si>
  <si>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</si>
  <si>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</si>
  <si>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</si>
  <si>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</si>
  <si>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</si>
  <si>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</si>
  <si>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</si>
  <si>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</si>
  <si>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</si>
  <si>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</si>
  <si>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</si>
  <si>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</si>
  <si>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</si>
  <si>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</si>
  <si>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</si>
  <si>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</si>
  <si>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</si>
  <si>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</si>
  <si>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</si>
  <si>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</si>
  <si>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</si>
  <si>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</si>
  <si>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</si>
  <si>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</si>
  <si>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</si>
  <si>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</si>
  <si>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</si>
  <si>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</si>
  <si>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</si>
  <si>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</si>
  <si>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</si>
  <si>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</si>
  <si>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</si>
  <si>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</si>
  <si>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</si>
  <si>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</si>
  <si>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</si>
  <si>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</si>
  <si>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</si>
  <si>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</si>
  <si>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</si>
  <si>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</si>
  <si>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</si>
  <si>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</si>
  <si>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</si>
  <si>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</si>
  <si>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</si>
  <si>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</si>
  <si>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</si>
  <si>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</si>
  <si>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</si>
  <si>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</si>
  <si>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</si>
  <si>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</si>
  <si>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</si>
  <si>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</si>
  <si>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</si>
  <si>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</si>
  <si>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</si>
  <si>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</si>
  <si>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</si>
  <si>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</si>
  <si>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</si>
  <si>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</si>
  <si>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</si>
  <si>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</si>
  <si>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</si>
  <si>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</si>
  <si>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</si>
  <si>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</si>
  <si>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</si>
  <si>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</si>
  <si>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</si>
  <si>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</si>
  <si>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</si>
  <si>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</si>
  <si>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</si>
  <si>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</si>
  <si>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</si>
  <si>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</si>
  <si>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</si>
  <si>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</si>
  <si>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</si>
  <si>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</si>
  <si>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</si>
  <si>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</si>
  <si>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</si>
  <si>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</si>
  <si>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</si>
  <si>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</si>
  <si>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</si>
  <si>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</si>
  <si>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</si>
  <si>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</si>
  <si>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</si>
  <si>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</si>
  <si>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</si>
  <si>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</si>
  <si>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</si>
  <si>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</si>
  <si>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</si>
  <si>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</si>
  <si>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</si>
  <si>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</si>
  <si>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</si>
  <si>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</si>
  <si>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</si>
  <si>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</si>
  <si>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</si>
  <si>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</si>
  <si>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</si>
  <si>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</si>
  <si>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</si>
  <si>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</si>
  <si>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</si>
  <si>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</si>
  <si>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</si>
  <si>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</si>
  <si>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</si>
  <si>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</si>
  <si>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</si>
  <si>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</si>
  <si>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</si>
  <si>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</si>
  <si>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</si>
  <si>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</si>
  <si>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</si>
  <si>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</si>
  <si>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</si>
  <si>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</si>
  <si>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</si>
  <si>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</si>
  <si>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</si>
  <si>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</si>
  <si>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</si>
  <si>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</si>
  <si>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</si>
  <si>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</si>
  <si>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</si>
  <si>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</si>
  <si>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</si>
  <si>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</si>
  <si>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</si>
  <si>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</si>
  <si>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</si>
  <si>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</si>
  <si>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</si>
  <si>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</si>
  <si>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</si>
  <si>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</si>
  <si>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</si>
  <si>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</si>
  <si>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</si>
  <si>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</si>
  <si>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</si>
  <si>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</si>
  <si>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</si>
  <si>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</si>
  <si>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</si>
  <si>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</si>
  <si>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</si>
  <si>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</si>
  <si>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</si>
  <si>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</si>
  <si>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</si>
  <si>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</si>
  <si>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</si>
  <si>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</si>
  <si>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</si>
  <si>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</si>
  <si>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</si>
  <si>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</si>
  <si>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</si>
  <si>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</si>
  <si>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</si>
  <si>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</si>
  <si>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</si>
  <si>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</si>
  <si>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</si>
  <si>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</si>
  <si>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</si>
  <si>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</si>
  <si>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</si>
  <si>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</si>
  <si>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</si>
  <si>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</si>
  <si>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</si>
  <si>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</si>
  <si>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</si>
  <si>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</si>
  <si>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</si>
  <si>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</si>
  <si>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</si>
  <si>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</si>
  <si>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</si>
  <si>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</si>
  <si>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</si>
  <si>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</si>
  <si>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</si>
  <si>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</si>
  <si>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</si>
  <si>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</si>
  <si>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</si>
  <si>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</si>
  <si>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</si>
  <si>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</si>
  <si>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</si>
  <si>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</si>
  <si>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</si>
  <si>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</si>
  <si>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</si>
  <si>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</si>
  <si>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</si>
  <si>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</si>
  <si>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</si>
  <si>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</si>
  <si>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</si>
  <si>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</si>
  <si>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</si>
  <si>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</si>
  <si>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</si>
  <si>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</si>
  <si>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</si>
  <si>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</si>
  <si>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</si>
  <si>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</si>
  <si>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</si>
  <si>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</si>
  <si>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</si>
  <si>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</si>
  <si>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</si>
  <si>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</si>
  <si>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</si>
  <si>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</si>
  <si>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</si>
  <si>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</si>
  <si>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</si>
  <si>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</si>
  <si>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</si>
  <si>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</si>
  <si>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</si>
  <si>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</si>
  <si>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</si>
  <si>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</si>
  <si>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</si>
  <si>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</si>
  <si>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</si>
  <si>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</si>
  <si>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</si>
  <si>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</si>
  <si>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</si>
  <si>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</si>
  <si>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</si>
  <si>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</si>
  <si>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</si>
  <si>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</si>
  <si>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</si>
  <si>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</si>
  <si>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</si>
  <si>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</si>
  <si>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</si>
  <si>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</si>
  <si>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</si>
  <si>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</si>
  <si>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</si>
  <si>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</si>
  <si>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</si>
  <si>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</si>
  <si>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</si>
  <si>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</si>
  <si>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</si>
  <si>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</si>
  <si>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</si>
  <si>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</si>
  <si>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</si>
  <si>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</si>
  <si>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</si>
  <si>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SALE9</t>
  </si>
  <si>
    <t>SALE10</t>
  </si>
  <si>
    <t>SALE11</t>
  </si>
  <si>
    <t>SALE12</t>
  </si>
  <si>
    <t>SALE13</t>
  </si>
  <si>
    <t>SALE14</t>
  </si>
  <si>
    <t>SALE16</t>
  </si>
  <si>
    <t>SALE17</t>
  </si>
  <si>
    <t>SALE18</t>
  </si>
  <si>
    <t>SALE20</t>
  </si>
  <si>
    <t>SALE21</t>
  </si>
  <si>
    <t>SALE22</t>
  </si>
  <si>
    <t>SALE23</t>
  </si>
  <si>
    <t>SALE24</t>
  </si>
  <si>
    <t>SALE25</t>
  </si>
  <si>
    <t>SALE27</t>
  </si>
  <si>
    <t>SALE28</t>
  </si>
  <si>
    <t>SALE30</t>
  </si>
  <si>
    <t>SALE31</t>
  </si>
  <si>
    <t>SALE32</t>
  </si>
  <si>
    <t>SALE33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</si>
  <si>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</si>
  <si>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</si>
  <si>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</si>
  <si>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</si>
  <si>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</si>
  <si>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</si>
  <si>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</si>
  <si>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</si>
  <si>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</si>
  <si>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</si>
  <si>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</si>
  <si>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</si>
  <si>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</si>
  <si>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</si>
  <si>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</si>
  <si>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</si>
  <si>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SALE53</t>
  </si>
  <si>
    <t>SALE54</t>
  </si>
  <si>
    <t>SALE55</t>
  </si>
  <si>
    <t>SALE56</t>
  </si>
  <si>
    <t>SALE57</t>
  </si>
  <si>
    <t>SALE59</t>
  </si>
  <si>
    <t>SALE60</t>
  </si>
  <si>
    <t>SALE61</t>
  </si>
  <si>
    <t>SALE62</t>
  </si>
  <si>
    <t>SALE63</t>
  </si>
  <si>
    <t>SALE65</t>
  </si>
  <si>
    <t>SALE66</t>
  </si>
  <si>
    <t>SALE67</t>
  </si>
  <si>
    <t>SALE68</t>
  </si>
  <si>
    <t>SALE69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</si>
  <si>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</si>
  <si>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</si>
  <si>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</si>
  <si>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</si>
  <si>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</si>
  <si>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</si>
  <si>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</si>
  <si>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</si>
  <si>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</si>
  <si>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</si>
  <si>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</si>
  <si>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</si>
  <si>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</si>
  <si>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</si>
  <si>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</si>
  <si>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</si>
  <si>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</si>
  <si>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</si>
  <si>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</si>
  <si>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</si>
  <si>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</si>
  <si>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</si>
  <si>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</si>
  <si>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</si>
  <si>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</si>
  <si>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</si>
  <si>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</si>
  <si>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</si>
  <si>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</si>
  <si>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</si>
  <si>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</si>
  <si>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</si>
  <si>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</si>
  <si>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</si>
  <si>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</si>
  <si>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</si>
  <si>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</si>
  <si>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</si>
  <si>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</si>
  <si>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</si>
  <si>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</si>
  <si>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</si>
  <si>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</si>
  <si>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</si>
  <si>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</si>
  <si>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</si>
  <si>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</si>
  <si>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</si>
  <si>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</si>
  <si>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</si>
  <si>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</si>
  <si>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</si>
  <si>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</si>
  <si>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</si>
  <si>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</si>
  <si>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</si>
  <si>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</si>
  <si>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</si>
  <si>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</si>
  <si>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</si>
  <si>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</si>
  <si>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</si>
  <si>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</si>
  <si>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</si>
  <si>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</si>
  <si>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</si>
  <si>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</si>
  <si>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</si>
  <si>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</si>
  <si>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</si>
  <si>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</si>
  <si>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</si>
  <si>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</si>
  <si>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</si>
  <si>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</si>
  <si>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</si>
  <si>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</si>
  <si>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</si>
  <si>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</si>
  <si>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</si>
  <si>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</si>
  <si>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</si>
  <si>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</si>
  <si>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</si>
  <si>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</si>
  <si>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</si>
  <si>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</si>
  <si>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</si>
  <si>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</si>
  <si>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</si>
  <si>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</si>
  <si>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</si>
  <si>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</si>
  <si>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</si>
  <si>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</si>
  <si>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</si>
  <si>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</si>
  <si>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</si>
  <si>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</si>
  <si>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</si>
  <si>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</si>
  <si>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</si>
  <si>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</si>
  <si>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</si>
  <si>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</si>
  <si>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</si>
  <si>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</si>
  <si>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</si>
  <si>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</si>
  <si>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</si>
  <si>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</si>
  <si>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</si>
  <si>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</si>
  <si>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</si>
  <si>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</si>
  <si>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</si>
  <si>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</si>
  <si>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</si>
  <si>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</si>
  <si>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</si>
  <si>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</si>
  <si>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</si>
  <si>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</si>
  <si>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</si>
  <si>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</si>
  <si>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</si>
  <si>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</si>
  <si>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</si>
  <si>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</si>
  <si>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</si>
  <si>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</si>
  <si>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</si>
  <si>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</si>
  <si>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</si>
  <si>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</si>
  <si>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</si>
  <si>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</si>
  <si>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</si>
  <si>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</si>
  <si>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</si>
  <si>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</si>
  <si>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</si>
  <si>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</si>
  <si>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</si>
  <si>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</si>
  <si>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</si>
  <si>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</si>
  <si>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</si>
  <si>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</si>
  <si>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</si>
  <si>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</si>
  <si>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</si>
  <si>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</si>
  <si>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</si>
  <si>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</si>
  <si>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</si>
  <si>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</si>
  <si>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</si>
  <si>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</si>
  <si>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</si>
  <si>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</si>
  <si>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</si>
  <si>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</si>
  <si>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</si>
  <si>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</si>
  <si>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</si>
  <si>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</si>
  <si>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</si>
  <si>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</si>
  <si>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</si>
  <si>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</si>
  <si>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</si>
  <si>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</si>
  <si>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</si>
  <si>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</si>
  <si>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</si>
  <si>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</si>
  <si>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</si>
  <si>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</si>
  <si>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</si>
  <si>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</si>
  <si>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</si>
  <si>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</si>
  <si>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</si>
  <si>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</si>
  <si>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</si>
  <si>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</si>
  <si>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</si>
  <si>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</si>
  <si>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</si>
  <si>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</si>
  <si>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</si>
  <si>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</si>
  <si>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</si>
  <si>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</si>
  <si>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</si>
  <si>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</si>
  <si>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</si>
  <si>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</si>
  <si>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</si>
  <si>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</si>
  <si>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</si>
  <si>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</si>
  <si>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</si>
  <si>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</si>
  <si>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</si>
  <si>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</si>
  <si>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</si>
  <si>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</si>
  <si>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</si>
  <si>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</si>
  <si>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</si>
  <si>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</si>
  <si>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</si>
  <si>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</si>
  <si>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</si>
  <si>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</si>
  <si>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</si>
  <si>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</si>
  <si>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</si>
  <si>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</si>
  <si>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</si>
  <si>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</si>
  <si>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</si>
  <si>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</si>
  <si>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</si>
  <si>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</si>
  <si>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</si>
  <si>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</si>
  <si>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</si>
  <si>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</si>
  <si>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</si>
  <si>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</si>
  <si>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</si>
  <si>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</si>
  <si>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</si>
  <si>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</si>
  <si>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</si>
  <si>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</si>
  <si>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</si>
  <si>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</si>
  <si>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</si>
  <si>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</si>
  <si>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</si>
  <si>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</si>
  <si>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</si>
  <si>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</si>
  <si>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</si>
  <si>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</si>
  <si>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</si>
  <si>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</si>
  <si>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</si>
  <si>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</si>
  <si>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</si>
  <si>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</si>
  <si>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</si>
  <si>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</si>
  <si>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</si>
  <si>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</si>
  <si>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</si>
  <si>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</si>
  <si>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</si>
  <si>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</si>
  <si>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</si>
  <si>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</si>
  <si>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</si>
  <si>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</si>
  <si>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</si>
  <si>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</si>
  <si>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</si>
  <si>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</si>
  <si>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</si>
  <si>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</si>
  <si>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</si>
  <si>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</si>
  <si>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</si>
  <si>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</si>
  <si>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</si>
  <si>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</si>
  <si>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</si>
  <si>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</si>
  <si>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</si>
  <si>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</si>
  <si>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</si>
  <si>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</si>
  <si>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</si>
  <si>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</si>
  <si>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</si>
  <si>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</si>
  <si>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</si>
  <si>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</si>
  <si>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</si>
  <si>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</si>
  <si>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</si>
  <si>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</si>
  <si>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</si>
  <si>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</si>
  <si>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</si>
  <si>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</si>
  <si>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</si>
  <si>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</si>
  <si>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</si>
  <si>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</si>
  <si>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</si>
  <si>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</si>
  <si>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</si>
  <si>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</si>
  <si>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</si>
  <si>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</si>
  <si>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</si>
  <si>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</si>
  <si>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</si>
  <si>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</si>
  <si>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</si>
  <si>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</si>
  <si>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</si>
  <si>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</si>
  <si>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</si>
  <si>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</si>
  <si>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</si>
  <si>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</si>
  <si>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</si>
  <si>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</si>
  <si>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</si>
  <si>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</si>
  <si>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</si>
  <si>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</si>
  <si>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</si>
  <si>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</si>
  <si>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</si>
  <si>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</si>
  <si>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</si>
  <si>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</si>
  <si>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</si>
  <si>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</si>
  <si>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</si>
  <si>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</si>
  <si>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</si>
  <si>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</si>
  <si>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</si>
  <si>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</si>
  <si>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</si>
  <si>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</si>
  <si>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</si>
  <si>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</si>
  <si>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</si>
  <si>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</si>
  <si>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</si>
  <si>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</si>
  <si>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</si>
  <si>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</si>
  <si>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</si>
  <si>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</si>
  <si>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</si>
  <si>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</si>
  <si>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</si>
  <si>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</si>
  <si>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</si>
  <si>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</si>
  <si>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</si>
  <si>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</si>
  <si>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</si>
  <si>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</si>
  <si>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</si>
  <si>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</si>
  <si>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</si>
  <si>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</si>
  <si>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</si>
  <si>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</si>
  <si>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</si>
  <si>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</si>
  <si>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</si>
  <si>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</si>
  <si>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</si>
  <si>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</si>
  <si>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</si>
  <si>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</si>
  <si>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</si>
  <si>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</si>
  <si>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</si>
  <si>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</si>
  <si>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</si>
  <si>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</si>
  <si>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</si>
  <si>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</si>
  <si>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</si>
  <si>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</si>
  <si>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</si>
  <si>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</si>
  <si>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</si>
  <si>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</si>
  <si>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</si>
  <si>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</si>
  <si>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</si>
  <si>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</si>
  <si>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</si>
  <si>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</si>
  <si>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</si>
  <si>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</si>
  <si>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</si>
  <si>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</si>
  <si>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</si>
  <si>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</si>
  <si>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</si>
  <si>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</si>
  <si>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</si>
  <si>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</si>
  <si>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</si>
  <si>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</si>
  <si>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</si>
  <si>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</si>
  <si>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</si>
  <si>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</si>
  <si>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</si>
  <si>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</si>
  <si>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</si>
  <si>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</si>
  <si>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</si>
  <si>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</si>
  <si>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</si>
  <si>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</si>
  <si>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</si>
  <si>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</si>
  <si>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</si>
  <si>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</si>
  <si>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</si>
  <si>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</si>
  <si>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</si>
  <si>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</si>
  <si>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</si>
  <si>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</si>
  <si>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</si>
  <si>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</si>
  <si>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</si>
  <si>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</si>
  <si>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</si>
  <si>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</si>
  <si>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</si>
  <si>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</si>
  <si>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</si>
  <si>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</si>
  <si>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</si>
  <si>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</si>
  <si>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</si>
  <si>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</si>
  <si>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</si>
  <si>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</si>
  <si>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</si>
  <si>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</si>
  <si>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</si>
  <si>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</si>
  <si>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</si>
  <si>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</si>
  <si>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</si>
  <si>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</si>
  <si>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</si>
  <si>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</si>
  <si>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</si>
  <si>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</si>
  <si>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</si>
  <si>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</si>
  <si>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</si>
  <si>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</si>
  <si>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</si>
  <si>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</si>
  <si>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</si>
  <si>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</si>
  <si>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</si>
  <si>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</si>
  <si>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</si>
  <si>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</si>
  <si>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</si>
  <si>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</si>
  <si>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</si>
  <si>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</si>
  <si>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</si>
  <si>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</si>
  <si>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</si>
  <si>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</si>
  <si>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</si>
  <si>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</si>
  <si>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</si>
  <si>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</si>
  <si>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</si>
  <si>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</si>
  <si>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</si>
  <si>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</si>
  <si>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</si>
  <si>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</si>
  <si>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</si>
  <si>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</si>
  <si>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</si>
  <si>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</si>
  <si>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</si>
  <si>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</si>
  <si>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</si>
  <si>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</si>
  <si>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</si>
  <si>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</si>
  <si>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</si>
  <si>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</si>
  <si>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</si>
  <si>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</si>
  <si>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</si>
  <si>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</si>
  <si>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</si>
  <si>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</si>
  <si>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</si>
  <si>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</si>
  <si>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</si>
  <si>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</si>
  <si>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</si>
  <si>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</si>
  <si>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</si>
  <si>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</si>
  <si>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</si>
  <si>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</si>
  <si>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</si>
  <si>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</si>
  <si>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</si>
  <si>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</si>
  <si>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</si>
  <si>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</si>
  <si>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</si>
  <si>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</si>
  <si>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</si>
  <si>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</si>
  <si>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</si>
  <si>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</si>
  <si>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</si>
  <si>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</si>
  <si>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</si>
  <si>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</si>
  <si>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</si>
  <si>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</si>
  <si>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</si>
  <si>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</si>
  <si>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</si>
  <si>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</si>
  <si>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</si>
  <si>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</si>
  <si>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</si>
  <si>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</si>
  <si>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</si>
  <si>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</si>
  <si>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</si>
  <si>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</si>
  <si>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</si>
  <si>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</si>
  <si>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</si>
  <si>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</si>
  <si>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</si>
  <si>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</si>
  <si>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</si>
  <si>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</si>
  <si>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</si>
  <si>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</si>
  <si>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</si>
  <si>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</si>
  <si>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</si>
  <si>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</si>
  <si>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</si>
  <si>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</si>
  <si>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</si>
  <si>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</si>
  <si>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</si>
  <si>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</si>
  <si>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</si>
  <si>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</si>
  <si>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</si>
  <si>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</si>
  <si>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</si>
  <si>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</si>
  <si>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</si>
  <si>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</si>
  <si>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</si>
  <si>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</si>
  <si>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</si>
  <si>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</si>
  <si>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</si>
  <si>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</si>
  <si>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</si>
  <si>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</si>
  <si>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</si>
  <si>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</si>
  <si>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</si>
  <si>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</si>
  <si>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</si>
  <si>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</si>
  <si>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</si>
  <si>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</si>
  <si>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</si>
  <si>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</si>
  <si>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</si>
  <si>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</si>
  <si>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</si>
  <si>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</si>
  <si>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</si>
  <si>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</si>
  <si>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</si>
  <si>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</si>
  <si>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</si>
  <si>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</si>
  <si>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</si>
  <si>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</si>
  <si>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</si>
  <si>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</si>
  <si>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</si>
  <si>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</si>
  <si>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</si>
  <si>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</si>
  <si>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</si>
  <si>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</si>
  <si>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</si>
  <si>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</si>
  <si>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</si>
  <si>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</si>
  <si>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</si>
  <si>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</si>
  <si>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</si>
  <si>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</si>
  <si>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</si>
  <si>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</si>
  <si>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</si>
  <si>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</si>
  <si>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</si>
  <si>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</si>
  <si>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</si>
  <si>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</si>
  <si>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</si>
  <si>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</si>
  <si>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</si>
  <si>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</si>
  <si>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</si>
  <si>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</si>
  <si>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</si>
  <si>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</si>
  <si>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</si>
  <si>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</si>
  <si>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</si>
  <si>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</si>
  <si>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</si>
  <si>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</si>
  <si>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</si>
  <si>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</si>
  <si>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</si>
  <si>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</si>
  <si>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</si>
  <si>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</si>
  <si>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</si>
  <si>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</si>
  <si>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</si>
  <si>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</si>
  <si>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</si>
  <si>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</si>
  <si>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</si>
  <si>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</si>
  <si>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</si>
  <si>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</si>
  <si>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</si>
  <si>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</si>
  <si>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</si>
  <si>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</si>
  <si>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</si>
  <si>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</si>
  <si>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</si>
  <si>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</si>
  <si>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</si>
  <si>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</si>
  <si>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</si>
  <si>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</si>
  <si>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</si>
  <si>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</si>
  <si>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</si>
  <si>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</si>
  <si>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</si>
  <si>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</si>
  <si>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</si>
  <si>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</si>
  <si>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</si>
  <si>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</si>
  <si>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</si>
  <si>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</si>
  <si>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</si>
  <si>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</si>
  <si>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</si>
  <si>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</si>
  <si>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</si>
  <si>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</si>
  <si>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</si>
  <si>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</si>
  <si>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</si>
  <si>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</si>
  <si>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</si>
  <si>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</si>
  <si>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</si>
  <si>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</si>
  <si>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</si>
  <si>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</si>
  <si>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</si>
  <si>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</si>
  <si>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</si>
  <si>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</si>
  <si>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</si>
  <si>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</si>
  <si>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</si>
  <si>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</si>
  <si>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</si>
  <si>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</si>
  <si>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</si>
  <si>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</si>
  <si>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</si>
  <si>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</si>
  <si>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</si>
  <si>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</si>
  <si>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</si>
  <si>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</si>
  <si>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</si>
  <si>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</si>
  <si>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</si>
  <si>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</si>
  <si>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</si>
  <si>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</si>
  <si>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</si>
  <si>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</si>
  <si>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</si>
  <si>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</si>
  <si>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</si>
  <si>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</si>
  <si>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</si>
  <si>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</si>
  <si>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</si>
  <si>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</si>
  <si>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</si>
  <si>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</si>
  <si>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</si>
  <si>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</si>
  <si>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</si>
  <si>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</si>
  <si>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</si>
  <si>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</si>
  <si>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</si>
  <si>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</si>
  <si>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</si>
  <si>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</si>
  <si>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</si>
  <si>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</si>
  <si>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</si>
  <si>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</si>
  <si>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</si>
  <si>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</si>
  <si>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</si>
  <si>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</si>
  <si>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</si>
  <si>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</si>
  <si>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</si>
  <si>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</si>
  <si>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</si>
  <si>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</si>
  <si>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</si>
  <si>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</si>
  <si>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</si>
  <si>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</si>
  <si>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</si>
  <si>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</si>
  <si>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</si>
  <si>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</si>
  <si>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</si>
  <si>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</si>
  <si>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</si>
  <si>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</si>
  <si>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</si>
  <si>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</si>
  <si>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</si>
  <si>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</si>
  <si>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</si>
  <si>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</si>
  <si>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</si>
  <si>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</si>
  <si>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</si>
  <si>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</si>
  <si>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</si>
  <si>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</si>
  <si>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</si>
  <si>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</si>
  <si>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</si>
  <si>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</si>
  <si>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</si>
  <si>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</si>
  <si>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</si>
  <si>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</si>
  <si>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</si>
  <si>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</si>
  <si>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</si>
  <si>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</si>
  <si>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</si>
  <si>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</si>
  <si>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</si>
  <si>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</si>
  <si>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</si>
  <si>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</si>
  <si>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</si>
  <si>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</si>
  <si>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</si>
  <si>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</si>
  <si>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</si>
  <si>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</si>
  <si>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</si>
  <si>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</si>
  <si>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</si>
  <si>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</si>
  <si>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</si>
  <si>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</si>
  <si>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</si>
  <si>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</si>
  <si>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</si>
  <si>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</si>
  <si>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</si>
  <si>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</si>
  <si>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</si>
  <si>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</si>
  <si>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</si>
  <si>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</si>
  <si>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</si>
  <si>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</si>
  <si>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</si>
  <si>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</si>
  <si>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</si>
  <si>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</si>
  <si>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</si>
  <si>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</si>
  <si>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</si>
  <si>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</si>
  <si>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</si>
  <si>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</si>
  <si>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</si>
  <si>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</si>
  <si>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</si>
  <si>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</si>
  <si>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</si>
  <si>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</si>
  <si>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</si>
  <si>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</si>
  <si>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</si>
  <si>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</si>
  <si>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</si>
  <si>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</si>
  <si>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</si>
  <si>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</si>
  <si>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</si>
  <si>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</si>
  <si>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</si>
  <si>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</si>
  <si>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</si>
  <si>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</si>
  <si>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</si>
  <si>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</si>
  <si>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</si>
  <si>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</si>
  <si>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</si>
  <si>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</si>
  <si>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</si>
  <si>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</si>
  <si>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</si>
  <si>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</si>
  <si>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</si>
  <si>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</si>
  <si>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</si>
  <si>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</si>
  <si>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</si>
  <si>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</si>
  <si>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</si>
  <si>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</si>
  <si>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</si>
  <si>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</si>
  <si>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</si>
  <si>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</si>
  <si>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</si>
  <si>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</si>
  <si>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</si>
  <si>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</si>
  <si>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</si>
  <si>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</si>
  <si>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</si>
  <si>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</si>
  <si>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</si>
  <si>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</si>
  <si>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</si>
  <si>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</si>
  <si>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</si>
  <si>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</si>
  <si>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</si>
  <si>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</si>
  <si>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</si>
  <si>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</si>
  <si>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</si>
  <si>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</si>
  <si>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</si>
  <si>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</si>
  <si>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</si>
  <si>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</si>
  <si>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</si>
  <si>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</si>
  <si>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</si>
  <si>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</si>
  <si>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</si>
  <si>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</si>
  <si>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</si>
  <si>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</si>
  <si>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</si>
  <si>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</si>
  <si>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</si>
  <si>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</si>
  <si>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</si>
  <si>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</si>
  <si>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</si>
  <si>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</si>
  <si>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</si>
  <si>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</si>
  <si>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</si>
  <si>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</si>
  <si>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</si>
  <si>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</si>
  <si>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</si>
  <si>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</si>
  <si>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</si>
  <si>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</si>
  <si>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</si>
  <si>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</si>
  <si>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</si>
  <si>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</si>
  <si>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</si>
  <si>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</si>
  <si>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</si>
  <si>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</si>
  <si>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</si>
  <si>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</si>
  <si>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</si>
  <si>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</si>
  <si>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</si>
  <si>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</si>
  <si>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</si>
  <si>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</si>
  <si>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</si>
  <si>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</si>
  <si>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</si>
  <si>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</si>
  <si>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</si>
  <si>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</si>
  <si>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</si>
  <si>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</si>
  <si>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</si>
  <si>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</si>
  <si>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</si>
  <si>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</si>
  <si>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</si>
  <si>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</si>
  <si>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</si>
  <si>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</si>
  <si>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</si>
  <si>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</si>
  <si>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</si>
  <si>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</si>
  <si>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</si>
  <si>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</si>
  <si>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</si>
  <si>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</si>
  <si>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</si>
  <si>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</si>
  <si>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</si>
  <si>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</si>
  <si>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</si>
  <si>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</si>
  <si>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</si>
  <si>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</si>
  <si>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</si>
  <si>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</si>
  <si>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</si>
  <si>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</si>
  <si>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</si>
  <si>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</si>
  <si>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</si>
  <si>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</si>
  <si>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</si>
  <si>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</si>
  <si>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</si>
  <si>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</si>
  <si>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</si>
  <si>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</si>
  <si>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</si>
  <si>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</si>
  <si>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</si>
  <si>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</si>
  <si>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</si>
  <si>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</si>
  <si>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</si>
  <si>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</si>
  <si>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</si>
  <si>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</si>
  <si>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</si>
  <si>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</si>
  <si>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</si>
  <si>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</si>
  <si>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</si>
  <si>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</si>
  <si>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</si>
  <si>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</si>
  <si>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</si>
  <si>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</si>
  <si>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</si>
  <si>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</si>
  <si>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</si>
  <si>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</si>
  <si>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</si>
  <si>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</si>
  <si>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</si>
  <si>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</si>
  <si>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</si>
  <si>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</si>
  <si>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</si>
  <si>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</si>
  <si>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</si>
  <si>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</si>
  <si>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</si>
  <si>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</si>
  <si>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</si>
  <si>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</si>
  <si>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</si>
  <si>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</si>
  <si>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</si>
  <si>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</si>
  <si>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</si>
  <si>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</si>
  <si>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</si>
  <si>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</si>
  <si>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</si>
  <si>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</si>
  <si>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</si>
  <si>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</si>
  <si>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</si>
  <si>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</si>
  <si>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</si>
  <si>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</si>
  <si>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</si>
  <si>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</si>
  <si>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</si>
  <si>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</si>
  <si>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</si>
  <si>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</si>
  <si>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</si>
  <si>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</si>
  <si>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</si>
  <si>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</si>
  <si>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</si>
  <si>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</si>
  <si>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</si>
  <si>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</si>
  <si>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</si>
  <si>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</si>
  <si>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</si>
  <si>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</si>
  <si>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</si>
  <si>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</si>
  <si>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</si>
  <si>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</si>
  <si>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</si>
  <si>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</si>
  <si>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</si>
  <si>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</si>
  <si>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</si>
  <si>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</si>
  <si>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</si>
  <si>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</si>
  <si>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</si>
  <si>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</si>
  <si>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</si>
  <si>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</si>
  <si>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</si>
  <si>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</si>
  <si>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</si>
  <si>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</si>
  <si>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</si>
  <si>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</si>
  <si>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</si>
  <si>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</si>
  <si>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</si>
  <si>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</si>
  <si>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</si>
  <si>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</si>
  <si>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</si>
  <si>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</si>
  <si>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</si>
  <si>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</si>
  <si>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</si>
  <si>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</si>
  <si>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</si>
  <si>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</si>
  <si>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</si>
  <si>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</si>
  <si>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</si>
  <si>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</si>
  <si>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</si>
  <si>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</si>
  <si>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</si>
  <si>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</si>
  <si>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</si>
  <si>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</si>
  <si>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</si>
  <si>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</si>
  <si>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</si>
  <si>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</si>
  <si>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</si>
  <si>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</si>
  <si>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</si>
  <si>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</si>
  <si>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</si>
  <si>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</si>
  <si>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</si>
  <si>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</si>
  <si>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</si>
  <si>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</si>
  <si>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</si>
  <si>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</si>
  <si>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</si>
  <si>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</si>
  <si>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</si>
  <si>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</si>
  <si>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</si>
  <si>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</si>
  <si>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</si>
  <si>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</si>
  <si>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</si>
  <si>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</si>
  <si>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</si>
  <si>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</si>
  <si>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</si>
  <si>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</si>
  <si>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</si>
  <si>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</si>
  <si>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</si>
  <si>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</si>
  <si>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</si>
  <si>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</si>
  <si>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</si>
  <si>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</si>
  <si>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</si>
  <si>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</si>
  <si>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</si>
  <si>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</si>
  <si>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</si>
  <si>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</si>
  <si>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</si>
  <si>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</si>
  <si>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</si>
  <si>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</si>
  <si>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</si>
  <si>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</si>
  <si>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</si>
  <si>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</si>
  <si>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</si>
  <si>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</si>
  <si>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</si>
  <si>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</si>
  <si>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</si>
  <si>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</si>
  <si>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</si>
  <si>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</si>
  <si>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</si>
  <si>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</si>
  <si>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</si>
  <si>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</si>
  <si>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</si>
  <si>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</si>
  <si>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</si>
  <si>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</si>
  <si>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</si>
  <si>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</si>
  <si>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</si>
  <si>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</si>
  <si>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</si>
  <si>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</si>
  <si>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</si>
  <si>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</si>
  <si>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</si>
  <si>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</si>
  <si>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</si>
  <si>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</si>
  <si>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</si>
  <si>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</si>
  <si>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</si>
  <si>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</si>
  <si>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</si>
  <si>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</si>
  <si>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</si>
  <si>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</si>
  <si>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</si>
  <si>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</si>
  <si>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</si>
  <si>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</si>
  <si>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</si>
  <si>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</si>
  <si>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</si>
  <si>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</si>
  <si>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</si>
  <si>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</si>
  <si>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</si>
  <si>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</si>
  <si>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</si>
  <si>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</si>
  <si>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</si>
  <si>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</si>
  <si>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</si>
  <si>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</si>
  <si>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</si>
  <si>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</si>
  <si>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</si>
  <si>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</si>
  <si>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</si>
  <si>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</si>
  <si>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</si>
  <si>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</si>
  <si>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</si>
  <si>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</si>
  <si>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</si>
  <si>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</si>
  <si>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</si>
  <si>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</si>
  <si>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</si>
  <si>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</si>
  <si>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</si>
  <si>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</si>
  <si>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</si>
  <si>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</si>
  <si>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</si>
  <si>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</si>
  <si>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</si>
  <si>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</si>
  <si>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</si>
  <si>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</si>
  <si>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</si>
  <si>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</si>
  <si>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</si>
  <si>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</si>
  <si>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</si>
  <si>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</si>
  <si>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</si>
  <si>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</si>
  <si>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</si>
  <si>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</si>
  <si>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</si>
  <si>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</si>
  <si>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</si>
  <si>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</si>
  <si>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</si>
  <si>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</si>
  <si>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</si>
  <si>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</si>
  <si>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</si>
  <si>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</si>
  <si>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</si>
  <si>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</si>
  <si>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</si>
  <si>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</si>
  <si>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</si>
  <si>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</si>
  <si>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</si>
  <si>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</si>
  <si>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</si>
  <si>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</si>
  <si>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</si>
  <si>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</si>
  <si>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</si>
  <si>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</si>
  <si>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</si>
  <si>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</si>
  <si>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</si>
  <si>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</si>
  <si>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</si>
  <si>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</si>
  <si>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</si>
  <si>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</si>
  <si>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</si>
  <si>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</si>
  <si>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</si>
  <si>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</si>
  <si>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</si>
  <si>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</si>
  <si>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</si>
  <si>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</si>
  <si>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</si>
  <si>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</si>
  <si>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</si>
  <si>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</si>
  <si>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</si>
  <si>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</si>
  <si>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</si>
  <si>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</si>
  <si>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</si>
  <si>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</si>
  <si>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</si>
  <si>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</si>
  <si>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</si>
  <si>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</si>
  <si>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</si>
  <si>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</si>
  <si>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</si>
  <si>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</si>
  <si>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</si>
  <si>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</si>
  <si>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</si>
  <si>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</si>
  <si>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</si>
  <si>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</si>
  <si>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</si>
  <si>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</si>
  <si>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</si>
  <si>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</si>
  <si>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</si>
  <si>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</si>
  <si>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</si>
  <si>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</si>
  <si>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</si>
  <si>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</si>
  <si>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</si>
  <si>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</si>
  <si>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</si>
  <si>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</si>
  <si>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</si>
  <si>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</si>
  <si>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</si>
  <si>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</si>
  <si>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</si>
  <si>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</si>
  <si>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</si>
  <si>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</si>
  <si>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</si>
  <si>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</si>
  <si>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</si>
  <si>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</si>
  <si>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</si>
  <si>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</si>
  <si>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</si>
  <si>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</si>
  <si>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</si>
  <si>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</si>
  <si>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</si>
  <si>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</si>
  <si>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</si>
  <si>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</si>
  <si>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</si>
  <si>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</si>
  <si>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</si>
  <si>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</si>
  <si>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</si>
  <si>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</si>
  <si>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</si>
  <si>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</si>
  <si>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</si>
  <si>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</si>
  <si>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</si>
  <si>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</si>
  <si>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</si>
  <si>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</si>
  <si>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</si>
  <si>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</si>
  <si>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</si>
  <si>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</si>
  <si>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</si>
  <si>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</si>
  <si>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</si>
  <si>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</si>
  <si>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</si>
  <si>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</si>
  <si>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</si>
  <si>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</si>
  <si>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</si>
  <si>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</si>
  <si>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</si>
  <si>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</si>
  <si>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</si>
  <si>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</si>
  <si>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</si>
  <si>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</si>
  <si>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</si>
  <si>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</si>
  <si>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</si>
  <si>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</si>
  <si>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</si>
  <si>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</si>
  <si>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</si>
  <si>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</si>
  <si>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</si>
  <si>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</si>
  <si>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</si>
  <si>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</si>
  <si>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</si>
  <si>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</si>
  <si>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</si>
  <si>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</si>
  <si>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</si>
  <si>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</si>
  <si>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</si>
  <si>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</si>
  <si>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</si>
  <si>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</si>
  <si>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</si>
  <si>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</si>
  <si>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</si>
  <si>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</si>
  <si>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</si>
  <si>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</si>
  <si>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</si>
  <si>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</si>
  <si>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</si>
  <si>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</si>
  <si>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</si>
  <si>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</si>
  <si>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</si>
  <si>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</si>
  <si>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</si>
  <si>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</si>
  <si>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</si>
  <si>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</si>
  <si>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</si>
  <si>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</si>
  <si>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</si>
  <si>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</si>
  <si>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</si>
  <si>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</si>
  <si>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</si>
  <si>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</si>
  <si>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</si>
  <si>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</si>
  <si>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</si>
  <si>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</si>
  <si>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</si>
  <si>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</si>
  <si>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</si>
  <si>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</si>
  <si>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</si>
  <si>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</si>
  <si>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</si>
  <si>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</si>
  <si>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</si>
  <si>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</si>
  <si>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</si>
  <si>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</si>
  <si>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</si>
  <si>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</si>
  <si>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</si>
  <si>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</si>
  <si>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</si>
  <si>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</si>
  <si>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</si>
  <si>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</si>
  <si>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</si>
  <si>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</si>
  <si>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</si>
  <si>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</si>
  <si>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</si>
  <si>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</si>
  <si>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</si>
  <si>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</si>
  <si>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</si>
  <si>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</si>
  <si>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</si>
  <si>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</si>
  <si>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</si>
  <si>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</si>
  <si>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</si>
  <si>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</si>
  <si>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</si>
  <si>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</si>
  <si>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</si>
  <si>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</si>
  <si>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</si>
  <si>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</si>
  <si>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</si>
  <si>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</si>
  <si>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</si>
  <si>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</si>
  <si>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</si>
  <si>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</si>
  <si>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</si>
  <si>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</si>
  <si>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</si>
  <si>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</si>
  <si>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</si>
  <si>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</si>
  <si>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</si>
  <si>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</si>
  <si>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</si>
  <si>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</si>
  <si>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</si>
  <si>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</si>
  <si>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</si>
  <si>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</si>
  <si>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</si>
  <si>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</si>
  <si>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</si>
  <si>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</si>
  <si>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</si>
  <si>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</si>
  <si>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</si>
  <si>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</si>
  <si>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</si>
  <si>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</si>
  <si>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</si>
  <si>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</si>
  <si>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</si>
  <si>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</si>
  <si>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</si>
  <si>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</si>
  <si>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</si>
  <si>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</si>
  <si>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</si>
  <si>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</si>
  <si>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</si>
  <si>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</si>
  <si>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</si>
  <si>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</si>
  <si>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</si>
  <si>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</si>
  <si>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</si>
  <si>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</si>
  <si>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</si>
  <si>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</si>
  <si>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</si>
  <si>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</si>
  <si>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</si>
  <si>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</si>
  <si>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</si>
  <si>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</si>
  <si>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</si>
  <si>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</si>
  <si>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</si>
  <si>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</si>
  <si>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</si>
  <si>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</si>
  <si>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</si>
  <si>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</si>
  <si>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</si>
  <si>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</si>
  <si>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</si>
  <si>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</si>
  <si>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</si>
  <si>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</si>
  <si>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</si>
  <si>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</si>
  <si>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</si>
  <si>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</si>
  <si>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</si>
  <si>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</si>
  <si>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</si>
  <si>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</si>
  <si>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</si>
  <si>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</si>
  <si>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</si>
  <si>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</si>
  <si>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</si>
  <si>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</si>
  <si>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</si>
  <si>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</si>
  <si>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</si>
  <si>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</si>
  <si>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</si>
  <si>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</si>
  <si>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</si>
  <si>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</si>
  <si>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</si>
  <si>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</si>
  <si>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</si>
  <si>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</si>
  <si>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</si>
  <si>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</si>
  <si>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</si>
  <si>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</si>
  <si>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</si>
  <si>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</si>
  <si>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</si>
  <si>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</si>
  <si>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</si>
  <si>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</si>
  <si>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</si>
  <si>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</si>
  <si>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</si>
  <si>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</si>
  <si>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</si>
  <si>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</si>
  <si>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</si>
  <si>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</si>
  <si>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</si>
  <si>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</si>
  <si>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</si>
  <si>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</si>
  <si>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</si>
  <si>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</si>
  <si>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</si>
  <si>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</si>
  <si>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</si>
  <si>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</si>
  <si>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</si>
  <si>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</si>
  <si>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</si>
  <si>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</si>
  <si>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</si>
  <si>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</si>
  <si>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</si>
  <si>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</si>
  <si>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</si>
  <si>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</si>
  <si>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</si>
  <si>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</si>
  <si>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</si>
  <si>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</si>
  <si>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</si>
  <si>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</si>
  <si>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</si>
  <si>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</si>
  <si>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</si>
  <si>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</si>
  <si>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</si>
  <si>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</si>
  <si>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</si>
  <si>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</si>
  <si>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</si>
  <si>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</si>
  <si>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</si>
  <si>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</si>
  <si>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</si>
  <si>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</si>
  <si>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</si>
  <si>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</si>
  <si>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</si>
  <si>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</si>
  <si>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</si>
  <si>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</si>
  <si>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</si>
  <si>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</si>
  <si>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</si>
  <si>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</si>
  <si>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</si>
  <si>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</si>
  <si>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</si>
  <si>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</si>
  <si>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</si>
  <si>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</si>
  <si>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</si>
  <si>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</si>
  <si>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</si>
  <si>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</si>
  <si>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</si>
  <si>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</si>
  <si>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</si>
  <si>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</si>
  <si>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</si>
  <si>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</si>
  <si>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</si>
  <si>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</si>
  <si>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</si>
  <si>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</si>
  <si>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</si>
  <si>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</si>
  <si>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</si>
  <si>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</si>
  <si>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</si>
  <si>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</si>
  <si>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</si>
  <si>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</si>
  <si>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</si>
  <si>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</si>
  <si>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</si>
  <si>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</si>
  <si>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</si>
  <si>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</si>
  <si>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</si>
  <si>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</si>
  <si>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</si>
  <si>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</si>
  <si>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</si>
  <si>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</si>
  <si>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</si>
  <si>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</si>
  <si>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</si>
  <si>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</si>
  <si>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</si>
  <si>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</si>
  <si>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</si>
  <si>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</si>
  <si>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</si>
  <si>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</si>
  <si>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</si>
  <si>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</si>
  <si>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</si>
  <si>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</si>
  <si>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</si>
  <si>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</si>
  <si>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</si>
  <si>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</si>
  <si>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</si>
  <si>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</si>
  <si>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</si>
  <si>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</si>
  <si>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</si>
  <si>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</si>
  <si>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</si>
  <si>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</si>
  <si>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</si>
  <si>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</si>
  <si>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</si>
  <si>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</si>
  <si>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</si>
  <si>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</si>
  <si>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</si>
  <si>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</si>
  <si>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</si>
  <si>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</si>
  <si>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</si>
  <si>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</si>
  <si>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</si>
  <si>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</si>
  <si>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</si>
  <si>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</si>
  <si>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</si>
  <si>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</si>
  <si>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</si>
  <si>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</si>
  <si>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</si>
  <si>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</si>
  <si>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</si>
  <si>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</si>
  <si>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</si>
  <si>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</si>
  <si>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</si>
  <si>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</si>
  <si>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</si>
  <si>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</si>
  <si>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</si>
  <si>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</si>
  <si>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</si>
  <si>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</si>
  <si>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</si>
  <si>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</si>
  <si>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</si>
  <si>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</si>
  <si>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</si>
  <si>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</si>
  <si>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</si>
  <si>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</si>
  <si>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</si>
  <si>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</si>
  <si>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</si>
  <si>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</si>
  <si>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</si>
  <si>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</si>
  <si>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</si>
  <si>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</si>
  <si>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</si>
  <si>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</si>
  <si>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</si>
  <si>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</si>
  <si>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</si>
  <si>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</si>
  <si>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</si>
  <si>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</si>
  <si>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</si>
  <si>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</si>
  <si>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</si>
  <si>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</si>
  <si>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</si>
  <si>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</si>
  <si>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</si>
  <si>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</si>
  <si>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</si>
  <si>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</si>
  <si>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</si>
  <si>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</si>
  <si>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</si>
  <si>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</si>
  <si>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</si>
  <si>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</si>
  <si>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</si>
  <si>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</si>
  <si>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</si>
  <si>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</si>
  <si>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</si>
  <si>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</si>
  <si>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</si>
  <si>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</si>
  <si>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</si>
  <si>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</si>
  <si>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</si>
  <si>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</si>
  <si>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</si>
  <si>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</si>
  <si>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</si>
  <si>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</si>
  <si>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</si>
  <si>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</si>
  <si>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</si>
  <si>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</si>
  <si>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</si>
  <si>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</si>
  <si>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</si>
  <si>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</si>
  <si>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</si>
  <si>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</si>
  <si>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</si>
  <si>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</si>
  <si>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</si>
  <si>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</si>
  <si>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</si>
  <si>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</si>
  <si>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</si>
  <si>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</si>
  <si>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</si>
  <si>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</si>
  <si>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</si>
  <si>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</si>
  <si>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</si>
  <si>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</si>
  <si>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</si>
  <si>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</si>
  <si>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</si>
  <si>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</si>
  <si>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</si>
  <si>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</si>
  <si>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</si>
  <si>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</si>
  <si>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</si>
  <si>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</si>
  <si>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</si>
  <si>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</si>
  <si>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</si>
  <si>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</si>
  <si>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</si>
  <si>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</si>
  <si>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</si>
  <si>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</si>
  <si>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</si>
  <si>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</si>
  <si>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</si>
  <si>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</si>
  <si>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</si>
  <si>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</si>
  <si>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</si>
  <si>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</si>
  <si>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</si>
  <si>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</si>
  <si>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</si>
  <si>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</si>
  <si>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</si>
  <si>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</si>
  <si>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</si>
  <si>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</si>
  <si>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</si>
  <si>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</si>
  <si>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</si>
  <si>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</si>
  <si>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</si>
  <si>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</si>
  <si>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</si>
  <si>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</si>
  <si>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</si>
  <si>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</si>
  <si>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</si>
  <si>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</si>
  <si>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</si>
  <si>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</si>
  <si>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</si>
  <si>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</si>
  <si>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</si>
  <si>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</si>
  <si>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</si>
  <si>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</si>
  <si>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</si>
  <si>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</si>
  <si>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</si>
  <si>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</si>
  <si>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</si>
  <si>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</si>
  <si>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</si>
  <si>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</si>
  <si>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</si>
  <si>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</si>
  <si>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</si>
  <si>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</si>
  <si>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</si>
  <si>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</si>
  <si>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</si>
  <si>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</si>
  <si>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</si>
  <si>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</si>
  <si>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</si>
  <si>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</si>
  <si>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</si>
  <si>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</si>
  <si>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</si>
  <si>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</si>
  <si>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</si>
  <si>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</si>
  <si>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</si>
  <si>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</si>
  <si>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</si>
  <si>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</si>
  <si>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</si>
  <si>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</si>
  <si>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</si>
  <si>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</si>
  <si>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</si>
  <si>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</si>
  <si>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</si>
  <si>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</si>
  <si>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</si>
  <si>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</si>
  <si>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</si>
  <si>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</si>
  <si>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dr. Benjamin Price</t>
  </si>
  <si>
    <t>jeremy harris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</si>
  <si>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</si>
  <si>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</si>
  <si>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</si>
  <si>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</si>
  <si>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</si>
  <si>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</si>
  <si>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</si>
  <si>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</si>
  <si>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</si>
  <si>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</si>
  <si>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</si>
  <si>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</si>
  <si>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</si>
  <si>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</si>
  <si>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</si>
  <si>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</si>
  <si>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</si>
  <si>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</si>
  <si>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</si>
  <si>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</si>
  <si>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</si>
  <si>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</si>
  <si>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</si>
  <si>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</si>
  <si>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</si>
  <si>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</si>
  <si>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</si>
  <si>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</si>
  <si>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</si>
  <si>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</si>
  <si>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</si>
  <si>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</si>
  <si>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</si>
  <si>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</si>
  <si>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</si>
  <si>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</si>
  <si>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</si>
  <si>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</si>
  <si>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</si>
  <si>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</si>
  <si>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</si>
  <si>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</si>
  <si>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</si>
  <si>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</si>
  <si>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</si>
  <si>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</si>
  <si>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</si>
  <si>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</si>
  <si>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</si>
  <si>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</si>
  <si>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</si>
  <si>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</si>
  <si>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</si>
  <si>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</si>
  <si>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</si>
  <si>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</si>
  <si>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</si>
  <si>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</si>
  <si>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</si>
  <si>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</si>
  <si>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</si>
  <si>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</si>
  <si>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</si>
  <si>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</si>
  <si>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</si>
  <si>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</si>
  <si>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</si>
  <si>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</si>
  <si>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</si>
  <si>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</si>
  <si>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</si>
  <si>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</si>
  <si>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</si>
  <si>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</si>
  <si>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</si>
  <si>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</si>
  <si>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</si>
  <si>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</si>
  <si>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</si>
  <si>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</si>
  <si>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</si>
  <si>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</si>
  <si>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</si>
  <si>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</si>
  <si>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</si>
  <si>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</si>
  <si>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</si>
  <si>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</si>
  <si>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</si>
  <si>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</si>
  <si>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</si>
  <si>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</si>
  <si>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</si>
  <si>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</si>
  <si>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</si>
  <si>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</si>
  <si>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</si>
  <si>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</si>
  <si>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</si>
  <si>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</si>
  <si>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</si>
  <si>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</si>
  <si>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</si>
  <si>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</si>
  <si>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</si>
  <si>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</si>
  <si>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</si>
  <si>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</si>
  <si>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</si>
  <si>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</si>
  <si>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</si>
  <si>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</si>
  <si>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</si>
  <si>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</si>
  <si>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</si>
  <si>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</si>
  <si>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</si>
  <si>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</si>
  <si>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</si>
  <si>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</si>
  <si>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</si>
  <si>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</si>
  <si>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</si>
  <si>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Standard</t>
  </si>
  <si>
    <t>Row Labels</t>
  </si>
  <si>
    <t>Grand Total</t>
  </si>
  <si>
    <t>laura green</t>
  </si>
  <si>
    <t>paul fox</t>
  </si>
  <si>
    <t xml:space="preserve">sheena bonilla  </t>
  </si>
  <si>
    <t>Senior</t>
  </si>
  <si>
    <t>Young</t>
  </si>
  <si>
    <t>Customer ID</t>
  </si>
  <si>
    <t>SALE8</t>
  </si>
  <si>
    <t>SALE15</t>
  </si>
  <si>
    <t>SALE19</t>
  </si>
  <si>
    <t>SALE26</t>
  </si>
  <si>
    <t>SALE29</t>
  </si>
  <si>
    <t>SALE34</t>
  </si>
  <si>
    <t>SALE43</t>
  </si>
  <si>
    <t>SALE52</t>
  </si>
  <si>
    <t>SALE58</t>
  </si>
  <si>
    <t>SALE64</t>
  </si>
  <si>
    <t>SALE70</t>
  </si>
  <si>
    <t>SALE84</t>
  </si>
  <si>
    <t>SALE94</t>
  </si>
  <si>
    <t>SALE259</t>
  </si>
  <si>
    <t>SALE268</t>
  </si>
  <si>
    <t>Age Group</t>
  </si>
  <si>
    <t>Customer_Name</t>
  </si>
  <si>
    <t>Product_Category</t>
  </si>
  <si>
    <t>Sum Formula used to CalculateTotyal Amount</t>
  </si>
  <si>
    <t>Column Labels</t>
  </si>
  <si>
    <t>Sum of Unit_Price</t>
  </si>
  <si>
    <t>Middle-Aged</t>
  </si>
  <si>
    <t>Count of Loyalty_Level</t>
  </si>
  <si>
    <t>Sum of Discount</t>
  </si>
  <si>
    <t>Count of Sales_ID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</si>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</sst>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5" fontId="0" fillId="0" borderId="0" xfId="0" applyNumberFormat="1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E3E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[Ecommerce_Sales_Dataset_updated.xlsx]Sheet4!PivotTable3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Sheet4!$B$5:$B$20</c:f>
              <c:numCache>
                <c:formatCode>General</c:formatCode>
                <c:ptCount val="10"/>
                <c:pt idx="0">
                  <c:v>25</c:v>
                </c:pt>
                <c:pt idx="1">
                  <c:v>31</c:v>
                </c:pt>
                <c:pt idx="2">
                  <c:v>31</c:v>
                </c:pt>
                <c:pt idx="3">
                  <c:v>21</c:v>
                </c:pt>
                <c:pt idx="4">
                  <c:v>32</c:v>
                </c:pt>
                <c:pt idx="5">
                  <c:v>27</c:v>
                </c:pt>
                <c:pt idx="6">
                  <c:v>16</c:v>
                </c:pt>
                <c:pt idx="7">
                  <c:v>27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8-44ED-B5DC-8720729C8903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Sheet4!$C$5:$C$20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15</c:v>
                </c:pt>
                <c:pt idx="4">
                  <c:v>29</c:v>
                </c:pt>
                <c:pt idx="5">
                  <c:v>23</c:v>
                </c:pt>
                <c:pt idx="6">
                  <c:v>17</c:v>
                </c:pt>
                <c:pt idx="7">
                  <c:v>15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8-44ED-B5DC-8720729C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436112"/>
        <c:axId val="816460112"/>
      </c:barChart>
      <c:lineChart>
        <c:grouping val="standard"/>
        <c:varyColors val="0"/>
        <c:ser>
          <c:idx val="2"/>
          <c:order val="2"/>
          <c:tx>
            <c:strRef>
              <c:f>Sheet4!$D$3:$D$4</c:f>
              <c:strCache>
                <c:ptCount val="1"/>
                <c:pt idx="0">
                  <c:v>Young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Sheet4!$D$5:$D$20</c:f>
              <c:numCache>
                <c:formatCode>General</c:formatCode>
                <c:ptCount val="10"/>
                <c:pt idx="0">
                  <c:v>16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21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8-44ED-B5DC-8720729C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436112"/>
        <c:axId val="816460112"/>
      </c:lineChart>
      <c:catAx>
        <c:axId val="81643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0112"/>
        <c:auto val="1"/>
        <c:lblAlgn val="ctr"/>
        <c:lblOffset val="100"/>
        <c:noMultiLvlLbl val="0"/>
      </c:catAx>
      <c:valAx>
        <c:axId val="8164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3611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[Ecommerce_Sales_Dataset_updated.xlsx]Sheet6!PivotTable8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Sheet6!$B$5:$B$7</c:f>
              <c:numCache>
                <c:formatCode>General</c:formatCode>
                <c:ptCount val="2"/>
                <c:pt idx="0">
                  <c:v>4251</c:v>
                </c:pt>
                <c:pt idx="1">
                  <c:v>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4-40EC-AB28-8AF5FBC195A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Sheet6!$C$5:$C$7</c:f>
              <c:numCache>
                <c:formatCode>General</c:formatCode>
                <c:ptCount val="2"/>
                <c:pt idx="0">
                  <c:v>5003</c:v>
                </c:pt>
                <c:pt idx="1">
                  <c:v>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4-40EC-AB28-8AF5FBC195A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Sheet6!$D$5:$D$7</c:f>
              <c:numCache>
                <c:formatCode>General</c:formatCode>
                <c:ptCount val="2"/>
                <c:pt idx="0">
                  <c:v>1712</c:v>
                </c:pt>
                <c:pt idx="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4-40EC-AB28-8AF5FBC19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460592"/>
        <c:axId val="816463952"/>
      </c:barChart>
      <c:catAx>
        <c:axId val="81646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3952"/>
        <c:crosses val="autoZero"/>
        <c:auto val="1"/>
        <c:lblAlgn val="ctr"/>
        <c:lblOffset val="100"/>
        <c:noMultiLvlLbl val="0"/>
      </c:catAx>
      <c:valAx>
        <c:axId val="8164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[Ecommerce_Sales_Dataset_updated.xlsx]PIVOT_Product &amp; Sales Facts!PivotTable2</c:name>
    <c:fmtId val="1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'PIVOT_Product &amp; Sales Facts'!$B$3:$B$4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'PIVOT_Product &amp; Sales Facts'!$A$5:$A$10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'PIVOT_Product &amp; Sales Facts'!$B$5:$B$10</c:f>
              <c:numCache>
                <c:formatCode>General</c:formatCode>
                <c:ptCount val="5"/>
                <c:pt idx="0">
                  <c:v>50392.659999999982</c:v>
                </c:pt>
                <c:pt idx="1">
                  <c:v>55223.139999999992</c:v>
                </c:pt>
                <c:pt idx="2">
                  <c:v>78406.089999999982</c:v>
                </c:pt>
                <c:pt idx="3">
                  <c:v>58449.920000000013</c:v>
                </c:pt>
                <c:pt idx="4">
                  <c:v>86302.06000000007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B-48A3-A8BB-9DDE040D20BA}"/>
            </c:ext>
          </c:extLst>
        </c:ser>
        <c:ser>
          <c:idx val="1"/>
          <c:order val="1"/>
          <c:tx>
            <c:strRef>
              <c:f>'PIVOT_Product &amp; Sales Facts'!$C$3:$C$4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'PIVOT_Product &amp; Sales Facts'!$A$5:$A$10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'PIVOT_Product &amp; Sales Facts'!$C$5:$C$10</c:f>
              <c:numCache>
                <c:formatCode>General</c:formatCode>
                <c:ptCount val="5"/>
                <c:pt idx="0">
                  <c:v>60486.469999999979</c:v>
                </c:pt>
                <c:pt idx="1">
                  <c:v>54923.930000000015</c:v>
                </c:pt>
                <c:pt idx="2">
                  <c:v>82187.270000000019</c:v>
                </c:pt>
                <c:pt idx="3">
                  <c:v>52400.47</c:v>
                </c:pt>
                <c:pt idx="4">
                  <c:v>81224.509999999995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B-48A3-A8BB-9DDE040D20BA}"/>
            </c:ext>
          </c:extLst>
        </c:ser>
        <c:ser>
          <c:idx val="2"/>
          <c:order val="2"/>
          <c:tx>
            <c:strRef>
              <c:f>'PIVOT_Product &amp; Sales Facts'!$D$3:$D$4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'PIVOT_Product &amp; Sales Facts'!$A$5:$A$10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'PIVOT_Product &amp; Sales Facts'!$D$5:$D$10</c:f>
              <c:numCache>
                <c:formatCode>General</c:formatCode>
                <c:ptCount val="5"/>
                <c:pt idx="0">
                  <c:v>56349.639999999985</c:v>
                </c:pt>
                <c:pt idx="1">
                  <c:v>57546.61</c:v>
                </c:pt>
                <c:pt idx="2">
                  <c:v>90103.459999999977</c:v>
                </c:pt>
                <c:pt idx="3">
                  <c:v>70023.62999999999</c:v>
                </c:pt>
                <c:pt idx="4">
                  <c:v>85740.030000000057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B-48A3-A8BB-9DDE040D20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6442832"/>
        <c:axId val="816450512"/>
      </c:barChart>
      <c:catAx>
        <c:axId val="81644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50512"/>
        <c:crosses val="autoZero"/>
        <c:auto val="1"/>
        <c:lblAlgn val="ctr"/>
        <c:lblOffset val="100"/>
        <c:noMultiLvlLbl val="0"/>
      </c:catAx>
      <c:valAx>
        <c:axId val="816450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[Ecommerce_Sales_Dataset_updated.xlsx]Sheet4!PivotTable3</c:name>
    <c:fmtId val="3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Middle-Aged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Sheet4!$B$5:$B$20</c:f>
              <c:numCache>
                <c:formatCode>General</c:formatCode>
                <c:ptCount val="10"/>
                <c:pt idx="0">
                  <c:v>25</c:v>
                </c:pt>
                <c:pt idx="1">
                  <c:v>31</c:v>
                </c:pt>
                <c:pt idx="2">
                  <c:v>31</c:v>
                </c:pt>
                <c:pt idx="3">
                  <c:v>21</c:v>
                </c:pt>
                <c:pt idx="4">
                  <c:v>32</c:v>
                </c:pt>
                <c:pt idx="5">
                  <c:v>27</c:v>
                </c:pt>
                <c:pt idx="6">
                  <c:v>16</c:v>
                </c:pt>
                <c:pt idx="7">
                  <c:v>27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A-460E-9D2D-19E42405E73F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Senior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Sheet4!$C$5:$C$20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15</c:v>
                </c:pt>
                <c:pt idx="4">
                  <c:v>29</c:v>
                </c:pt>
                <c:pt idx="5">
                  <c:v>23</c:v>
                </c:pt>
                <c:pt idx="6">
                  <c:v>17</c:v>
                </c:pt>
                <c:pt idx="7">
                  <c:v>15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A-460E-9D2D-19E42405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16436112"/>
        <c:axId val="816460112"/>
      </c:barChart>
      <c:lineChart>
        <c:grouping val="standard"/>
        <c:varyColors val="0"/>
        <c:ser>
          <c:idx val="2"/>
          <c:order val="2"/>
          <c:tx>
            <c:strRef>
              <c:f>Sheet4!$D$3:$D$4</c:f>
              <c:strCache>
                <c:ptCount val="1"/>
                <c:pt idx="0">
                  <c:v>Young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Sheet4!$A$5:$A$20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Standard</c:v>
                  </c:pt>
                </c:lvl>
              </c:multiLvlStrCache>
            </c:multiLvlStrRef>
          </c:cat>
          <c:val>
            <c:numRef>
              <c:f>Sheet4!$D$5:$D$20</c:f>
              <c:numCache>
                <c:formatCode>General</c:formatCode>
                <c:ptCount val="10"/>
                <c:pt idx="0">
                  <c:v>16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21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A-460E-9D2D-19E42405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436112"/>
        <c:axId val="816460112"/>
      </c:lineChart>
      <c:catAx>
        <c:axId val="81643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0112"/>
        <c:crosses val="autoZero"/>
        <c:auto val="1"/>
        <c:lblAlgn val="ctr"/>
        <c:lblOffset val="100"/>
        <c:noMultiLvlLbl val="0"/>
      </c:catAx>
      <c:valAx>
        <c:axId val="8164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3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[Ecommerce_Sales_Dataset_updated.xlsx]Sheet5!PivotTable5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1B-4BFA-8CD0-A2F3EC017E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1B-4BFA-8CD0-A2F3EC017E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1B-4BFA-8CD0-A2F3EC017E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97.620000000000076</c:v>
                </c:pt>
                <c:pt idx="1">
                  <c:v>96.329999999999984</c:v>
                </c:pt>
                <c:pt idx="2">
                  <c:v>100.46000000000009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1B-4BFA-8CD0-A2F3EC017E1B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Unit_Price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31B-4BFA-8CD0-A2F3EC017E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31B-4BFA-8CD0-A2F3EC017E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31B-4BFA-8CD0-A2F3EC017E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328773.87000000023</c:v>
                </c:pt>
                <c:pt idx="1">
                  <c:v>331222.65000000008</c:v>
                </c:pt>
                <c:pt idx="2">
                  <c:v>359763.36999999965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31B-4BFA-8CD0-A2F3EC017E1B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Count of Sales_ID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31B-4BFA-8CD0-A2F3EC017E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31B-4BFA-8CD0-A2F3EC017E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31B-4BFA-8CD0-A2F3EC017E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Sheet5!$D$4:$D$7</c:f>
              <c:numCache>
                <c:formatCode>General</c:formatCode>
                <c:ptCount val="3"/>
                <c:pt idx="0">
                  <c:v>656</c:v>
                </c:pt>
                <c:pt idx="1">
                  <c:v>639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31B-4BFA-8CD0-A2F3EC017E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662938105891127"/>
          <c:y val="0.32623869932925054"/>
          <c:w val="0.14541387024608501"/>
          <c:h val="0.301642971711869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[Ecommerce_Sales_Dataset_updated.xlsx]Sheet6!PivotTable8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112282856107686E-2"/>
          <c:y val="0.14249781277340332"/>
          <c:w val="0.7125906811701224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Middle-Aged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Sheet6!$B$5:$B$7</c:f>
              <c:numCache>
                <c:formatCode>General</c:formatCode>
                <c:ptCount val="2"/>
                <c:pt idx="0">
                  <c:v>4251</c:v>
                </c:pt>
                <c:pt idx="1">
                  <c:v>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CAB-87A8-2C85D3DA9430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Sheet6!$C$5:$C$7</c:f>
              <c:numCache>
                <c:formatCode>General</c:formatCode>
                <c:ptCount val="2"/>
                <c:pt idx="0">
                  <c:v>5003</c:v>
                </c:pt>
                <c:pt idx="1">
                  <c:v>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CAB-87A8-2C85D3DA9430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Sheet6!$D$5:$D$7</c:f>
              <c:numCache>
                <c:formatCode>General</c:formatCode>
                <c:ptCount val="2"/>
                <c:pt idx="0">
                  <c:v>1712</c:v>
                </c:pt>
                <c:pt idx="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C-4CAB-87A8-2C85D3DA94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6460592"/>
        <c:axId val="816463952"/>
      </c:barChart>
      <c:catAx>
        <c:axId val="81646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3952"/>
        <c:crosses val="autoZero"/>
        <c:auto val="1"/>
        <c:lblAlgn val="ctr"/>
        <c:lblOffset val="100"/>
        <c:noMultiLvlLbl val="0"/>
      </c:catAx>
      <c:valAx>
        <c:axId val="8164639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646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14623764758599"/>
          <c:y val="0.34454870224555267"/>
          <c:w val="0.11338555019927041"/>
          <c:h val="0.301642971711869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8</xdr:row>
      <xdr:rowOff>133350</xdr:rowOff>
    </xdr:from>
    <xdr:to>
      <xdr:col>11</xdr:col>
      <xdr:colOff>91440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55B47-BBBC-11A2-DCEB-6621A5C14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8</xdr:row>
      <xdr:rowOff>133350</xdr:rowOff>
    </xdr:from>
    <xdr:to>
      <xdr:col>12</xdr:col>
      <xdr:colOff>365760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F506A-511F-3795-D2DF-0D202A0E8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22860</xdr:rowOff>
    </xdr:from>
    <xdr:to>
      <xdr:col>11</xdr:col>
      <xdr:colOff>121920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617E2-7B68-4B65-8C4E-1CF59436B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121920</xdr:colOff>
      <xdr:row>0</xdr:row>
      <xdr:rowOff>22860</xdr:rowOff>
    </xdr:from>
    <xdr:to>
      <xdr:col>23</xdr:col>
      <xdr:colOff>45720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EB6EAD-1B00-4D34-B268-0DAEF6184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15</xdr:row>
      <xdr:rowOff>30480</xdr:rowOff>
    </xdr:from>
    <xdr:to>
      <xdr:col>11</xdr:col>
      <xdr:colOff>129540</xdr:colOff>
      <xdr:row>30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0496E-52B2-45C4-96B7-5D242ABEA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121920</xdr:colOff>
      <xdr:row>15</xdr:row>
      <xdr:rowOff>22860</xdr:rowOff>
    </xdr:from>
    <xdr:to>
      <xdr:col>23</xdr:col>
      <xdr:colOff>38100</xdr:colOff>
      <xdr:row>30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E6D839-7E7E-4B86-B5ED-80A2E8EFB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AIB AHMED" refreshedDate="46162.029259374998" createdVersion="8" refreshedVersion="8" minRefreshableVersion="3" recordCount="1986" xr:uid="{636D78BF-0C1D-4E47-82E1-F99D99D8836B}">
  <cacheSource type="worksheet">
    <worksheetSource ref="A1:L1987" sheet="Combine Products &amp; Sales Facts"/>
  </cacheSource>
  <cacheFields count="12">
    <cacheField name="Sales_ID" numFmtId="0">
      <sharedItems containsBlank="1"/>
    </cacheField>
    <cacheField name="Order_Date" numFmtId="0">
      <sharedItems containsNonDate="0" containsDate="1" containsString="0" containsBlank="1" minDate="2023-10-14T00:00:00" maxDate="2025-10-14T00:00:00"/>
    </cacheField>
    <cacheField name="Customer_ID" numFmtId="0">
      <sharedItems containsBlank="1"/>
    </cacheField>
    <cacheField name="Customer_Name" numFmtId="0">
      <sharedItems containsBlank="1"/>
    </cacheField>
    <cacheField name="Product_ID" numFmtId="0">
      <sharedItems containsBlank="1"/>
    </cacheField>
    <cacheField name="Product_Category" numFmtId="0">
      <sharedItems containsBlank="1" count="6">
        <s v="Sports"/>
        <s v="Electronics"/>
        <s v="Beauty"/>
        <s v="Home"/>
        <s v="Clothing"/>
        <m/>
      </sharedItems>
    </cacheField>
    <cacheField name="Store_ID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unt="4">
        <s v="Credit Card"/>
        <s v="PayPal"/>
        <s v="COD"/>
        <s v="Sum Formula used to CalculateTotyal Amount"/>
      </sharedItems>
    </cacheField>
    <cacheField name="Total_Amount" numFmtId="0">
      <sharedItems containsSemiMixedTypes="0" containsString="0" containsNumber="1" minValue="18.459" maxValue="2155273.7476000008" count="1986">
        <n v="198.41640000000001"/>
        <n v="228.7893"/>
        <n v="2742.15"/>
        <n v="774.0684"/>
        <n v="1833.4380000000001"/>
        <n v="357.23430000000002"/>
        <n v="1335.027"/>
        <n v="1054.5612000000001"/>
        <n v="1344.6818000000001"/>
        <n v="259.1259"/>
        <n v="952.57439999999997"/>
        <n v="2552.5367999999999"/>
        <n v="443.66"/>
        <n v="1145.8548000000001"/>
        <n v="677.97"/>
        <n v="774.14260000000002"/>
        <n v="838.84500000000003"/>
        <n v="2159.4276"/>
        <n v="459.85680000000002"/>
        <n v="2850.1122"/>
        <n v="661.73760000000004"/>
        <n v="216.50399999999999"/>
        <n v="2933.3224"/>
        <n v="2030.5700999999999"/>
        <n v="132.09379999999999"/>
        <n v="373.56060000000002"/>
        <n v="288.98239999999998"/>
        <n v="1154.8943999999999"/>
        <n v="1219.4269999999999"/>
        <n v="354.32639999999998"/>
        <n v="1409.9903999999999"/>
        <n v="266.65440000000001"/>
        <n v="2764.8031999999998"/>
        <n v="1105.3432"/>
        <n v="1625.3796"/>
        <n v="945.21720000000016"/>
        <n v="1537.452"/>
        <n v="322.3528"/>
        <n v="1050.5039999999999"/>
        <n v="393.5686"/>
        <n v="116.77079999999999"/>
        <n v="372.33359999999999"/>
        <n v="707.77440000000013"/>
        <n v="190.83600000000001"/>
        <n v="169.9854"/>
        <n v="783.30449999999996"/>
        <n v="1592.4947999999999"/>
        <n v="783.59400000000005"/>
        <n v="1567.356"/>
        <n v="979.43039999999996"/>
        <n v="767.17410000000007"/>
        <n v="180.93530000000001"/>
        <n v="307.43439999999998"/>
        <n v="412.66719999999998"/>
        <n v="230.60300000000001"/>
        <n v="1301.9864"/>
        <n v="2670.74"/>
        <n v="791.33600000000001"/>
        <n v="204.93440000000001"/>
        <n v="1706.1695999999999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2176.2280000000001"/>
        <n v="3159.0612000000001"/>
        <n v="1194.7392"/>
        <n v="1481.0512000000001"/>
        <n v="2407.2647999999999"/>
        <n v="388.5"/>
        <n v="2337.75"/>
        <n v="692.27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  <n v="2155273.74760000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AIB AHMED" refreshedDate="46162.034281481479" createdVersion="8" refreshedVersion="8" minRefreshableVersion="3" recordCount="500" xr:uid="{5509BD9F-5363-446F-97EB-F16979FD7C54}">
  <cacheSource type="worksheet">
    <worksheetSource ref="A1:I501" sheet="Customer Details"/>
  </cacheSource>
  <cacheFields count="9">
    <cacheField name="Customer ID" numFmtId="49">
      <sharedItems/>
    </cacheField>
    <cacheField name="Name" numFmtId="14">
      <sharedItems/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3">
        <s v="Senior"/>
        <s v="Young"/>
        <s v="Middle-Aged"/>
      </sharedItems>
    </cacheField>
    <cacheField name="Gender" numFmtId="0">
      <sharedItems count="2">
        <s v="Male"/>
        <s v="Female"/>
      </sharedItems>
    </cacheField>
    <cacheField name="City" numFmtId="0">
      <sharedItems count="483">
        <s v="Donaldton"/>
        <s v="Phillipsmouth"/>
        <s v="Kylebury"/>
        <s v="Thomastown"/>
        <s v="Nicholasshire"/>
        <s v="East Amandamouth"/>
        <s v="Deborahborough"/>
        <s v="West Pamelafurt"/>
        <s v="Maynardton"/>
        <s v="Melissashire"/>
        <s v="Port Michaelburgh"/>
        <s v="East Krista"/>
        <s v="North Kathryn"/>
        <s v="New Becky"/>
        <s v="Lake Kristamouth"/>
        <s v="Lawsonhaven"/>
        <s v="South Christopher"/>
        <s v="Brandonville"/>
        <s v="South William"/>
        <s v="Gonzalezfort"/>
        <s v="Lake Shaneburgh"/>
        <s v="Smithburgh"/>
        <s v="Michaelton"/>
        <s v="Molinabury"/>
        <s v="Rogerschester"/>
        <s v="Vasqueztown"/>
        <s v="East Michellemouth"/>
        <s v="Mollyshire"/>
        <s v="New David"/>
        <s v="East Jennifer"/>
        <s v="Amybury"/>
        <s v="Johnsonville"/>
        <s v="Fostermouth"/>
        <s v="Tristanton"/>
        <s v="West Richard"/>
        <s v="Robertberg"/>
        <s v="Luisfurt"/>
        <s v="Brendastad"/>
        <s v="Brownport"/>
        <s v="Darleneton"/>
        <s v="Williamsonland"/>
        <s v="Mooneyshire"/>
        <s v="Ryanburgh"/>
        <s v="South Michaelfort"/>
        <s v="Christianstad"/>
        <s v="North Johnview"/>
        <s v="Perezbury"/>
        <s v="Lake Roberthaven"/>
        <s v="Dawsonbury"/>
        <s v="New Amy"/>
        <s v="Gregoryview"/>
        <s v="New Julia"/>
        <s v="South Timtown"/>
        <s v="East Andrea"/>
        <s v="Christopherland"/>
        <s v="Edwardsfort"/>
        <s v="Deborahberg"/>
        <s v="Morrisbury"/>
        <s v="Snowmouth"/>
        <s v="New Kathrynland"/>
        <s v="Schmidtchester"/>
        <s v="Jennifermouth"/>
        <s v="Stevensonton"/>
        <s v="New Jesse"/>
        <s v="Port Kathrynhaven"/>
        <s v="Woodmouth"/>
        <s v="South Aaronside"/>
        <s v="Brendaburgh"/>
        <s v="West Johnchester"/>
        <s v="North Cynthiatown"/>
        <s v="Port Lisa"/>
        <s v="South Shaun"/>
        <s v="Olsonhaven"/>
        <s v="Sandrastad"/>
        <s v="Longport"/>
        <s v="Lake Barryfurt"/>
        <s v="Rodrigueztown"/>
        <s v="North Valeriemouth"/>
        <s v="North Scottport"/>
        <s v="Nicoleborough"/>
        <s v="New Sean"/>
        <s v="South David"/>
        <s v="Leburgh"/>
        <s v="Nicholastown"/>
        <s v="Garyberg"/>
        <s v="West Theodorechester"/>
        <s v="Austinfurt"/>
        <s v="East Jenna"/>
        <s v="Ashleystad"/>
        <s v="New Gabrielleville"/>
        <s v="West Cody"/>
        <s v="South Amandahaven"/>
        <s v="Lake Brandy"/>
        <s v="Port Travisstad"/>
        <s v="New Amyport"/>
        <s v="West Bobbyshire"/>
        <s v="Timothyburgh"/>
        <s v="Lake Thomas"/>
        <s v="Lake Kaylahaven"/>
        <s v="South Dustin"/>
        <s v="North Codyport"/>
        <s v="Singletonmouth"/>
        <s v="Port Joshuachester"/>
        <s v="West Lauren"/>
        <s v="South Jenniferville"/>
        <s v="Port Victoria"/>
        <s v="East Linda"/>
        <s v="North Justin"/>
        <s v="Webstermouth"/>
        <s v="Smithland"/>
        <s v="New Dawnton"/>
        <s v="Rodriguezmouth"/>
        <s v="Lake Michael"/>
        <s v="New William"/>
        <s v="East Donna"/>
        <s v="North Curtischester"/>
        <s v="North Davidport"/>
        <s v="North Katherine"/>
        <s v="New Jenniferburgh"/>
        <s v="North Edwardton"/>
        <s v="lake tylerfort"/>
        <s v="Lake Danielport"/>
        <s v="Kathrynport"/>
        <s v="North Sabrina"/>
        <s v="Wongberg"/>
        <s v="West Jameston"/>
        <s v="Benjaminton"/>
        <s v="South Nathan"/>
        <s v="East Ellen"/>
        <s v="Matthewbury"/>
        <s v="   jonesbury "/>
        <s v="Wigginsville"/>
        <s v="Taylorberg"/>
        <s v="West Stephenville"/>
        <s v="Parksfort"/>
        <s v="Gonzalezbury"/>
        <s v="New Jeffrey"/>
        <s v="North Johnbury"/>
        <s v="Port Travis"/>
        <s v="South Brooke"/>
        <s v="Port Denise"/>
        <s v="West Brandon"/>
        <s v="Dwaynemouth"/>
        <s v="North Anthonychester"/>
        <s v="Michaelfort"/>
        <s v="Chungmouth"/>
        <s v="Lake Nathanfort"/>
        <s v="New Brian"/>
        <s v="West Markhaven"/>
        <s v="Port Frankmouth"/>
        <s v="Lake Stevenfort"/>
        <s v="Jaredville"/>
        <s v="New Leahfurt"/>
        <s v="Owensview"/>
        <s v="Estradaside"/>
        <s v="East Peterbury"/>
        <s v="North Larryfurt"/>
        <s v="South Kevin"/>
        <s v="Floydton"/>
        <s v="New Juliemouth"/>
        <s v="Hessmouth"/>
        <s v="Palmerbury"/>
        <s v="North Matthew"/>
        <s v="Dominiquefort"/>
        <s v="Carolview"/>
        <s v="South Ashleyton"/>
        <s v="New Jasonmouth"/>
        <s v="Robertview"/>
        <s v="Josephmouth"/>
        <s v="New Joseph"/>
        <s v="Morrisburgh"/>
        <s v="Port Richard"/>
        <s v="Avilahaven"/>
        <s v="East Jessicaborough"/>
        <s v="Anabury"/>
        <s v="Butlerberg"/>
        <s v="West Daniel"/>
        <s v="Murphyfurt"/>
        <s v="East Davidmouth"/>
        <s v="New Brianchester"/>
        <s v="Hutchinsonville"/>
        <s v="Port James"/>
        <s v="Port Sherryview"/>
        <s v="North Kellyberg"/>
        <s v="East Justin"/>
        <s v="Lake Blaketon"/>
        <s v="Kingfort"/>
        <s v="Lake Howardberg"/>
        <s v="Amandaside"/>
        <s v="Johnsonshire"/>
        <s v="Lake Samanthafort"/>
        <s v="Port Amanda"/>
        <s v="Sarahmouth"/>
        <s v="Taraberg"/>
        <s v="West John"/>
        <s v="Frostmouth"/>
        <s v="North Briannamouth"/>
        <s v="South Jerry"/>
        <s v="New Logan"/>
        <s v="Clarkeside"/>
        <s v="Johnsonland"/>
        <s v="New Dianebury"/>
        <s v="Lake Danielleton"/>
        <s v="Brownshire"/>
        <s v="South Emily"/>
        <s v="Kathrynview"/>
        <s v="Lake Josephport"/>
        <s v="Matthewborough"/>
        <s v="Garzafort"/>
        <s v="Lyonsfort"/>
        <s v="West Markport"/>
        <s v="Danielstad"/>
        <s v="East Josephside"/>
        <s v="Morrismouth"/>
        <s v="North Christinemouth"/>
        <s v="Edwardland"/>
        <s v="Phillipschester   "/>
        <s v="    lake lisa"/>
        <s v="Maybury"/>
        <s v="East Crystalton"/>
        <s v="East jeremy"/>
        <s v="New Anthonyfurt"/>
        <s v="Bethanyton"/>
        <s v="Pollardton"/>
        <s v="Port Lisashire"/>
        <s v="Aaronmouth"/>
        <s v="Grahamstad"/>
        <s v="Tammyton"/>
        <s v="Clarkport"/>
        <s v="Lake Mark"/>
        <s v="South Angelaport"/>
        <s v="North Larryport"/>
        <s v="Susanstad"/>
        <s v="Port Krista"/>
        <s v="Zamoraborough"/>
        <s v="Heathfort"/>
        <s v="Dawsonchester"/>
        <s v="New Tina"/>
        <s v="North Nicholas"/>
        <s v="West Julia"/>
        <s v="Rodriguezton"/>
        <s v="South Regina"/>
        <s v="Mikehaven"/>
        <s v="Lake Timothy"/>
        <s v="Garciamouth"/>
        <s v="New Daniel"/>
        <s v="Port Coreyfort"/>
        <s v="Robinborough"/>
        <s v="New Maria"/>
        <s v="Masseyland"/>
        <s v="Jasonton"/>
        <s v="Lake Christopher"/>
        <s v="Karenmouth"/>
        <s v="East Richard"/>
        <s v="South Kathrynmouth"/>
        <s v="North Jonathon"/>
        <s v="Lake Saramouth"/>
        <s v="New Ana"/>
        <s v="Sallymouth"/>
        <s v="Grahamfurt"/>
        <s v="West Jamieport"/>
        <s v="South Gina"/>
        <s v="Ryanberg"/>
        <s v="Emilytown"/>
        <s v="Ramosmouth"/>
        <s v="North Stephanie"/>
        <s v="Welchview"/>
        <s v="North Roy"/>
        <s v="Edwardborough"/>
        <s v="North Austinport"/>
        <s v="Ericshire"/>
        <s v="Lake Nicole"/>
        <s v="Port Mariastad"/>
        <s v="Gilltown"/>
        <s v="Morrisville"/>
        <s v="North Joshualand"/>
        <s v="Spencermouth"/>
        <s v="Garciaborough"/>
        <s v="Patrickshire"/>
        <s v="North Robert"/>
        <s v="Port Tonyfort"/>
        <s v="Millerfort"/>
        <s v="North Joseside"/>
        <s v="North Brookestad"/>
        <s v="Sherimouth"/>
        <s v="West Beverlymouth"/>
        <s v="Danielland"/>
        <s v="North Daniel"/>
        <s v="North Michelleport"/>
        <s v="Lake Brett"/>
        <s v="New Joshuatown"/>
        <s v="West Robinmouth"/>
        <s v="Lake Melissashire"/>
        <s v="West Bruceburgh"/>
        <s v="Lake Charlotte"/>
        <s v="East Johntown"/>
        <s v="Port Jenniferton"/>
        <s v="West Joseph"/>
        <s v="New Nicholasstad"/>
        <s v="West Patriciaview"/>
        <s v="Sarahland"/>
        <s v="Randychester"/>
        <s v="Joelside"/>
        <s v="Port Edwardmouth"/>
        <s v="Brianchester"/>
        <s v="Brownburgh"/>
        <s v="Anitaland"/>
        <s v="Port Chad"/>
        <s v="Lake James"/>
        <s v="Richardsport"/>
        <s v="Monicaview"/>
        <s v="West Mathewside"/>
        <s v="South Darrenland"/>
        <s v="Lake Alice"/>
        <s v="North Nicole"/>
        <s v="Whiteport"/>
        <s v="South Zacharychester"/>
        <s v="East Matthew"/>
        <s v="Cindyton"/>
        <s v="Kellybury"/>
        <s v="Jessicaport"/>
        <s v="Tiffanyshire"/>
        <s v="South Jasontown"/>
        <s v="North Kathytown"/>
        <s v="New Paulstad"/>
        <s v="Johnsonbury"/>
        <s v="Donaldsontown"/>
        <s v="West Brendamouth"/>
        <s v="North Michaelborough"/>
        <s v="Ryanport"/>
        <s v="Hudsonfort"/>
        <s v="Stevensbury"/>
        <s v="Johntown"/>
        <s v="Lake Alyssaburgh"/>
        <s v="Amandaborough"/>
        <s v="Cartershire"/>
        <s v="West Victoriaborough"/>
        <s v="North Jonathan"/>
        <s v="Port Crystalberg"/>
        <s v="Peggystad"/>
        <s v="Shannonview"/>
        <s v="New Angiefurt"/>
        <s v="Lake Allisonborough"/>
        <s v="North Samuel"/>
        <s v="Port Saramouth"/>
        <s v="Westbury"/>
        <s v="Guerreroport"/>
        <s v="North Johnfurt"/>
        <s v="North Richard"/>
        <s v="Nealview"/>
        <s v="West Johnmouth"/>
        <s v="East Michaelton"/>
        <s v="Andersonside"/>
        <s v="New Jessechester"/>
        <s v="Melvinton"/>
        <s v="Murphytown"/>
        <s v="Lake Johnside"/>
        <s v="Kellyside"/>
        <s v="North Theresa"/>
        <s v="Kaufmanfurt"/>
        <s v="West Mathew"/>
        <s v="West Bruce"/>
        <s v="Millston"/>
        <s v="Port Crystal"/>
        <s v="Vincentside"/>
        <s v="Simpsonfort"/>
        <s v="Andersonburgh"/>
        <s v="Port Richardshire"/>
        <s v="Chambersberg"/>
        <s v="Nathanshire"/>
        <s v="Fischerborough"/>
        <s v="West Jeffreyburgh"/>
        <s v="South Cassandrachester"/>
        <s v="Andrewsland"/>
        <s v="Novakstad"/>
        <s v="Jennifertown"/>
        <s v="North Michael"/>
        <s v="Lake Brandontown"/>
        <s v="West Laura"/>
        <s v="New Dawn"/>
        <s v="Stevensshire"/>
        <s v="Joseland"/>
        <s v="Deniseberg"/>
        <s v="Dawnstad"/>
        <s v="Gutierrezstad"/>
        <s v="Stewartchester"/>
        <s v="Cannonberg"/>
        <s v="Lake Morganland"/>
        <s v="Parkerview"/>
        <s v="Cheyenneborough"/>
        <s v="New Edward"/>
        <s v="Bookertown"/>
        <s v="Leahmouth"/>
        <s v="Lake Lisaland"/>
        <s v="South Angela"/>
        <s v="Garciaview"/>
        <s v="North Michaelfurt"/>
        <s v="Ashleymouth"/>
        <s v="Port Joshuaville"/>
        <s v="Kathleenport"/>
        <s v="South Edwin"/>
        <s v="West Rebecca"/>
        <s v="Andrewsfurt"/>
        <s v="East Patriciafort"/>
        <s v="Kramerview"/>
        <s v="Marthaborough"/>
        <s v="Kimburgh"/>
        <s v="West Mario"/>
        <s v="Lake David"/>
        <s v="New Benjamin"/>
        <s v="East Amy"/>
        <s v="Aliciahaven"/>
        <s v="New Katherine"/>
        <s v="Lake Alexandra"/>
        <s v="Lake Monique"/>
        <s v="Aguilarland"/>
        <s v="South Robert"/>
        <s v="Hartmouth"/>
        <s v="Davidchester"/>
        <s v="Josephchester"/>
        <s v="South Andrewport"/>
        <s v="Phyllisport"/>
        <s v="Williamsberg"/>
        <s v="New Sarah"/>
        <s v="Wesleyhaven"/>
        <s v="South Michellebury"/>
        <s v="Amberburgh"/>
        <s v="Justinberg"/>
        <s v="Jonesstad"/>
        <s v="North Maryfort"/>
        <s v="New Donnabury"/>
        <s v="Jessicaland"/>
        <s v="Mcfarlandmouth"/>
        <s v="West Jorge"/>
        <s v="Paulside"/>
        <s v="Smithville"/>
        <s v="Port Hannahport"/>
        <s v="Lake Meganstad"/>
        <s v="New Laura"/>
        <s v="Lake Carolyn"/>
        <s v="East Yvette"/>
        <s v="South Barbara"/>
        <s v="Hubbardborough"/>
        <s v="Port Taylorberg"/>
        <s v="Brandontown"/>
        <s v="Hughesview"/>
        <s v="East Julie"/>
        <s v="Burkefurt"/>
        <s v="Port Anthony"/>
        <s v="Grayland"/>
        <s v="Hartmanside"/>
        <s v="Espinozaberg"/>
        <s v="Oneillfurt"/>
        <s v="Bergermouth"/>
        <s v="East Audrey"/>
        <s v="Kanebury"/>
        <s v="Mcdanielfurt"/>
        <s v="Tylermouth"/>
        <s v="Chambersfurt"/>
        <s v="East Christopherhaven"/>
        <s v="Anthonymouth"/>
        <s v="West Kelseyberg"/>
        <s v="West Sarah"/>
        <s v="New Jamesview"/>
        <s v="Robinchester"/>
        <s v="Kelseybury"/>
        <s v="West Tylerfort"/>
        <s v="East Rodney"/>
        <s v="West Markton"/>
        <s v="East Dillonview"/>
        <s v="Lake April"/>
        <s v="East Patriciastad"/>
        <s v="South Davidport"/>
        <s v="Lake Elizabethside"/>
        <s v="North Nataliemouth"/>
        <s v="Kellyberg"/>
        <s v="Port Carol"/>
        <s v="Port Cheryl"/>
        <s v="Bryanmouth"/>
        <s v="North Seanfurt"/>
        <s v="Port William"/>
        <s v="Snyderfurt"/>
        <s v="East Valerieview"/>
      </sharedItems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/>
    </cacheField>
    <cacheField name="Loyalty_Level" numFmtId="0">
      <sharedItems count="5">
        <s v="Standard"/>
        <s v="Platinum"/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AIB AHMED" refreshedDate="46162.039991782411" createdVersion="8" refreshedVersion="8" minRefreshableVersion="3" recordCount="1986" xr:uid="{C977B687-141E-4A68-AB6E-99512A7F78D7}">
  <cacheSource type="worksheet">
    <worksheetSource ref="A1:L1987" sheet="Combine Products &amp; Sales Facts"/>
  </cacheSource>
  <cacheFields count="12">
    <cacheField name="Sales_ID" numFmtId="0">
      <sharedItems containsBlank="1"/>
    </cacheField>
    <cacheField name="Order_Date" numFmtId="0">
      <sharedItems containsNonDate="0" containsDate="1" containsString="0" containsBlank="1" minDate="2023-10-14T00:00:00" maxDate="2025-10-14T00:00:00"/>
    </cacheField>
    <cacheField name="Customer_ID" numFmtId="0">
      <sharedItems containsBlank="1"/>
    </cacheField>
    <cacheField name="Customer_Name" numFmtId="0">
      <sharedItems containsBlank="1"/>
    </cacheField>
    <cacheField name="Product_ID" numFmtId="0">
      <sharedItems containsBlank="1"/>
    </cacheField>
    <cacheField name="Product_Category" numFmtId="0">
      <sharedItems containsBlank="1"/>
    </cacheField>
    <cacheField name="Store_ID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unt="4">
        <s v="Credit Card"/>
        <s v="PayPal"/>
        <s v="COD"/>
        <s v="Sum Formula used to CalculateTotyal Amount"/>
      </sharedItems>
    </cacheField>
    <cacheField name="Total_Amount" numFmtId="0">
      <sharedItems containsSemiMixedTypes="0" containsString="0" containsNumber="1" minValue="18.459" maxValue="2155273.7476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AIB AHMED" refreshedDate="46162.043849074071" createdVersion="8" refreshedVersion="8" minRefreshableVersion="3" recordCount="500" xr:uid="{7D3F6AE6-7C6F-4CA8-A47F-710EB5682441}">
  <cacheSource type="worksheet">
    <worksheetSource ref="A1:I501" sheet="Customer Details"/>
  </cacheSource>
  <cacheFields count="9">
    <cacheField name="Customer ID" numFmtId="49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</sharedItems>
    </cacheField>
    <cacheField name="Name" numFmtId="14">
      <sharedItems/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3">
        <s v="Senior"/>
        <s v="Young"/>
        <s v="Middle-Aged"/>
      </sharedItems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">
  <r>
    <s v="SALE0"/>
    <d v="2024-07-07T00:00:00"/>
    <s v="CUST1409"/>
    <s v="Sarah Smith"/>
    <s v="PROD97"/>
    <x v="0"/>
    <s v="STORE3"/>
    <n v="1"/>
    <n v="218.04"/>
    <n v="0.09"/>
    <x v="0"/>
    <x v="0"/>
  </r>
  <r>
    <s v="SALE1"/>
    <d v="2023-12-25T00:00:00"/>
    <s v="CUST1467"/>
    <s v="Michael Foley"/>
    <s v="PROD74"/>
    <x v="1"/>
    <s v="STORE17"/>
    <n v="3"/>
    <n v="104.47"/>
    <n v="0.27"/>
    <x v="1"/>
    <x v="1"/>
  </r>
  <r>
    <s v="SALE2"/>
    <d v="2024-06-03T00:00:00"/>
    <s v="CUST1056"/>
    <s v="Christopher Sutton"/>
    <s v="PROD49"/>
    <x v="2"/>
    <s v="STORE8"/>
    <n v="4"/>
    <n v="914.05"/>
    <n v="0.25"/>
    <x v="0"/>
    <x v="2"/>
  </r>
  <r>
    <s v="SALE3"/>
    <d v="2023-11-29T00:00:00"/>
    <s v="CUST1346"/>
    <s v="John Jordan"/>
    <s v="PROD76"/>
    <x v="1"/>
    <s v="STORE8"/>
    <n v="1"/>
    <n v="921.51"/>
    <n v="0.16"/>
    <x v="2"/>
    <x v="3"/>
  </r>
  <r>
    <s v="SALE4"/>
    <d v="2024-01-06T00:00:00"/>
    <s v="CUST1493"/>
    <s v="Amanda Powell"/>
    <s v="PROD59"/>
    <x v="2"/>
    <s v="STORE5"/>
    <n v="3"/>
    <n v="745.3"/>
    <n v="0.18"/>
    <x v="0"/>
    <x v="4"/>
  </r>
  <r>
    <s v="SALE5"/>
    <d v="2024-07-26T00:00:00"/>
    <s v="CUST1116"/>
    <s v="Anthony Phillips"/>
    <s v="PROD15"/>
    <x v="1"/>
    <s v="STORE7"/>
    <n v="3"/>
    <n v="147.01"/>
    <n v="0.19"/>
    <x v="2"/>
    <x v="5"/>
  </r>
  <r>
    <s v="SALE6"/>
    <d v="2025-07-12T00:00:00"/>
    <s v="CUST1016"/>
    <s v="John Scott"/>
    <s v="PROD56"/>
    <x v="3"/>
    <s v="STORE4"/>
    <n v="2"/>
    <n v="785.31"/>
    <n v="0.15"/>
    <x v="1"/>
    <x v="6"/>
  </r>
  <r>
    <s v="SALE7"/>
    <d v="2023-11-18T00:00:00"/>
    <s v="CUST1152"/>
    <s v="Patrick Roberts"/>
    <s v="PROD70"/>
    <x v="3"/>
    <s v="STORE8"/>
    <n v="4"/>
    <n v="342.39"/>
    <n v="0.23"/>
    <x v="1"/>
    <x v="7"/>
  </r>
  <r>
    <s v="SALE8"/>
    <d v="2025-07-31T00:00:00"/>
    <s v="CUST1464"/>
    <s v="David Pierce"/>
    <s v="PROD33"/>
    <x v="3"/>
    <s v="STORE0"/>
    <n v="2"/>
    <n v="873.17"/>
    <n v="0.23"/>
    <x v="1"/>
    <x v="8"/>
  </r>
  <r>
    <s v="SALE9"/>
    <d v="2024-02-13T00:00:00"/>
    <s v="CUST1065"/>
    <s v="Michael Thomas"/>
    <s v="PROD24"/>
    <x v="0"/>
    <s v="STORE14"/>
    <n v="1"/>
    <n v="278.63"/>
    <n v="7.0000000000000007E-2"/>
    <x v="0"/>
    <x v="9"/>
  </r>
  <r>
    <s v="SALE10"/>
    <d v="2025-05-24T00:00:00"/>
    <s v="CUST1320"/>
    <s v="Jessica Gonzalez"/>
    <s v="PROD39"/>
    <x v="1"/>
    <s v="STORE1"/>
    <n v="4"/>
    <n v="286.92"/>
    <n v="0.17"/>
    <x v="0"/>
    <x v="10"/>
  </r>
  <r>
    <s v="SALE11"/>
    <d v="2024-08-24T00:00:00"/>
    <s v="CUST1237"/>
    <s v="Wesley Short"/>
    <s v="PROD88"/>
    <x v="0"/>
    <s v="STORE4"/>
    <n v="4"/>
    <n v="644.58000000000004"/>
    <n v="0.01"/>
    <x v="0"/>
    <x v="11"/>
  </r>
  <r>
    <s v="SALE12"/>
    <d v="2025-08-06T00:00:00"/>
    <s v="CUST1443"/>
    <s v="Adam Castro"/>
    <s v="PROD34"/>
    <x v="1"/>
    <s v="STORE16"/>
    <n v="2"/>
    <n v="316.89999999999998"/>
    <n v="0.3"/>
    <x v="1"/>
    <x v="12"/>
  </r>
  <r>
    <s v="SALE13"/>
    <d v="2025-06-21T00:00:00"/>
    <s v="CUST1348"/>
    <s v="Sherry Cabrera"/>
    <s v="PROD24"/>
    <x v="0"/>
    <s v="STORE15"/>
    <n v="4"/>
    <n v="403.47"/>
    <n v="0.28999999999999998"/>
    <x v="1"/>
    <x v="13"/>
  </r>
  <r>
    <s v="SALE14"/>
    <d v="2025-09-13T00:00:00"/>
    <s v="CUST1276"/>
    <s v="Arthur Warren"/>
    <s v="PROD65"/>
    <x v="0"/>
    <s v="STORE19"/>
    <n v="2"/>
    <n v="451.98"/>
    <n v="0.25"/>
    <x v="0"/>
    <x v="14"/>
  </r>
  <r>
    <s v="SALE15"/>
    <d v="2024-12-11T00:00:00"/>
    <s v="CUST1079"/>
    <s v="Molly Gardner"/>
    <s v="PROD27"/>
    <x v="3"/>
    <s v="STORE4"/>
    <n v="2"/>
    <n v="502.69"/>
    <n v="0.23"/>
    <x v="0"/>
    <x v="15"/>
  </r>
  <r>
    <s v="SALE16"/>
    <d v="2024-08-13T00:00:00"/>
    <s v="CUST1094"/>
    <s v="David Patterson"/>
    <s v="PROD39"/>
    <x v="1"/>
    <s v="STORE4"/>
    <n v="2"/>
    <n v="559.23"/>
    <n v="0.25"/>
    <x v="2"/>
    <x v="16"/>
  </r>
  <r>
    <s v="SALE17"/>
    <d v="2025-07-05T00:00:00"/>
    <s v="CUST1144"/>
    <s v="Justin Cross"/>
    <s v="PROD72"/>
    <x v="0"/>
    <s v="STORE17"/>
    <n v="3"/>
    <n v="986.04"/>
    <n v="0.27"/>
    <x v="2"/>
    <x v="17"/>
  </r>
  <r>
    <s v="SALE18"/>
    <d v="2024-06-04T00:00:00"/>
    <s v="CUST1396"/>
    <s v="Alexander Byrd"/>
    <s v="PROD43"/>
    <x v="1"/>
    <s v="STORE18"/>
    <n v="1"/>
    <n v="589.55999999999995"/>
    <n v="0.22"/>
    <x v="0"/>
    <x v="18"/>
  </r>
  <r>
    <s v="SALE19"/>
    <d v="2024-04-12T00:00:00"/>
    <s v="CUST1476"/>
    <s v="Elizabeth Foster"/>
    <s v="PROD69"/>
    <x v="4"/>
    <s v="STORE10"/>
    <n v="3"/>
    <n v="979.42"/>
    <n v="0.03"/>
    <x v="1"/>
    <x v="19"/>
  </r>
  <r>
    <s v="SALE20"/>
    <d v="2024-06-23T00:00:00"/>
    <s v="CUST1368"/>
    <s v="Miranda King"/>
    <s v="PROD12"/>
    <x v="2"/>
    <s v="STORE8"/>
    <n v="1"/>
    <n v="719.28"/>
    <n v="0.08"/>
    <x v="0"/>
    <x v="20"/>
  </r>
  <r>
    <s v="SALE21"/>
    <d v="2025-09-08T00:00:00"/>
    <s v="CUST1186"/>
    <s v="Jennifer Pruitt"/>
    <s v="PROD67"/>
    <x v="1"/>
    <s v="STORE6"/>
    <n v="3"/>
    <n v="77.599999999999994"/>
    <n v="7.0000000000000007E-2"/>
    <x v="0"/>
    <x v="21"/>
  </r>
  <r>
    <s v="SALE22"/>
    <d v="2024-09-17T00:00:00"/>
    <s v="CUST1381"/>
    <s v="Erika Padilla"/>
    <s v="PROD5"/>
    <x v="4"/>
    <s v="STORE3"/>
    <n v="4"/>
    <n v="852.71"/>
    <n v="0.14000000000000001"/>
    <x v="1"/>
    <x v="22"/>
  </r>
  <r>
    <s v="SALE23"/>
    <d v="2025-02-22T00:00:00"/>
    <s v="CUST1200"/>
    <s v="Anna Perez"/>
    <s v="PROD77"/>
    <x v="1"/>
    <s v="STORE8"/>
    <n v="3"/>
    <n v="815.49"/>
    <n v="0.17"/>
    <x v="0"/>
    <x v="23"/>
  </r>
  <r>
    <s v="SALE24"/>
    <d v="2025-09-23T00:00:00"/>
    <s v="CUST1148"/>
    <s v="Theresa Campbell"/>
    <s v="PROD13"/>
    <x v="1"/>
    <s v="STORE2"/>
    <n v="2"/>
    <n v="74.209999999999994"/>
    <n v="0.11"/>
    <x v="1"/>
    <x v="24"/>
  </r>
  <r>
    <s v="SALE25"/>
    <d v="2023-10-18T00:00:00"/>
    <s v="CUST1028"/>
    <s v="Joshua Ryan"/>
    <s v="PROD5"/>
    <x v="4"/>
    <s v="STORE19"/>
    <n v="1"/>
    <n v="429.38"/>
    <n v="0.13"/>
    <x v="1"/>
    <x v="25"/>
  </r>
  <r>
    <s v="SALE26"/>
    <d v="2024-10-28T00:00:00"/>
    <s v="CUST1412"/>
    <s v="Shane Brown"/>
    <s v="PROD53"/>
    <x v="4"/>
    <s v="STORE12"/>
    <n v="2"/>
    <n v="148.96"/>
    <n v="0.03"/>
    <x v="2"/>
    <x v="26"/>
  </r>
  <r>
    <s v="SALE27"/>
    <d v="2024-11-01T00:00:00"/>
    <s v="CUST1398"/>
    <s v="Jennifer Johnson"/>
    <s v="PROD75"/>
    <x v="4"/>
    <s v="STORE8"/>
    <n v="4"/>
    <n v="313.83"/>
    <n v="0.08"/>
    <x v="0"/>
    <x v="27"/>
  </r>
  <r>
    <s v="SALE28"/>
    <d v="2024-11-24T00:00:00"/>
    <s v="CUST1453"/>
    <s v="April Phillips"/>
    <s v="PROD12"/>
    <x v="2"/>
    <s v="STORE6"/>
    <n v="2"/>
    <n v="717.31"/>
    <n v="0.15"/>
    <x v="0"/>
    <x v="28"/>
  </r>
  <r>
    <s v="SALE29"/>
    <d v="2025-08-09T00:00:00"/>
    <s v="CUST1218"/>
    <s v="Julia Jackson"/>
    <s v="PROD16"/>
    <x v="2"/>
    <s v="STORE3"/>
    <n v="4"/>
    <n v="109.36"/>
    <n v="0.19"/>
    <x v="2"/>
    <x v="29"/>
  </r>
  <r>
    <s v="SALE30"/>
    <d v="2024-12-09T00:00:00"/>
    <s v="CUST1086"/>
    <s v="Tammy Miller Md"/>
    <s v="PROD5"/>
    <x v="4"/>
    <s v="STORE7"/>
    <n v="3"/>
    <n v="559.52"/>
    <n v="0.16"/>
    <x v="1"/>
    <x v="30"/>
  </r>
  <r>
    <s v="SALE31"/>
    <d v="2024-02-07T00:00:00"/>
    <s v="CUST1492"/>
    <s v="Darrell Miller"/>
    <s v="PROD10"/>
    <x v="3"/>
    <s v="STORE17"/>
    <n v="3"/>
    <n v="121.76"/>
    <n v="0.27"/>
    <x v="1"/>
    <x v="31"/>
  </r>
  <r>
    <s v="SALE32"/>
    <d v="2024-03-27T00:00:00"/>
    <s v="CUST1189"/>
    <s v="Daniel Austin"/>
    <s v="PROD33"/>
    <x v="3"/>
    <s v="STORE13"/>
    <n v="4"/>
    <n v="735.32"/>
    <n v="0.06"/>
    <x v="2"/>
    <x v="32"/>
  </r>
  <r>
    <s v="SALE33"/>
    <d v="2023-12-04T00:00:00"/>
    <s v="CUST1431"/>
    <s v="John Smith"/>
    <s v="PROD94"/>
    <x v="2"/>
    <s v="STORE3"/>
    <n v="2"/>
    <n v="600.73"/>
    <n v="0.08"/>
    <x v="0"/>
    <x v="33"/>
  </r>
  <r>
    <s v="SALE34"/>
    <d v="2024-07-13T00:00:00"/>
    <s v="CUST1072"/>
    <s v="Tonya Burch"/>
    <s v="PROD26"/>
    <x v="1"/>
    <s v="STORE19"/>
    <n v="2"/>
    <n v="873.86"/>
    <n v="7.0000000000000007E-2"/>
    <x v="2"/>
    <x v="34"/>
  </r>
  <r>
    <s v="SALE35"/>
    <d v="2023-11-11T00:00:00"/>
    <s v="CUST1302"/>
    <s v="Edward Cole"/>
    <s v="PROD23"/>
    <x v="4"/>
    <s v="STORE8"/>
    <n v="3"/>
    <n v="342.47"/>
    <n v="0.08"/>
    <x v="1"/>
    <x v="35"/>
  </r>
  <r>
    <s v="SALE36"/>
    <d v="2024-12-23T00:00:00"/>
    <s v="CUST1335"/>
    <s v="Jennifer Woods"/>
    <s v="PROD29"/>
    <x v="3"/>
    <s v="STORE9"/>
    <n v="2"/>
    <n v="915.15"/>
    <n v="0.16"/>
    <x v="1"/>
    <x v="36"/>
  </r>
  <r>
    <s v="SALE37"/>
    <d v="2024-09-03T00:00:00"/>
    <s v="CUST1203"/>
    <s v="Sarah Brady"/>
    <s v="PROD43"/>
    <x v="1"/>
    <s v="STORE12"/>
    <n v="2"/>
    <n v="209.32"/>
    <n v="0.23"/>
    <x v="2"/>
    <x v="37"/>
  </r>
  <r>
    <s v="SALE38"/>
    <d v="2024-11-10T00:00:00"/>
    <s v="CUST1470"/>
    <s v="Manuel Fisher"/>
    <s v="PROD59"/>
    <x v="2"/>
    <s v="STORE8"/>
    <n v="4"/>
    <n v="288.60000000000002"/>
    <n v="0.09"/>
    <x v="1"/>
    <x v="38"/>
  </r>
  <r>
    <s v="SALE39"/>
    <d v="2024-10-05T00:00:00"/>
    <s v="CUST1070"/>
    <s v="Eric Singh"/>
    <s v="PROD78"/>
    <x v="3"/>
    <s v="STORE16"/>
    <n v="1"/>
    <n v="418.69"/>
    <n v="0.06"/>
    <x v="1"/>
    <x v="39"/>
  </r>
  <r>
    <s v="SALE40"/>
    <d v="2024-06-23T00:00:00"/>
    <s v="CUST1008"/>
    <s v="Melissa Howard"/>
    <s v="PROD30"/>
    <x v="3"/>
    <s v="STORE11"/>
    <n v="1"/>
    <n v="135.78"/>
    <n v="0.14000000000000001"/>
    <x v="1"/>
    <x v="40"/>
  </r>
  <r>
    <s v="SALE41"/>
    <d v="2023-10-19T00:00:00"/>
    <s v="CUST1203"/>
    <s v="Sarah Brady"/>
    <s v="PROD43"/>
    <x v="1"/>
    <s v="STORE17"/>
    <n v="1"/>
    <n v="517.13"/>
    <n v="0.28000000000000003"/>
    <x v="0"/>
    <x v="41"/>
  </r>
  <r>
    <s v="SALE42"/>
    <d v="2024-11-11T00:00:00"/>
    <s v="CUST1420"/>
    <s v="Dr. Tamara White Md"/>
    <s v="PROD21"/>
    <x v="3"/>
    <s v="STORE16"/>
    <n v="2"/>
    <n v="384.66"/>
    <n v="0.08"/>
    <x v="2"/>
    <x v="42"/>
  </r>
  <r>
    <s v="SALE43"/>
    <d v="2023-12-31T00:00:00"/>
    <s v="CUST1070"/>
    <s v="Eric Singh"/>
    <s v="PROD78"/>
    <x v="3"/>
    <s v="STORE9"/>
    <n v="3"/>
    <n v="83.7"/>
    <n v="0.24"/>
    <x v="1"/>
    <x v="43"/>
  </r>
  <r>
    <s v="SALE44"/>
    <d v="2025-02-01T00:00:00"/>
    <s v="CUST1142"/>
    <s v="Maria Ramirez"/>
    <s v="PROD69"/>
    <x v="4"/>
    <s v="STORE7"/>
    <n v="3"/>
    <n v="76.569999999999993"/>
    <n v="0.26"/>
    <x v="0"/>
    <x v="44"/>
  </r>
  <r>
    <s v="SALE45"/>
    <d v="2025-01-20T00:00:00"/>
    <s v="CUST1324"/>
    <s v="Alex Mann Ii"/>
    <s v="PROD20"/>
    <x v="0"/>
    <s v="STORE8"/>
    <n v="1"/>
    <n v="900.35"/>
    <n v="0.13"/>
    <x v="2"/>
    <x v="45"/>
  </r>
  <r>
    <s v="SALE46"/>
    <d v="2025-02-18T00:00:00"/>
    <s v="CUST1095"/>
    <s v="Amy Fowler"/>
    <s v="PROD40"/>
    <x v="1"/>
    <s v="STORE10"/>
    <n v="4"/>
    <n v="428.09"/>
    <n v="7.0000000000000007E-2"/>
    <x v="0"/>
    <x v="46"/>
  </r>
  <r>
    <s v="SALE47"/>
    <d v="2024-10-24T00:00:00"/>
    <s v="CUST1416"/>
    <s v="Jennifer Myers"/>
    <s v="PROD49"/>
    <x v="2"/>
    <s v="STORE11"/>
    <n v="2"/>
    <n v="559.71"/>
    <n v="0.3"/>
    <x v="2"/>
    <x v="47"/>
  </r>
  <r>
    <s v="SALE48"/>
    <d v="2023-12-22T00:00:00"/>
    <s v="CUST1080"/>
    <s v="Jennifer Garcia"/>
    <s v="PROD34"/>
    <x v="1"/>
    <s v="STORE6"/>
    <n v="2"/>
    <n v="833.7"/>
    <n v="0.06"/>
    <x v="1"/>
    <x v="48"/>
  </r>
  <r>
    <s v="SALE49"/>
    <d v="2024-06-19T00:00:00"/>
    <s v="CUST1467"/>
    <s v="Michael Foley"/>
    <s v="PROD74"/>
    <x v="1"/>
    <s v="STORE14"/>
    <n v="2"/>
    <n v="680.16"/>
    <n v="0.28000000000000003"/>
    <x v="0"/>
    <x v="49"/>
  </r>
  <r>
    <s v="SALE50"/>
    <d v="2023-11-27T00:00:00"/>
    <s v="CUST1367"/>
    <s v="Melinda Johnson"/>
    <s v="PROD89"/>
    <x v="2"/>
    <s v="STORE11"/>
    <n v="1"/>
    <n v="996.33"/>
    <n v="0.23"/>
    <x v="1"/>
    <x v="50"/>
  </r>
  <r>
    <s v="SALE51"/>
    <d v="2025-07-16T00:00:00"/>
    <s v="CUST1408"/>
    <s v="Isabel Foster"/>
    <s v="PROD31"/>
    <x v="0"/>
    <s v="STORE10"/>
    <n v="1"/>
    <n v="198.83"/>
    <n v="0.09"/>
    <x v="2"/>
    <x v="51"/>
  </r>
  <r>
    <s v="SALE52"/>
    <d v="2025-02-28T00:00:00"/>
    <s v="CUST1239"/>
    <s v="Maria Hill"/>
    <s v="PROD19"/>
    <x v="0"/>
    <s v="STORE7"/>
    <n v="1"/>
    <n v="374.92"/>
    <n v="0.18"/>
    <x v="1"/>
    <x v="52"/>
  </r>
  <r>
    <s v="SALE53"/>
    <d v="2024-08-11T00:00:00"/>
    <s v="CUST1464"/>
    <s v="David Pierce"/>
    <s v="PROD33"/>
    <x v="3"/>
    <s v="STORE16"/>
    <n v="1"/>
    <n v="468.94"/>
    <n v="0.12"/>
    <x v="0"/>
    <x v="53"/>
  </r>
  <r>
    <s v="SALE54"/>
    <d v="2025-09-27T00:00:00"/>
    <s v="CUST1126"/>
    <s v="James Wolfe"/>
    <s v="PROD89"/>
    <x v="2"/>
    <s v="STORE12"/>
    <n v="2"/>
    <n v="121.37"/>
    <n v="0.05"/>
    <x v="0"/>
    <x v="54"/>
  </r>
  <r>
    <s v="SALE55"/>
    <d v="2023-12-30T00:00:00"/>
    <s v="CUST1162"/>
    <s v="Mariah Brown"/>
    <s v="PROD99"/>
    <x v="3"/>
    <s v="STORE17"/>
    <n v="2"/>
    <n v="856.57"/>
    <n v="0.24"/>
    <x v="0"/>
    <x v="55"/>
  </r>
  <r>
    <s v="SALE56"/>
    <d v="2023-10-14T00:00:00"/>
    <s v="CUST1269"/>
    <s v="Tyrone Olson"/>
    <s v="PROD77"/>
    <x v="1"/>
    <s v="STORE2"/>
    <n v="4"/>
    <n v="814.25"/>
    <n v="0.18"/>
    <x v="0"/>
    <x v="56"/>
  </r>
  <r>
    <s v="SALE57"/>
    <d v="2023-11-25T00:00:00"/>
    <s v="CUST1483"/>
    <s v="Sarah Smith"/>
    <s v="PROD12"/>
    <x v="2"/>
    <s v="STORE2"/>
    <n v="1"/>
    <n v="989.17"/>
    <n v="0.2"/>
    <x v="1"/>
    <x v="57"/>
  </r>
  <r>
    <s v="SALE58"/>
    <d v="2023-12-10T00:00:00"/>
    <s v="CUST1372"/>
    <s v="Jacqueline Anthony"/>
    <s v="PROD72"/>
    <x v="0"/>
    <s v="STORE10"/>
    <n v="4"/>
    <n v="62.48"/>
    <n v="0.18"/>
    <x v="0"/>
    <x v="58"/>
  </r>
  <r>
    <s v="SALE59"/>
    <d v="2025-08-28T00:00:00"/>
    <s v="CUST1423"/>
    <s v="Rebecca Baker"/>
    <s v="PROD13"/>
    <x v="1"/>
    <s v="STORE16"/>
    <n v="4"/>
    <n v="561.24"/>
    <n v="0.24"/>
    <x v="0"/>
    <x v="59"/>
  </r>
  <r>
    <s v="SALE60"/>
    <d v="2025-08-20T00:00:00"/>
    <s v="CUST1168"/>
    <s v="Daniel Contreras"/>
    <s v="PROD72"/>
    <x v="0"/>
    <s v="STORE1"/>
    <n v="2"/>
    <n v="668.3"/>
    <n v="7.0000000000000007E-2"/>
    <x v="0"/>
    <x v="60"/>
  </r>
  <r>
    <s v="SALE61"/>
    <d v="2024-08-29T00:00:00"/>
    <s v="CUST1409"/>
    <s v="Sarah Smith"/>
    <s v="PROD97"/>
    <x v="0"/>
    <s v="STORE5"/>
    <n v="1"/>
    <n v="553.82000000000005"/>
    <n v="0.09"/>
    <x v="0"/>
    <x v="61"/>
  </r>
  <r>
    <s v="SALE62"/>
    <d v="2024-11-30T00:00:00"/>
    <s v="CUST1037"/>
    <s v="Christopher Carter"/>
    <s v="PROD45"/>
    <x v="0"/>
    <s v="STORE11"/>
    <n v="2"/>
    <n v="556.42999999999995"/>
    <n v="0.13"/>
    <x v="0"/>
    <x v="62"/>
  </r>
  <r>
    <s v="SALE63"/>
    <d v="2025-10-12T00:00:00"/>
    <s v="CUST1273"/>
    <s v="Samantha Robinson"/>
    <s v="PROD20"/>
    <x v="0"/>
    <s v="STORE8"/>
    <n v="1"/>
    <n v="184.98"/>
    <n v="0.1"/>
    <x v="2"/>
    <x v="63"/>
  </r>
  <r>
    <s v="SALE64"/>
    <d v="2024-07-27T00:00:00"/>
    <s v="CUST1035"/>
    <s v="Rachel Myers"/>
    <s v="PROD97"/>
    <x v="0"/>
    <s v="STORE12"/>
    <n v="4"/>
    <n v="700.18"/>
    <n v="0.23"/>
    <x v="0"/>
    <x v="64"/>
  </r>
  <r>
    <s v="SALE65"/>
    <d v="2023-12-25T00:00:00"/>
    <s v="CUST1019"/>
    <s v="Michael Torres"/>
    <s v="PROD76"/>
    <x v="1"/>
    <s v="STORE10"/>
    <n v="2"/>
    <n v="686.31"/>
    <n v="0.25"/>
    <x v="0"/>
    <x v="65"/>
  </r>
  <r>
    <s v="SALE66"/>
    <d v="2025-05-23T00:00:00"/>
    <s v="CUST1007"/>
    <s v="Daniel Boyd"/>
    <s v="PROD67"/>
    <x v="1"/>
    <s v="STORE15"/>
    <n v="1"/>
    <n v="687.82"/>
    <n v="0.27"/>
    <x v="2"/>
    <x v="66"/>
  </r>
  <r>
    <s v="SALE67"/>
    <d v="2024-11-13T00:00:00"/>
    <s v="CUST1221"/>
    <s v="Lisa Young"/>
    <s v="PROD83"/>
    <x v="2"/>
    <s v="STORE8"/>
    <n v="2"/>
    <n v="900.55"/>
    <n v="0.16"/>
    <x v="0"/>
    <x v="67"/>
  </r>
  <r>
    <s v="SALE68"/>
    <d v="2023-12-08T00:00:00"/>
    <s v="CUST1115"/>
    <s v="Tyler Conrad"/>
    <s v="PROD21"/>
    <x v="3"/>
    <s v="STORE2"/>
    <n v="1"/>
    <n v="341.17"/>
    <n v="0.15"/>
    <x v="0"/>
    <x v="68"/>
  </r>
  <r>
    <s v="SALE69"/>
    <d v="2025-08-16T00:00:00"/>
    <s v="CUST1176"/>
    <s v="John Bradford"/>
    <s v="PROD52"/>
    <x v="0"/>
    <s v="STORE8"/>
    <n v="1"/>
    <n v="442.27"/>
    <n v="0.06"/>
    <x v="2"/>
    <x v="69"/>
  </r>
  <r>
    <s v="SALE70"/>
    <d v="2024-11-20T00:00:00"/>
    <s v="CUST1253"/>
    <s v="Dr. Ashley Yates Md"/>
    <s v="PROD71"/>
    <x v="2"/>
    <s v="STORE9"/>
    <n v="1"/>
    <n v="363.73"/>
    <n v="0.25"/>
    <x v="1"/>
    <x v="70"/>
  </r>
  <r>
    <s v="SALE71"/>
    <d v="2024-08-14T00:00:00"/>
    <s v="CUST1378"/>
    <s v="Frank Stewart"/>
    <s v="PROD91"/>
    <x v="4"/>
    <s v="STORE17"/>
    <n v="2"/>
    <n v="601.33000000000004"/>
    <n v="0.16"/>
    <x v="1"/>
    <x v="71"/>
  </r>
  <r>
    <s v="SALE72"/>
    <d v="2024-05-15T00:00:00"/>
    <s v="CUST1403"/>
    <s v="Justin Ingram"/>
    <s v="PROD17"/>
    <x v="0"/>
    <s v="STORE18"/>
    <n v="4"/>
    <n v="34.39"/>
    <n v="0.03"/>
    <x v="1"/>
    <x v="72"/>
  </r>
  <r>
    <s v="SALE73"/>
    <d v="2023-12-22T00:00:00"/>
    <s v="CUST1054"/>
    <s v="Katherine Dorsey"/>
    <s v="PROD88"/>
    <x v="0"/>
    <s v="STORE7"/>
    <n v="4"/>
    <n v="127.1"/>
    <n v="0.24"/>
    <x v="2"/>
    <x v="73"/>
  </r>
  <r>
    <s v="SALE74"/>
    <d v="2024-09-10T00:00:00"/>
    <s v="CUST1303"/>
    <s v="John Sloan"/>
    <s v="PROD20"/>
    <x v="0"/>
    <s v="STORE3"/>
    <n v="3"/>
    <n v="899.58"/>
    <n v="0.28000000000000003"/>
    <x v="1"/>
    <x v="74"/>
  </r>
  <r>
    <s v="SALE75"/>
    <d v="2025-04-08T00:00:00"/>
    <s v="CUST1327"/>
    <s v="Reginald Willis"/>
    <s v="PROD1"/>
    <x v="4"/>
    <s v="STORE10"/>
    <n v="3"/>
    <n v="964.39"/>
    <n v="0.04"/>
    <x v="0"/>
    <x v="75"/>
  </r>
  <r>
    <s v="SALE76"/>
    <d v="2024-10-23T00:00:00"/>
    <s v="CUST1183"/>
    <s v="Mario Jacobs"/>
    <s v="PROD38"/>
    <x v="0"/>
    <s v="STORE0"/>
    <n v="2"/>
    <n v="217.83"/>
    <n v="0.14000000000000001"/>
    <x v="1"/>
    <x v="76"/>
  </r>
  <r>
    <s v="SALE77"/>
    <d v="2025-07-10T00:00:00"/>
    <s v="CUST1143"/>
    <s v="Carlos Skinner"/>
    <s v="PROD17"/>
    <x v="0"/>
    <s v="STORE1"/>
    <n v="4"/>
    <n v="187.71"/>
    <n v="0.06"/>
    <x v="2"/>
    <x v="77"/>
  </r>
  <r>
    <s v="SALE78"/>
    <d v="2024-10-12T00:00:00"/>
    <s v="CUST1010"/>
    <s v="Dominic Page"/>
    <s v="PROD33"/>
    <x v="3"/>
    <s v="STORE18"/>
    <n v="2"/>
    <n v="350.12"/>
    <n v="0.12"/>
    <x v="2"/>
    <x v="78"/>
  </r>
  <r>
    <s v="SALE79"/>
    <d v="2024-01-21T00:00:00"/>
    <s v="CUST1406"/>
    <s v="David Lozano"/>
    <s v="PROD16"/>
    <x v="2"/>
    <s v="STORE1"/>
    <n v="4"/>
    <n v="102.19"/>
    <n v="0.17"/>
    <x v="1"/>
    <x v="79"/>
  </r>
  <r>
    <s v="SALE80"/>
    <d v="2024-02-28T00:00:00"/>
    <s v="CUST1007"/>
    <s v="Daniel Boyd"/>
    <s v="PROD67"/>
    <x v="1"/>
    <s v="STORE4"/>
    <n v="1"/>
    <n v="696.53"/>
    <n v="0.17"/>
    <x v="0"/>
    <x v="80"/>
  </r>
  <r>
    <s v="SALE81"/>
    <d v="2024-12-31T00:00:00"/>
    <s v="CUST1065"/>
    <s v="Michael Thomas"/>
    <s v="PROD24"/>
    <x v="0"/>
    <s v="STORE4"/>
    <n v="2"/>
    <n v="327.52"/>
    <n v="0.15"/>
    <x v="1"/>
    <x v="81"/>
  </r>
  <r>
    <s v="SALE82"/>
    <d v="2024-09-21T00:00:00"/>
    <s v="CUST1321"/>
    <s v="Darren Burton"/>
    <s v="PROD99"/>
    <x v="3"/>
    <s v="STORE6"/>
    <n v="2"/>
    <n v="68.290000000000006"/>
    <n v="0.14000000000000001"/>
    <x v="2"/>
    <x v="82"/>
  </r>
  <r>
    <s v="SALE83"/>
    <d v="2024-08-19T00:00:00"/>
    <s v="CUST1244"/>
    <s v="Nancy Page"/>
    <s v="PROD50"/>
    <x v="0"/>
    <s v="STORE10"/>
    <n v="1"/>
    <n v="842.9"/>
    <n v="0.06"/>
    <x v="2"/>
    <x v="83"/>
  </r>
  <r>
    <s v="SALE84"/>
    <d v="2024-10-22T00:00:00"/>
    <s v="CUST1287"/>
    <s v="Cynthia Roberts"/>
    <s v="PROD3"/>
    <x v="4"/>
    <s v="STORE3"/>
    <n v="3"/>
    <n v="751.94"/>
    <n v="0.26"/>
    <x v="1"/>
    <x v="84"/>
  </r>
  <r>
    <s v="SALE85"/>
    <d v="2024-10-15T00:00:00"/>
    <s v="CUST1131"/>
    <s v="Joseph Richards"/>
    <s v="PROD56"/>
    <x v="3"/>
    <s v="STORE7"/>
    <n v="4"/>
    <n v="476.28"/>
    <n v="0.17"/>
    <x v="0"/>
    <x v="85"/>
  </r>
  <r>
    <s v="SALE86"/>
    <d v="2024-07-06T00:00:00"/>
    <s v="CUST1325"/>
    <s v="Andrew Smith"/>
    <s v="PROD54"/>
    <x v="0"/>
    <s v="STORE3"/>
    <n v="3"/>
    <n v="541.99"/>
    <n v="0.24"/>
    <x v="2"/>
    <x v="86"/>
  </r>
  <r>
    <s v="SALE87"/>
    <d v="2025-01-20T00:00:00"/>
    <s v="CUST1369"/>
    <s v="Gregory Allen"/>
    <s v="PROD33"/>
    <x v="3"/>
    <s v="STORE5"/>
    <n v="2"/>
    <n v="401.5"/>
    <n v="0.18"/>
    <x v="0"/>
    <x v="87"/>
  </r>
  <r>
    <s v="SALE88"/>
    <d v="2024-06-10T00:00:00"/>
    <s v="CUST1084"/>
    <s v="Christy Hoffman"/>
    <s v="PROD25"/>
    <x v="4"/>
    <s v="STORE13"/>
    <n v="3"/>
    <n v="359.56"/>
    <n v="0.17"/>
    <x v="1"/>
    <x v="88"/>
  </r>
  <r>
    <s v="SALE89"/>
    <d v="2024-09-17T00:00:00"/>
    <s v="CUST1097"/>
    <s v="David Cobb"/>
    <s v="PROD80"/>
    <x v="3"/>
    <s v="STORE12"/>
    <n v="2"/>
    <n v="471.88"/>
    <n v="0.24"/>
    <x v="1"/>
    <x v="89"/>
  </r>
  <r>
    <s v="SALE90"/>
    <d v="2025-09-07T00:00:00"/>
    <s v="CUST1182"/>
    <s v="Melissa Hamilton"/>
    <s v="PROD34"/>
    <x v="1"/>
    <s v="STORE4"/>
    <n v="4"/>
    <n v="925.19"/>
    <n v="0.19"/>
    <x v="1"/>
    <x v="90"/>
  </r>
  <r>
    <s v="SALE91"/>
    <d v="2024-02-08T00:00:00"/>
    <s v="CUST1029"/>
    <s v="David Arnold"/>
    <s v="PROD86"/>
    <x v="3"/>
    <s v="STORE11"/>
    <n v="2"/>
    <n v="879.63"/>
    <n v="7.0000000000000007E-2"/>
    <x v="2"/>
    <x v="91"/>
  </r>
  <r>
    <s v="SALE92"/>
    <d v="2023-10-15T00:00:00"/>
    <s v="CUST1002"/>
    <s v="Dr. Benjamin Price"/>
    <s v="PROD79"/>
    <x v="3"/>
    <s v="STORE17"/>
    <n v="2"/>
    <n v="418.23"/>
    <n v="0.28000000000000003"/>
    <x v="0"/>
    <x v="92"/>
  </r>
  <r>
    <s v="SALE93"/>
    <d v="2025-08-22T00:00:00"/>
    <s v="CUST1269"/>
    <s v="Tyrone Olson"/>
    <s v="PROD77"/>
    <x v="1"/>
    <s v="STORE18"/>
    <n v="3"/>
    <n v="551.72"/>
    <n v="0.03"/>
    <x v="2"/>
    <x v="93"/>
  </r>
  <r>
    <s v="SALE94"/>
    <d v="2024-02-01T00:00:00"/>
    <s v="CUST1338"/>
    <s v="Jasmine Snyder"/>
    <s v="PROD86"/>
    <x v="3"/>
    <s v="STORE7"/>
    <n v="4"/>
    <n v="525.61"/>
    <n v="0.02"/>
    <x v="1"/>
    <x v="94"/>
  </r>
  <r>
    <s v="SALE95"/>
    <d v="2025-05-08T00:00:00"/>
    <s v="CUST1041"/>
    <s v="James Gibbs"/>
    <s v="PROD22"/>
    <x v="0"/>
    <s v="STORE13"/>
    <n v="3"/>
    <n v="815.3"/>
    <n v="0.03"/>
    <x v="0"/>
    <x v="95"/>
  </r>
  <r>
    <s v="SALE96"/>
    <d v="2025-03-22T00:00:00"/>
    <s v="CUST1214"/>
    <s v="Eric Todd"/>
    <s v="PROD91"/>
    <x v="4"/>
    <s v="STORE0"/>
    <n v="3"/>
    <n v="376.46"/>
    <n v="0.09"/>
    <x v="2"/>
    <x v="96"/>
  </r>
  <r>
    <s v="SALE97"/>
    <d v="2025-07-13T00:00:00"/>
    <s v="CUST1007"/>
    <s v="Daniel Boyd"/>
    <s v="PROD67"/>
    <x v="1"/>
    <s v="STORE8"/>
    <n v="4"/>
    <n v="239.83"/>
    <n v="0.08"/>
    <x v="0"/>
    <x v="97"/>
  </r>
  <r>
    <s v="SALE98"/>
    <d v="2025-05-21T00:00:00"/>
    <s v="CUST1119"/>
    <s v="Michael Jones"/>
    <s v="PROD90"/>
    <x v="1"/>
    <s v="STORE3"/>
    <n v="2"/>
    <n v="845.71"/>
    <n v="0.01"/>
    <x v="1"/>
    <x v="98"/>
  </r>
  <r>
    <s v="SALE99"/>
    <d v="2025-02-17T00:00:00"/>
    <s v="CUST1087"/>
    <s v="Melissa Duffy Md"/>
    <s v="PROD76"/>
    <x v="1"/>
    <s v="STORE13"/>
    <n v="3"/>
    <n v="948.69"/>
    <n v="0.28999999999999998"/>
    <x v="0"/>
    <x v="99"/>
  </r>
  <r>
    <s v="SALE100"/>
    <d v="2024-05-01T00:00:00"/>
    <s v="CUST1467"/>
    <s v="Michael Foley"/>
    <s v="PROD74"/>
    <x v="1"/>
    <s v="STORE10"/>
    <n v="1"/>
    <n v="281.97000000000003"/>
    <n v="0.2"/>
    <x v="1"/>
    <x v="100"/>
  </r>
  <r>
    <s v="SALE101"/>
    <d v="2024-07-09T00:00:00"/>
    <s v="CUST1152"/>
    <s v="Patrick Roberts"/>
    <s v="PROD70"/>
    <x v="3"/>
    <s v="STORE4"/>
    <n v="2"/>
    <n v="731.01"/>
    <n v="0.05"/>
    <x v="1"/>
    <x v="101"/>
  </r>
  <r>
    <s v="SALE102"/>
    <d v="2025-09-25T00:00:00"/>
    <s v="CUST1257"/>
    <s v="Christopher David"/>
    <s v="PROD85"/>
    <x v="4"/>
    <s v="STORE7"/>
    <n v="4"/>
    <n v="930.85"/>
    <n v="0.13"/>
    <x v="1"/>
    <x v="102"/>
  </r>
  <r>
    <s v="SALE103"/>
    <d v="2024-05-08T00:00:00"/>
    <s v="CUST1419"/>
    <s v="Monica Miller"/>
    <s v="PROD3"/>
    <x v="4"/>
    <s v="STORE8"/>
    <n v="4"/>
    <n v="770.77"/>
    <n v="0.22"/>
    <x v="0"/>
    <x v="103"/>
  </r>
  <r>
    <s v="SALE104"/>
    <d v="2024-09-19T00:00:00"/>
    <s v="CUST1067"/>
    <s v="Amber Mcclain"/>
    <s v="PROD46"/>
    <x v="4"/>
    <s v="STORE4"/>
    <n v="3"/>
    <n v="479.63"/>
    <n v="0.3"/>
    <x v="1"/>
    <x v="104"/>
  </r>
  <r>
    <s v="SALE105"/>
    <d v="2024-04-23T00:00:00"/>
    <s v="CUST1105"/>
    <s v="Lance Baker"/>
    <s v="PROD39"/>
    <x v="1"/>
    <s v="STORE11"/>
    <n v="1"/>
    <n v="165"/>
    <n v="0.3"/>
    <x v="2"/>
    <x v="105"/>
  </r>
  <r>
    <s v="SALE106"/>
    <d v="2024-07-30T00:00:00"/>
    <s v="CUST1158"/>
    <s v="Sean Powell"/>
    <s v="PROD19"/>
    <x v="0"/>
    <s v="STORE8"/>
    <n v="2"/>
    <n v="151.51"/>
    <n v="0.28999999999999998"/>
    <x v="2"/>
    <x v="106"/>
  </r>
  <r>
    <s v="SALE107"/>
    <d v="2023-12-14T00:00:00"/>
    <s v="CUST1231"/>
    <s v="Timothy Juarez"/>
    <s v="PROD31"/>
    <x v="0"/>
    <s v="STORE17"/>
    <n v="2"/>
    <n v="872.93"/>
    <n v="0.28999999999999998"/>
    <x v="2"/>
    <x v="107"/>
  </r>
  <r>
    <s v="SALE108"/>
    <d v="2024-09-23T00:00:00"/>
    <s v="CUST1264"/>
    <s v="Matthew Payne"/>
    <s v="PROD22"/>
    <x v="0"/>
    <s v="STORE10"/>
    <n v="3"/>
    <n v="432.4"/>
    <n v="0.04"/>
    <x v="0"/>
    <x v="108"/>
  </r>
  <r>
    <s v="SALE109"/>
    <d v="2025-08-17T00:00:00"/>
    <s v="CUST1338"/>
    <s v="Jasmine Snyder"/>
    <s v="PROD86"/>
    <x v="3"/>
    <s v="STORE7"/>
    <n v="2"/>
    <n v="197.76"/>
    <n v="0.04"/>
    <x v="0"/>
    <x v="109"/>
  </r>
  <r>
    <s v="SALE110"/>
    <d v="2025-01-17T00:00:00"/>
    <s v="CUST1476"/>
    <s v="Elizabeth Foster"/>
    <s v="PROD69"/>
    <x v="4"/>
    <s v="STORE2"/>
    <n v="3"/>
    <n v="334.6"/>
    <n v="0.11"/>
    <x v="1"/>
    <x v="110"/>
  </r>
  <r>
    <s v="SALE111"/>
    <d v="2025-04-30T00:00:00"/>
    <s v="CUST1087"/>
    <s v="Melissa Duffy Md"/>
    <s v="PROD76"/>
    <x v="1"/>
    <s v="STORE3"/>
    <n v="2"/>
    <n v="44.35"/>
    <n v="0.2"/>
    <x v="2"/>
    <x v="111"/>
  </r>
  <r>
    <s v="SALE112"/>
    <d v="2024-11-02T00:00:00"/>
    <s v="CUST1498"/>
    <s v="Traci Gonzalez"/>
    <s v="PROD8"/>
    <x v="1"/>
    <s v="STORE6"/>
    <n v="1"/>
    <n v="846.31"/>
    <n v="0.05"/>
    <x v="1"/>
    <x v="112"/>
  </r>
  <r>
    <s v="SALE113"/>
    <d v="2025-08-15T00:00:00"/>
    <s v="CUST1131"/>
    <s v="Joseph Richards"/>
    <s v="PROD56"/>
    <x v="3"/>
    <s v="STORE12"/>
    <n v="1"/>
    <n v="996.48"/>
    <n v="7.0000000000000007E-2"/>
    <x v="2"/>
    <x v="113"/>
  </r>
  <r>
    <s v="SALE114"/>
    <d v="2025-09-16T00:00:00"/>
    <s v="CUST1277"/>
    <s v="Jeffrey Gomez"/>
    <s v="PROD93"/>
    <x v="1"/>
    <s v="STORE6"/>
    <n v="3"/>
    <n v="949.19"/>
    <n v="0.03"/>
    <x v="2"/>
    <x v="114"/>
  </r>
  <r>
    <s v="SALE115"/>
    <d v="2024-02-25T00:00:00"/>
    <s v="CUST1397"/>
    <s v="Charles Norman Phd"/>
    <s v="PROD94"/>
    <x v="2"/>
    <s v="STORE9"/>
    <n v="2"/>
    <n v="724.97"/>
    <n v="0.1"/>
    <x v="0"/>
    <x v="115"/>
  </r>
  <r>
    <s v="SALE116"/>
    <d v="2025-03-07T00:00:00"/>
    <s v="CUST1315"/>
    <s v="William Rodriguez"/>
    <s v="PROD1"/>
    <x v="4"/>
    <s v="STORE16"/>
    <n v="1"/>
    <n v="783.25"/>
    <n v="0.3"/>
    <x v="0"/>
    <x v="116"/>
  </r>
  <r>
    <s v="SALE117"/>
    <d v="2024-07-22T00:00:00"/>
    <s v="CUST1343"/>
    <s v="Ryan Moore"/>
    <s v="PROD17"/>
    <x v="0"/>
    <s v="STORE3"/>
    <n v="1"/>
    <n v="942.38"/>
    <n v="0.17"/>
    <x v="0"/>
    <x v="117"/>
  </r>
  <r>
    <s v="SALE118"/>
    <d v="2024-06-01T00:00:00"/>
    <s v="CUST1496"/>
    <s v="Christopher Ford"/>
    <s v="PROD51"/>
    <x v="1"/>
    <s v="STORE11"/>
    <n v="3"/>
    <n v="298.35000000000002"/>
    <n v="0.05"/>
    <x v="2"/>
    <x v="118"/>
  </r>
  <r>
    <s v="SALE119"/>
    <d v="2025-01-05T00:00:00"/>
    <s v="CUST1164"/>
    <s v="Daniel Rivas"/>
    <s v="PROD48"/>
    <x v="1"/>
    <s v="STORE12"/>
    <n v="4"/>
    <n v="950.04"/>
    <n v="0.13"/>
    <x v="1"/>
    <x v="119"/>
  </r>
  <r>
    <s v="SALE120"/>
    <d v="2025-09-10T00:00:00"/>
    <s v="CUST1329"/>
    <s v="Victor Mcintosh"/>
    <s v="PROD57"/>
    <x v="0"/>
    <s v="STORE4"/>
    <n v="2"/>
    <n v="267.19"/>
    <n v="7.0000000000000007E-2"/>
    <x v="0"/>
    <x v="120"/>
  </r>
  <r>
    <s v="SALE121"/>
    <d v="2025-06-19T00:00:00"/>
    <s v="CUST1201"/>
    <s v="Mary Boyd"/>
    <s v="PROD87"/>
    <x v="3"/>
    <s v="STORE15"/>
    <n v="4"/>
    <n v="72.63"/>
    <n v="0.06"/>
    <x v="1"/>
    <x v="121"/>
  </r>
  <r>
    <s v="SALE122"/>
    <d v="2024-09-09T00:00:00"/>
    <s v="CUST1427"/>
    <s v="Jose Stewart"/>
    <s v="PROD53"/>
    <x v="4"/>
    <s v="STORE5"/>
    <n v="3"/>
    <n v="576.52"/>
    <n v="0.22"/>
    <x v="2"/>
    <x v="122"/>
  </r>
  <r>
    <s v="SALE123"/>
    <d v="2025-04-04T00:00:00"/>
    <s v="CUST1349"/>
    <s v="Heather Valenzuela"/>
    <s v="PROD71"/>
    <x v="2"/>
    <s v="STORE9"/>
    <n v="3"/>
    <n v="849.36"/>
    <n v="0.03"/>
    <x v="0"/>
    <x v="123"/>
  </r>
  <r>
    <s v="SALE124"/>
    <d v="2024-04-10T00:00:00"/>
    <s v="CUST1473"/>
    <s v="Laura Mathews"/>
    <s v="PROD50"/>
    <x v="0"/>
    <s v="STORE6"/>
    <n v="1"/>
    <n v="245.85"/>
    <n v="0.18"/>
    <x v="2"/>
    <x v="124"/>
  </r>
  <r>
    <s v="SALE125"/>
    <d v="2024-10-24T00:00:00"/>
    <s v="CUST1178"/>
    <s v="Michelle Myers"/>
    <s v="PROD97"/>
    <x v="0"/>
    <s v="STORE10"/>
    <n v="3"/>
    <n v="237.68"/>
    <n v="0.1"/>
    <x v="2"/>
    <x v="125"/>
  </r>
  <r>
    <s v="SALE126"/>
    <d v="2025-04-09T00:00:00"/>
    <s v="CUST1337"/>
    <s v="Carol Lewis"/>
    <s v="PROD71"/>
    <x v="2"/>
    <s v="STORE14"/>
    <n v="4"/>
    <n v="715.85"/>
    <n v="0.25"/>
    <x v="1"/>
    <x v="126"/>
  </r>
  <r>
    <s v="SALE127"/>
    <d v="2023-11-25T00:00:00"/>
    <s v="CUST1171"/>
    <s v="Amy Wilson"/>
    <s v="PROD90"/>
    <x v="1"/>
    <s v="STORE5"/>
    <n v="2"/>
    <n v="478.85"/>
    <n v="0.01"/>
    <x v="2"/>
    <x v="127"/>
  </r>
  <r>
    <s v="SALE128"/>
    <d v="2025-03-02T00:00:00"/>
    <s v="CUST1113"/>
    <s v="Edward Hall"/>
    <s v="PROD47"/>
    <x v="2"/>
    <s v="STORE0"/>
    <n v="1"/>
    <n v="503.95"/>
    <n v="0.26"/>
    <x v="2"/>
    <x v="128"/>
  </r>
  <r>
    <s v="SALE129"/>
    <d v="2024-10-08T00:00:00"/>
    <s v="CUST1399"/>
    <s v="John Donaldson"/>
    <s v="PROD66"/>
    <x v="2"/>
    <s v="STORE12"/>
    <n v="2"/>
    <n v="975.48"/>
    <n v="0.26"/>
    <x v="2"/>
    <x v="129"/>
  </r>
  <r>
    <s v="SALE130"/>
    <d v="2025-08-15T00:00:00"/>
    <s v="CUST1401"/>
    <s v="Terry Moses"/>
    <s v="PROD34"/>
    <x v="1"/>
    <s v="STORE16"/>
    <n v="4"/>
    <n v="450.12"/>
    <n v="0.28999999999999998"/>
    <x v="2"/>
    <x v="130"/>
  </r>
  <r>
    <s v="SALE131"/>
    <d v="2024-06-05T00:00:00"/>
    <s v="CUST1435"/>
    <s v="Lindsay Beasley"/>
    <s v="PROD36"/>
    <x v="4"/>
    <s v="STORE8"/>
    <n v="3"/>
    <n v="237.24"/>
    <n v="0.24"/>
    <x v="1"/>
    <x v="131"/>
  </r>
  <r>
    <s v="SALE132"/>
    <d v="2024-08-18T00:00:00"/>
    <s v="CUST1459"/>
    <s v="John Perez"/>
    <s v="PROD54"/>
    <x v="0"/>
    <s v="STORE15"/>
    <n v="2"/>
    <n v="536.84"/>
    <n v="0.09"/>
    <x v="2"/>
    <x v="132"/>
  </r>
  <r>
    <s v="SALE133"/>
    <d v="2024-11-30T00:00:00"/>
    <s v="CUST1443"/>
    <s v="Adam Castro"/>
    <s v="PROD34"/>
    <x v="1"/>
    <s v="STORE19"/>
    <n v="3"/>
    <n v="584.41"/>
    <n v="0"/>
    <x v="2"/>
    <x v="133"/>
  </r>
  <r>
    <s v="SALE134"/>
    <d v="2024-11-21T00:00:00"/>
    <s v="CUST1294"/>
    <s v="Lisa Chandler"/>
    <s v="PROD82"/>
    <x v="0"/>
    <s v="STORE19"/>
    <n v="1"/>
    <n v="653.87"/>
    <n v="0.14000000000000001"/>
    <x v="1"/>
    <x v="134"/>
  </r>
  <r>
    <s v="SALE135"/>
    <d v="2025-08-09T00:00:00"/>
    <s v="CUST1493"/>
    <s v="Amanda Powell"/>
    <s v="PROD59"/>
    <x v="2"/>
    <s v="STORE0"/>
    <n v="1"/>
    <n v="652.03"/>
    <n v="0.27"/>
    <x v="0"/>
    <x v="135"/>
  </r>
  <r>
    <s v="SALE136"/>
    <d v="2024-07-29T00:00:00"/>
    <s v="CUST1093"/>
    <s v="Christy Vasquez"/>
    <s v="PROD5"/>
    <x v="4"/>
    <s v="STORE12"/>
    <n v="3"/>
    <n v="513.36"/>
    <n v="7.0000000000000007E-2"/>
    <x v="2"/>
    <x v="136"/>
  </r>
  <r>
    <s v="SALE137"/>
    <d v="2024-05-21T00:00:00"/>
    <s v="CUST1068"/>
    <s v="Mr. Mark Beasley"/>
    <s v="PROD52"/>
    <x v="0"/>
    <s v="STORE5"/>
    <n v="4"/>
    <n v="355.64"/>
    <n v="0.16"/>
    <x v="2"/>
    <x v="137"/>
  </r>
  <r>
    <s v="SALE138"/>
    <d v="2024-10-29T00:00:00"/>
    <s v="CUST1022"/>
    <s v="Paul Fox"/>
    <s v="PROD13"/>
    <x v="1"/>
    <s v="STORE8"/>
    <n v="4"/>
    <n v="535.4"/>
    <n v="0.26"/>
    <x v="1"/>
    <x v="138"/>
  </r>
  <r>
    <s v="SALE139"/>
    <d v="2025-05-21T00:00:00"/>
    <s v="CUST1243"/>
    <s v="Brian Hammond"/>
    <s v="PROD69"/>
    <x v="4"/>
    <s v="STORE19"/>
    <n v="2"/>
    <n v="108.74"/>
    <n v="0.11"/>
    <x v="1"/>
    <x v="139"/>
  </r>
  <r>
    <s v="SALE140"/>
    <d v="2024-10-14T00:00:00"/>
    <s v="CUST1314"/>
    <s v="Elizabeth Johnson"/>
    <s v="PROD11"/>
    <x v="1"/>
    <s v="STORE19"/>
    <n v="3"/>
    <n v="591.98"/>
    <n v="0.16"/>
    <x v="0"/>
    <x v="140"/>
  </r>
  <r>
    <s v="SALE141"/>
    <d v="2024-11-17T00:00:00"/>
    <s v="CUST1405"/>
    <s v="Eric Wolfe"/>
    <s v="PROD48"/>
    <x v="1"/>
    <s v="STORE2"/>
    <n v="1"/>
    <n v="345.06"/>
    <n v="0.13"/>
    <x v="2"/>
    <x v="141"/>
  </r>
  <r>
    <s v="SALE142"/>
    <d v="2025-03-29T00:00:00"/>
    <s v="CUST1307"/>
    <s v="Brandy Thompson"/>
    <s v="PROD93"/>
    <x v="1"/>
    <s v="STORE12"/>
    <n v="4"/>
    <n v="986.41"/>
    <n v="0.22"/>
    <x v="0"/>
    <x v="142"/>
  </r>
  <r>
    <s v="SALE143"/>
    <d v="2024-07-21T00:00:00"/>
    <s v="CUST1319"/>
    <s v="Casey Simpson"/>
    <s v="PROD49"/>
    <x v="2"/>
    <s v="STORE0"/>
    <n v="2"/>
    <n v="921.52"/>
    <n v="0"/>
    <x v="1"/>
    <x v="143"/>
  </r>
  <r>
    <s v="SALE144"/>
    <d v="2025-08-14T00:00:00"/>
    <s v="CUST1097"/>
    <s v="David Cobb"/>
    <s v="PROD80"/>
    <x v="3"/>
    <s v="STORE5"/>
    <n v="1"/>
    <n v="83.1"/>
    <n v="0.04"/>
    <x v="1"/>
    <x v="144"/>
  </r>
  <r>
    <s v="SALE145"/>
    <d v="2024-11-05T00:00:00"/>
    <s v="CUST1369"/>
    <s v="Gregory Allen"/>
    <s v="PROD33"/>
    <x v="3"/>
    <s v="STORE11"/>
    <n v="2"/>
    <n v="60.98"/>
    <n v="0.23"/>
    <x v="1"/>
    <x v="145"/>
  </r>
  <r>
    <s v="SALE146"/>
    <d v="2024-06-11T00:00:00"/>
    <s v="CUST1394"/>
    <s v="Alejandro Evans"/>
    <s v="PROD89"/>
    <x v="2"/>
    <s v="STORE16"/>
    <n v="2"/>
    <n v="122.23"/>
    <n v="0.21"/>
    <x v="2"/>
    <x v="146"/>
  </r>
  <r>
    <s v="SALE147"/>
    <d v="2025-09-18T00:00:00"/>
    <s v="CUST1020"/>
    <s v="Bridget Allen"/>
    <s v="PROD70"/>
    <x v="3"/>
    <s v="STORE18"/>
    <n v="2"/>
    <n v="623.38"/>
    <n v="0.13"/>
    <x v="0"/>
    <x v="147"/>
  </r>
  <r>
    <s v="SALE148"/>
    <d v="2025-03-13T00:00:00"/>
    <s v="CUST1058"/>
    <s v="Cheryl Copeland"/>
    <s v="PROD70"/>
    <x v="3"/>
    <s v="STORE0"/>
    <n v="1"/>
    <n v="479.58"/>
    <n v="0.05"/>
    <x v="1"/>
    <x v="148"/>
  </r>
  <r>
    <s v="SALE149"/>
    <d v="2023-12-16T00:00:00"/>
    <s v="CUST1298"/>
    <s v="Tracy Stephens"/>
    <s v="PROD73"/>
    <x v="0"/>
    <s v="STORE6"/>
    <n v="3"/>
    <n v="369.32"/>
    <n v="0.14000000000000001"/>
    <x v="1"/>
    <x v="149"/>
  </r>
  <r>
    <s v="SALE150"/>
    <d v="2025-07-13T00:00:00"/>
    <s v="CUST1076"/>
    <s v="Nathan Campbell"/>
    <s v="PROD32"/>
    <x v="2"/>
    <s v="STORE1"/>
    <n v="1"/>
    <n v="488.31"/>
    <n v="0.03"/>
    <x v="1"/>
    <x v="150"/>
  </r>
  <r>
    <s v="SALE151"/>
    <d v="2024-05-06T00:00:00"/>
    <s v="CUST1276"/>
    <s v="Arthur Warren"/>
    <s v="PROD65"/>
    <x v="0"/>
    <s v="STORE12"/>
    <n v="4"/>
    <n v="164.04"/>
    <n v="0.26"/>
    <x v="0"/>
    <x v="151"/>
  </r>
  <r>
    <s v="SALE152"/>
    <d v="2024-08-04T00:00:00"/>
    <s v="CUST1073"/>
    <s v="Christopher Brown"/>
    <s v="PROD10"/>
    <x v="3"/>
    <s v="STORE17"/>
    <n v="3"/>
    <n v="707.95"/>
    <n v="0.18"/>
    <x v="1"/>
    <x v="152"/>
  </r>
  <r>
    <s v="SALE153"/>
    <d v="2023-12-09T00:00:00"/>
    <s v="CUST1295"/>
    <s v="Crystal Waters"/>
    <s v="PROD69"/>
    <x v="4"/>
    <s v="STORE8"/>
    <n v="4"/>
    <n v="714.47"/>
    <n v="0.18"/>
    <x v="2"/>
    <x v="153"/>
  </r>
  <r>
    <s v="SALE154"/>
    <d v="2025-07-28T00:00:00"/>
    <s v="CUST1415"/>
    <s v="Tyler Cook"/>
    <s v="PROD79"/>
    <x v="3"/>
    <s v="STORE7"/>
    <n v="4"/>
    <n v="422.09"/>
    <n v="0.04"/>
    <x v="0"/>
    <x v="154"/>
  </r>
  <r>
    <s v="SALE155"/>
    <d v="2024-06-19T00:00:00"/>
    <s v="CUST1108"/>
    <s v="Travis Holland"/>
    <s v="PROD30"/>
    <x v="3"/>
    <s v="STORE9"/>
    <n v="1"/>
    <n v="998.19"/>
    <n v="0.2"/>
    <x v="0"/>
    <x v="155"/>
  </r>
  <r>
    <s v="SALE156"/>
    <d v="2024-01-22T00:00:00"/>
    <s v="CUST1373"/>
    <s v="James Orozco"/>
    <s v="PROD72"/>
    <x v="0"/>
    <s v="STORE7"/>
    <n v="2"/>
    <n v="343.42"/>
    <n v="0.12"/>
    <x v="2"/>
    <x v="156"/>
  </r>
  <r>
    <s v="SALE157"/>
    <d v="2024-04-08T00:00:00"/>
    <s v="CUST1256"/>
    <s v="Kristen Fischer"/>
    <s v="PROD34"/>
    <x v="1"/>
    <s v="STORE6"/>
    <n v="1"/>
    <n v="152.16999999999999"/>
    <n v="0.28000000000000003"/>
    <x v="2"/>
    <x v="157"/>
  </r>
  <r>
    <s v="SALE158"/>
    <d v="2025-05-18T00:00:00"/>
    <s v="CUST1175"/>
    <s v="Michelle Rogers"/>
    <s v="PROD49"/>
    <x v="2"/>
    <s v="STORE11"/>
    <n v="1"/>
    <n v="325.08"/>
    <n v="0.26"/>
    <x v="1"/>
    <x v="158"/>
  </r>
  <r>
    <s v="SALE159"/>
    <d v="2023-12-07T00:00:00"/>
    <s v="CUST1344"/>
    <s v="Evelyn Brown"/>
    <s v="PROD89"/>
    <x v="2"/>
    <s v="STORE10"/>
    <n v="2"/>
    <n v="827.92"/>
    <n v="0.25"/>
    <x v="2"/>
    <x v="159"/>
  </r>
  <r>
    <s v="SALE160"/>
    <d v="2024-01-23T00:00:00"/>
    <s v="CUST1485"/>
    <s v="Sara Ingram"/>
    <s v="PROD26"/>
    <x v="1"/>
    <s v="STORE2"/>
    <n v="2"/>
    <n v="593.47"/>
    <n v="0.1"/>
    <x v="2"/>
    <x v="160"/>
  </r>
  <r>
    <s v="SALE161"/>
    <d v="2023-12-07T00:00:00"/>
    <s v="CUST1293"/>
    <s v="Gloria Taylor"/>
    <s v="PROD20"/>
    <x v="0"/>
    <s v="STORE7"/>
    <n v="4"/>
    <n v="756.28"/>
    <n v="0.05"/>
    <x v="2"/>
    <x v="161"/>
  </r>
  <r>
    <s v="SALE162"/>
    <d v="2024-12-15T00:00:00"/>
    <s v="CUST1377"/>
    <s v="Charles Conley"/>
    <s v="PROD92"/>
    <x v="3"/>
    <s v="STORE1"/>
    <n v="2"/>
    <n v="707.65"/>
    <n v="0.14000000000000001"/>
    <x v="0"/>
    <x v="162"/>
  </r>
  <r>
    <s v="SALE163"/>
    <d v="2024-03-20T00:00:00"/>
    <s v="CUST1128"/>
    <s v="Susan Mcdonald"/>
    <s v="PROD25"/>
    <x v="4"/>
    <s v="STORE15"/>
    <n v="1"/>
    <n v="857.35"/>
    <n v="0.28000000000000003"/>
    <x v="1"/>
    <x v="163"/>
  </r>
  <r>
    <s v="SALE164"/>
    <d v="2025-01-13T00:00:00"/>
    <s v="CUST1499"/>
    <s v="Philip Pennington"/>
    <s v="PROD55"/>
    <x v="3"/>
    <s v="STORE8"/>
    <n v="1"/>
    <n v="79"/>
    <n v="0.04"/>
    <x v="1"/>
    <x v="164"/>
  </r>
  <r>
    <s v="SALE165"/>
    <d v="2025-08-16T00:00:00"/>
    <s v="CUST1066"/>
    <s v="Cody Diaz"/>
    <s v="PROD94"/>
    <x v="2"/>
    <s v="STORE5"/>
    <n v="4"/>
    <n v="638.91"/>
    <n v="0"/>
    <x v="2"/>
    <x v="165"/>
  </r>
  <r>
    <s v="SALE166"/>
    <d v="2025-06-04T00:00:00"/>
    <s v="CUST1081"/>
    <s v="Krystal Ford"/>
    <s v="PROD45"/>
    <x v="0"/>
    <s v="STORE0"/>
    <n v="2"/>
    <n v="522.16999999999996"/>
    <n v="0.27"/>
    <x v="0"/>
    <x v="166"/>
  </r>
  <r>
    <s v="SALE167"/>
    <d v="2023-11-05T00:00:00"/>
    <s v="CUST1478"/>
    <s v="Earl Smith Dds"/>
    <s v="PROD39"/>
    <x v="1"/>
    <s v="STORE12"/>
    <n v="3"/>
    <n v="954.29"/>
    <n v="0.27"/>
    <x v="0"/>
    <x v="167"/>
  </r>
  <r>
    <s v="SALE168"/>
    <d v="2025-02-22T00:00:00"/>
    <s v="CUST1462"/>
    <s v="Beth Martin"/>
    <s v="PROD33"/>
    <x v="3"/>
    <s v="STORE13"/>
    <n v="3"/>
    <n v="53.92"/>
    <n v="0.15"/>
    <x v="1"/>
    <x v="168"/>
  </r>
  <r>
    <s v="SALE169"/>
    <d v="2025-04-06T00:00:00"/>
    <s v="CUST1396"/>
    <s v="Alexander Byrd"/>
    <s v="PROD43"/>
    <x v="1"/>
    <s v="STORE0"/>
    <n v="4"/>
    <n v="741.88"/>
    <n v="0.02"/>
    <x v="2"/>
    <x v="169"/>
  </r>
  <r>
    <s v="SALE170"/>
    <d v="2024-10-29T00:00:00"/>
    <s v="CUST1033"/>
    <s v="Robert Jones Dds"/>
    <s v="PROD46"/>
    <x v="4"/>
    <s v="STORE3"/>
    <n v="1"/>
    <n v="547.09"/>
    <n v="0.01"/>
    <x v="1"/>
    <x v="170"/>
  </r>
  <r>
    <s v="SALE171"/>
    <d v="2025-01-29T00:00:00"/>
    <s v="CUST1489"/>
    <s v="Melinda Thomas"/>
    <s v="PROD89"/>
    <x v="2"/>
    <s v="STORE3"/>
    <n v="1"/>
    <n v="789.35"/>
    <n v="0.14000000000000001"/>
    <x v="1"/>
    <x v="171"/>
  </r>
  <r>
    <s v="SALE172"/>
    <d v="2024-03-03T00:00:00"/>
    <s v="CUST1428"/>
    <s v="Samuel Mullins"/>
    <s v="PROD63"/>
    <x v="2"/>
    <s v="STORE3"/>
    <n v="3"/>
    <n v="476.78"/>
    <n v="0.09"/>
    <x v="2"/>
    <x v="172"/>
  </r>
  <r>
    <s v="SALE173"/>
    <d v="2024-11-04T00:00:00"/>
    <s v="CUST1453"/>
    <s v="April Phillips"/>
    <s v="PROD12"/>
    <x v="2"/>
    <s v="STORE18"/>
    <n v="2"/>
    <n v="504.26"/>
    <n v="0.04"/>
    <x v="1"/>
    <x v="173"/>
  </r>
  <r>
    <s v="SALE174"/>
    <d v="2024-09-03T00:00:00"/>
    <s v="CUST1272"/>
    <s v="Adam Rowland"/>
    <s v="PROD81"/>
    <x v="0"/>
    <s v="STORE6"/>
    <n v="2"/>
    <n v="549.33000000000004"/>
    <n v="0.01"/>
    <x v="2"/>
    <x v="174"/>
  </r>
  <r>
    <s v="SALE175"/>
    <d v="2024-04-29T00:00:00"/>
    <s v="CUST1382"/>
    <s v="Martha Brown"/>
    <s v="PROD4"/>
    <x v="4"/>
    <s v="STORE3"/>
    <n v="3"/>
    <n v="620.22"/>
    <n v="0.04"/>
    <x v="0"/>
    <x v="175"/>
  </r>
  <r>
    <s v="SALE176"/>
    <d v="2024-04-29T00:00:00"/>
    <s v="CUST1091"/>
    <s v="Donna Gregory"/>
    <s v="PROD46"/>
    <x v="4"/>
    <s v="STORE3"/>
    <n v="1"/>
    <n v="580.76"/>
    <n v="0.1"/>
    <x v="2"/>
    <x v="176"/>
  </r>
  <r>
    <s v="SALE177"/>
    <d v="2025-04-28T00:00:00"/>
    <s v="CUST1334"/>
    <s v="Mr. Christopher Sims"/>
    <s v="PROD71"/>
    <x v="2"/>
    <s v="STORE9"/>
    <n v="3"/>
    <n v="444.55"/>
    <n v="0.14000000000000001"/>
    <x v="1"/>
    <x v="177"/>
  </r>
  <r>
    <s v="SALE178"/>
    <d v="2024-06-16T00:00:00"/>
    <s v="CUST1138"/>
    <s v="Sean Roth"/>
    <s v="PROD46"/>
    <x v="4"/>
    <s v="STORE18"/>
    <n v="1"/>
    <n v="804.9"/>
    <n v="0.03"/>
    <x v="1"/>
    <x v="178"/>
  </r>
  <r>
    <s v="SALE179"/>
    <d v="2024-11-21T00:00:00"/>
    <s v="CUST1424"/>
    <s v="Edwin Barnes"/>
    <s v="PROD92"/>
    <x v="3"/>
    <s v="STORE14"/>
    <n v="3"/>
    <n v="361.65"/>
    <n v="0.15"/>
    <x v="2"/>
    <x v="179"/>
  </r>
  <r>
    <s v="SALE180"/>
    <d v="2025-04-16T00:00:00"/>
    <s v="CUST1162"/>
    <s v="Mariah Brown"/>
    <s v="PROD99"/>
    <x v="3"/>
    <s v="STORE4"/>
    <n v="1"/>
    <n v="271.76"/>
    <n v="0.03"/>
    <x v="0"/>
    <x v="180"/>
  </r>
  <r>
    <s v="SALE181"/>
    <d v="2024-11-22T00:00:00"/>
    <s v="CUST1323"/>
    <s v="Kristy Dunlap"/>
    <s v="PROD49"/>
    <x v="2"/>
    <s v="STORE10"/>
    <n v="3"/>
    <n v="958.15"/>
    <n v="0.24"/>
    <x v="2"/>
    <x v="181"/>
  </r>
  <r>
    <s v="SALE182"/>
    <d v="2023-12-30T00:00:00"/>
    <s v="CUST1427"/>
    <s v="Jose Stewart"/>
    <s v="PROD53"/>
    <x v="4"/>
    <s v="STORE17"/>
    <n v="1"/>
    <n v="889.19"/>
    <n v="0.03"/>
    <x v="0"/>
    <x v="182"/>
  </r>
  <r>
    <s v="SALE183"/>
    <d v="2025-09-04T00:00:00"/>
    <s v="CUST1464"/>
    <s v="David Pierce"/>
    <s v="PROD33"/>
    <x v="3"/>
    <s v="STORE16"/>
    <n v="4"/>
    <n v="689.67"/>
    <n v="0.05"/>
    <x v="2"/>
    <x v="183"/>
  </r>
  <r>
    <s v="SALE184"/>
    <d v="2023-10-28T00:00:00"/>
    <s v="CUST1135"/>
    <s v="Matthew Hanna"/>
    <s v="PROD44"/>
    <x v="0"/>
    <s v="STORE11"/>
    <n v="1"/>
    <n v="541.24"/>
    <n v="0.03"/>
    <x v="1"/>
    <x v="184"/>
  </r>
  <r>
    <s v="SALE185"/>
    <d v="2024-11-04T00:00:00"/>
    <s v="CUST1448"/>
    <s v="Eric Holmes"/>
    <s v="PROD81"/>
    <x v="0"/>
    <s v="STORE6"/>
    <n v="1"/>
    <n v="454.71"/>
    <n v="0.16"/>
    <x v="1"/>
    <x v="185"/>
  </r>
  <r>
    <s v="SALE186"/>
    <d v="2024-12-20T00:00:00"/>
    <s v="CUST1038"/>
    <s v="Deanna Simpson"/>
    <s v="PROD66"/>
    <x v="2"/>
    <s v="STORE5"/>
    <n v="2"/>
    <n v="397.63"/>
    <n v="0.26"/>
    <x v="0"/>
    <x v="186"/>
  </r>
  <r>
    <s v="SALE187"/>
    <d v="2025-03-09T00:00:00"/>
    <s v="CUST1170"/>
    <s v="Christopher Garcia Dds"/>
    <s v="PROD83"/>
    <x v="2"/>
    <s v="STORE6"/>
    <n v="3"/>
    <n v="748.56"/>
    <n v="0.26"/>
    <x v="1"/>
    <x v="187"/>
  </r>
  <r>
    <s v="SALE188"/>
    <d v="2025-03-26T00:00:00"/>
    <s v="CUST1144"/>
    <s v="Justin Cross"/>
    <s v="PROD72"/>
    <x v="0"/>
    <s v="STORE4"/>
    <n v="1"/>
    <n v="885.72"/>
    <n v="0.15"/>
    <x v="0"/>
    <x v="188"/>
  </r>
  <r>
    <s v="SALE189"/>
    <d v="2025-04-03T00:00:00"/>
    <s v="CUST1108"/>
    <s v="Travis Holland"/>
    <s v="PROD30"/>
    <x v="3"/>
    <s v="STORE1"/>
    <n v="4"/>
    <n v="408.07"/>
    <n v="0.28000000000000003"/>
    <x v="2"/>
    <x v="189"/>
  </r>
  <r>
    <s v="SALE190"/>
    <d v="2024-02-05T00:00:00"/>
    <s v="CUST1472"/>
    <s v="Philip Mendoza"/>
    <s v="PROD34"/>
    <x v="1"/>
    <s v="STORE9"/>
    <n v="2"/>
    <n v="597.07000000000005"/>
    <n v="0.28000000000000003"/>
    <x v="1"/>
    <x v="190"/>
  </r>
  <r>
    <s v="SALE191"/>
    <d v="2024-06-22T00:00:00"/>
    <s v="CUST1022"/>
    <s v="Paul Fox"/>
    <s v="PROD13"/>
    <x v="1"/>
    <s v="STORE9"/>
    <n v="3"/>
    <n v="723.47"/>
    <n v="0.12"/>
    <x v="2"/>
    <x v="191"/>
  </r>
  <r>
    <s v="SALE192"/>
    <d v="2025-08-14T00:00:00"/>
    <s v="CUST1437"/>
    <s v="Melinda Rivera"/>
    <s v="PROD88"/>
    <x v="0"/>
    <s v="STORE5"/>
    <n v="1"/>
    <n v="479.93"/>
    <n v="0.22"/>
    <x v="0"/>
    <x v="192"/>
  </r>
  <r>
    <s v="SALE193"/>
    <d v="2024-06-02T00:00:00"/>
    <s v="CUST1243"/>
    <s v="Brian Hammond"/>
    <s v="PROD69"/>
    <x v="4"/>
    <s v="STORE16"/>
    <n v="4"/>
    <n v="362.81"/>
    <n v="0.21"/>
    <x v="2"/>
    <x v="193"/>
  </r>
  <r>
    <s v="SALE194"/>
    <d v="2024-12-14T00:00:00"/>
    <s v="CUST1185"/>
    <s v="Brent Rivas"/>
    <s v="PROD79"/>
    <x v="3"/>
    <s v="STORE3"/>
    <n v="1"/>
    <n v="127.11"/>
    <n v="0.01"/>
    <x v="1"/>
    <x v="194"/>
  </r>
  <r>
    <s v="SALE195"/>
    <d v="2024-04-29T00:00:00"/>
    <s v="CUST1184"/>
    <s v="Leonard Cochran"/>
    <s v="PROD34"/>
    <x v="1"/>
    <s v="STORE17"/>
    <n v="4"/>
    <n v="931.26"/>
    <n v="0.04"/>
    <x v="0"/>
    <x v="195"/>
  </r>
  <r>
    <s v="SALE196"/>
    <d v="2023-10-25T00:00:00"/>
    <s v="CUST1371"/>
    <s v="Michael Garner"/>
    <s v="PROD67"/>
    <x v="1"/>
    <s v="STORE8"/>
    <n v="1"/>
    <n v="620.80999999999995"/>
    <n v="0.04"/>
    <x v="1"/>
    <x v="196"/>
  </r>
  <r>
    <s v="SALE197"/>
    <d v="2024-07-24T00:00:00"/>
    <s v="CUST1094"/>
    <s v="David Patterson"/>
    <s v="PROD39"/>
    <x v="1"/>
    <s v="STORE2"/>
    <n v="1"/>
    <n v="823.26"/>
    <n v="0.27"/>
    <x v="2"/>
    <x v="197"/>
  </r>
  <r>
    <s v="SALE198"/>
    <d v="2025-05-30T00:00:00"/>
    <s v="CUST1012"/>
    <s v="Kenneth Lambert"/>
    <s v="PROD27"/>
    <x v="3"/>
    <s v="STORE8"/>
    <n v="3"/>
    <n v="681.01"/>
    <n v="0.27"/>
    <x v="2"/>
    <x v="198"/>
  </r>
  <r>
    <s v="SALE199"/>
    <d v="2025-10-12T00:00:00"/>
    <s v="CUST1442"/>
    <s v="Kelli Smith"/>
    <s v="PROD56"/>
    <x v="3"/>
    <s v="STORE19"/>
    <n v="4"/>
    <n v="119.83"/>
    <n v="0.13"/>
    <x v="0"/>
    <x v="199"/>
  </r>
  <r>
    <s v="SALE200"/>
    <d v="2024-01-23T00:00:00"/>
    <s v="CUST1307"/>
    <s v="Brandy Thompson"/>
    <s v="PROD93"/>
    <x v="1"/>
    <s v="STORE2"/>
    <n v="1"/>
    <n v="575.66"/>
    <n v="0.03"/>
    <x v="1"/>
    <x v="200"/>
  </r>
  <r>
    <s v="SALE201"/>
    <d v="2025-10-13T00:00:00"/>
    <s v="CUST1199"/>
    <s v="Carmen Price"/>
    <s v="PROD48"/>
    <x v="1"/>
    <s v="STORE16"/>
    <n v="1"/>
    <n v="775.84"/>
    <n v="0.26"/>
    <x v="0"/>
    <x v="201"/>
  </r>
  <r>
    <s v="SALE202"/>
    <d v="2024-03-05T00:00:00"/>
    <s v="CUST1443"/>
    <s v="Adam Castro"/>
    <s v="PROD34"/>
    <x v="1"/>
    <s v="STORE9"/>
    <n v="3"/>
    <n v="318.43"/>
    <n v="0.05"/>
    <x v="0"/>
    <x v="202"/>
  </r>
  <r>
    <s v="SALE203"/>
    <d v="2025-07-16T00:00:00"/>
    <s v="CUST1153"/>
    <s v="Joseph Faulkner"/>
    <s v="PROD72"/>
    <x v="0"/>
    <s v="STORE8"/>
    <n v="3"/>
    <n v="141.6"/>
    <n v="0.08"/>
    <x v="2"/>
    <x v="203"/>
  </r>
  <r>
    <s v="SALE204"/>
    <d v="2023-10-20T00:00:00"/>
    <s v="CUST1266"/>
    <s v="Cynthia Payne"/>
    <s v="PROD15"/>
    <x v="1"/>
    <s v="STORE19"/>
    <n v="1"/>
    <n v="332.82"/>
    <n v="0.14000000000000001"/>
    <x v="1"/>
    <x v="204"/>
  </r>
  <r>
    <s v="SALE205"/>
    <d v="2024-06-04T00:00:00"/>
    <s v="CUST1246"/>
    <s v="Mary Russell"/>
    <s v="PROD72"/>
    <x v="0"/>
    <s v="STORE1"/>
    <n v="4"/>
    <n v="640.97"/>
    <n v="0.11"/>
    <x v="2"/>
    <x v="205"/>
  </r>
  <r>
    <s v="SALE206"/>
    <d v="2023-10-26T00:00:00"/>
    <s v="CUST1203"/>
    <s v="Sarah Brady"/>
    <s v="PROD43"/>
    <x v="1"/>
    <s v="STORE15"/>
    <n v="4"/>
    <n v="75.37"/>
    <n v="0.02"/>
    <x v="2"/>
    <x v="206"/>
  </r>
  <r>
    <s v="SALE207"/>
    <d v="2025-04-07T00:00:00"/>
    <s v="CUST1075"/>
    <s v="Rhonda Morales"/>
    <s v="PROD16"/>
    <x v="2"/>
    <s v="STORE18"/>
    <n v="3"/>
    <n v="434.55"/>
    <n v="0.08"/>
    <x v="2"/>
    <x v="207"/>
  </r>
  <r>
    <s v="SALE208"/>
    <d v="2025-03-13T00:00:00"/>
    <s v="CUST1099"/>
    <s v="Sheila Wilson"/>
    <s v="PROD26"/>
    <x v="1"/>
    <s v="STORE14"/>
    <n v="4"/>
    <n v="652.28"/>
    <n v="0.15"/>
    <x v="0"/>
    <x v="208"/>
  </r>
  <r>
    <s v="SALE209"/>
    <d v="2024-07-07T00:00:00"/>
    <s v="CUST1269"/>
    <s v="Tyrone Olson"/>
    <s v="PROD77"/>
    <x v="1"/>
    <s v="STORE17"/>
    <n v="3"/>
    <n v="207.8"/>
    <n v="0.15"/>
    <x v="0"/>
    <x v="209"/>
  </r>
  <r>
    <s v="SALE210"/>
    <d v="2024-03-10T00:00:00"/>
    <s v="CUST1495"/>
    <s v="James Berger"/>
    <s v="PROD61"/>
    <x v="0"/>
    <s v="STORE15"/>
    <n v="4"/>
    <n v="385.5"/>
    <n v="0.03"/>
    <x v="1"/>
    <x v="210"/>
  </r>
  <r>
    <s v="SALE211"/>
    <d v="2025-09-15T00:00:00"/>
    <s v="CUST1096"/>
    <s v="Samantha Walker"/>
    <s v="PROD65"/>
    <x v="0"/>
    <s v="STORE6"/>
    <n v="3"/>
    <n v="548.19000000000005"/>
    <n v="0.12"/>
    <x v="0"/>
    <x v="211"/>
  </r>
  <r>
    <s v="SALE212"/>
    <d v="2024-11-11T00:00:00"/>
    <s v="CUST1069"/>
    <s v="Roy Cole"/>
    <s v="PROD73"/>
    <x v="0"/>
    <s v="STORE9"/>
    <n v="3"/>
    <n v="927.6"/>
    <n v="0.09"/>
    <x v="0"/>
    <x v="212"/>
  </r>
  <r>
    <s v="SALE213"/>
    <d v="2025-01-09T00:00:00"/>
    <s v="CUST1266"/>
    <s v="Cynthia Payne"/>
    <s v="PROD15"/>
    <x v="1"/>
    <s v="STORE3"/>
    <n v="4"/>
    <n v="585.04"/>
    <n v="0.22"/>
    <x v="1"/>
    <x v="213"/>
  </r>
  <r>
    <s v="SALE214"/>
    <d v="2024-04-24T00:00:00"/>
    <s v="CUST1499"/>
    <s v="Philip Pennington"/>
    <s v="PROD55"/>
    <x v="3"/>
    <s v="STORE2"/>
    <n v="2"/>
    <n v="999.89"/>
    <n v="0.09"/>
    <x v="0"/>
    <x v="214"/>
  </r>
  <r>
    <s v="SALE215"/>
    <d v="2023-12-24T00:00:00"/>
    <s v="CUST1107"/>
    <s v="Erica Carney"/>
    <s v="PROD75"/>
    <x v="4"/>
    <s v="STORE3"/>
    <n v="2"/>
    <n v="848.98"/>
    <n v="0.04"/>
    <x v="1"/>
    <x v="215"/>
  </r>
  <r>
    <s v="SALE216"/>
    <d v="2024-02-26T00:00:00"/>
    <s v="CUST1142"/>
    <s v="Maria Ramirez"/>
    <s v="PROD69"/>
    <x v="4"/>
    <s v="STORE14"/>
    <n v="3"/>
    <n v="769.56"/>
    <n v="0.08"/>
    <x v="0"/>
    <x v="216"/>
  </r>
  <r>
    <s v="SALE217"/>
    <d v="2025-01-19T00:00:00"/>
    <s v="CUST1049"/>
    <s v="Timothy Weaver"/>
    <s v="PROD48"/>
    <x v="1"/>
    <s v="STORE13"/>
    <n v="3"/>
    <n v="449.88"/>
    <n v="0.1"/>
    <x v="1"/>
    <x v="217"/>
  </r>
  <r>
    <s v="SALE218"/>
    <d v="2025-07-25T00:00:00"/>
    <s v="CUST1275"/>
    <s v="Shannon Miller"/>
    <s v="PROD69"/>
    <x v="4"/>
    <s v="STORE12"/>
    <n v="4"/>
    <n v="383.74"/>
    <n v="0.01"/>
    <x v="0"/>
    <x v="218"/>
  </r>
  <r>
    <s v="SALE219"/>
    <d v="2024-04-27T00:00:00"/>
    <s v="CUST1148"/>
    <s v="Theresa Campbell"/>
    <s v="PROD13"/>
    <x v="1"/>
    <s v="STORE10"/>
    <n v="4"/>
    <n v="794.97"/>
    <n v="0.24"/>
    <x v="1"/>
    <x v="219"/>
  </r>
  <r>
    <s v="SALE220"/>
    <d v="2025-08-11T00:00:00"/>
    <s v="CUST1010"/>
    <s v="Dominic Page"/>
    <s v="PROD33"/>
    <x v="3"/>
    <s v="STORE5"/>
    <n v="1"/>
    <n v="989.63"/>
    <n v="0.05"/>
    <x v="1"/>
    <x v="220"/>
  </r>
  <r>
    <s v="SALE221"/>
    <d v="2025-03-15T00:00:00"/>
    <s v="CUST1335"/>
    <s v="Jennifer Woods"/>
    <s v="PROD29"/>
    <x v="3"/>
    <s v="STORE0"/>
    <n v="1"/>
    <n v="447.16"/>
    <n v="0.22"/>
    <x v="2"/>
    <x v="221"/>
  </r>
  <r>
    <s v="SALE222"/>
    <d v="2025-01-14T00:00:00"/>
    <s v="CUST1008"/>
    <s v="Melissa Howard"/>
    <s v="PROD30"/>
    <x v="3"/>
    <s v="STORE6"/>
    <n v="1"/>
    <n v="946.9"/>
    <n v="0.28999999999999998"/>
    <x v="2"/>
    <x v="222"/>
  </r>
  <r>
    <s v="SALE223"/>
    <d v="2025-06-01T00:00:00"/>
    <s v="CUST1169"/>
    <s v="Steve Mclaughlin"/>
    <s v="PROD17"/>
    <x v="0"/>
    <s v="STORE0"/>
    <n v="4"/>
    <n v="469.68"/>
    <n v="0.19"/>
    <x v="0"/>
    <x v="223"/>
  </r>
  <r>
    <s v="SALE224"/>
    <d v="2024-09-24T00:00:00"/>
    <s v="CUST1494"/>
    <s v="Justin Lopez"/>
    <s v="PROD28"/>
    <x v="0"/>
    <s v="STORE17"/>
    <n v="4"/>
    <n v="320.64"/>
    <n v="0.2"/>
    <x v="2"/>
    <x v="224"/>
  </r>
  <r>
    <s v="SALE225"/>
    <d v="2023-11-23T00:00:00"/>
    <s v="CUST1135"/>
    <s v="Matthew Hanna"/>
    <s v="PROD44"/>
    <x v="0"/>
    <s v="STORE5"/>
    <n v="1"/>
    <n v="594.44000000000005"/>
    <n v="0.21"/>
    <x v="0"/>
    <x v="225"/>
  </r>
  <r>
    <s v="SALE226"/>
    <d v="2025-07-23T00:00:00"/>
    <s v="CUST1216"/>
    <s v="Kathryn Garcia"/>
    <s v="PROD86"/>
    <x v="3"/>
    <s v="STORE8"/>
    <n v="3"/>
    <n v="91.7"/>
    <n v="0.08"/>
    <x v="2"/>
    <x v="226"/>
  </r>
  <r>
    <s v="SALE227"/>
    <d v="2025-09-17T00:00:00"/>
    <s v="CUST1031"/>
    <s v="Sarah Vance"/>
    <s v="PROD62"/>
    <x v="1"/>
    <s v="STORE12"/>
    <n v="3"/>
    <n v="741.33"/>
    <n v="0.03"/>
    <x v="0"/>
    <x v="227"/>
  </r>
  <r>
    <s v="SALE228"/>
    <d v="2025-04-07T00:00:00"/>
    <s v="CUST1476"/>
    <s v="Elizabeth Foster"/>
    <s v="PROD69"/>
    <x v="4"/>
    <s v="STORE19"/>
    <n v="1"/>
    <n v="922.78"/>
    <n v="0.28999999999999998"/>
    <x v="2"/>
    <x v="228"/>
  </r>
  <r>
    <s v="SALE229"/>
    <d v="2024-01-21T00:00:00"/>
    <s v="CUST1325"/>
    <s v="Andrew Smith"/>
    <s v="PROD54"/>
    <x v="0"/>
    <s v="STORE16"/>
    <n v="1"/>
    <n v="394.35"/>
    <n v="0.09"/>
    <x v="1"/>
    <x v="229"/>
  </r>
  <r>
    <s v="SALE230"/>
    <d v="2024-07-07T00:00:00"/>
    <s v="CUST1364"/>
    <s v="Chloe Aguilar"/>
    <s v="PROD65"/>
    <x v="0"/>
    <s v="STORE11"/>
    <n v="2"/>
    <n v="703.95"/>
    <n v="0.03"/>
    <x v="0"/>
    <x v="230"/>
  </r>
  <r>
    <s v="SALE231"/>
    <d v="2025-05-03T00:00:00"/>
    <s v="CUST1200"/>
    <s v="Anna Perez"/>
    <s v="PROD77"/>
    <x v="1"/>
    <s v="STORE0"/>
    <n v="4"/>
    <n v="452.67"/>
    <n v="0.28000000000000003"/>
    <x v="1"/>
    <x v="231"/>
  </r>
  <r>
    <s v="SALE232"/>
    <d v="2024-02-27T00:00:00"/>
    <s v="CUST1463"/>
    <s v="Samantha Lee"/>
    <s v="PROD8"/>
    <x v="1"/>
    <s v="STORE7"/>
    <n v="2"/>
    <n v="377.3"/>
    <n v="0.15"/>
    <x v="1"/>
    <x v="232"/>
  </r>
  <r>
    <s v="SALE233"/>
    <d v="2025-07-08T00:00:00"/>
    <s v="CUST1344"/>
    <s v="Evelyn Brown"/>
    <s v="PROD89"/>
    <x v="2"/>
    <s v="STORE7"/>
    <n v="2"/>
    <n v="130.47999999999999"/>
    <n v="0.23"/>
    <x v="1"/>
    <x v="233"/>
  </r>
  <r>
    <s v="SALE234"/>
    <d v="2025-03-13T00:00:00"/>
    <s v="CUST1435"/>
    <s v="Lindsay Beasley"/>
    <s v="PROD36"/>
    <x v="4"/>
    <s v="STORE12"/>
    <n v="1"/>
    <n v="809.45"/>
    <n v="0.09"/>
    <x v="2"/>
    <x v="234"/>
  </r>
  <r>
    <s v="SALE235"/>
    <d v="2025-04-21T00:00:00"/>
    <s v="CUST1083"/>
    <s v="Thomas Robinson"/>
    <s v="PROD45"/>
    <x v="0"/>
    <s v="STORE9"/>
    <n v="3"/>
    <n v="499.12"/>
    <n v="0.05"/>
    <x v="1"/>
    <x v="235"/>
  </r>
  <r>
    <s v="SALE236"/>
    <d v="2024-11-10T00:00:00"/>
    <s v="CUST1023"/>
    <s v="Jonathan Steele"/>
    <s v="PROD68"/>
    <x v="3"/>
    <s v="STORE3"/>
    <n v="2"/>
    <n v="894.58"/>
    <n v="0.25"/>
    <x v="0"/>
    <x v="236"/>
  </r>
  <r>
    <s v="SALE237"/>
    <d v="2024-08-09T00:00:00"/>
    <s v="CUST1131"/>
    <s v="Joseph Richards"/>
    <s v="PROD56"/>
    <x v="3"/>
    <s v="STORE9"/>
    <n v="4"/>
    <n v="578.39"/>
    <n v="0.01"/>
    <x v="0"/>
    <x v="237"/>
  </r>
  <r>
    <s v="SALE238"/>
    <d v="2024-03-05T00:00:00"/>
    <s v="CUST1485"/>
    <s v="Sara Ingram"/>
    <s v="PROD26"/>
    <x v="1"/>
    <s v="STORE17"/>
    <n v="4"/>
    <n v="982.45"/>
    <n v="0.2"/>
    <x v="1"/>
    <x v="238"/>
  </r>
  <r>
    <s v="SALE239"/>
    <d v="2025-09-25T00:00:00"/>
    <s v="CUST1449"/>
    <s v="William Cortez"/>
    <s v="PROD98"/>
    <x v="1"/>
    <s v="STORE19"/>
    <n v="1"/>
    <n v="549.52"/>
    <n v="0.1"/>
    <x v="1"/>
    <x v="239"/>
  </r>
  <r>
    <s v="SALE240"/>
    <d v="2025-08-07T00:00:00"/>
    <s v="CUST1240"/>
    <s v="William Hull"/>
    <s v="PROD92"/>
    <x v="3"/>
    <s v="STORE18"/>
    <n v="2"/>
    <n v="239.92"/>
    <n v="0.16"/>
    <x v="0"/>
    <x v="240"/>
  </r>
  <r>
    <s v="SALE241"/>
    <d v="2024-02-16T00:00:00"/>
    <s v="CUST1082"/>
    <s v="George Rosario"/>
    <s v="PROD92"/>
    <x v="3"/>
    <s v="STORE6"/>
    <n v="2"/>
    <n v="878.05"/>
    <n v="0.11"/>
    <x v="1"/>
    <x v="241"/>
  </r>
  <r>
    <s v="SALE242"/>
    <d v="2025-03-30T00:00:00"/>
    <s v="CUST1044"/>
    <s v="Denise Williams"/>
    <s v="PROD1"/>
    <x v="4"/>
    <s v="STORE9"/>
    <n v="3"/>
    <n v="546.96"/>
    <n v="0.19"/>
    <x v="0"/>
    <x v="242"/>
  </r>
  <r>
    <s v="SALE243"/>
    <d v="2025-02-18T00:00:00"/>
    <s v="CUST1471"/>
    <s v="Debra Mccullough"/>
    <s v="PROD17"/>
    <x v="0"/>
    <s v="STORE10"/>
    <n v="2"/>
    <n v="71.77"/>
    <n v="0.22"/>
    <x v="0"/>
    <x v="243"/>
  </r>
  <r>
    <s v="SALE244"/>
    <d v="2025-03-01T00:00:00"/>
    <s v="CUST1013"/>
    <s v="Nathan Hernandez"/>
    <s v="PROD24"/>
    <x v="0"/>
    <s v="STORE1"/>
    <n v="2"/>
    <n v="679.86"/>
    <n v="0.22"/>
    <x v="2"/>
    <x v="244"/>
  </r>
  <r>
    <s v="SALE245"/>
    <d v="2024-01-09T00:00:00"/>
    <s v="CUST1136"/>
    <s v="Patrick Coleman"/>
    <s v="PROD35"/>
    <x v="3"/>
    <s v="STORE17"/>
    <n v="1"/>
    <n v="222.94"/>
    <n v="0.19"/>
    <x v="0"/>
    <x v="245"/>
  </r>
  <r>
    <s v="SALE246"/>
    <d v="2024-07-24T00:00:00"/>
    <s v="CUST1103"/>
    <s v="Steven Stein"/>
    <s v="PROD89"/>
    <x v="2"/>
    <s v="STORE19"/>
    <n v="4"/>
    <n v="611.29999999999995"/>
    <n v="0.11"/>
    <x v="1"/>
    <x v="246"/>
  </r>
  <r>
    <s v="SALE247"/>
    <d v="2025-03-26T00:00:00"/>
    <s v="CUST1333"/>
    <s v="Teresa Johnson"/>
    <s v="PROD0"/>
    <x v="1"/>
    <s v="STORE8"/>
    <n v="4"/>
    <n v="849.21"/>
    <n v="7.0000000000000007E-2"/>
    <x v="0"/>
    <x v="247"/>
  </r>
  <r>
    <s v="SALE248"/>
    <d v="2025-02-25T00:00:00"/>
    <s v="CUST1209"/>
    <s v="Joan Johnson"/>
    <s v="PROD42"/>
    <x v="1"/>
    <s v="STORE7"/>
    <n v="3"/>
    <n v="553.12"/>
    <n v="0.28000000000000003"/>
    <x v="2"/>
    <x v="248"/>
  </r>
  <r>
    <s v="SALE249"/>
    <d v="2025-06-18T00:00:00"/>
    <s v="CUST1282"/>
    <s v="Kristi Lopez"/>
    <s v="PROD91"/>
    <x v="4"/>
    <s v="STORE9"/>
    <n v="2"/>
    <n v="903.08"/>
    <n v="0.18"/>
    <x v="2"/>
    <x v="249"/>
  </r>
  <r>
    <s v="SALE250"/>
    <d v="2024-12-22T00:00:00"/>
    <s v="CUST1478"/>
    <s v="Earl Smith Dds"/>
    <s v="PROD39"/>
    <x v="1"/>
    <s v="STORE11"/>
    <n v="4"/>
    <n v="640.23"/>
    <n v="0.06"/>
    <x v="2"/>
    <x v="250"/>
  </r>
  <r>
    <s v="SALE251"/>
    <d v="2025-06-28T00:00:00"/>
    <s v="CUST1141"/>
    <s v="Cristian Wright"/>
    <s v="PROD21"/>
    <x v="3"/>
    <s v="STORE6"/>
    <n v="1"/>
    <n v="518"/>
    <n v="0.25"/>
    <x v="0"/>
    <x v="251"/>
  </r>
  <r>
    <s v="SALE252"/>
    <d v="2024-05-25T00:00:00"/>
    <s v="CUST1433"/>
    <s v="Thomas Moore"/>
    <s v="PROD64"/>
    <x v="2"/>
    <s v="STORE4"/>
    <n v="4"/>
    <n v="779.25"/>
    <n v="0.25"/>
    <x v="0"/>
    <x v="252"/>
  </r>
  <r>
    <s v="SALE253"/>
    <d v="2025-05-30T00:00:00"/>
    <s v="CUST1118"/>
    <s v="Earl Allen"/>
    <s v="PROD83"/>
    <x v="2"/>
    <s v="STORE7"/>
    <n v="2"/>
    <n v="467.75"/>
    <n v="0.26"/>
    <x v="0"/>
    <x v="253"/>
  </r>
  <r>
    <s v="SALE254"/>
    <d v="2025-05-26T00:00:00"/>
    <s v="CUST1219"/>
    <s v="Jordan Wells"/>
    <s v="PROD37"/>
    <x v="4"/>
    <s v="STORE0"/>
    <n v="4"/>
    <n v="747.01"/>
    <n v="0.13"/>
    <x v="1"/>
    <x v="254"/>
  </r>
  <r>
    <s v="SALE255"/>
    <d v="2025-03-19T00:00:00"/>
    <s v="CUST1101"/>
    <s v="Colleen Maynard"/>
    <s v="PROD89"/>
    <x v="2"/>
    <s v="STORE12"/>
    <n v="4"/>
    <n v="461.83"/>
    <n v="0.28000000000000003"/>
    <x v="1"/>
    <x v="255"/>
  </r>
  <r>
    <s v="SALE256"/>
    <d v="2025-04-03T00:00:00"/>
    <s v="CUST1134"/>
    <s v="Morgan Bowen"/>
    <s v="PROD70"/>
    <x v="3"/>
    <s v="STORE8"/>
    <n v="2"/>
    <n v="105.15"/>
    <n v="0.06"/>
    <x v="0"/>
    <x v="256"/>
  </r>
  <r>
    <s v="SALE257"/>
    <d v="2025-02-05T00:00:00"/>
    <s v="CUST1033"/>
    <s v="Robert Jones Dds"/>
    <s v="PROD46"/>
    <x v="4"/>
    <s v="STORE3"/>
    <n v="3"/>
    <n v="610.24"/>
    <n v="0.17"/>
    <x v="2"/>
    <x v="257"/>
  </r>
  <r>
    <s v="SALE258"/>
    <d v="2025-01-10T00:00:00"/>
    <s v="CUST1312"/>
    <s v="Jason Mullins"/>
    <s v="PROD74"/>
    <x v="1"/>
    <s v="STORE8"/>
    <n v="1"/>
    <n v="872.12"/>
    <n v="7.0000000000000007E-2"/>
    <x v="1"/>
    <x v="258"/>
  </r>
  <r>
    <s v="SALE259"/>
    <d v="2024-01-25T00:00:00"/>
    <s v="CUST1433"/>
    <s v="Thomas Moore"/>
    <s v="PROD64"/>
    <x v="2"/>
    <s v="STORE1"/>
    <n v="1"/>
    <n v="406.79"/>
    <n v="0.03"/>
    <x v="2"/>
    <x v="259"/>
  </r>
  <r>
    <s v="SALE260"/>
    <d v="2025-10-02T00:00:00"/>
    <s v="CUST1372"/>
    <s v="Jacqueline Anthony"/>
    <s v="PROD72"/>
    <x v="0"/>
    <s v="STORE14"/>
    <n v="1"/>
    <n v="606.01"/>
    <n v="0.04"/>
    <x v="1"/>
    <x v="260"/>
  </r>
  <r>
    <s v="SALE261"/>
    <d v="2024-07-10T00:00:00"/>
    <s v="CUST1349"/>
    <s v="Heather Valenzuela"/>
    <s v="PROD71"/>
    <x v="2"/>
    <s v="STORE5"/>
    <n v="4"/>
    <n v="322.58"/>
    <n v="0.06"/>
    <x v="0"/>
    <x v="261"/>
  </r>
  <r>
    <s v="SALE262"/>
    <d v="2025-01-04T00:00:00"/>
    <s v="CUST1484"/>
    <s v="Jessica Castro"/>
    <s v="PROD77"/>
    <x v="1"/>
    <s v="STORE18"/>
    <n v="4"/>
    <n v="463.17"/>
    <n v="0.06"/>
    <x v="1"/>
    <x v="262"/>
  </r>
  <r>
    <s v="SALE263"/>
    <d v="2025-05-21T00:00:00"/>
    <s v="CUST1316"/>
    <s v="Robert House"/>
    <s v="PROD25"/>
    <x v="4"/>
    <s v="STORE7"/>
    <n v="4"/>
    <n v="285.82"/>
    <n v="0.18"/>
    <x v="1"/>
    <x v="263"/>
  </r>
  <r>
    <s v="SALE264"/>
    <d v="2025-07-30T00:00:00"/>
    <s v="CUST1326"/>
    <s v="Robert King"/>
    <s v="PROD37"/>
    <x v="4"/>
    <s v="STORE11"/>
    <n v="3"/>
    <n v="995.38"/>
    <n v="0.1"/>
    <x v="1"/>
    <x v="264"/>
  </r>
  <r>
    <s v="SALE265"/>
    <d v="2025-04-10T00:00:00"/>
    <s v="CUST1119"/>
    <s v="Michael Jones"/>
    <s v="PROD90"/>
    <x v="1"/>
    <s v="STORE8"/>
    <n v="1"/>
    <n v="329.31"/>
    <n v="0.09"/>
    <x v="0"/>
    <x v="265"/>
  </r>
  <r>
    <s v="SALE266"/>
    <d v="2024-07-02T00:00:00"/>
    <s v="CUST1490"/>
    <s v="Scott Harris"/>
    <s v="PROD47"/>
    <x v="2"/>
    <s v="STORE16"/>
    <n v="3"/>
    <n v="64.2"/>
    <n v="0.08"/>
    <x v="2"/>
    <x v="266"/>
  </r>
  <r>
    <s v="SALE267"/>
    <d v="2025-06-21T00:00:00"/>
    <s v="CUST1262"/>
    <s v="Katherine Cowan"/>
    <s v="PROD11"/>
    <x v="1"/>
    <s v="STORE13"/>
    <n v="3"/>
    <n v="697.13"/>
    <n v="0.25"/>
    <x v="2"/>
    <x v="267"/>
  </r>
  <r>
    <s v="SALE268"/>
    <d v="2024-12-13T00:00:00"/>
    <s v="CUST1022"/>
    <s v="Paul Fox"/>
    <s v="PROD13"/>
    <x v="1"/>
    <s v="STORE5"/>
    <n v="3"/>
    <n v="134.30000000000001"/>
    <n v="0.14000000000000001"/>
    <x v="0"/>
    <x v="268"/>
  </r>
  <r>
    <s v="SALE269"/>
    <d v="2024-08-14T00:00:00"/>
    <s v="CUST1260"/>
    <s v="Russell Lamb"/>
    <s v="PROD84"/>
    <x v="3"/>
    <s v="STORE13"/>
    <n v="1"/>
    <n v="520.92999999999995"/>
    <n v="0.15"/>
    <x v="0"/>
    <x v="269"/>
  </r>
  <r>
    <s v="SALE270"/>
    <d v="2025-03-05T00:00:00"/>
    <s v="CUST1225"/>
    <s v="Elizabeth Stanley"/>
    <s v="PROD19"/>
    <x v="0"/>
    <s v="STORE7"/>
    <n v="2"/>
    <n v="350.12"/>
    <n v="0.21"/>
    <x v="2"/>
    <x v="270"/>
  </r>
  <r>
    <s v="SALE271"/>
    <d v="2024-01-17T00:00:00"/>
    <s v="CUST1466"/>
    <s v="Cynthia Parrish"/>
    <s v="PROD48"/>
    <x v="1"/>
    <s v="STORE19"/>
    <n v="3"/>
    <n v="807.95"/>
    <n v="0.1"/>
    <x v="1"/>
    <x v="271"/>
  </r>
  <r>
    <s v="SALE272"/>
    <d v="2025-08-20T00:00:00"/>
    <s v="CUST1335"/>
    <s v="Jennifer Woods"/>
    <s v="PROD29"/>
    <x v="3"/>
    <s v="STORE6"/>
    <n v="4"/>
    <n v="766.03"/>
    <n v="0.28999999999999998"/>
    <x v="1"/>
    <x v="272"/>
  </r>
  <r>
    <s v="SALE273"/>
    <d v="2024-04-04T00:00:00"/>
    <s v="CUST1182"/>
    <s v="Melissa Hamilton"/>
    <s v="PROD34"/>
    <x v="1"/>
    <s v="STORE8"/>
    <n v="3"/>
    <n v="545.1"/>
    <n v="0.08"/>
    <x v="2"/>
    <x v="273"/>
  </r>
  <r>
    <s v="SALE274"/>
    <d v="2024-05-26T00:00:00"/>
    <s v="CUST1263"/>
    <s v="Crystal Davis"/>
    <s v="PROD65"/>
    <x v="0"/>
    <s v="STORE7"/>
    <n v="1"/>
    <n v="203.61"/>
    <n v="0.24"/>
    <x v="2"/>
    <x v="274"/>
  </r>
  <r>
    <s v="SALE275"/>
    <d v="2025-07-18T00:00:00"/>
    <s v="CUST1417"/>
    <s v="Karen King"/>
    <s v="PROD97"/>
    <x v="0"/>
    <s v="STORE15"/>
    <n v="4"/>
    <n v="493.8"/>
    <n v="0.24"/>
    <x v="2"/>
    <x v="275"/>
  </r>
  <r>
    <s v="SALE276"/>
    <d v="2024-07-12T00:00:00"/>
    <s v="CUST1017"/>
    <s v="Adam Cruz"/>
    <s v="PROD41"/>
    <x v="0"/>
    <s v="STORE17"/>
    <n v="1"/>
    <n v="640.54999999999995"/>
    <n v="0.25"/>
    <x v="0"/>
    <x v="276"/>
  </r>
  <r>
    <s v="SALE277"/>
    <d v="2024-09-10T00:00:00"/>
    <s v="CUST1119"/>
    <s v="Michael Jones"/>
    <s v="PROD90"/>
    <x v="1"/>
    <s v="STORE4"/>
    <n v="1"/>
    <n v="702.53"/>
    <n v="0.3"/>
    <x v="0"/>
    <x v="277"/>
  </r>
  <r>
    <s v="SALE278"/>
    <d v="2025-06-18T00:00:00"/>
    <s v="CUST1224"/>
    <s v="Anthony Morgan"/>
    <s v="PROD39"/>
    <x v="1"/>
    <s v="STORE8"/>
    <n v="4"/>
    <n v="139.94"/>
    <n v="0.24"/>
    <x v="0"/>
    <x v="278"/>
  </r>
  <r>
    <s v="SALE279"/>
    <d v="2024-12-28T00:00:00"/>
    <s v="CUST1277"/>
    <s v="Jeffrey Gomez"/>
    <s v="PROD93"/>
    <x v="1"/>
    <s v="STORE8"/>
    <n v="2"/>
    <n v="230.85"/>
    <n v="0.18"/>
    <x v="0"/>
    <x v="279"/>
  </r>
  <r>
    <s v="SALE280"/>
    <d v="2024-09-21T00:00:00"/>
    <s v="CUST1211"/>
    <s v="Rodney Huffman"/>
    <s v="PROD85"/>
    <x v="4"/>
    <s v="STORE17"/>
    <n v="4"/>
    <n v="626.35"/>
    <n v="0.25"/>
    <x v="2"/>
    <x v="280"/>
  </r>
  <r>
    <s v="SALE281"/>
    <d v="2024-05-22T00:00:00"/>
    <s v="CUST1082"/>
    <s v="George Rosario"/>
    <s v="PROD92"/>
    <x v="3"/>
    <s v="STORE14"/>
    <n v="4"/>
    <n v="108.55"/>
    <n v="0.18"/>
    <x v="1"/>
    <x v="281"/>
  </r>
  <r>
    <s v="SALE282"/>
    <d v="2025-08-02T00:00:00"/>
    <s v="CUST1191"/>
    <s v="Todd Poole"/>
    <s v="PROD17"/>
    <x v="0"/>
    <s v="STORE1"/>
    <n v="4"/>
    <n v="353.67"/>
    <n v="0.03"/>
    <x v="2"/>
    <x v="282"/>
  </r>
  <r>
    <s v="SALE283"/>
    <d v="2024-10-18T00:00:00"/>
    <s v="CUST1065"/>
    <s v="Michael Thomas"/>
    <s v="PROD24"/>
    <x v="0"/>
    <s v="STORE1"/>
    <n v="4"/>
    <n v="61.98"/>
    <n v="0.16"/>
    <x v="0"/>
    <x v="283"/>
  </r>
  <r>
    <s v="SALE284"/>
    <d v="2024-02-26T00:00:00"/>
    <s v="CUST1216"/>
    <s v="Kathryn Garcia"/>
    <s v="PROD86"/>
    <x v="3"/>
    <s v="STORE19"/>
    <n v="2"/>
    <n v="873.1"/>
    <n v="0.12"/>
    <x v="1"/>
    <x v="284"/>
  </r>
  <r>
    <s v="SALE285"/>
    <d v="2023-12-08T00:00:00"/>
    <s v="CUST1198"/>
    <s v="Wanda Snyder"/>
    <s v="PROD12"/>
    <x v="2"/>
    <s v="STORE15"/>
    <n v="4"/>
    <n v="889.47"/>
    <n v="0.24"/>
    <x v="0"/>
    <x v="285"/>
  </r>
  <r>
    <s v="SALE286"/>
    <d v="2024-10-31T00:00:00"/>
    <s v="CUST1028"/>
    <s v="Joshua Ryan"/>
    <s v="PROD5"/>
    <x v="4"/>
    <s v="STORE11"/>
    <n v="3"/>
    <n v="803.76"/>
    <n v="0.19"/>
    <x v="2"/>
    <x v="286"/>
  </r>
  <r>
    <s v="SALE287"/>
    <d v="2024-11-28T00:00:00"/>
    <s v="CUST1468"/>
    <s v="Gregory Curtis"/>
    <s v="PROD75"/>
    <x v="4"/>
    <s v="STORE5"/>
    <n v="2"/>
    <n v="865.14"/>
    <n v="0.2"/>
    <x v="1"/>
    <x v="287"/>
  </r>
  <r>
    <s v="SALE288"/>
    <d v="2025-06-05T00:00:00"/>
    <s v="CUST1097"/>
    <s v="David Cobb"/>
    <s v="PROD80"/>
    <x v="3"/>
    <s v="STORE9"/>
    <n v="2"/>
    <n v="916.49"/>
    <n v="0.3"/>
    <x v="2"/>
    <x v="288"/>
  </r>
  <r>
    <s v="SALE289"/>
    <d v="2024-11-19T00:00:00"/>
    <s v="CUST1042"/>
    <s v="William Martin"/>
    <s v="PROD51"/>
    <x v="1"/>
    <s v="STORE12"/>
    <n v="3"/>
    <n v="781.39"/>
    <n v="0.12"/>
    <x v="0"/>
    <x v="289"/>
  </r>
  <r>
    <s v="SALE290"/>
    <d v="2024-05-19T00:00:00"/>
    <s v="CUST1211"/>
    <s v="Rodney Huffman"/>
    <s v="PROD85"/>
    <x v="4"/>
    <s v="STORE12"/>
    <n v="4"/>
    <n v="619.74"/>
    <n v="0.13"/>
    <x v="2"/>
    <x v="290"/>
  </r>
  <r>
    <s v="SALE291"/>
    <d v="2025-01-22T00:00:00"/>
    <s v="CUST1481"/>
    <s v="Bryan Tran"/>
    <s v="PROD62"/>
    <x v="1"/>
    <s v="STORE14"/>
    <n v="2"/>
    <n v="837.76"/>
    <n v="0.03"/>
    <x v="2"/>
    <x v="291"/>
  </r>
  <r>
    <s v="SALE292"/>
    <d v="2025-07-04T00:00:00"/>
    <s v="CUST1451"/>
    <s v="Ashley Roberts"/>
    <s v="PROD90"/>
    <x v="1"/>
    <s v="STORE1"/>
    <n v="3"/>
    <n v="135.94"/>
    <n v="0.2"/>
    <x v="0"/>
    <x v="292"/>
  </r>
  <r>
    <s v="SALE293"/>
    <d v="2025-05-19T00:00:00"/>
    <s v="CUST1479"/>
    <s v="Dylan Gutierrez"/>
    <s v="PROD74"/>
    <x v="1"/>
    <s v="STORE1"/>
    <n v="4"/>
    <n v="396.53"/>
    <n v="7.0000000000000007E-2"/>
    <x v="1"/>
    <x v="293"/>
  </r>
  <r>
    <s v="SALE294"/>
    <d v="2023-12-04T00:00:00"/>
    <s v="CUST1220"/>
    <s v="George Davis"/>
    <s v="PROD29"/>
    <x v="3"/>
    <s v="STORE14"/>
    <n v="2"/>
    <n v="722.45"/>
    <n v="0.22"/>
    <x v="1"/>
    <x v="294"/>
  </r>
  <r>
    <s v="SALE295"/>
    <d v="2024-07-31T00:00:00"/>
    <s v="CUST1047"/>
    <s v="Gina Knight"/>
    <s v="PROD64"/>
    <x v="2"/>
    <s v="STORE2"/>
    <n v="2"/>
    <n v="138.41"/>
    <n v="0.02"/>
    <x v="0"/>
    <x v="295"/>
  </r>
  <r>
    <s v="SALE296"/>
    <d v="2025-01-22T00:00:00"/>
    <s v="CUST1126"/>
    <s v="James Wolfe"/>
    <s v="PROD89"/>
    <x v="2"/>
    <s v="STORE2"/>
    <n v="4"/>
    <n v="741.51"/>
    <n v="0.09"/>
    <x v="2"/>
    <x v="296"/>
  </r>
  <r>
    <s v="SALE297"/>
    <d v="2024-11-15T00:00:00"/>
    <s v="CUST1023"/>
    <s v="Jonathan Steele"/>
    <s v="PROD68"/>
    <x v="3"/>
    <s v="STORE17"/>
    <n v="2"/>
    <n v="588.9"/>
    <n v="0.19"/>
    <x v="1"/>
    <x v="297"/>
  </r>
  <r>
    <s v="SALE298"/>
    <d v="2024-04-07T00:00:00"/>
    <s v="CUST1304"/>
    <s v="Miss Alexandria Li Dvm"/>
    <s v="PROD50"/>
    <x v="0"/>
    <s v="STORE2"/>
    <n v="1"/>
    <n v="88.92"/>
    <n v="0.19"/>
    <x v="1"/>
    <x v="298"/>
  </r>
  <r>
    <s v="SALE299"/>
    <d v="2024-02-17T00:00:00"/>
    <s v="CUST1118"/>
    <s v="Earl Allen"/>
    <s v="PROD83"/>
    <x v="2"/>
    <s v="STORE16"/>
    <n v="1"/>
    <n v="299.13"/>
    <n v="0.1"/>
    <x v="2"/>
    <x v="299"/>
  </r>
  <r>
    <s v="SALE300"/>
    <d v="2024-05-21T00:00:00"/>
    <s v="CUST1116"/>
    <s v="Anthony Phillips"/>
    <s v="PROD15"/>
    <x v="1"/>
    <s v="STORE3"/>
    <n v="2"/>
    <n v="548.29999999999995"/>
    <n v="0.23"/>
    <x v="0"/>
    <x v="300"/>
  </r>
  <r>
    <s v="SALE301"/>
    <d v="2024-05-23T00:00:00"/>
    <s v="CUST1262"/>
    <s v="Katherine Cowan"/>
    <s v="PROD11"/>
    <x v="1"/>
    <s v="STORE10"/>
    <n v="3"/>
    <n v="977.55"/>
    <n v="0.02"/>
    <x v="1"/>
    <x v="301"/>
  </r>
  <r>
    <s v="SALE302"/>
    <d v="2025-06-15T00:00:00"/>
    <s v="CUST1346"/>
    <s v="John Jordan"/>
    <s v="PROD76"/>
    <x v="1"/>
    <s v="STORE18"/>
    <n v="1"/>
    <n v="459.42"/>
    <n v="0.28000000000000003"/>
    <x v="2"/>
    <x v="302"/>
  </r>
  <r>
    <s v="SALE303"/>
    <d v="2025-01-06T00:00:00"/>
    <s v="CUST1088"/>
    <s v="Timothy Wright"/>
    <s v="PROD2"/>
    <x v="4"/>
    <s v="STORE4"/>
    <n v="2"/>
    <n v="123.19"/>
    <n v="0.19"/>
    <x v="0"/>
    <x v="303"/>
  </r>
  <r>
    <s v="SALE304"/>
    <d v="2025-08-10T00:00:00"/>
    <s v="CUST1358"/>
    <s v="Ashley Anderson"/>
    <s v="PROD55"/>
    <x v="3"/>
    <s v="STORE19"/>
    <n v="1"/>
    <n v="222.95"/>
    <n v="0.02"/>
    <x v="1"/>
    <x v="304"/>
  </r>
  <r>
    <s v="SALE305"/>
    <d v="2025-07-02T00:00:00"/>
    <s v="CUST1332"/>
    <s v="Dr. Lindsay Hanna"/>
    <s v="PROD32"/>
    <x v="2"/>
    <s v="STORE4"/>
    <n v="3"/>
    <n v="601.92999999999995"/>
    <n v="0.14000000000000001"/>
    <x v="0"/>
    <x v="305"/>
  </r>
  <r>
    <s v="SALE306"/>
    <d v="2024-03-29T00:00:00"/>
    <s v="CUST1297"/>
    <s v="Jennifer Carr"/>
    <s v="PROD69"/>
    <x v="4"/>
    <s v="STORE2"/>
    <n v="1"/>
    <n v="564.1"/>
    <n v="0.03"/>
    <x v="0"/>
    <x v="306"/>
  </r>
  <r>
    <s v="SALE307"/>
    <d v="2025-01-15T00:00:00"/>
    <s v="CUST1095"/>
    <s v="Amy Fowler"/>
    <s v="PROD40"/>
    <x v="1"/>
    <s v="STORE5"/>
    <n v="1"/>
    <n v="516.62"/>
    <n v="0.18"/>
    <x v="0"/>
    <x v="307"/>
  </r>
  <r>
    <s v="SALE308"/>
    <d v="2024-07-24T00:00:00"/>
    <s v="CUST1438"/>
    <s v="Monica Flynn"/>
    <s v="PROD63"/>
    <x v="2"/>
    <s v="STORE12"/>
    <n v="1"/>
    <n v="934.75"/>
    <n v="0.11"/>
    <x v="1"/>
    <x v="308"/>
  </r>
  <r>
    <s v="SALE309"/>
    <d v="2024-04-25T00:00:00"/>
    <s v="CUST1234"/>
    <s v="Nathaniel Hill"/>
    <s v="PROD98"/>
    <x v="1"/>
    <s v="STORE7"/>
    <n v="4"/>
    <n v="548.44000000000005"/>
    <n v="0.05"/>
    <x v="1"/>
    <x v="309"/>
  </r>
  <r>
    <s v="SALE310"/>
    <d v="2025-04-17T00:00:00"/>
    <s v="CUST1013"/>
    <s v="Nathan Hernandez"/>
    <s v="PROD24"/>
    <x v="0"/>
    <s v="STORE3"/>
    <n v="3"/>
    <n v="361.11"/>
    <n v="0.06"/>
    <x v="0"/>
    <x v="310"/>
  </r>
  <r>
    <s v="SALE311"/>
    <d v="2025-09-24T00:00:00"/>
    <s v="CUST1187"/>
    <s v="Dr. Suzanne Bullock"/>
    <s v="PROD13"/>
    <x v="1"/>
    <s v="STORE1"/>
    <n v="2"/>
    <n v="610.37"/>
    <n v="0.1"/>
    <x v="1"/>
    <x v="311"/>
  </r>
  <r>
    <s v="SALE312"/>
    <d v="2023-11-10T00:00:00"/>
    <s v="CUST1334"/>
    <s v="Mr. Christopher Sims"/>
    <s v="PROD71"/>
    <x v="2"/>
    <s v="STORE16"/>
    <n v="1"/>
    <n v="272.2"/>
    <n v="0.3"/>
    <x v="0"/>
    <x v="312"/>
  </r>
  <r>
    <s v="SALE313"/>
    <d v="2024-02-27T00:00:00"/>
    <s v="CUST1438"/>
    <s v="Monica Flynn"/>
    <s v="PROD63"/>
    <x v="2"/>
    <s v="STORE6"/>
    <n v="3"/>
    <n v="573.1"/>
    <n v="0.16"/>
    <x v="2"/>
    <x v="313"/>
  </r>
  <r>
    <s v="SALE314"/>
    <d v="2025-04-09T00:00:00"/>
    <s v="CUST1322"/>
    <s v="Samuel Arias"/>
    <s v="PROD6"/>
    <x v="2"/>
    <s v="STORE0"/>
    <n v="4"/>
    <n v="24.72"/>
    <n v="0.28000000000000003"/>
    <x v="0"/>
    <x v="314"/>
  </r>
  <r>
    <s v="SALE315"/>
    <d v="2024-07-05T00:00:00"/>
    <s v="CUST1251"/>
    <s v="Tyler Garner"/>
    <s v="PROD9"/>
    <x v="0"/>
    <s v="STORE9"/>
    <n v="3"/>
    <n v="268.89"/>
    <n v="7.0000000000000007E-2"/>
    <x v="2"/>
    <x v="315"/>
  </r>
  <r>
    <s v="SALE316"/>
    <d v="2025-08-21T00:00:00"/>
    <s v="CUST1257"/>
    <s v="Christopher David"/>
    <s v="PROD85"/>
    <x v="4"/>
    <s v="STORE9"/>
    <n v="1"/>
    <n v="78.5"/>
    <n v="0.17"/>
    <x v="2"/>
    <x v="316"/>
  </r>
  <r>
    <s v="SALE317"/>
    <d v="2025-06-07T00:00:00"/>
    <s v="CUST1133"/>
    <s v="Hayley Pope"/>
    <s v="PROD36"/>
    <x v="4"/>
    <s v="STORE4"/>
    <n v="3"/>
    <n v="399.42"/>
    <n v="0.02"/>
    <x v="0"/>
    <x v="317"/>
  </r>
  <r>
    <s v="SALE318"/>
    <d v="2025-08-22T00:00:00"/>
    <s v="CUST1085"/>
    <s v="Richard Delgado"/>
    <s v="PROD31"/>
    <x v="0"/>
    <s v="STORE19"/>
    <n v="3"/>
    <n v="455.82"/>
    <n v="0.01"/>
    <x v="1"/>
    <x v="318"/>
  </r>
  <r>
    <s v="SALE319"/>
    <d v="2024-11-13T00:00:00"/>
    <s v="CUST1349"/>
    <s v="Heather Valenzuela"/>
    <s v="PROD71"/>
    <x v="2"/>
    <s v="STORE5"/>
    <n v="2"/>
    <n v="613.23"/>
    <n v="0.15"/>
    <x v="1"/>
    <x v="319"/>
  </r>
  <r>
    <s v="SALE320"/>
    <d v="2024-01-18T00:00:00"/>
    <s v="CUST1458"/>
    <s v="Kelly Garrett"/>
    <s v="PROD2"/>
    <x v="4"/>
    <s v="STORE14"/>
    <n v="4"/>
    <n v="971.9"/>
    <n v="0.28000000000000003"/>
    <x v="1"/>
    <x v="320"/>
  </r>
  <r>
    <s v="SALE321"/>
    <d v="2024-08-15T00:00:00"/>
    <s v="CUST1034"/>
    <s v="Christopher Olson"/>
    <s v="PROD28"/>
    <x v="0"/>
    <s v="STORE7"/>
    <n v="3"/>
    <n v="884.92"/>
    <n v="0.06"/>
    <x v="1"/>
    <x v="321"/>
  </r>
  <r>
    <s v="SALE322"/>
    <d v="2025-09-21T00:00:00"/>
    <s v="CUST1087"/>
    <s v="Melissa Duffy Md"/>
    <s v="PROD76"/>
    <x v="1"/>
    <s v="STORE9"/>
    <n v="1"/>
    <n v="125"/>
    <n v="0.23"/>
    <x v="0"/>
    <x v="322"/>
  </r>
  <r>
    <s v="SALE323"/>
    <d v="2024-06-22T00:00:00"/>
    <s v="CUST1128"/>
    <s v="Susan Mcdonald"/>
    <s v="PROD25"/>
    <x v="4"/>
    <s v="STORE15"/>
    <n v="2"/>
    <n v="188.25"/>
    <n v="0.08"/>
    <x v="1"/>
    <x v="323"/>
  </r>
  <r>
    <s v="SALE324"/>
    <d v="2024-01-12T00:00:00"/>
    <s v="CUST1222"/>
    <s v="Alejandro Doyle"/>
    <s v="PROD46"/>
    <x v="4"/>
    <s v="STORE6"/>
    <n v="4"/>
    <n v="344.12"/>
    <n v="0.25"/>
    <x v="1"/>
    <x v="324"/>
  </r>
  <r>
    <s v="SALE325"/>
    <d v="2023-10-19T00:00:00"/>
    <s v="CUST1047"/>
    <s v="Gina Knight"/>
    <s v="PROD64"/>
    <x v="2"/>
    <s v="STORE19"/>
    <n v="3"/>
    <n v="997.95"/>
    <n v="0.09"/>
    <x v="2"/>
    <x v="325"/>
  </r>
  <r>
    <s v="SALE326"/>
    <d v="2025-03-11T00:00:00"/>
    <s v="CUST1150"/>
    <s v="Stephanie Conway"/>
    <s v="PROD11"/>
    <x v="1"/>
    <s v="STORE15"/>
    <n v="3"/>
    <n v="121.64"/>
    <n v="7.0000000000000007E-2"/>
    <x v="1"/>
    <x v="326"/>
  </r>
  <r>
    <s v="SALE327"/>
    <d v="2024-09-22T00:00:00"/>
    <s v="CUST1221"/>
    <s v="Lisa Young"/>
    <s v="PROD83"/>
    <x v="2"/>
    <s v="STORE10"/>
    <n v="2"/>
    <n v="692.72"/>
    <n v="0.13"/>
    <x v="1"/>
    <x v="327"/>
  </r>
  <r>
    <s v="SALE328"/>
    <d v="2024-11-27T00:00:00"/>
    <s v="CUST1027"/>
    <s v="Leslie Johnson"/>
    <s v="PROD24"/>
    <x v="0"/>
    <s v="STORE19"/>
    <n v="3"/>
    <n v="794.59"/>
    <n v="0.03"/>
    <x v="1"/>
    <x v="328"/>
  </r>
  <r>
    <s v="SALE329"/>
    <d v="2023-10-25T00:00:00"/>
    <s v="CUST1014"/>
    <s v="Ashley Cohen"/>
    <s v="PROD26"/>
    <x v="1"/>
    <s v="STORE9"/>
    <n v="1"/>
    <n v="907.95"/>
    <n v="0.1"/>
    <x v="1"/>
    <x v="329"/>
  </r>
  <r>
    <s v="SALE330"/>
    <d v="2025-10-10T00:00:00"/>
    <s v="CUST1287"/>
    <s v="Cynthia Roberts"/>
    <s v="PROD3"/>
    <x v="4"/>
    <s v="STORE0"/>
    <n v="2"/>
    <n v="660.81"/>
    <n v="0.18"/>
    <x v="0"/>
    <x v="330"/>
  </r>
  <r>
    <s v="SALE331"/>
    <d v="2025-09-15T00:00:00"/>
    <s v="CUST1061"/>
    <s v="Kristin Stein"/>
    <s v="PROD51"/>
    <x v="1"/>
    <s v="STORE8"/>
    <n v="3"/>
    <n v="564.94000000000005"/>
    <n v="0.22"/>
    <x v="2"/>
    <x v="331"/>
  </r>
  <r>
    <s v="SALE332"/>
    <d v="2024-09-06T00:00:00"/>
    <s v="CUST1054"/>
    <s v="Katherine Dorsey"/>
    <s v="PROD88"/>
    <x v="0"/>
    <s v="STORE15"/>
    <n v="2"/>
    <n v="280.37"/>
    <n v="0.22"/>
    <x v="2"/>
    <x v="332"/>
  </r>
  <r>
    <s v="SALE333"/>
    <d v="2024-07-16T00:00:00"/>
    <s v="CUST1372"/>
    <s v="Jacqueline Anthony"/>
    <s v="PROD72"/>
    <x v="0"/>
    <s v="STORE3"/>
    <n v="2"/>
    <n v="85.23"/>
    <n v="0.13"/>
    <x v="0"/>
    <x v="333"/>
  </r>
  <r>
    <s v="SALE334"/>
    <d v="2025-04-01T00:00:00"/>
    <s v="CUST1312"/>
    <s v="Jason Mullins"/>
    <s v="PROD74"/>
    <x v="1"/>
    <s v="STORE13"/>
    <n v="2"/>
    <n v="563.29999999999995"/>
    <n v="0.26"/>
    <x v="0"/>
    <x v="334"/>
  </r>
  <r>
    <s v="SALE335"/>
    <d v="2024-01-18T00:00:00"/>
    <s v="CUST1033"/>
    <s v="Robert Jones Dds"/>
    <s v="PROD46"/>
    <x v="4"/>
    <s v="STORE18"/>
    <n v="2"/>
    <n v="827.81"/>
    <n v="0.04"/>
    <x v="1"/>
    <x v="335"/>
  </r>
  <r>
    <s v="SALE336"/>
    <d v="2024-11-25T00:00:00"/>
    <s v="CUST1214"/>
    <s v="Eric Todd"/>
    <s v="PROD91"/>
    <x v="4"/>
    <s v="STORE18"/>
    <n v="3"/>
    <n v="877.71"/>
    <n v="0.12"/>
    <x v="1"/>
    <x v="336"/>
  </r>
  <r>
    <s v="SALE337"/>
    <d v="2024-11-07T00:00:00"/>
    <s v="CUST1257"/>
    <s v="Christopher David"/>
    <s v="PROD85"/>
    <x v="4"/>
    <s v="STORE9"/>
    <n v="4"/>
    <n v="488.56"/>
    <n v="0.26"/>
    <x v="2"/>
    <x v="337"/>
  </r>
  <r>
    <s v="SALE338"/>
    <d v="2024-07-28T00:00:00"/>
    <s v="CUST1104"/>
    <s v="Christopher Lester"/>
    <s v="PROD25"/>
    <x v="4"/>
    <s v="STORE12"/>
    <n v="4"/>
    <n v="175.91"/>
    <n v="0.13"/>
    <x v="1"/>
    <x v="338"/>
  </r>
  <r>
    <s v="SALE339"/>
    <d v="2024-04-16T00:00:00"/>
    <s v="CUST1248"/>
    <s v="Nicholas Webb"/>
    <s v="PROD87"/>
    <x v="3"/>
    <s v="STORE8"/>
    <n v="4"/>
    <n v="289.66000000000003"/>
    <n v="0.25"/>
    <x v="2"/>
    <x v="339"/>
  </r>
  <r>
    <s v="SALE340"/>
    <d v="2024-01-13T00:00:00"/>
    <s v="CUST1241"/>
    <s v="Mr. William Horton"/>
    <s v="PROD15"/>
    <x v="1"/>
    <s v="STORE15"/>
    <n v="2"/>
    <n v="899.27"/>
    <n v="0.17"/>
    <x v="0"/>
    <x v="340"/>
  </r>
  <r>
    <s v="SALE341"/>
    <d v="2024-01-08T00:00:00"/>
    <s v="CUST1065"/>
    <s v="Michael Thomas"/>
    <s v="PROD24"/>
    <x v="0"/>
    <s v="STORE1"/>
    <n v="1"/>
    <n v="691.38"/>
    <n v="0.11"/>
    <x v="2"/>
    <x v="341"/>
  </r>
  <r>
    <s v="SALE342"/>
    <d v="2024-09-29T00:00:00"/>
    <s v="CUST1165"/>
    <s v="Jason Wheeler"/>
    <s v="PROD27"/>
    <x v="3"/>
    <s v="STORE0"/>
    <n v="3"/>
    <n v="158.72"/>
    <n v="0.13"/>
    <x v="0"/>
    <x v="342"/>
  </r>
  <r>
    <s v="SALE343"/>
    <d v="2024-05-01T00:00:00"/>
    <s v="CUST1210"/>
    <s v="Antonio Jones"/>
    <s v="PROD60"/>
    <x v="2"/>
    <s v="STORE16"/>
    <n v="4"/>
    <n v="537.15"/>
    <n v="0.06"/>
    <x v="2"/>
    <x v="343"/>
  </r>
  <r>
    <s v="SALE344"/>
    <d v="2024-07-07T00:00:00"/>
    <s v="CUST1417"/>
    <s v="Karen King"/>
    <s v="PROD97"/>
    <x v="0"/>
    <s v="STORE9"/>
    <n v="3"/>
    <n v="771.7"/>
    <n v="0.05"/>
    <x v="2"/>
    <x v="344"/>
  </r>
  <r>
    <s v="SALE345"/>
    <d v="2024-11-14T00:00:00"/>
    <s v="CUST1108"/>
    <s v="Travis Holland"/>
    <s v="PROD30"/>
    <x v="3"/>
    <s v="STORE1"/>
    <n v="4"/>
    <n v="677.25"/>
    <n v="0.14000000000000001"/>
    <x v="1"/>
    <x v="345"/>
  </r>
  <r>
    <s v="SALE346"/>
    <d v="2025-04-16T00:00:00"/>
    <s v="CUST1102"/>
    <s v="Sarah Schneider"/>
    <s v="PROD98"/>
    <x v="1"/>
    <s v="STORE11"/>
    <n v="1"/>
    <n v="645.48"/>
    <n v="0.26"/>
    <x v="2"/>
    <x v="346"/>
  </r>
  <r>
    <s v="SALE347"/>
    <d v="2025-07-18T00:00:00"/>
    <s v="CUST1360"/>
    <s v="Denise Tate"/>
    <s v="PROD73"/>
    <x v="0"/>
    <s v="STORE2"/>
    <n v="2"/>
    <n v="934"/>
    <n v="0.3"/>
    <x v="2"/>
    <x v="347"/>
  </r>
  <r>
    <s v="SALE348"/>
    <d v="2025-02-24T00:00:00"/>
    <s v="CUST1334"/>
    <s v="Mr. Christopher Sims"/>
    <s v="PROD71"/>
    <x v="2"/>
    <s v="STORE2"/>
    <n v="1"/>
    <n v="669.53"/>
    <n v="0.2"/>
    <x v="0"/>
    <x v="348"/>
  </r>
  <r>
    <s v="SALE349"/>
    <d v="2025-03-07T00:00:00"/>
    <s v="CUST1216"/>
    <s v="Kathryn Garcia"/>
    <s v="PROD86"/>
    <x v="3"/>
    <s v="STORE18"/>
    <n v="1"/>
    <n v="213.69"/>
    <n v="0.28000000000000003"/>
    <x v="2"/>
    <x v="349"/>
  </r>
  <r>
    <s v="SALE350"/>
    <d v="2025-02-18T00:00:00"/>
    <s v="CUST1077"/>
    <s v="Katherine Young"/>
    <s v="PROD21"/>
    <x v="3"/>
    <s v="STORE19"/>
    <n v="2"/>
    <n v="99.1"/>
    <n v="0.2"/>
    <x v="1"/>
    <x v="350"/>
  </r>
  <r>
    <s v="SALE351"/>
    <d v="2024-06-26T00:00:00"/>
    <s v="CUST1370"/>
    <s v="James Holloway Jr."/>
    <s v="PROD37"/>
    <x v="4"/>
    <s v="STORE16"/>
    <n v="1"/>
    <n v="628.98"/>
    <n v="0.03"/>
    <x v="2"/>
    <x v="351"/>
  </r>
  <r>
    <s v="SALE352"/>
    <d v="2025-02-23T00:00:00"/>
    <s v="CUST1085"/>
    <s v="Richard Delgado"/>
    <s v="PROD31"/>
    <x v="0"/>
    <s v="STORE4"/>
    <n v="3"/>
    <n v="944.64"/>
    <n v="0.26"/>
    <x v="0"/>
    <x v="352"/>
  </r>
  <r>
    <s v="SALE353"/>
    <d v="2025-06-15T00:00:00"/>
    <s v="CUST1471"/>
    <s v="Debra Mccullough"/>
    <s v="PROD17"/>
    <x v="0"/>
    <s v="STORE12"/>
    <n v="2"/>
    <n v="121.7"/>
    <n v="0.06"/>
    <x v="2"/>
    <x v="353"/>
  </r>
  <r>
    <s v="SALE354"/>
    <d v="2023-10-18T00:00:00"/>
    <s v="CUST1448"/>
    <s v="Eric Holmes"/>
    <s v="PROD81"/>
    <x v="0"/>
    <s v="STORE3"/>
    <n v="4"/>
    <n v="269.49"/>
    <n v="7.0000000000000007E-2"/>
    <x v="1"/>
    <x v="354"/>
  </r>
  <r>
    <s v="SALE355"/>
    <d v="2025-03-17T00:00:00"/>
    <s v="CUST1099"/>
    <s v="Sheila Wilson"/>
    <s v="PROD26"/>
    <x v="1"/>
    <s v="STORE18"/>
    <n v="1"/>
    <n v="678.2"/>
    <n v="0.14000000000000001"/>
    <x v="0"/>
    <x v="355"/>
  </r>
  <r>
    <s v="SALE356"/>
    <d v="2024-08-16T00:00:00"/>
    <s v="CUST1231"/>
    <s v="Timothy Juarez"/>
    <s v="PROD31"/>
    <x v="0"/>
    <s v="STORE13"/>
    <n v="1"/>
    <n v="752.45"/>
    <n v="0.21"/>
    <x v="2"/>
    <x v="356"/>
  </r>
  <r>
    <s v="SALE357"/>
    <d v="2024-03-22T00:00:00"/>
    <s v="CUST1037"/>
    <s v="Christopher Carter"/>
    <s v="PROD45"/>
    <x v="0"/>
    <s v="STORE13"/>
    <n v="2"/>
    <n v="209.66"/>
    <n v="0.21"/>
    <x v="0"/>
    <x v="357"/>
  </r>
  <r>
    <s v="SALE358"/>
    <d v="2025-01-31T00:00:00"/>
    <s v="CUST1161"/>
    <s v="Cynthia Morris"/>
    <s v="PROD97"/>
    <x v="0"/>
    <s v="STORE19"/>
    <n v="2"/>
    <n v="739.95"/>
    <n v="0.1"/>
    <x v="2"/>
    <x v="358"/>
  </r>
  <r>
    <s v="SALE359"/>
    <d v="2023-12-16T00:00:00"/>
    <s v="CUST1469"/>
    <s v="James Foster"/>
    <s v="PROD45"/>
    <x v="0"/>
    <s v="STORE15"/>
    <n v="1"/>
    <n v="496.19"/>
    <n v="0.08"/>
    <x v="2"/>
    <x v="359"/>
  </r>
  <r>
    <s v="SALE360"/>
    <d v="2025-04-09T00:00:00"/>
    <s v="CUST1044"/>
    <s v="Denise Williams"/>
    <s v="PROD1"/>
    <x v="4"/>
    <s v="STORE12"/>
    <n v="1"/>
    <n v="306.36"/>
    <n v="0.01"/>
    <x v="1"/>
    <x v="360"/>
  </r>
  <r>
    <s v="SALE361"/>
    <d v="2024-01-18T00:00:00"/>
    <s v="CUST1120"/>
    <s v="Jacob Hopkins"/>
    <s v="PROD73"/>
    <x v="0"/>
    <s v="STORE4"/>
    <n v="4"/>
    <n v="693.16"/>
    <n v="0.05"/>
    <x v="1"/>
    <x v="361"/>
  </r>
  <r>
    <s v="SALE362"/>
    <d v="2025-03-28T00:00:00"/>
    <s v="CUST1455"/>
    <s v="Tyler Weber"/>
    <s v="PROD83"/>
    <x v="2"/>
    <s v="STORE10"/>
    <n v="1"/>
    <n v="995.52"/>
    <n v="0.22"/>
    <x v="1"/>
    <x v="362"/>
  </r>
  <r>
    <s v="SALE363"/>
    <d v="2024-08-31T00:00:00"/>
    <s v="CUST1125"/>
    <s v="Keith Miller"/>
    <s v="PROD7"/>
    <x v="3"/>
    <s v="STORE18"/>
    <n v="4"/>
    <n v="241.32"/>
    <n v="0.28999999999999998"/>
    <x v="2"/>
    <x v="363"/>
  </r>
  <r>
    <s v="SALE364"/>
    <d v="2023-11-10T00:00:00"/>
    <s v="CUST1239"/>
    <s v="Maria Hill"/>
    <s v="PROD19"/>
    <x v="0"/>
    <s v="STORE1"/>
    <n v="3"/>
    <n v="636.03"/>
    <n v="0.06"/>
    <x v="2"/>
    <x v="364"/>
  </r>
  <r>
    <s v="SALE365"/>
    <d v="2023-12-15T00:00:00"/>
    <s v="CUST1096"/>
    <s v="Samantha Walker"/>
    <s v="PROD65"/>
    <x v="0"/>
    <s v="STORE19"/>
    <n v="4"/>
    <n v="603.30999999999995"/>
    <n v="0.15"/>
    <x v="0"/>
    <x v="365"/>
  </r>
  <r>
    <s v="SALE366"/>
    <d v="2024-05-15T00:00:00"/>
    <s v="CUST1075"/>
    <s v="Rhonda Morales"/>
    <s v="PROD16"/>
    <x v="2"/>
    <s v="STORE10"/>
    <n v="3"/>
    <n v="437.96"/>
    <n v="0.27"/>
    <x v="2"/>
    <x v="366"/>
  </r>
  <r>
    <s v="SALE367"/>
    <d v="2024-01-31T00:00:00"/>
    <s v="CUST1208"/>
    <s v="John Perez"/>
    <s v="PROD34"/>
    <x v="1"/>
    <s v="STORE4"/>
    <n v="2"/>
    <n v="56.91"/>
    <n v="0.08"/>
    <x v="2"/>
    <x v="367"/>
  </r>
  <r>
    <s v="SALE368"/>
    <d v="2023-12-06T00:00:00"/>
    <s v="CUST1334"/>
    <s v="Mr. Christopher Sims"/>
    <s v="PROD71"/>
    <x v="2"/>
    <s v="STORE6"/>
    <n v="1"/>
    <n v="141.79"/>
    <n v="0.1"/>
    <x v="0"/>
    <x v="368"/>
  </r>
  <r>
    <s v="SALE369"/>
    <d v="2024-01-11T00:00:00"/>
    <s v="CUST1483"/>
    <s v="Sarah Smith"/>
    <s v="PROD12"/>
    <x v="2"/>
    <s v="STORE15"/>
    <n v="4"/>
    <n v="355.14"/>
    <n v="0.16"/>
    <x v="2"/>
    <x v="369"/>
  </r>
  <r>
    <s v="SALE370"/>
    <d v="2025-09-07T00:00:00"/>
    <s v="CUST1211"/>
    <s v="Rodney Huffman"/>
    <s v="PROD85"/>
    <x v="4"/>
    <s v="STORE6"/>
    <n v="4"/>
    <n v="960.38"/>
    <n v="0.15"/>
    <x v="2"/>
    <x v="370"/>
  </r>
  <r>
    <s v="SALE371"/>
    <d v="2024-05-21T00:00:00"/>
    <s v="CUST1420"/>
    <s v="Dr. Tamara White Md"/>
    <s v="PROD21"/>
    <x v="3"/>
    <s v="STORE16"/>
    <n v="3"/>
    <n v="847.21"/>
    <n v="0.06"/>
    <x v="1"/>
    <x v="371"/>
  </r>
  <r>
    <s v="SALE372"/>
    <d v="2025-08-23T00:00:00"/>
    <s v="CUST1066"/>
    <s v="Cody Diaz"/>
    <s v="PROD94"/>
    <x v="2"/>
    <s v="STORE10"/>
    <n v="4"/>
    <n v="773.81"/>
    <n v="0.08"/>
    <x v="2"/>
    <x v="372"/>
  </r>
  <r>
    <s v="SALE373"/>
    <d v="2025-05-03T00:00:00"/>
    <s v="CUST1000"/>
    <s v="Sheena Bonilla  "/>
    <s v="PROD63"/>
    <x v="2"/>
    <s v="STORE16"/>
    <n v="1"/>
    <n v="664.71"/>
    <n v="0.1"/>
    <x v="1"/>
    <x v="373"/>
  </r>
  <r>
    <s v="SALE374"/>
    <d v="2023-11-03T00:00:00"/>
    <s v="CUST1347"/>
    <s v="Justin Mason Dds"/>
    <s v="PROD37"/>
    <x v="4"/>
    <s v="STORE7"/>
    <n v="4"/>
    <n v="482.06"/>
    <n v="7.0000000000000007E-2"/>
    <x v="1"/>
    <x v="374"/>
  </r>
  <r>
    <s v="SALE375"/>
    <d v="2025-03-26T00:00:00"/>
    <s v="CUST1089"/>
    <s v="Jamie Yoder"/>
    <s v="PROD57"/>
    <x v="0"/>
    <s v="STORE3"/>
    <n v="4"/>
    <n v="995.55"/>
    <n v="0.19"/>
    <x v="1"/>
    <x v="375"/>
  </r>
  <r>
    <s v="SALE376"/>
    <d v="2024-07-05T00:00:00"/>
    <s v="CUST1141"/>
    <s v="Cristian Wright"/>
    <s v="PROD21"/>
    <x v="3"/>
    <s v="STORE13"/>
    <n v="2"/>
    <n v="153.84"/>
    <n v="0.27"/>
    <x v="1"/>
    <x v="376"/>
  </r>
  <r>
    <s v="SALE377"/>
    <d v="2025-05-12T00:00:00"/>
    <s v="CUST1153"/>
    <s v="Joseph Faulkner"/>
    <s v="PROD72"/>
    <x v="0"/>
    <s v="STORE6"/>
    <n v="3"/>
    <n v="362.11"/>
    <n v="0.23"/>
    <x v="2"/>
    <x v="377"/>
  </r>
  <r>
    <s v="SALE378"/>
    <d v="2024-09-26T00:00:00"/>
    <s v="CUST1472"/>
    <s v="Philip Mendoza"/>
    <s v="PROD34"/>
    <x v="1"/>
    <s v="STORE8"/>
    <n v="3"/>
    <n v="112.26"/>
    <n v="0.11"/>
    <x v="0"/>
    <x v="378"/>
  </r>
  <r>
    <s v="SALE379"/>
    <d v="2024-03-27T00:00:00"/>
    <s v="CUST1203"/>
    <s v="Sarah Brady"/>
    <s v="PROD43"/>
    <x v="1"/>
    <s v="STORE19"/>
    <n v="2"/>
    <n v="962.81"/>
    <n v="0.06"/>
    <x v="2"/>
    <x v="379"/>
  </r>
  <r>
    <s v="SALE380"/>
    <d v="2024-01-17T00:00:00"/>
    <s v="CUST1213"/>
    <s v="Stuart Johnson"/>
    <s v="PROD21"/>
    <x v="3"/>
    <s v="STORE0"/>
    <n v="4"/>
    <n v="276.23"/>
    <n v="0.12"/>
    <x v="0"/>
    <x v="380"/>
  </r>
  <r>
    <s v="SALE381"/>
    <d v="2024-04-25T00:00:00"/>
    <s v="CUST1015"/>
    <s v="Laura Alvarez"/>
    <s v="PROD18"/>
    <x v="4"/>
    <s v="STORE14"/>
    <n v="3"/>
    <n v="991.37"/>
    <n v="0.1"/>
    <x v="1"/>
    <x v="381"/>
  </r>
  <r>
    <s v="SALE382"/>
    <d v="2025-09-29T00:00:00"/>
    <s v="CUST1168"/>
    <s v="Daniel Contreras"/>
    <s v="PROD72"/>
    <x v="0"/>
    <s v="STORE13"/>
    <n v="3"/>
    <n v="977.47"/>
    <n v="0.05"/>
    <x v="0"/>
    <x v="382"/>
  </r>
  <r>
    <s v="SALE383"/>
    <d v="2025-07-06T00:00:00"/>
    <s v="CUST1206"/>
    <s v="Ronald Jones"/>
    <s v="PROD94"/>
    <x v="2"/>
    <s v="STORE12"/>
    <n v="2"/>
    <n v="308.7"/>
    <n v="0.2"/>
    <x v="1"/>
    <x v="383"/>
  </r>
  <r>
    <s v="SALE384"/>
    <d v="2024-10-14T00:00:00"/>
    <s v="CUST1037"/>
    <s v="Christopher Carter"/>
    <s v="PROD45"/>
    <x v="0"/>
    <s v="STORE16"/>
    <n v="2"/>
    <n v="733.87"/>
    <n v="0.1"/>
    <x v="1"/>
    <x v="384"/>
  </r>
  <r>
    <s v="SALE385"/>
    <d v="2023-10-28T00:00:00"/>
    <s v="CUST1095"/>
    <s v="Amy Fowler"/>
    <s v="PROD40"/>
    <x v="1"/>
    <s v="STORE16"/>
    <n v="2"/>
    <n v="22.47"/>
    <n v="0.22"/>
    <x v="1"/>
    <x v="385"/>
  </r>
  <r>
    <s v="SALE386"/>
    <d v="2024-03-29T00:00:00"/>
    <s v="CUST1348"/>
    <s v="Sherry Cabrera"/>
    <s v="PROD24"/>
    <x v="0"/>
    <s v="STORE13"/>
    <n v="4"/>
    <n v="651.36"/>
    <n v="0.13"/>
    <x v="0"/>
    <x v="386"/>
  </r>
  <r>
    <s v="SALE387"/>
    <d v="2025-06-09T00:00:00"/>
    <s v="CUST1296"/>
    <s v="Jared Moran"/>
    <s v="PROD14"/>
    <x v="3"/>
    <s v="STORE10"/>
    <n v="1"/>
    <n v="753.39"/>
    <n v="0.04"/>
    <x v="2"/>
    <x v="387"/>
  </r>
  <r>
    <s v="SALE388"/>
    <d v="2024-10-11T00:00:00"/>
    <s v="CUST1201"/>
    <s v="Mary Boyd"/>
    <s v="PROD87"/>
    <x v="3"/>
    <s v="STORE12"/>
    <n v="4"/>
    <n v="849.17"/>
    <n v="0.12"/>
    <x v="2"/>
    <x v="388"/>
  </r>
  <r>
    <s v="SALE389"/>
    <d v="2024-07-22T00:00:00"/>
    <s v="CUST1379"/>
    <s v="Tanya Lopez"/>
    <s v="PROD20"/>
    <x v="0"/>
    <s v="STORE0"/>
    <n v="4"/>
    <n v="585.45000000000005"/>
    <n v="0.25"/>
    <x v="2"/>
    <x v="389"/>
  </r>
  <r>
    <s v="SALE390"/>
    <d v="2024-12-02T00:00:00"/>
    <s v="CUST1476"/>
    <s v="Elizabeth Foster"/>
    <s v="PROD69"/>
    <x v="4"/>
    <s v="STORE16"/>
    <n v="1"/>
    <n v="745.15"/>
    <n v="0.25"/>
    <x v="2"/>
    <x v="390"/>
  </r>
  <r>
    <s v="SALE391"/>
    <d v="2023-11-14T00:00:00"/>
    <s v="CUST1050"/>
    <s v="Matthew Hunter Jr."/>
    <s v="PROD99"/>
    <x v="3"/>
    <s v="STORE2"/>
    <n v="1"/>
    <n v="848.69"/>
    <n v="0.04"/>
    <x v="2"/>
    <x v="391"/>
  </r>
  <r>
    <s v="SALE392"/>
    <d v="2024-02-14T00:00:00"/>
    <s v="CUST1413"/>
    <s v="Megan Ryan"/>
    <s v="PROD70"/>
    <x v="3"/>
    <s v="STORE14"/>
    <n v="2"/>
    <n v="247.67"/>
    <n v="0.1"/>
    <x v="1"/>
    <x v="392"/>
  </r>
  <r>
    <s v="SALE393"/>
    <d v="2024-06-22T00:00:00"/>
    <s v="CUST1039"/>
    <s v="Tonya Reynolds"/>
    <s v="PROD74"/>
    <x v="1"/>
    <s v="STORE3"/>
    <n v="3"/>
    <n v="220.51"/>
    <n v="0.02"/>
    <x v="1"/>
    <x v="393"/>
  </r>
  <r>
    <s v="SALE394"/>
    <d v="2025-06-29T00:00:00"/>
    <s v="CUST1327"/>
    <s v="Reginald Willis"/>
    <s v="PROD1"/>
    <x v="4"/>
    <s v="STORE16"/>
    <n v="4"/>
    <n v="370.63"/>
    <n v="0.08"/>
    <x v="0"/>
    <x v="394"/>
  </r>
  <r>
    <s v="SALE395"/>
    <d v="2025-02-18T00:00:00"/>
    <s v="CUST1391"/>
    <s v="Heidi Tyler"/>
    <s v="PROD29"/>
    <x v="3"/>
    <s v="STORE19"/>
    <n v="4"/>
    <n v="349.84"/>
    <n v="0.11"/>
    <x v="0"/>
    <x v="395"/>
  </r>
  <r>
    <s v="SALE396"/>
    <d v="2025-06-15T00:00:00"/>
    <s v="CUST1043"/>
    <s v="Joseph Snow"/>
    <s v="PROD39"/>
    <x v="1"/>
    <s v="STORE12"/>
    <n v="1"/>
    <n v="770.87"/>
    <n v="0.1"/>
    <x v="2"/>
    <x v="396"/>
  </r>
  <r>
    <s v="SALE397"/>
    <d v="2024-08-14T00:00:00"/>
    <s v="CUST1479"/>
    <s v="Dylan Gutierrez"/>
    <s v="PROD74"/>
    <x v="1"/>
    <s v="STORE17"/>
    <n v="3"/>
    <n v="507.33"/>
    <n v="0.06"/>
    <x v="1"/>
    <x v="397"/>
  </r>
  <r>
    <s v="SALE398"/>
    <d v="2025-07-25T00:00:00"/>
    <s v="CUST1185"/>
    <s v="Brent Rivas"/>
    <s v="PROD79"/>
    <x v="3"/>
    <s v="STORE9"/>
    <n v="1"/>
    <n v="87.78"/>
    <n v="0.06"/>
    <x v="0"/>
    <x v="398"/>
  </r>
  <r>
    <s v="SALE399"/>
    <d v="2025-01-09T00:00:00"/>
    <s v="CUST1006"/>
    <s v="Amber Jackson"/>
    <s v="PROD93"/>
    <x v="1"/>
    <s v="STORE4"/>
    <n v="2"/>
    <n v="772.24"/>
    <n v="0.22"/>
    <x v="0"/>
    <x v="399"/>
  </r>
  <r>
    <s v="SALE400"/>
    <d v="2025-06-05T00:00:00"/>
    <s v="CUST1047"/>
    <s v="Gina Knight"/>
    <s v="PROD64"/>
    <x v="2"/>
    <s v="STORE14"/>
    <n v="1"/>
    <n v="108.27"/>
    <n v="0.1"/>
    <x v="2"/>
    <x v="400"/>
  </r>
  <r>
    <s v="SALE401"/>
    <d v="2024-12-07T00:00:00"/>
    <s v="CUST1347"/>
    <s v="Justin Mason Dds"/>
    <s v="PROD37"/>
    <x v="4"/>
    <s v="STORE17"/>
    <n v="2"/>
    <n v="839.24"/>
    <n v="0.21"/>
    <x v="1"/>
    <x v="401"/>
  </r>
  <r>
    <s v="SALE402"/>
    <d v="2024-02-09T00:00:00"/>
    <s v="CUST1383"/>
    <s v="Kristine Higgins"/>
    <s v="PROD58"/>
    <x v="4"/>
    <s v="STORE10"/>
    <n v="2"/>
    <n v="466.27"/>
    <n v="0.11"/>
    <x v="1"/>
    <x v="402"/>
  </r>
  <r>
    <s v="SALE403"/>
    <d v="2025-10-12T00:00:00"/>
    <s v="CUST1398"/>
    <s v="Jennifer Johnson"/>
    <s v="PROD75"/>
    <x v="4"/>
    <s v="STORE14"/>
    <n v="3"/>
    <n v="969.83"/>
    <n v="0.02"/>
    <x v="0"/>
    <x v="403"/>
  </r>
  <r>
    <s v="SALE404"/>
    <d v="2025-06-16T00:00:00"/>
    <s v="CUST1417"/>
    <s v="Karen King"/>
    <s v="PROD97"/>
    <x v="0"/>
    <s v="STORE19"/>
    <n v="2"/>
    <n v="782.11"/>
    <n v="0.17"/>
    <x v="1"/>
    <x v="404"/>
  </r>
  <r>
    <s v="SALE405"/>
    <d v="2025-09-21T00:00:00"/>
    <s v="CUST1451"/>
    <s v="Ashley Roberts"/>
    <s v="PROD90"/>
    <x v="1"/>
    <s v="STORE11"/>
    <n v="2"/>
    <n v="74.63"/>
    <n v="0.01"/>
    <x v="1"/>
    <x v="405"/>
  </r>
  <r>
    <s v="SALE406"/>
    <d v="2025-09-09T00:00:00"/>
    <s v="CUST1041"/>
    <s v="James Gibbs"/>
    <s v="PROD22"/>
    <x v="0"/>
    <s v="STORE6"/>
    <n v="3"/>
    <n v="522.78"/>
    <n v="0.25"/>
    <x v="1"/>
    <x v="406"/>
  </r>
  <r>
    <s v="SALE407"/>
    <d v="2025-07-15T00:00:00"/>
    <s v="CUST1338"/>
    <s v="Jasmine Snyder"/>
    <s v="PROD86"/>
    <x v="3"/>
    <s v="STORE15"/>
    <n v="1"/>
    <n v="206.45"/>
    <n v="0.15"/>
    <x v="1"/>
    <x v="407"/>
  </r>
  <r>
    <s v="SALE408"/>
    <d v="2024-10-15T00:00:00"/>
    <s v="CUST1145"/>
    <s v="Cameron Simpson"/>
    <s v="PROD69"/>
    <x v="4"/>
    <s v="STORE5"/>
    <n v="1"/>
    <n v="815.53"/>
    <n v="0.3"/>
    <x v="1"/>
    <x v="408"/>
  </r>
  <r>
    <s v="SALE409"/>
    <d v="2023-10-21T00:00:00"/>
    <s v="CUST1037"/>
    <s v="Christopher Carter"/>
    <s v="PROD45"/>
    <x v="0"/>
    <s v="STORE13"/>
    <n v="1"/>
    <n v="823.61"/>
    <n v="0.28000000000000003"/>
    <x v="2"/>
    <x v="409"/>
  </r>
  <r>
    <s v="SALE410"/>
    <d v="2025-05-30T00:00:00"/>
    <s v="CUST1478"/>
    <s v="Earl Smith Dds"/>
    <s v="PROD39"/>
    <x v="1"/>
    <s v="STORE9"/>
    <n v="2"/>
    <n v="209.96"/>
    <n v="0"/>
    <x v="0"/>
    <x v="410"/>
  </r>
  <r>
    <s v="SALE411"/>
    <d v="2024-06-19T00:00:00"/>
    <s v="CUST1175"/>
    <s v="Michelle Rogers"/>
    <s v="PROD49"/>
    <x v="2"/>
    <s v="STORE16"/>
    <n v="4"/>
    <n v="897.93"/>
    <n v="0.05"/>
    <x v="2"/>
    <x v="411"/>
  </r>
  <r>
    <s v="SALE412"/>
    <d v="2024-12-20T00:00:00"/>
    <s v="CUST1181"/>
    <s v="Erin Ward"/>
    <s v="PROD63"/>
    <x v="2"/>
    <s v="STORE0"/>
    <n v="4"/>
    <n v="925.95"/>
    <n v="0.16"/>
    <x v="2"/>
    <x v="412"/>
  </r>
  <r>
    <s v="SALE413"/>
    <d v="2024-08-16T00:00:00"/>
    <s v="CUST1084"/>
    <s v="Christy Hoffman"/>
    <s v="PROD25"/>
    <x v="4"/>
    <s v="STORE6"/>
    <n v="2"/>
    <n v="573.09"/>
    <n v="0.03"/>
    <x v="2"/>
    <x v="413"/>
  </r>
  <r>
    <s v="SALE414"/>
    <d v="2025-03-15T00:00:00"/>
    <s v="CUST1183"/>
    <s v="Mario Jacobs"/>
    <s v="PROD38"/>
    <x v="0"/>
    <s v="STORE4"/>
    <n v="4"/>
    <n v="149.83000000000001"/>
    <n v="0.02"/>
    <x v="0"/>
    <x v="414"/>
  </r>
  <r>
    <s v="SALE415"/>
    <d v="2024-06-02T00:00:00"/>
    <s v="CUST1001"/>
    <s v="Eugene Nelson"/>
    <s v="PROD51"/>
    <x v="1"/>
    <s v="STORE14"/>
    <n v="3"/>
    <n v="287.70999999999998"/>
    <n v="0.03"/>
    <x v="2"/>
    <x v="415"/>
  </r>
  <r>
    <s v="SALE416"/>
    <d v="2025-07-22T00:00:00"/>
    <s v="CUST1094"/>
    <s v="David Patterson"/>
    <s v="PROD39"/>
    <x v="1"/>
    <s v="STORE6"/>
    <n v="2"/>
    <n v="849.8"/>
    <n v="0.06"/>
    <x v="2"/>
    <x v="416"/>
  </r>
  <r>
    <s v="SALE417"/>
    <d v="2025-03-09T00:00:00"/>
    <s v="CUST1016"/>
    <s v="John Scott"/>
    <s v="PROD56"/>
    <x v="3"/>
    <s v="STORE3"/>
    <n v="3"/>
    <n v="482.58"/>
    <n v="0.28000000000000003"/>
    <x v="1"/>
    <x v="417"/>
  </r>
  <r>
    <s v="SALE418"/>
    <d v="2025-02-11T00:00:00"/>
    <s v="CUST1114"/>
    <s v="Ryan Hernandez"/>
    <s v="PROD59"/>
    <x v="2"/>
    <s v="STORE2"/>
    <n v="2"/>
    <n v="64.7"/>
    <n v="0"/>
    <x v="0"/>
    <x v="418"/>
  </r>
  <r>
    <s v="SALE419"/>
    <d v="2023-12-06T00:00:00"/>
    <s v="CUST1148"/>
    <s v="Theresa Campbell"/>
    <s v="PROD13"/>
    <x v="1"/>
    <s v="STORE5"/>
    <n v="3"/>
    <n v="589.83000000000004"/>
    <n v="0.26"/>
    <x v="0"/>
    <x v="419"/>
  </r>
  <r>
    <s v="SALE420"/>
    <d v="2025-08-20T00:00:00"/>
    <s v="CUST1288"/>
    <s v="Misty Ferguson"/>
    <s v="PROD3"/>
    <x v="4"/>
    <s v="STORE9"/>
    <n v="4"/>
    <n v="758.49"/>
    <n v="0.16"/>
    <x v="2"/>
    <x v="420"/>
  </r>
  <r>
    <s v="SALE421"/>
    <d v="2024-09-20T00:00:00"/>
    <s v="CUST1053"/>
    <s v="Sharon Brown"/>
    <s v="PROD37"/>
    <x v="4"/>
    <s v="STORE12"/>
    <n v="4"/>
    <n v="747.56"/>
    <n v="0.09"/>
    <x v="2"/>
    <x v="421"/>
  </r>
  <r>
    <s v="SALE422"/>
    <d v="2025-06-05T00:00:00"/>
    <s v="CUST1253"/>
    <s v="Dr. Ashley Yates Md"/>
    <s v="PROD71"/>
    <x v="2"/>
    <s v="STORE17"/>
    <n v="3"/>
    <n v="551.22"/>
    <n v="0.12"/>
    <x v="1"/>
    <x v="422"/>
  </r>
  <r>
    <s v="SALE423"/>
    <d v="2025-06-03T00:00:00"/>
    <s v="CUST1159"/>
    <s v="Brian Choi"/>
    <s v="PROD69"/>
    <x v="4"/>
    <s v="STORE14"/>
    <n v="2"/>
    <n v="527.05999999999995"/>
    <n v="0.17"/>
    <x v="1"/>
    <x v="423"/>
  </r>
  <r>
    <s v="SALE424"/>
    <d v="2025-01-13T00:00:00"/>
    <s v="CUST1098"/>
    <s v="Brittney Morgan"/>
    <s v="PROD62"/>
    <x v="1"/>
    <s v="STORE5"/>
    <n v="4"/>
    <n v="875.41"/>
    <n v="0.27"/>
    <x v="0"/>
    <x v="424"/>
  </r>
  <r>
    <s v="SALE425"/>
    <d v="2025-03-20T00:00:00"/>
    <s v="CUST1007"/>
    <s v="Daniel Boyd"/>
    <s v="PROD67"/>
    <x v="1"/>
    <s v="STORE0"/>
    <n v="2"/>
    <n v="226.43"/>
    <n v="0.03"/>
    <x v="0"/>
    <x v="425"/>
  </r>
  <r>
    <s v="SALE426"/>
    <d v="2024-07-07T00:00:00"/>
    <s v="CUST1035"/>
    <s v="Rachel Myers"/>
    <s v="PROD97"/>
    <x v="0"/>
    <s v="STORE5"/>
    <n v="2"/>
    <n v="285.39"/>
    <n v="0.1"/>
    <x v="0"/>
    <x v="426"/>
  </r>
  <r>
    <s v="SALE427"/>
    <d v="2025-09-29T00:00:00"/>
    <s v="CUST1334"/>
    <s v="Mr. Christopher Sims"/>
    <s v="PROD71"/>
    <x v="2"/>
    <s v="STORE15"/>
    <n v="2"/>
    <n v="298.01"/>
    <n v="0.05"/>
    <x v="0"/>
    <x v="427"/>
  </r>
  <r>
    <s v="SALE428"/>
    <d v="2024-11-30T00:00:00"/>
    <s v="CUST1159"/>
    <s v="Brian Choi"/>
    <s v="PROD69"/>
    <x v="4"/>
    <s v="STORE4"/>
    <n v="4"/>
    <n v="753.49"/>
    <n v="0.26"/>
    <x v="2"/>
    <x v="428"/>
  </r>
  <r>
    <s v="SALE429"/>
    <d v="2024-06-17T00:00:00"/>
    <s v="CUST1488"/>
    <s v="Zachary Andrade"/>
    <s v="PROD78"/>
    <x v="3"/>
    <s v="STORE12"/>
    <n v="2"/>
    <n v="130.38999999999999"/>
    <n v="0.17"/>
    <x v="1"/>
    <x v="429"/>
  </r>
  <r>
    <s v="SALE430"/>
    <d v="2025-02-21T00:00:00"/>
    <s v="CUST1345"/>
    <s v="Daniel Nelson"/>
    <s v="PROD22"/>
    <x v="0"/>
    <s v="STORE9"/>
    <n v="4"/>
    <n v="164.02"/>
    <n v="0.01"/>
    <x v="1"/>
    <x v="430"/>
  </r>
  <r>
    <s v="SALE431"/>
    <d v="2024-09-16T00:00:00"/>
    <s v="CUST1164"/>
    <s v="Daniel Rivas"/>
    <s v="PROD48"/>
    <x v="1"/>
    <s v="STORE4"/>
    <n v="2"/>
    <n v="527.51"/>
    <n v="0.18"/>
    <x v="1"/>
    <x v="431"/>
  </r>
  <r>
    <s v="SALE432"/>
    <d v="2025-10-09T00:00:00"/>
    <s v="CUST1253"/>
    <s v="Dr. Ashley Yates Md"/>
    <s v="PROD71"/>
    <x v="2"/>
    <s v="STORE13"/>
    <n v="3"/>
    <n v="628.17999999999995"/>
    <n v="0.26"/>
    <x v="0"/>
    <x v="432"/>
  </r>
  <r>
    <s v="SALE433"/>
    <d v="2024-09-18T00:00:00"/>
    <s v="CUST1269"/>
    <s v="Tyrone Olson"/>
    <s v="PROD77"/>
    <x v="1"/>
    <s v="STORE3"/>
    <n v="1"/>
    <n v="862.31"/>
    <n v="0.06"/>
    <x v="0"/>
    <x v="433"/>
  </r>
  <r>
    <s v="SALE434"/>
    <d v="2025-05-29T00:00:00"/>
    <s v="CUST1071"/>
    <s v="Andrea Perez"/>
    <s v="PROD83"/>
    <x v="2"/>
    <s v="STORE14"/>
    <n v="2"/>
    <n v="541.39"/>
    <n v="0.03"/>
    <x v="2"/>
    <x v="434"/>
  </r>
  <r>
    <s v="SALE435"/>
    <d v="2025-06-03T00:00:00"/>
    <s v="CUST1477"/>
    <s v="Andrea Harris"/>
    <s v="PROD76"/>
    <x v="1"/>
    <s v="STORE16"/>
    <n v="3"/>
    <n v="761.8"/>
    <n v="0.06"/>
    <x v="2"/>
    <x v="435"/>
  </r>
  <r>
    <s v="SALE436"/>
    <d v="2024-08-04T00:00:00"/>
    <s v="CUST1422"/>
    <s v="Brittany Edwards Dds"/>
    <s v="PROD49"/>
    <x v="2"/>
    <s v="STORE2"/>
    <n v="4"/>
    <n v="829.36"/>
    <n v="0.11"/>
    <x v="1"/>
    <x v="436"/>
  </r>
  <r>
    <s v="SALE437"/>
    <d v="2024-06-17T00:00:00"/>
    <s v="CUST1404"/>
    <s v="David Ross"/>
    <s v="PROD23"/>
    <x v="4"/>
    <s v="STORE16"/>
    <n v="2"/>
    <n v="425.06"/>
    <n v="0.09"/>
    <x v="1"/>
    <x v="437"/>
  </r>
  <r>
    <s v="SALE438"/>
    <d v="2024-01-20T00:00:00"/>
    <s v="CUST1127"/>
    <s v="John Mcknight"/>
    <s v="PROD55"/>
    <x v="3"/>
    <s v="STORE0"/>
    <n v="2"/>
    <n v="911.14"/>
    <n v="0.1"/>
    <x v="0"/>
    <x v="438"/>
  </r>
  <r>
    <s v="SALE439"/>
    <d v="2025-09-06T00:00:00"/>
    <s v="CUST1084"/>
    <s v="Christy Hoffman"/>
    <s v="PROD25"/>
    <x v="4"/>
    <s v="STORE8"/>
    <n v="3"/>
    <n v="811.96"/>
    <n v="0.28999999999999998"/>
    <x v="0"/>
    <x v="439"/>
  </r>
  <r>
    <s v="SALE440"/>
    <d v="2024-03-29T00:00:00"/>
    <s v="CUST1273"/>
    <s v="Samantha Robinson"/>
    <s v="PROD20"/>
    <x v="0"/>
    <s v="STORE10"/>
    <n v="2"/>
    <n v="780.05"/>
    <n v="0.12"/>
    <x v="2"/>
    <x v="440"/>
  </r>
  <r>
    <s v="SALE441"/>
    <d v="2024-08-23T00:00:00"/>
    <s v="CUST1215"/>
    <s v="Steve Medina"/>
    <s v="PROD32"/>
    <x v="2"/>
    <s v="STORE9"/>
    <n v="4"/>
    <n v="315.95"/>
    <n v="0.19"/>
    <x v="2"/>
    <x v="441"/>
  </r>
  <r>
    <s v="SALE442"/>
    <d v="2025-05-19T00:00:00"/>
    <s v="CUST1229"/>
    <s v="Tanner Thompson"/>
    <s v="PROD52"/>
    <x v="0"/>
    <s v="STORE9"/>
    <n v="2"/>
    <n v="810.17"/>
    <n v="0.27"/>
    <x v="0"/>
    <x v="442"/>
  </r>
  <r>
    <s v="SALE443"/>
    <d v="2024-04-07T00:00:00"/>
    <s v="CUST1205"/>
    <s v="Michelle Carpenter"/>
    <s v="PROD84"/>
    <x v="3"/>
    <s v="STORE4"/>
    <n v="3"/>
    <n v="505.01"/>
    <n v="0.02"/>
    <x v="1"/>
    <x v="443"/>
  </r>
  <r>
    <s v="SALE444"/>
    <d v="2024-01-24T00:00:00"/>
    <s v="CUST1467"/>
    <s v="Michael Foley"/>
    <s v="PROD74"/>
    <x v="1"/>
    <s v="STORE17"/>
    <n v="2"/>
    <n v="736.75"/>
    <n v="0.18"/>
    <x v="0"/>
    <x v="444"/>
  </r>
  <r>
    <s v="SALE445"/>
    <d v="2024-01-20T00:00:00"/>
    <s v="CUST1027"/>
    <s v="Leslie Johnson"/>
    <s v="PROD24"/>
    <x v="0"/>
    <s v="STORE9"/>
    <n v="4"/>
    <n v="700.31"/>
    <n v="0.2"/>
    <x v="1"/>
    <x v="445"/>
  </r>
  <r>
    <s v="SALE446"/>
    <d v="2023-12-10T00:00:00"/>
    <s v="CUST1129"/>
    <s v="Jessica Mitchell"/>
    <s v="PROD91"/>
    <x v="4"/>
    <s v="STORE11"/>
    <n v="4"/>
    <n v="202.46"/>
    <n v="0.24"/>
    <x v="0"/>
    <x v="446"/>
  </r>
  <r>
    <s v="SALE447"/>
    <d v="2023-12-19T00:00:00"/>
    <s v="CUST1265"/>
    <s v="Tracy Kelly"/>
    <s v="PROD87"/>
    <x v="3"/>
    <s v="STORE1"/>
    <n v="2"/>
    <n v="291.83999999999997"/>
    <n v="0.25"/>
    <x v="1"/>
    <x v="447"/>
  </r>
  <r>
    <s v="SALE448"/>
    <d v="2023-11-22T00:00:00"/>
    <s v="CUST1163"/>
    <s v="Joseph Jones"/>
    <s v="PROD97"/>
    <x v="0"/>
    <s v="STORE5"/>
    <n v="2"/>
    <n v="261.48"/>
    <n v="0.17"/>
    <x v="0"/>
    <x v="448"/>
  </r>
  <r>
    <s v="SALE449"/>
    <d v="2025-10-08T00:00:00"/>
    <s v="CUST1300"/>
    <s v="Matthew Avery"/>
    <s v="PROD36"/>
    <x v="4"/>
    <s v="STORE14"/>
    <n v="1"/>
    <n v="850.83"/>
    <n v="0.28000000000000003"/>
    <x v="1"/>
    <x v="449"/>
  </r>
  <r>
    <s v="SALE450"/>
    <d v="2025-02-23T00:00:00"/>
    <s v="CUST1405"/>
    <s v="Eric Wolfe"/>
    <s v="PROD48"/>
    <x v="1"/>
    <s v="STORE9"/>
    <n v="1"/>
    <n v="83.83"/>
    <n v="0.05"/>
    <x v="0"/>
    <x v="450"/>
  </r>
  <r>
    <s v="SALE451"/>
    <d v="2025-02-25T00:00:00"/>
    <s v="CUST1006"/>
    <s v="Amber Jackson"/>
    <s v="PROD93"/>
    <x v="1"/>
    <s v="STORE16"/>
    <n v="3"/>
    <n v="649.95000000000005"/>
    <n v="0.28000000000000003"/>
    <x v="2"/>
    <x v="451"/>
  </r>
  <r>
    <s v="SALE452"/>
    <d v="2024-09-30T00:00:00"/>
    <s v="CUST1366"/>
    <s v="Mallory Allen"/>
    <s v="PROD73"/>
    <x v="0"/>
    <s v="STORE6"/>
    <n v="4"/>
    <n v="934.96"/>
    <n v="0.18"/>
    <x v="1"/>
    <x v="452"/>
  </r>
  <r>
    <s v="SALE453"/>
    <d v="2023-12-19T00:00:00"/>
    <s v="CUST1206"/>
    <s v="Ronald Jones"/>
    <s v="PROD94"/>
    <x v="2"/>
    <s v="STORE14"/>
    <n v="1"/>
    <n v="880.89"/>
    <n v="0.13"/>
    <x v="2"/>
    <x v="453"/>
  </r>
  <r>
    <s v="SALE454"/>
    <d v="2024-11-18T00:00:00"/>
    <s v="CUST1477"/>
    <s v="Andrea Harris"/>
    <s v="PROD76"/>
    <x v="1"/>
    <s v="STORE8"/>
    <n v="4"/>
    <n v="610.6"/>
    <n v="0.1"/>
    <x v="1"/>
    <x v="454"/>
  </r>
  <r>
    <s v="SALE455"/>
    <d v="2025-09-12T00:00:00"/>
    <s v="CUST1075"/>
    <s v="Rhonda Morales"/>
    <s v="PROD16"/>
    <x v="2"/>
    <s v="STORE18"/>
    <n v="1"/>
    <n v="514.19000000000005"/>
    <n v="0.2"/>
    <x v="0"/>
    <x v="455"/>
  </r>
  <r>
    <s v="SALE456"/>
    <d v="2025-01-31T00:00:00"/>
    <s v="CUST1399"/>
    <s v="John Donaldson"/>
    <s v="PROD66"/>
    <x v="2"/>
    <s v="STORE13"/>
    <n v="1"/>
    <n v="546.20000000000005"/>
    <n v="0.22"/>
    <x v="1"/>
    <x v="456"/>
  </r>
  <r>
    <s v="SALE457"/>
    <d v="2024-10-26T00:00:00"/>
    <s v="CUST1197"/>
    <s v="Andrea Jacobs"/>
    <s v="PROD37"/>
    <x v="4"/>
    <s v="STORE0"/>
    <n v="3"/>
    <n v="416.01"/>
    <n v="0.02"/>
    <x v="0"/>
    <x v="457"/>
  </r>
  <r>
    <s v="SALE458"/>
    <d v="2025-07-26T00:00:00"/>
    <s v="CUST1384"/>
    <s v="Andrew Mason"/>
    <s v="PROD74"/>
    <x v="1"/>
    <s v="STORE10"/>
    <n v="1"/>
    <n v="30.94"/>
    <n v="0.21"/>
    <x v="2"/>
    <x v="458"/>
  </r>
  <r>
    <s v="SALE459"/>
    <d v="2025-08-06T00:00:00"/>
    <s v="CUST1200"/>
    <s v="Anna Perez"/>
    <s v="PROD77"/>
    <x v="1"/>
    <s v="STORE16"/>
    <n v="3"/>
    <n v="666.39"/>
    <n v="0.21"/>
    <x v="2"/>
    <x v="459"/>
  </r>
  <r>
    <s v="SALE460"/>
    <d v="2025-05-20T00:00:00"/>
    <s v="CUST1166"/>
    <s v="Patricia Gardner"/>
    <s v="PROD81"/>
    <x v="0"/>
    <s v="STORE10"/>
    <n v="2"/>
    <n v="145.26"/>
    <n v="0.19"/>
    <x v="1"/>
    <x v="460"/>
  </r>
  <r>
    <s v="SALE461"/>
    <d v="2024-03-13T00:00:00"/>
    <s v="CUST1118"/>
    <s v="Earl Allen"/>
    <s v="PROD83"/>
    <x v="2"/>
    <s v="STORE5"/>
    <n v="4"/>
    <n v="940.77"/>
    <n v="0.24"/>
    <x v="2"/>
    <x v="461"/>
  </r>
  <r>
    <s v="SALE462"/>
    <d v="2025-02-12T00:00:00"/>
    <s v="CUST1469"/>
    <s v="James Foster"/>
    <s v="PROD45"/>
    <x v="0"/>
    <s v="STORE17"/>
    <n v="1"/>
    <n v="708.88"/>
    <n v="0.09"/>
    <x v="0"/>
    <x v="462"/>
  </r>
  <r>
    <s v="SALE463"/>
    <d v="2025-09-24T00:00:00"/>
    <s v="CUST1307"/>
    <s v="Brandy Thompson"/>
    <s v="PROD93"/>
    <x v="1"/>
    <s v="STORE2"/>
    <n v="1"/>
    <n v="790.73"/>
    <n v="0.24"/>
    <x v="1"/>
    <x v="463"/>
  </r>
  <r>
    <s v="SALE464"/>
    <d v="2024-10-09T00:00:00"/>
    <s v="CUST1449"/>
    <s v="William Cortez"/>
    <s v="PROD98"/>
    <x v="1"/>
    <s v="STORE9"/>
    <n v="3"/>
    <n v="635.13"/>
    <n v="0.09"/>
    <x v="1"/>
    <x v="464"/>
  </r>
  <r>
    <s v="SALE465"/>
    <d v="2023-11-03T00:00:00"/>
    <s v="CUST1266"/>
    <s v="Cynthia Payne"/>
    <s v="PROD15"/>
    <x v="1"/>
    <s v="STORE14"/>
    <n v="1"/>
    <n v="744.88"/>
    <n v="0.15"/>
    <x v="2"/>
    <x v="465"/>
  </r>
  <r>
    <s v="SALE466"/>
    <d v="2025-03-29T00:00:00"/>
    <s v="CUST1183"/>
    <s v="Mario Jacobs"/>
    <s v="PROD38"/>
    <x v="0"/>
    <s v="STORE1"/>
    <n v="3"/>
    <n v="205.34"/>
    <n v="0.25"/>
    <x v="0"/>
    <x v="466"/>
  </r>
  <r>
    <s v="SALE467"/>
    <d v="2025-07-13T00:00:00"/>
    <s v="CUST1419"/>
    <s v="Monica Miller"/>
    <s v="PROD3"/>
    <x v="4"/>
    <s v="STORE8"/>
    <n v="2"/>
    <n v="756.8"/>
    <n v="0.15"/>
    <x v="0"/>
    <x v="467"/>
  </r>
  <r>
    <s v="SALE468"/>
    <d v="2024-01-17T00:00:00"/>
    <s v="CUST1044"/>
    <s v="Denise Williams"/>
    <s v="PROD1"/>
    <x v="4"/>
    <s v="STORE10"/>
    <n v="1"/>
    <n v="771.73"/>
    <n v="0.2"/>
    <x v="0"/>
    <x v="468"/>
  </r>
  <r>
    <s v="SALE469"/>
    <d v="2024-12-13T00:00:00"/>
    <s v="CUST1479"/>
    <s v="Dylan Gutierrez"/>
    <s v="PROD74"/>
    <x v="1"/>
    <s v="STORE17"/>
    <n v="1"/>
    <n v="440.19"/>
    <n v="0.03"/>
    <x v="1"/>
    <x v="469"/>
  </r>
  <r>
    <s v="SALE470"/>
    <d v="2025-09-19T00:00:00"/>
    <s v="CUST1047"/>
    <s v="Gina Knight"/>
    <s v="PROD64"/>
    <x v="2"/>
    <s v="STORE2"/>
    <n v="2"/>
    <n v="409"/>
    <n v="0.17"/>
    <x v="0"/>
    <x v="470"/>
  </r>
  <r>
    <s v="SALE471"/>
    <d v="2024-02-11T00:00:00"/>
    <s v="CUST1343"/>
    <s v="Ryan Moore"/>
    <s v="PROD17"/>
    <x v="0"/>
    <s v="STORE19"/>
    <n v="3"/>
    <n v="134.58000000000001"/>
    <n v="0.04"/>
    <x v="2"/>
    <x v="471"/>
  </r>
  <r>
    <s v="SALE472"/>
    <d v="2025-06-03T00:00:00"/>
    <s v="CUST1348"/>
    <s v="Sherry Cabrera"/>
    <s v="PROD24"/>
    <x v="0"/>
    <s v="STORE7"/>
    <n v="4"/>
    <n v="284.44"/>
    <n v="0.02"/>
    <x v="0"/>
    <x v="472"/>
  </r>
  <r>
    <s v="SALE473"/>
    <d v="2025-03-10T00:00:00"/>
    <s v="CUST1405"/>
    <s v="Eric Wolfe"/>
    <s v="PROD48"/>
    <x v="1"/>
    <s v="STORE13"/>
    <n v="4"/>
    <n v="922.69"/>
    <n v="0.16"/>
    <x v="0"/>
    <x v="473"/>
  </r>
  <r>
    <s v="SALE474"/>
    <d v="2024-12-18T00:00:00"/>
    <s v="CUST1275"/>
    <s v="Shannon Miller"/>
    <s v="PROD69"/>
    <x v="4"/>
    <s v="STORE6"/>
    <n v="2"/>
    <n v="992.55"/>
    <n v="0.28000000000000003"/>
    <x v="0"/>
    <x v="474"/>
  </r>
  <r>
    <s v="SALE475"/>
    <d v="2024-03-20T00:00:00"/>
    <s v="CUST1418"/>
    <s v="Luke Parks"/>
    <s v="PROD89"/>
    <x v="2"/>
    <s v="STORE18"/>
    <n v="1"/>
    <n v="170.43"/>
    <n v="0.03"/>
    <x v="0"/>
    <x v="475"/>
  </r>
  <r>
    <s v="SALE476"/>
    <d v="2024-06-19T00:00:00"/>
    <s v="CUST1223"/>
    <s v="Robert Harris"/>
    <s v="PROD72"/>
    <x v="0"/>
    <s v="STORE2"/>
    <n v="3"/>
    <n v="480.51"/>
    <n v="0.03"/>
    <x v="0"/>
    <x v="476"/>
  </r>
  <r>
    <s v="SALE477"/>
    <d v="2024-12-06T00:00:00"/>
    <s v="CUST1156"/>
    <s v="Maria Sanchez"/>
    <s v="PROD49"/>
    <x v="2"/>
    <s v="STORE7"/>
    <n v="2"/>
    <n v="955.66"/>
    <n v="0.28999999999999998"/>
    <x v="2"/>
    <x v="477"/>
  </r>
  <r>
    <s v="SALE478"/>
    <d v="2025-07-25T00:00:00"/>
    <s v="CUST1451"/>
    <s v="Ashley Roberts"/>
    <s v="PROD90"/>
    <x v="1"/>
    <s v="STORE0"/>
    <n v="2"/>
    <n v="488.02"/>
    <n v="0.27"/>
    <x v="1"/>
    <x v="478"/>
  </r>
  <r>
    <s v="SALE479"/>
    <d v="2024-07-28T00:00:00"/>
    <s v="CUST1240"/>
    <s v="William Hull"/>
    <s v="PROD92"/>
    <x v="3"/>
    <s v="STORE0"/>
    <n v="1"/>
    <n v="917.17"/>
    <n v="0.13"/>
    <x v="2"/>
    <x v="479"/>
  </r>
  <r>
    <s v="SALE480"/>
    <d v="2024-10-03T00:00:00"/>
    <s v="CUST1324"/>
    <s v="Alex Mann Ii"/>
    <s v="PROD20"/>
    <x v="0"/>
    <s v="STORE5"/>
    <n v="2"/>
    <n v="406.46"/>
    <n v="0.3"/>
    <x v="1"/>
    <x v="480"/>
  </r>
  <r>
    <s v="SALE481"/>
    <d v="2023-11-08T00:00:00"/>
    <s v="CUST1232"/>
    <s v="Christy Hill"/>
    <s v="PROD95"/>
    <x v="0"/>
    <s v="STORE0"/>
    <n v="2"/>
    <n v="264.39"/>
    <n v="0.11"/>
    <x v="2"/>
    <x v="481"/>
  </r>
  <r>
    <s v="SALE482"/>
    <d v="2025-04-07T00:00:00"/>
    <s v="CUST1191"/>
    <s v="Todd Poole"/>
    <s v="PROD17"/>
    <x v="0"/>
    <s v="STORE16"/>
    <n v="1"/>
    <n v="414.97"/>
    <n v="0.22"/>
    <x v="1"/>
    <x v="482"/>
  </r>
  <r>
    <s v="SALE483"/>
    <d v="2023-12-20T00:00:00"/>
    <s v="CUST1146"/>
    <s v="Edward Rivera"/>
    <s v="PROD25"/>
    <x v="4"/>
    <s v="STORE12"/>
    <n v="2"/>
    <n v="583.51"/>
    <n v="0.2"/>
    <x v="2"/>
    <x v="483"/>
  </r>
  <r>
    <s v="SALE484"/>
    <d v="2025-09-11T00:00:00"/>
    <s v="CUST1011"/>
    <s v="Brian Lopez"/>
    <s v="PROD31"/>
    <x v="0"/>
    <s v="STORE17"/>
    <n v="1"/>
    <n v="659.27"/>
    <n v="0.15"/>
    <x v="1"/>
    <x v="484"/>
  </r>
  <r>
    <s v="SALE485"/>
    <d v="2024-12-01T00:00:00"/>
    <s v="CUST1445"/>
    <s v="Gene Lee"/>
    <s v="PROD2"/>
    <x v="4"/>
    <s v="STORE4"/>
    <n v="4"/>
    <n v="106.66"/>
    <n v="0.2"/>
    <x v="2"/>
    <x v="485"/>
  </r>
  <r>
    <s v="SALE486"/>
    <d v="2024-11-21T00:00:00"/>
    <s v="CUST1163"/>
    <s v="Joseph Jones"/>
    <s v="PROD97"/>
    <x v="0"/>
    <s v="STORE5"/>
    <n v="4"/>
    <n v="168.55"/>
    <n v="0.15"/>
    <x v="1"/>
    <x v="486"/>
  </r>
  <r>
    <s v="SALE487"/>
    <d v="2025-08-30T00:00:00"/>
    <s v="CUST1488"/>
    <s v="Zachary Andrade"/>
    <s v="PROD78"/>
    <x v="3"/>
    <s v="STORE2"/>
    <n v="1"/>
    <n v="230.53"/>
    <n v="0.06"/>
    <x v="2"/>
    <x v="487"/>
  </r>
  <r>
    <s v="SALE488"/>
    <d v="2025-08-20T00:00:00"/>
    <s v="CUST1007"/>
    <s v="Daniel Boyd"/>
    <s v="PROD67"/>
    <x v="1"/>
    <s v="STORE1"/>
    <n v="2"/>
    <n v="355.41"/>
    <n v="0.13"/>
    <x v="2"/>
    <x v="488"/>
  </r>
  <r>
    <s v="SALE489"/>
    <d v="2025-10-13T00:00:00"/>
    <s v="CUST1167"/>
    <s v="Antonio Wade"/>
    <s v="PROD47"/>
    <x v="2"/>
    <s v="STORE2"/>
    <n v="3"/>
    <n v="843.44"/>
    <n v="0.22"/>
    <x v="0"/>
    <x v="489"/>
  </r>
  <r>
    <s v="SALE490"/>
    <d v="2024-01-15T00:00:00"/>
    <s v="CUST1163"/>
    <s v="Joseph Jones"/>
    <s v="PROD97"/>
    <x v="0"/>
    <s v="STORE1"/>
    <n v="1"/>
    <n v="301.60000000000002"/>
    <n v="0.27"/>
    <x v="0"/>
    <x v="490"/>
  </r>
  <r>
    <s v="SALE491"/>
    <d v="2025-04-25T00:00:00"/>
    <s v="CUST1042"/>
    <s v="William Martin"/>
    <s v="PROD51"/>
    <x v="1"/>
    <s v="STORE2"/>
    <n v="3"/>
    <n v="21.59"/>
    <n v="0.16"/>
    <x v="2"/>
    <x v="491"/>
  </r>
  <r>
    <s v="SALE492"/>
    <d v="2024-02-24T00:00:00"/>
    <s v="CUST1212"/>
    <s v="Blake Harrison"/>
    <s v="PROD13"/>
    <x v="1"/>
    <s v="STORE2"/>
    <n v="4"/>
    <n v="284.24"/>
    <n v="0.09"/>
    <x v="0"/>
    <x v="492"/>
  </r>
  <r>
    <s v="SALE493"/>
    <d v="2024-12-30T00:00:00"/>
    <s v="CUST1368"/>
    <s v="Miranda King"/>
    <s v="PROD12"/>
    <x v="2"/>
    <s v="STORE9"/>
    <n v="1"/>
    <n v="191.6"/>
    <n v="0.27"/>
    <x v="1"/>
    <x v="493"/>
  </r>
  <r>
    <s v="SALE494"/>
    <d v="2025-04-15T00:00:00"/>
    <s v="CUST1311"/>
    <s v="Kevin Larson"/>
    <s v="PROD78"/>
    <x v="3"/>
    <s v="STORE12"/>
    <n v="2"/>
    <n v="616.97"/>
    <n v="0.22"/>
    <x v="0"/>
    <x v="494"/>
  </r>
  <r>
    <s v="SALE495"/>
    <d v="2024-10-15T00:00:00"/>
    <s v="CUST1168"/>
    <s v="Daniel Contreras"/>
    <s v="PROD72"/>
    <x v="0"/>
    <s v="STORE10"/>
    <n v="3"/>
    <n v="125.68"/>
    <n v="0.26"/>
    <x v="2"/>
    <x v="495"/>
  </r>
  <r>
    <s v="SALE496"/>
    <d v="2025-01-19T00:00:00"/>
    <s v="CUST1352"/>
    <s v="Michael Greene"/>
    <s v="PROD43"/>
    <x v="1"/>
    <s v="STORE4"/>
    <n v="3"/>
    <n v="307.48"/>
    <n v="0.24"/>
    <x v="0"/>
    <x v="496"/>
  </r>
  <r>
    <s v="SALE497"/>
    <d v="2024-07-22T00:00:00"/>
    <s v="CUST1298"/>
    <s v="Tracy Stephens"/>
    <s v="PROD73"/>
    <x v="0"/>
    <s v="STORE19"/>
    <n v="1"/>
    <n v="505.23"/>
    <n v="0.11"/>
    <x v="0"/>
    <x v="497"/>
  </r>
  <r>
    <s v="SALE498"/>
    <d v="2025-03-19T00:00:00"/>
    <s v="CUST1365"/>
    <s v="Brandon Mcbride"/>
    <s v="PROD45"/>
    <x v="0"/>
    <s v="STORE16"/>
    <n v="1"/>
    <n v="853.12"/>
    <n v="0.19"/>
    <x v="2"/>
    <x v="498"/>
  </r>
  <r>
    <s v="SALE499"/>
    <d v="2024-01-21T00:00:00"/>
    <s v="CUST1129"/>
    <s v="Jessica Mitchell"/>
    <s v="PROD91"/>
    <x v="4"/>
    <s v="STORE7"/>
    <n v="4"/>
    <n v="191.65"/>
    <n v="0.19"/>
    <x v="1"/>
    <x v="499"/>
  </r>
  <r>
    <s v="SALE500"/>
    <d v="2023-12-26T00:00:00"/>
    <s v="CUST1160"/>
    <s v="John Lawson"/>
    <s v="PROD47"/>
    <x v="2"/>
    <s v="STORE3"/>
    <n v="1"/>
    <n v="169.69"/>
    <n v="0.22"/>
    <x v="0"/>
    <x v="500"/>
  </r>
  <r>
    <s v="SALE501"/>
    <d v="2024-03-21T00:00:00"/>
    <s v="CUST1175"/>
    <s v="Michelle Rogers"/>
    <s v="PROD49"/>
    <x v="2"/>
    <s v="STORE14"/>
    <n v="1"/>
    <n v="145.43"/>
    <n v="0.08"/>
    <x v="0"/>
    <x v="501"/>
  </r>
  <r>
    <s v="SALE502"/>
    <d v="2024-12-07T00:00:00"/>
    <s v="CUST1084"/>
    <s v="Christy Hoffman"/>
    <s v="PROD25"/>
    <x v="4"/>
    <s v="STORE12"/>
    <n v="4"/>
    <n v="828.35"/>
    <n v="0.17"/>
    <x v="0"/>
    <x v="502"/>
  </r>
  <r>
    <s v="SALE503"/>
    <d v="2024-11-02T00:00:00"/>
    <s v="CUST1362"/>
    <s v="Joshua Smith Dvm"/>
    <s v="PROD95"/>
    <x v="0"/>
    <s v="STORE7"/>
    <n v="3"/>
    <n v="268.76"/>
    <n v="0.01"/>
    <x v="1"/>
    <x v="503"/>
  </r>
  <r>
    <s v="SALE504"/>
    <d v="2024-07-22T00:00:00"/>
    <s v="CUST1233"/>
    <s v="Michelle Gonzalez"/>
    <s v="PROD88"/>
    <x v="0"/>
    <s v="STORE0"/>
    <n v="4"/>
    <n v="370.09"/>
    <n v="0.22"/>
    <x v="2"/>
    <x v="504"/>
  </r>
  <r>
    <s v="SALE505"/>
    <d v="2023-10-30T00:00:00"/>
    <s v="CUST1253"/>
    <s v="Dr. Ashley Yates Md"/>
    <s v="PROD71"/>
    <x v="2"/>
    <s v="STORE6"/>
    <n v="3"/>
    <n v="679.22"/>
    <n v="0.11"/>
    <x v="1"/>
    <x v="505"/>
  </r>
  <r>
    <s v="SALE506"/>
    <d v="2024-05-21T00:00:00"/>
    <s v="CUST1373"/>
    <s v="James Orozco"/>
    <s v="PROD72"/>
    <x v="0"/>
    <s v="STORE0"/>
    <n v="3"/>
    <n v="780.69"/>
    <n v="0.1"/>
    <x v="2"/>
    <x v="506"/>
  </r>
  <r>
    <s v="SALE507"/>
    <d v="2025-04-19T00:00:00"/>
    <s v="CUST1261"/>
    <s v="Carol Bishop"/>
    <s v="PROD42"/>
    <x v="1"/>
    <s v="STORE2"/>
    <n v="2"/>
    <n v="42.97"/>
    <n v="0.18"/>
    <x v="1"/>
    <x v="507"/>
  </r>
  <r>
    <s v="SALE508"/>
    <d v="2024-12-13T00:00:00"/>
    <s v="CUST1286"/>
    <s v="Tommy Roberts"/>
    <s v="PROD82"/>
    <x v="0"/>
    <s v="STORE0"/>
    <n v="4"/>
    <n v="854.37"/>
    <n v="7.0000000000000007E-2"/>
    <x v="1"/>
    <x v="508"/>
  </r>
  <r>
    <s v="SALE509"/>
    <d v="2025-04-27T00:00:00"/>
    <s v="CUST1100"/>
    <s v="Diane Watson"/>
    <s v="PROD24"/>
    <x v="0"/>
    <s v="STORE16"/>
    <n v="2"/>
    <n v="409.52"/>
    <n v="0.06"/>
    <x v="2"/>
    <x v="509"/>
  </r>
  <r>
    <s v="SALE510"/>
    <d v="2024-10-04T00:00:00"/>
    <s v="CUST1164"/>
    <s v="Daniel Rivas"/>
    <s v="PROD48"/>
    <x v="1"/>
    <s v="STORE10"/>
    <n v="2"/>
    <n v="407.46"/>
    <n v="0.21"/>
    <x v="0"/>
    <x v="510"/>
  </r>
  <r>
    <s v="SALE511"/>
    <d v="2025-07-18T00:00:00"/>
    <s v="CUST1228"/>
    <s v="Casey Flores"/>
    <s v="PROD4"/>
    <x v="4"/>
    <s v="STORE8"/>
    <n v="1"/>
    <n v="728.84"/>
    <n v="0.28000000000000003"/>
    <x v="1"/>
    <x v="511"/>
  </r>
  <r>
    <s v="SALE512"/>
    <d v="2024-03-11T00:00:00"/>
    <s v="CUST1453"/>
    <s v="April Phillips"/>
    <s v="PROD12"/>
    <x v="2"/>
    <s v="STORE6"/>
    <n v="4"/>
    <n v="467.24"/>
    <n v="0.08"/>
    <x v="1"/>
    <x v="512"/>
  </r>
  <r>
    <s v="SALE513"/>
    <d v="2024-06-14T00:00:00"/>
    <s v="CUST1092"/>
    <s v="Robert Jackson"/>
    <s v="PROD10"/>
    <x v="3"/>
    <s v="STORE11"/>
    <n v="1"/>
    <n v="57.94"/>
    <n v="0.13"/>
    <x v="1"/>
    <x v="513"/>
  </r>
  <r>
    <s v="SALE514"/>
    <d v="2024-02-16T00:00:00"/>
    <s v="CUST1344"/>
    <s v="Evelyn Brown"/>
    <s v="PROD89"/>
    <x v="2"/>
    <s v="STORE17"/>
    <n v="1"/>
    <n v="540.1"/>
    <n v="0.22"/>
    <x v="0"/>
    <x v="514"/>
  </r>
  <r>
    <s v="SALE515"/>
    <d v="2024-09-17T00:00:00"/>
    <s v="CUST1077"/>
    <s v="Katherine Young"/>
    <s v="PROD21"/>
    <x v="3"/>
    <s v="STORE19"/>
    <n v="4"/>
    <n v="816.28"/>
    <n v="0.15"/>
    <x v="2"/>
    <x v="515"/>
  </r>
  <r>
    <s v="SALE516"/>
    <d v="2025-08-26T00:00:00"/>
    <s v="CUST1178"/>
    <s v="Michelle Myers"/>
    <s v="PROD97"/>
    <x v="0"/>
    <s v="STORE8"/>
    <n v="4"/>
    <n v="727.49"/>
    <n v="0.11"/>
    <x v="0"/>
    <x v="516"/>
  </r>
  <r>
    <s v="SALE517"/>
    <d v="2024-06-04T00:00:00"/>
    <s v="CUST1171"/>
    <s v="Amy Wilson"/>
    <s v="PROD90"/>
    <x v="1"/>
    <s v="STORE13"/>
    <n v="4"/>
    <n v="817.92"/>
    <n v="0.21"/>
    <x v="0"/>
    <x v="517"/>
  </r>
  <r>
    <s v="SALE518"/>
    <d v="2024-10-13T00:00:00"/>
    <s v="CUST1325"/>
    <s v="Andrew Smith"/>
    <s v="PROD54"/>
    <x v="0"/>
    <s v="STORE7"/>
    <n v="2"/>
    <n v="358.45"/>
    <n v="7.0000000000000007E-2"/>
    <x v="2"/>
    <x v="518"/>
  </r>
  <r>
    <s v="SALE519"/>
    <d v="2025-02-09T00:00:00"/>
    <s v="CUST1201"/>
    <s v="Mary Boyd"/>
    <s v="PROD87"/>
    <x v="3"/>
    <s v="STORE9"/>
    <n v="1"/>
    <n v="972.06"/>
    <n v="0.3"/>
    <x v="2"/>
    <x v="519"/>
  </r>
  <r>
    <s v="SALE520"/>
    <d v="2023-12-21T00:00:00"/>
    <s v="CUST1032"/>
    <s v="Mike Jennings"/>
    <s v="PROD16"/>
    <x v="2"/>
    <s v="STORE0"/>
    <n v="1"/>
    <n v="791.36"/>
    <n v="0.06"/>
    <x v="1"/>
    <x v="520"/>
  </r>
  <r>
    <s v="SALE521"/>
    <d v="2025-07-17T00:00:00"/>
    <s v="CUST1314"/>
    <s v="Elizabeth Johnson"/>
    <s v="PROD11"/>
    <x v="1"/>
    <s v="STORE5"/>
    <n v="4"/>
    <n v="839.65"/>
    <n v="0.26"/>
    <x v="2"/>
    <x v="521"/>
  </r>
  <r>
    <s v="SALE522"/>
    <d v="2025-05-16T00:00:00"/>
    <s v="CUST1255"/>
    <s v="Damon Perez"/>
    <s v="PROD72"/>
    <x v="0"/>
    <s v="STORE2"/>
    <n v="2"/>
    <n v="245.52"/>
    <n v="0.11"/>
    <x v="2"/>
    <x v="522"/>
  </r>
  <r>
    <s v="SALE523"/>
    <d v="2025-08-12T00:00:00"/>
    <s v="CUST1388"/>
    <s v="Timothy Valenzuela"/>
    <s v="PROD82"/>
    <x v="0"/>
    <s v="STORE8"/>
    <n v="3"/>
    <n v="787.91"/>
    <n v="0.06"/>
    <x v="1"/>
    <x v="523"/>
  </r>
  <r>
    <s v="SALE524"/>
    <d v="2025-08-21T00:00:00"/>
    <s v="CUST1053"/>
    <s v="Sharon Brown"/>
    <s v="PROD37"/>
    <x v="4"/>
    <s v="STORE4"/>
    <n v="2"/>
    <n v="709.17"/>
    <n v="0.22"/>
    <x v="0"/>
    <x v="524"/>
  </r>
  <r>
    <s v="SALE525"/>
    <d v="2023-11-21T00:00:00"/>
    <s v="CUST1235"/>
    <s v="Jon Ortiz"/>
    <s v="PROD91"/>
    <x v="4"/>
    <s v="STORE7"/>
    <n v="2"/>
    <n v="533.91999999999996"/>
    <n v="0.13"/>
    <x v="0"/>
    <x v="525"/>
  </r>
  <r>
    <s v="SALE526"/>
    <d v="2025-02-07T00:00:00"/>
    <s v="CUST1492"/>
    <s v="Darrell Miller"/>
    <s v="PROD10"/>
    <x v="3"/>
    <s v="STORE0"/>
    <n v="1"/>
    <n v="878.84"/>
    <n v="0.28000000000000003"/>
    <x v="2"/>
    <x v="526"/>
  </r>
  <r>
    <s v="SALE527"/>
    <d v="2023-12-27T00:00:00"/>
    <s v="CUST1204"/>
    <s v="Tiffany Herrera"/>
    <s v="PROD44"/>
    <x v="0"/>
    <s v="STORE16"/>
    <n v="1"/>
    <n v="442.36"/>
    <n v="0.14000000000000001"/>
    <x v="0"/>
    <x v="527"/>
  </r>
  <r>
    <s v="SALE528"/>
    <d v="2025-02-23T00:00:00"/>
    <s v="CUST1333"/>
    <s v="Teresa Johnson"/>
    <s v="PROD0"/>
    <x v="1"/>
    <s v="STORE6"/>
    <n v="1"/>
    <n v="763.34"/>
    <n v="0.11"/>
    <x v="2"/>
    <x v="528"/>
  </r>
  <r>
    <s v="SALE529"/>
    <d v="2025-07-04T00:00:00"/>
    <s v="CUST1166"/>
    <s v="Patricia Gardner"/>
    <s v="PROD81"/>
    <x v="0"/>
    <s v="STORE18"/>
    <n v="3"/>
    <n v="178.22"/>
    <n v="0.15"/>
    <x v="2"/>
    <x v="529"/>
  </r>
  <r>
    <s v="SALE530"/>
    <d v="2023-11-25T00:00:00"/>
    <s v="CUST1103"/>
    <s v="Steven Stein"/>
    <s v="PROD89"/>
    <x v="2"/>
    <s v="STORE1"/>
    <n v="4"/>
    <n v="90.32"/>
    <n v="0.08"/>
    <x v="1"/>
    <x v="530"/>
  </r>
  <r>
    <s v="SALE531"/>
    <d v="2025-02-07T00:00:00"/>
    <s v="CUST1378"/>
    <s v="Frank Stewart"/>
    <s v="PROD91"/>
    <x v="4"/>
    <s v="STORE6"/>
    <n v="3"/>
    <n v="370.93"/>
    <n v="0"/>
    <x v="0"/>
    <x v="531"/>
  </r>
  <r>
    <s v="SALE532"/>
    <d v="2023-12-21T00:00:00"/>
    <s v="CUST1046"/>
    <s v="Michelle Garcia Dds"/>
    <s v="PROD23"/>
    <x v="4"/>
    <s v="STORE15"/>
    <n v="1"/>
    <n v="352.43"/>
    <n v="0.14000000000000001"/>
    <x v="1"/>
    <x v="532"/>
  </r>
  <r>
    <s v="SALE533"/>
    <d v="2024-01-04T00:00:00"/>
    <s v="CUST1123"/>
    <s v="Erin Hopkins"/>
    <s v="PROD12"/>
    <x v="2"/>
    <s v="STORE15"/>
    <n v="2"/>
    <n v="562.97"/>
    <n v="0.2"/>
    <x v="0"/>
    <x v="533"/>
  </r>
  <r>
    <s v="SALE534"/>
    <d v="2023-11-30T00:00:00"/>
    <s v="CUST1157"/>
    <s v="Paul Zamora"/>
    <s v="PROD55"/>
    <x v="3"/>
    <s v="STORE7"/>
    <n v="1"/>
    <n v="522.85"/>
    <n v="0.12"/>
    <x v="1"/>
    <x v="534"/>
  </r>
  <r>
    <s v="SALE535"/>
    <d v="2025-07-13T00:00:00"/>
    <s v="CUST1349"/>
    <s v="Heather Valenzuela"/>
    <s v="PROD71"/>
    <x v="2"/>
    <s v="STORE16"/>
    <n v="4"/>
    <n v="714.89"/>
    <n v="0.15"/>
    <x v="0"/>
    <x v="535"/>
  </r>
  <r>
    <s v="SALE536"/>
    <d v="2023-10-23T00:00:00"/>
    <s v="CUST1187"/>
    <s v="Dr. Suzanne Bullock"/>
    <s v="PROD13"/>
    <x v="1"/>
    <s v="STORE2"/>
    <n v="3"/>
    <n v="137.77000000000001"/>
    <n v="0.26"/>
    <x v="1"/>
    <x v="536"/>
  </r>
  <r>
    <s v="SALE537"/>
    <d v="2025-10-10T00:00:00"/>
    <s v="CUST1027"/>
    <s v="Leslie Johnson"/>
    <s v="PROD24"/>
    <x v="0"/>
    <s v="STORE11"/>
    <n v="3"/>
    <n v="862.18"/>
    <n v="0.22"/>
    <x v="1"/>
    <x v="537"/>
  </r>
  <r>
    <s v="SALE538"/>
    <d v="2025-06-14T00:00:00"/>
    <s v="CUST1057"/>
    <s v="Jay Patel"/>
    <s v="PROD38"/>
    <x v="0"/>
    <s v="STORE14"/>
    <n v="2"/>
    <n v="833.64"/>
    <n v="0.24"/>
    <x v="1"/>
    <x v="538"/>
  </r>
  <r>
    <s v="SALE539"/>
    <d v="2025-04-05T00:00:00"/>
    <s v="CUST1270"/>
    <s v="Brian Garcia"/>
    <s v="PROD19"/>
    <x v="0"/>
    <s v="STORE15"/>
    <n v="3"/>
    <n v="543.22"/>
    <n v="0.05"/>
    <x v="2"/>
    <x v="539"/>
  </r>
  <r>
    <s v="SALE540"/>
    <d v="2025-01-20T00:00:00"/>
    <s v="CUST1278"/>
    <s v="Stephen Fowler"/>
    <s v="PROD88"/>
    <x v="0"/>
    <s v="STORE2"/>
    <n v="3"/>
    <n v="691.02"/>
    <n v="0.12"/>
    <x v="2"/>
    <x v="540"/>
  </r>
  <r>
    <s v="SALE541"/>
    <d v="2023-11-23T00:00:00"/>
    <s v="CUST1087"/>
    <s v="Melissa Duffy Md"/>
    <s v="PROD76"/>
    <x v="1"/>
    <s v="STORE17"/>
    <n v="4"/>
    <n v="338.73"/>
    <n v="0.18"/>
    <x v="0"/>
    <x v="541"/>
  </r>
  <r>
    <s v="SALE542"/>
    <d v="2024-04-07T00:00:00"/>
    <s v="CUST1062"/>
    <s v="James Bean"/>
    <s v="PROD84"/>
    <x v="3"/>
    <s v="STORE16"/>
    <n v="3"/>
    <n v="366.08"/>
    <n v="0.05"/>
    <x v="0"/>
    <x v="542"/>
  </r>
  <r>
    <s v="SALE543"/>
    <d v="2025-07-02T00:00:00"/>
    <s v="CUST1105"/>
    <s v="Lance Baker"/>
    <s v="PROD39"/>
    <x v="1"/>
    <s v="STORE13"/>
    <n v="4"/>
    <n v="539.48"/>
    <n v="0.28000000000000003"/>
    <x v="2"/>
    <x v="543"/>
  </r>
  <r>
    <s v="SALE544"/>
    <d v="2023-11-26T00:00:00"/>
    <s v="CUST1389"/>
    <s v="Cynthia Lopez"/>
    <s v="PROD91"/>
    <x v="4"/>
    <s v="STORE16"/>
    <n v="1"/>
    <n v="499.59"/>
    <n v="0.03"/>
    <x v="2"/>
    <x v="544"/>
  </r>
  <r>
    <s v="SALE545"/>
    <d v="2024-02-04T00:00:00"/>
    <s v="CUST1188"/>
    <s v="Kimberly Brooks"/>
    <s v="PROD30"/>
    <x v="3"/>
    <s v="STORE8"/>
    <n v="3"/>
    <n v="330.04"/>
    <n v="0.2"/>
    <x v="0"/>
    <x v="545"/>
  </r>
  <r>
    <s v="SALE546"/>
    <d v="2024-06-16T00:00:00"/>
    <s v="CUST1182"/>
    <s v="Melissa Hamilton"/>
    <s v="PROD34"/>
    <x v="1"/>
    <s v="STORE17"/>
    <n v="2"/>
    <n v="813.01"/>
    <n v="0.06"/>
    <x v="1"/>
    <x v="546"/>
  </r>
  <r>
    <s v="SALE547"/>
    <d v="2025-02-27T00:00:00"/>
    <s v="CUST1026"/>
    <s v="Amber Carlson"/>
    <s v="PROD1"/>
    <x v="4"/>
    <s v="STORE2"/>
    <n v="4"/>
    <n v="204.8"/>
    <n v="0.03"/>
    <x v="1"/>
    <x v="547"/>
  </r>
  <r>
    <s v="SALE548"/>
    <d v="2023-10-24T00:00:00"/>
    <s v="CUST1011"/>
    <s v="Brian Lopez"/>
    <s v="PROD31"/>
    <x v="0"/>
    <s v="STORE3"/>
    <n v="3"/>
    <n v="728.32"/>
    <n v="0.01"/>
    <x v="0"/>
    <x v="548"/>
  </r>
  <r>
    <s v="SALE549"/>
    <d v="2024-08-03T00:00:00"/>
    <s v="CUST1452"/>
    <s v="Jeffery Wolf"/>
    <s v="PROD59"/>
    <x v="2"/>
    <s v="STORE7"/>
    <n v="3"/>
    <n v="836.4"/>
    <n v="0"/>
    <x v="0"/>
    <x v="549"/>
  </r>
  <r>
    <s v="SALE550"/>
    <d v="2025-07-05T00:00:00"/>
    <s v="CUST1149"/>
    <s v="Denise Griffin"/>
    <s v="PROD90"/>
    <x v="1"/>
    <s v="STORE12"/>
    <n v="1"/>
    <n v="780.16"/>
    <n v="0.02"/>
    <x v="2"/>
    <x v="550"/>
  </r>
  <r>
    <s v="SALE551"/>
    <d v="2025-05-27T00:00:00"/>
    <s v="CUST1470"/>
    <s v="Manuel Fisher"/>
    <s v="PROD59"/>
    <x v="2"/>
    <s v="STORE13"/>
    <n v="4"/>
    <n v="354.12"/>
    <n v="0.06"/>
    <x v="1"/>
    <x v="551"/>
  </r>
  <r>
    <s v="SALE552"/>
    <d v="2024-11-06T00:00:00"/>
    <s v="CUST1452"/>
    <s v="Jeffery Wolf"/>
    <s v="PROD59"/>
    <x v="2"/>
    <s v="STORE2"/>
    <n v="4"/>
    <n v="282.48"/>
    <n v="0.11"/>
    <x v="1"/>
    <x v="552"/>
  </r>
  <r>
    <s v="SALE553"/>
    <d v="2024-06-03T00:00:00"/>
    <s v="CUST1328"/>
    <s v="Mario Harvey Jr."/>
    <s v="PROD20"/>
    <x v="0"/>
    <s v="STORE6"/>
    <n v="2"/>
    <n v="740.68"/>
    <n v="0.02"/>
    <x v="1"/>
    <x v="553"/>
  </r>
  <r>
    <s v="SALE554"/>
    <d v="2024-04-02T00:00:00"/>
    <s v="CUST1105"/>
    <s v="Lance Baker"/>
    <s v="PROD39"/>
    <x v="1"/>
    <s v="STORE9"/>
    <n v="3"/>
    <n v="600.58000000000004"/>
    <n v="0.28999999999999998"/>
    <x v="2"/>
    <x v="554"/>
  </r>
  <r>
    <s v="SALE555"/>
    <d v="2024-02-26T00:00:00"/>
    <s v="CUST1461"/>
    <s v="Paul Cox"/>
    <s v="PROD65"/>
    <x v="0"/>
    <s v="STORE3"/>
    <n v="3"/>
    <n v="345.58"/>
    <n v="0.22"/>
    <x v="0"/>
    <x v="555"/>
  </r>
  <r>
    <s v="SALE556"/>
    <d v="2025-01-31T00:00:00"/>
    <s v="CUST1284"/>
    <s v="Hunter Sutton"/>
    <s v="PROD18"/>
    <x v="4"/>
    <s v="STORE11"/>
    <n v="1"/>
    <n v="974.52"/>
    <n v="0.01"/>
    <x v="1"/>
    <x v="556"/>
  </r>
  <r>
    <s v="SALE557"/>
    <d v="2023-11-19T00:00:00"/>
    <s v="CUST1040"/>
    <s v="Eric Vega"/>
    <s v="PROD17"/>
    <x v="0"/>
    <s v="STORE1"/>
    <n v="3"/>
    <n v="282.33"/>
    <n v="7.0000000000000007E-2"/>
    <x v="0"/>
    <x v="557"/>
  </r>
  <r>
    <s v="SALE558"/>
    <d v="2025-03-10T00:00:00"/>
    <s v="CUST1382"/>
    <s v="Martha Brown"/>
    <s v="PROD4"/>
    <x v="4"/>
    <s v="STORE19"/>
    <n v="4"/>
    <n v="158.46"/>
    <n v="0.09"/>
    <x v="1"/>
    <x v="558"/>
  </r>
  <r>
    <s v="SALE559"/>
    <d v="2023-12-23T00:00:00"/>
    <s v="CUST1343"/>
    <s v="Ryan Moore"/>
    <s v="PROD17"/>
    <x v="0"/>
    <s v="STORE7"/>
    <n v="2"/>
    <n v="778.56"/>
    <n v="0.11"/>
    <x v="2"/>
    <x v="559"/>
  </r>
  <r>
    <s v="SALE560"/>
    <d v="2024-03-02T00:00:00"/>
    <s v="CUST1237"/>
    <s v="Wesley Short"/>
    <s v="PROD88"/>
    <x v="0"/>
    <s v="STORE19"/>
    <n v="4"/>
    <n v="280.16000000000003"/>
    <n v="0.18"/>
    <x v="2"/>
    <x v="560"/>
  </r>
  <r>
    <s v="SALE561"/>
    <d v="2024-10-27T00:00:00"/>
    <s v="CUST1287"/>
    <s v="Cynthia Roberts"/>
    <s v="PROD3"/>
    <x v="4"/>
    <s v="STORE13"/>
    <n v="2"/>
    <n v="649.54999999999995"/>
    <n v="0.28999999999999998"/>
    <x v="1"/>
    <x v="561"/>
  </r>
  <r>
    <s v="SALE562"/>
    <d v="2024-03-09T00:00:00"/>
    <s v="CUST1007"/>
    <s v="Daniel Boyd"/>
    <s v="PROD67"/>
    <x v="1"/>
    <s v="STORE2"/>
    <n v="2"/>
    <n v="994.32"/>
    <n v="0.27"/>
    <x v="1"/>
    <x v="562"/>
  </r>
  <r>
    <s v="SALE563"/>
    <d v="2024-12-23T00:00:00"/>
    <s v="CUST1223"/>
    <s v="Robert Harris"/>
    <s v="PROD72"/>
    <x v="0"/>
    <s v="STORE12"/>
    <n v="1"/>
    <n v="64.94"/>
    <n v="0.21"/>
    <x v="1"/>
    <x v="563"/>
  </r>
  <r>
    <s v="SALE564"/>
    <d v="2025-02-21T00:00:00"/>
    <s v="CUST1136"/>
    <s v="Patrick Coleman"/>
    <s v="PROD35"/>
    <x v="3"/>
    <s v="STORE7"/>
    <n v="2"/>
    <n v="507.66"/>
    <n v="0"/>
    <x v="2"/>
    <x v="564"/>
  </r>
  <r>
    <s v="SALE565"/>
    <d v="2023-12-13T00:00:00"/>
    <s v="CUST1242"/>
    <s v="William Jackson"/>
    <s v="PROD81"/>
    <x v="0"/>
    <s v="STORE4"/>
    <n v="4"/>
    <n v="968.27"/>
    <n v="0.03"/>
    <x v="1"/>
    <x v="565"/>
  </r>
  <r>
    <s v="SALE566"/>
    <d v="2023-11-20T00:00:00"/>
    <s v="CUST1017"/>
    <s v="Adam Cruz"/>
    <s v="PROD41"/>
    <x v="0"/>
    <s v="STORE5"/>
    <n v="4"/>
    <n v="510.33"/>
    <n v="0.2"/>
    <x v="1"/>
    <x v="566"/>
  </r>
  <r>
    <s v="SALE567"/>
    <d v="2024-09-04T00:00:00"/>
    <s v="CUST1011"/>
    <s v="Brian Lopez"/>
    <s v="PROD31"/>
    <x v="0"/>
    <s v="STORE19"/>
    <n v="2"/>
    <n v="156.72999999999999"/>
    <n v="0.18"/>
    <x v="2"/>
    <x v="567"/>
  </r>
  <r>
    <s v="SALE568"/>
    <d v="2025-06-02T00:00:00"/>
    <s v="CUST1142"/>
    <s v="Maria Ramirez"/>
    <s v="PROD69"/>
    <x v="4"/>
    <s v="STORE10"/>
    <n v="3"/>
    <n v="53.83"/>
    <n v="0.24"/>
    <x v="0"/>
    <x v="568"/>
  </r>
  <r>
    <s v="SALE569"/>
    <d v="2024-02-28T00:00:00"/>
    <s v="CUST1377"/>
    <s v="Charles Conley"/>
    <s v="PROD92"/>
    <x v="3"/>
    <s v="STORE4"/>
    <n v="1"/>
    <n v="34.71"/>
    <n v="0.1"/>
    <x v="2"/>
    <x v="569"/>
  </r>
  <r>
    <s v="SALE570"/>
    <d v="2024-12-07T00:00:00"/>
    <s v="CUST1229"/>
    <s v="Tanner Thompson"/>
    <s v="PROD52"/>
    <x v="0"/>
    <s v="STORE1"/>
    <n v="2"/>
    <n v="829.15"/>
    <n v="0.11"/>
    <x v="1"/>
    <x v="570"/>
  </r>
  <r>
    <s v="SALE571"/>
    <d v="2025-05-21T00:00:00"/>
    <s v="CUST1264"/>
    <s v="Matthew Payne"/>
    <s v="PROD22"/>
    <x v="0"/>
    <s v="STORE3"/>
    <n v="2"/>
    <n v="481.86"/>
    <n v="0.1"/>
    <x v="2"/>
    <x v="571"/>
  </r>
  <r>
    <s v="SALE572"/>
    <d v="2024-03-03T00:00:00"/>
    <s v="CUST1147"/>
    <s v="Rhonda Young"/>
    <s v="PROD52"/>
    <x v="0"/>
    <s v="STORE7"/>
    <n v="4"/>
    <n v="915.17"/>
    <n v="0.19"/>
    <x v="2"/>
    <x v="572"/>
  </r>
  <r>
    <s v="SALE573"/>
    <d v="2024-03-06T00:00:00"/>
    <s v="CUST1214"/>
    <s v="Eric Todd"/>
    <s v="PROD91"/>
    <x v="4"/>
    <s v="STORE18"/>
    <n v="1"/>
    <n v="250.95"/>
    <n v="0.03"/>
    <x v="1"/>
    <x v="573"/>
  </r>
  <r>
    <s v="SALE574"/>
    <d v="2023-11-27T00:00:00"/>
    <s v="CUST1325"/>
    <s v="Andrew Smith"/>
    <s v="PROD54"/>
    <x v="0"/>
    <s v="STORE5"/>
    <n v="3"/>
    <n v="882.84"/>
    <n v="0.1"/>
    <x v="0"/>
    <x v="574"/>
  </r>
  <r>
    <s v="SALE575"/>
    <d v="2025-02-14T00:00:00"/>
    <s v="CUST1138"/>
    <s v="Sean Roth"/>
    <s v="PROD46"/>
    <x v="4"/>
    <s v="STORE18"/>
    <n v="4"/>
    <n v="573.37"/>
    <n v="0.04"/>
    <x v="2"/>
    <x v="575"/>
  </r>
  <r>
    <s v="SALE576"/>
    <d v="2024-01-27T00:00:00"/>
    <s v="CUST1058"/>
    <s v="Cheryl Copeland"/>
    <s v="PROD70"/>
    <x v="3"/>
    <s v="STORE12"/>
    <n v="3"/>
    <n v="622.72"/>
    <n v="0.04"/>
    <x v="0"/>
    <x v="576"/>
  </r>
  <r>
    <s v="SALE577"/>
    <d v="2025-10-13T00:00:00"/>
    <s v="CUST1388"/>
    <s v="Timothy Valenzuela"/>
    <s v="PROD82"/>
    <x v="0"/>
    <s v="STORE17"/>
    <n v="3"/>
    <n v="259.74"/>
    <n v="0.24"/>
    <x v="0"/>
    <x v="577"/>
  </r>
  <r>
    <s v="SALE578"/>
    <d v="2025-04-22T00:00:00"/>
    <s v="CUST1054"/>
    <s v="Katherine Dorsey"/>
    <s v="PROD88"/>
    <x v="0"/>
    <s v="STORE13"/>
    <n v="4"/>
    <n v="951.09"/>
    <n v="0.14000000000000001"/>
    <x v="2"/>
    <x v="578"/>
  </r>
  <r>
    <s v="SALE579"/>
    <d v="2025-04-18T00:00:00"/>
    <s v="CUST1199"/>
    <s v="Carmen Price"/>
    <s v="PROD48"/>
    <x v="1"/>
    <s v="STORE2"/>
    <n v="1"/>
    <n v="71.709999999999994"/>
    <n v="0.23"/>
    <x v="2"/>
    <x v="579"/>
  </r>
  <r>
    <s v="SALE580"/>
    <d v="2025-08-22T00:00:00"/>
    <s v="CUST1173"/>
    <s v="Teresa Stokes"/>
    <s v="PROD20"/>
    <x v="0"/>
    <s v="STORE7"/>
    <n v="4"/>
    <n v="894.93"/>
    <n v="0.05"/>
    <x v="2"/>
    <x v="580"/>
  </r>
  <r>
    <s v="SALE581"/>
    <d v="2025-07-04T00:00:00"/>
    <s v="CUST1202"/>
    <s v="Christina Garcia"/>
    <s v="PROD78"/>
    <x v="3"/>
    <s v="STORE8"/>
    <n v="4"/>
    <n v="870.18"/>
    <n v="0.13"/>
    <x v="2"/>
    <x v="581"/>
  </r>
  <r>
    <s v="SALE582"/>
    <d v="2024-03-31T00:00:00"/>
    <s v="CUST1278"/>
    <s v="Stephen Fowler"/>
    <s v="PROD88"/>
    <x v="0"/>
    <s v="STORE2"/>
    <n v="2"/>
    <n v="552.72"/>
    <n v="0.06"/>
    <x v="1"/>
    <x v="582"/>
  </r>
  <r>
    <s v="SALE583"/>
    <d v="2023-11-06T00:00:00"/>
    <s v="CUST1246"/>
    <s v="Mary Russell"/>
    <s v="PROD72"/>
    <x v="0"/>
    <s v="STORE8"/>
    <n v="3"/>
    <n v="700.43"/>
    <n v="0.01"/>
    <x v="2"/>
    <x v="583"/>
  </r>
  <r>
    <s v="SALE584"/>
    <d v="2025-05-29T00:00:00"/>
    <s v="CUST1339"/>
    <s v="Mrs. Susan Buckley"/>
    <s v="PROD9"/>
    <x v="0"/>
    <s v="STORE2"/>
    <n v="2"/>
    <n v="823.03"/>
    <n v="0.18"/>
    <x v="1"/>
    <x v="584"/>
  </r>
  <r>
    <s v="SALE585"/>
    <d v="2024-04-19T00:00:00"/>
    <s v="CUST1255"/>
    <s v="Damon Perez"/>
    <s v="PROD72"/>
    <x v="0"/>
    <s v="STORE6"/>
    <n v="1"/>
    <n v="117.37"/>
    <n v="0.21"/>
    <x v="0"/>
    <x v="585"/>
  </r>
  <r>
    <s v="SALE586"/>
    <d v="2025-02-28T00:00:00"/>
    <s v="CUST1104"/>
    <s v="Christopher Lester"/>
    <s v="PROD25"/>
    <x v="4"/>
    <s v="STORE1"/>
    <n v="4"/>
    <n v="165.37"/>
    <n v="0.28999999999999998"/>
    <x v="0"/>
    <x v="586"/>
  </r>
  <r>
    <s v="SALE587"/>
    <d v="2025-03-02T00:00:00"/>
    <s v="CUST1378"/>
    <s v="Frank Stewart"/>
    <s v="PROD91"/>
    <x v="4"/>
    <s v="STORE10"/>
    <n v="3"/>
    <n v="483.06"/>
    <n v="0.05"/>
    <x v="0"/>
    <x v="587"/>
  </r>
  <r>
    <s v="SALE588"/>
    <d v="2024-03-28T00:00:00"/>
    <s v="CUST1293"/>
    <s v="Gloria Taylor"/>
    <s v="PROD20"/>
    <x v="0"/>
    <s v="STORE7"/>
    <n v="4"/>
    <n v="262.05"/>
    <n v="0.24"/>
    <x v="1"/>
    <x v="588"/>
  </r>
  <r>
    <s v="SALE589"/>
    <d v="2024-12-09T00:00:00"/>
    <s v="CUST1463"/>
    <s v="Samantha Lee"/>
    <s v="PROD8"/>
    <x v="1"/>
    <s v="STORE14"/>
    <n v="3"/>
    <n v="970.89"/>
    <n v="0.11"/>
    <x v="2"/>
    <x v="589"/>
  </r>
  <r>
    <s v="SALE590"/>
    <d v="2023-10-23T00:00:00"/>
    <s v="CUST1216"/>
    <s v="Kathryn Garcia"/>
    <s v="PROD86"/>
    <x v="3"/>
    <s v="STORE0"/>
    <n v="1"/>
    <n v="61.11"/>
    <n v="0.1"/>
    <x v="1"/>
    <x v="590"/>
  </r>
  <r>
    <s v="SALE591"/>
    <d v="2024-09-20T00:00:00"/>
    <s v="CUST1029"/>
    <s v="David Arnold"/>
    <s v="PROD86"/>
    <x v="3"/>
    <s v="STORE8"/>
    <n v="3"/>
    <n v="827.88"/>
    <n v="0.19"/>
    <x v="1"/>
    <x v="591"/>
  </r>
  <r>
    <s v="SALE592"/>
    <d v="2024-10-18T00:00:00"/>
    <s v="CUST1430"/>
    <s v="Kimberly Roberts"/>
    <s v="PROD87"/>
    <x v="3"/>
    <s v="STORE13"/>
    <n v="3"/>
    <n v="926.85"/>
    <n v="0.18"/>
    <x v="2"/>
    <x v="592"/>
  </r>
  <r>
    <s v="SALE593"/>
    <d v="2025-01-05T00:00:00"/>
    <s v="CUST1317"/>
    <s v="Tiffany Williams"/>
    <s v="PROD10"/>
    <x v="3"/>
    <s v="STORE14"/>
    <n v="1"/>
    <n v="874.59"/>
    <n v="0.28999999999999998"/>
    <x v="1"/>
    <x v="593"/>
  </r>
  <r>
    <s v="SALE594"/>
    <d v="2025-09-21T00:00:00"/>
    <s v="CUST1470"/>
    <s v="Manuel Fisher"/>
    <s v="PROD59"/>
    <x v="2"/>
    <s v="STORE1"/>
    <n v="4"/>
    <n v="479.11"/>
    <n v="0.24"/>
    <x v="1"/>
    <x v="594"/>
  </r>
  <r>
    <s v="SALE595"/>
    <d v="2024-07-17T00:00:00"/>
    <s v="CUST1213"/>
    <s v="Stuart Johnson"/>
    <s v="PROD21"/>
    <x v="3"/>
    <s v="STORE17"/>
    <n v="3"/>
    <n v="182.91"/>
    <n v="0.28999999999999998"/>
    <x v="0"/>
    <x v="595"/>
  </r>
  <r>
    <s v="SALE596"/>
    <d v="2024-12-26T00:00:00"/>
    <s v="CUST1272"/>
    <s v="Adam Rowland"/>
    <s v="PROD81"/>
    <x v="0"/>
    <s v="STORE5"/>
    <n v="4"/>
    <n v="745.51"/>
    <n v="0.05"/>
    <x v="0"/>
    <x v="596"/>
  </r>
  <r>
    <s v="SALE597"/>
    <d v="2024-11-02T00:00:00"/>
    <s v="CUST1481"/>
    <s v="Bryan Tran"/>
    <s v="PROD62"/>
    <x v="1"/>
    <s v="STORE15"/>
    <n v="3"/>
    <n v="920.61"/>
    <n v="0.04"/>
    <x v="0"/>
    <x v="597"/>
  </r>
  <r>
    <s v="SALE598"/>
    <d v="2025-04-25T00:00:00"/>
    <s v="CUST1425"/>
    <s v="Bryce Hawkins"/>
    <s v="PROD75"/>
    <x v="4"/>
    <s v="STORE10"/>
    <n v="4"/>
    <n v="659.03"/>
    <n v="0.15"/>
    <x v="0"/>
    <x v="598"/>
  </r>
  <r>
    <s v="SALE599"/>
    <d v="2024-02-16T00:00:00"/>
    <s v="CUST1491"/>
    <s v="Kaitlin Brown"/>
    <s v="PROD9"/>
    <x v="0"/>
    <s v="STORE2"/>
    <n v="1"/>
    <n v="312.91000000000003"/>
    <n v="0.12"/>
    <x v="1"/>
    <x v="599"/>
  </r>
  <r>
    <s v="SALE600"/>
    <d v="2024-08-20T00:00:00"/>
    <s v="CUST1228"/>
    <s v="Casey Flores"/>
    <s v="PROD4"/>
    <x v="4"/>
    <s v="STORE18"/>
    <n v="4"/>
    <n v="705.64"/>
    <n v="0.11"/>
    <x v="1"/>
    <x v="600"/>
  </r>
  <r>
    <s v="SALE601"/>
    <d v="2024-07-24T00:00:00"/>
    <s v="CUST1144"/>
    <s v="Justin Cross"/>
    <s v="PROD72"/>
    <x v="0"/>
    <s v="STORE10"/>
    <n v="4"/>
    <n v="386.41"/>
    <n v="0.13"/>
    <x v="2"/>
    <x v="601"/>
  </r>
  <r>
    <s v="SALE602"/>
    <d v="2024-08-30T00:00:00"/>
    <s v="CUST1029"/>
    <s v="David Arnold"/>
    <s v="PROD86"/>
    <x v="3"/>
    <s v="STORE11"/>
    <n v="3"/>
    <n v="265.89"/>
    <n v="0.08"/>
    <x v="2"/>
    <x v="602"/>
  </r>
  <r>
    <s v="SALE603"/>
    <d v="2025-09-25T00:00:00"/>
    <s v="CUST1075"/>
    <s v="Rhonda Morales"/>
    <s v="PROD16"/>
    <x v="2"/>
    <s v="STORE16"/>
    <n v="1"/>
    <n v="703.16"/>
    <n v="0.28999999999999998"/>
    <x v="0"/>
    <x v="603"/>
  </r>
  <r>
    <s v="SALE604"/>
    <d v="2025-04-18T00:00:00"/>
    <s v="CUST1471"/>
    <s v="Debra Mccullough"/>
    <s v="PROD17"/>
    <x v="0"/>
    <s v="STORE13"/>
    <n v="2"/>
    <n v="394.5"/>
    <n v="0.28999999999999998"/>
    <x v="2"/>
    <x v="604"/>
  </r>
  <r>
    <s v="SALE605"/>
    <d v="2025-08-13T00:00:00"/>
    <s v="CUST1117"/>
    <s v="Colleen Mccarthy"/>
    <s v="PROD97"/>
    <x v="0"/>
    <s v="STORE7"/>
    <n v="3"/>
    <n v="411.25"/>
    <n v="0.05"/>
    <x v="0"/>
    <x v="605"/>
  </r>
  <r>
    <s v="SALE606"/>
    <d v="2025-09-23T00:00:00"/>
    <s v="CUST1353"/>
    <s v="Laura Green"/>
    <s v="PROD48"/>
    <x v="1"/>
    <s v="STORE2"/>
    <n v="4"/>
    <n v="395.45"/>
    <n v="0.01"/>
    <x v="0"/>
    <x v="606"/>
  </r>
  <r>
    <s v="SALE607"/>
    <d v="2024-05-09T00:00:00"/>
    <s v="CUST1036"/>
    <s v="Thomas Phillips"/>
    <s v="PROD90"/>
    <x v="1"/>
    <s v="STORE5"/>
    <n v="2"/>
    <n v="678.98"/>
    <n v="0.23"/>
    <x v="0"/>
    <x v="607"/>
  </r>
  <r>
    <s v="SALE608"/>
    <d v="2024-11-12T00:00:00"/>
    <s v="CUST1072"/>
    <s v="Tonya Burch"/>
    <s v="PROD26"/>
    <x v="1"/>
    <s v="STORE14"/>
    <n v="4"/>
    <n v="757.71"/>
    <n v="0.26"/>
    <x v="2"/>
    <x v="608"/>
  </r>
  <r>
    <s v="SALE609"/>
    <d v="2024-12-18T00:00:00"/>
    <s v="CUST1059"/>
    <s v="Alyssa Vargas"/>
    <s v="PROD94"/>
    <x v="2"/>
    <s v="STORE4"/>
    <n v="1"/>
    <n v="647.86"/>
    <n v="0.05"/>
    <x v="2"/>
    <x v="609"/>
  </r>
  <r>
    <s v="SALE610"/>
    <d v="2024-08-13T00:00:00"/>
    <s v="CUST1135"/>
    <s v="Matthew Hanna"/>
    <s v="PROD44"/>
    <x v="0"/>
    <s v="STORE6"/>
    <n v="2"/>
    <n v="179.64"/>
    <n v="0.1"/>
    <x v="1"/>
    <x v="610"/>
  </r>
  <r>
    <s v="SALE611"/>
    <d v="2024-09-10T00:00:00"/>
    <s v="CUST1396"/>
    <s v="Alexander Byrd"/>
    <s v="PROD43"/>
    <x v="1"/>
    <s v="STORE4"/>
    <n v="3"/>
    <n v="392.65"/>
    <n v="0.17"/>
    <x v="1"/>
    <x v="611"/>
  </r>
  <r>
    <s v="SALE612"/>
    <d v="2024-09-12T00:00:00"/>
    <s v="CUST1176"/>
    <s v="John Bradford"/>
    <s v="PROD52"/>
    <x v="0"/>
    <s v="STORE16"/>
    <n v="4"/>
    <n v="969.55"/>
    <n v="0.09"/>
    <x v="2"/>
    <x v="612"/>
  </r>
  <r>
    <s v="SALE613"/>
    <d v="2024-05-21T00:00:00"/>
    <s v="CUST1462"/>
    <s v="Beth Martin"/>
    <s v="PROD33"/>
    <x v="3"/>
    <s v="STORE12"/>
    <n v="3"/>
    <n v="322.94"/>
    <n v="0.01"/>
    <x v="0"/>
    <x v="613"/>
  </r>
  <r>
    <s v="SALE614"/>
    <d v="2025-05-15T00:00:00"/>
    <s v="CUST1362"/>
    <s v="Joshua Smith Dvm"/>
    <s v="PROD95"/>
    <x v="0"/>
    <s v="STORE0"/>
    <n v="1"/>
    <n v="92.83"/>
    <n v="0.26"/>
    <x v="1"/>
    <x v="614"/>
  </r>
  <r>
    <s v="SALE615"/>
    <d v="2025-05-27T00:00:00"/>
    <s v="CUST1420"/>
    <s v="Dr. Tamara White Md"/>
    <s v="PROD21"/>
    <x v="3"/>
    <s v="STORE3"/>
    <n v="4"/>
    <n v="432.29"/>
    <n v="0.16"/>
    <x v="2"/>
    <x v="615"/>
  </r>
  <r>
    <s v="SALE616"/>
    <d v="2024-01-20T00:00:00"/>
    <s v="CUST1080"/>
    <s v="Jennifer Garcia"/>
    <s v="PROD34"/>
    <x v="1"/>
    <s v="STORE13"/>
    <n v="2"/>
    <n v="925.78"/>
    <n v="0.14000000000000001"/>
    <x v="2"/>
    <x v="616"/>
  </r>
  <r>
    <s v="SALE617"/>
    <d v="2024-11-09T00:00:00"/>
    <s v="CUST1477"/>
    <s v="Andrea Harris"/>
    <s v="PROD76"/>
    <x v="1"/>
    <s v="STORE11"/>
    <n v="2"/>
    <n v="151.47"/>
    <n v="0.21"/>
    <x v="1"/>
    <x v="617"/>
  </r>
  <r>
    <s v="SALE618"/>
    <d v="2024-02-16T00:00:00"/>
    <s v="CUST1449"/>
    <s v="William Cortez"/>
    <s v="PROD98"/>
    <x v="1"/>
    <s v="STORE10"/>
    <n v="1"/>
    <n v="343.05"/>
    <n v="0.28000000000000003"/>
    <x v="1"/>
    <x v="618"/>
  </r>
  <r>
    <s v="SALE619"/>
    <d v="2024-12-16T00:00:00"/>
    <s v="CUST1066"/>
    <s v="Cody Diaz"/>
    <s v="PROD94"/>
    <x v="2"/>
    <s v="STORE4"/>
    <n v="1"/>
    <n v="373.06"/>
    <n v="0.11"/>
    <x v="1"/>
    <x v="619"/>
  </r>
  <r>
    <s v="SALE620"/>
    <d v="2025-02-05T00:00:00"/>
    <s v="CUST1411"/>
    <s v="Katrina Perez"/>
    <s v="PROD18"/>
    <x v="4"/>
    <s v="STORE15"/>
    <n v="1"/>
    <n v="124.98"/>
    <n v="7.0000000000000007E-2"/>
    <x v="2"/>
    <x v="620"/>
  </r>
  <r>
    <s v="SALE621"/>
    <d v="2025-04-16T00:00:00"/>
    <s v="CUST1272"/>
    <s v="Adam Rowland"/>
    <s v="PROD81"/>
    <x v="0"/>
    <s v="STORE19"/>
    <n v="4"/>
    <n v="221.49"/>
    <n v="0.26"/>
    <x v="1"/>
    <x v="621"/>
  </r>
  <r>
    <s v="SALE622"/>
    <d v="2024-10-07T00:00:00"/>
    <s v="CUST1170"/>
    <s v="Christopher Garcia Dds"/>
    <s v="PROD83"/>
    <x v="2"/>
    <s v="STORE15"/>
    <n v="1"/>
    <n v="563.32000000000005"/>
    <n v="0.01"/>
    <x v="1"/>
    <x v="622"/>
  </r>
  <r>
    <s v="SALE623"/>
    <d v="2024-02-16T00:00:00"/>
    <s v="CUST1390"/>
    <s v="Daniel Bell"/>
    <s v="PROD11"/>
    <x v="1"/>
    <s v="STORE0"/>
    <n v="1"/>
    <n v="362.93"/>
    <n v="0.27"/>
    <x v="0"/>
    <x v="623"/>
  </r>
  <r>
    <s v="SALE624"/>
    <d v="2024-03-22T00:00:00"/>
    <s v="CUST1336"/>
    <s v="John Jones"/>
    <s v="PROD11"/>
    <x v="1"/>
    <s v="STORE15"/>
    <n v="4"/>
    <n v="369.22"/>
    <n v="0.18"/>
    <x v="2"/>
    <x v="624"/>
  </r>
  <r>
    <s v="SALE625"/>
    <d v="2024-10-25T00:00:00"/>
    <s v="CUST1410"/>
    <s v="Jackie Thompson"/>
    <s v="PROD96"/>
    <x v="4"/>
    <s v="STORE14"/>
    <n v="3"/>
    <n v="950.83"/>
    <n v="0.06"/>
    <x v="1"/>
    <x v="625"/>
  </r>
  <r>
    <s v="SALE626"/>
    <d v="2024-03-14T00:00:00"/>
    <s v="CUST1143"/>
    <s v="Carlos Skinner"/>
    <s v="PROD17"/>
    <x v="0"/>
    <s v="STORE13"/>
    <n v="3"/>
    <n v="338.79"/>
    <n v="0.01"/>
    <x v="0"/>
    <x v="626"/>
  </r>
  <r>
    <s v="SALE627"/>
    <d v="2025-02-23T00:00:00"/>
    <s v="CUST1146"/>
    <s v="Edward Rivera"/>
    <s v="PROD25"/>
    <x v="4"/>
    <s v="STORE1"/>
    <n v="3"/>
    <n v="853.32"/>
    <n v="7.0000000000000007E-2"/>
    <x v="2"/>
    <x v="627"/>
  </r>
  <r>
    <s v="SALE628"/>
    <d v="2024-10-21T00:00:00"/>
    <s v="CUST1149"/>
    <s v="Denise Griffin"/>
    <s v="PROD90"/>
    <x v="1"/>
    <s v="STORE6"/>
    <n v="3"/>
    <n v="89.78"/>
    <n v="0.2"/>
    <x v="2"/>
    <x v="628"/>
  </r>
  <r>
    <s v="SALE629"/>
    <d v="2024-02-12T00:00:00"/>
    <s v="CUST1191"/>
    <s v="Todd Poole"/>
    <s v="PROD17"/>
    <x v="0"/>
    <s v="STORE1"/>
    <n v="1"/>
    <n v="172.04"/>
    <n v="0.04"/>
    <x v="1"/>
    <x v="629"/>
  </r>
  <r>
    <s v="SALE630"/>
    <d v="2024-02-11T00:00:00"/>
    <s v="CUST1467"/>
    <s v="Michael Foley"/>
    <s v="PROD74"/>
    <x v="1"/>
    <s v="STORE1"/>
    <n v="1"/>
    <n v="389.2"/>
    <n v="0.05"/>
    <x v="0"/>
    <x v="630"/>
  </r>
  <r>
    <s v="SALE631"/>
    <d v="2025-05-01T00:00:00"/>
    <s v="CUST1461"/>
    <s v="Paul Cox"/>
    <s v="PROD65"/>
    <x v="0"/>
    <s v="STORE13"/>
    <n v="3"/>
    <n v="865.96"/>
    <n v="0.12"/>
    <x v="1"/>
    <x v="631"/>
  </r>
  <r>
    <s v="SALE632"/>
    <d v="2024-10-27T00:00:00"/>
    <s v="CUST1169"/>
    <s v="Steve Mclaughlin"/>
    <s v="PROD17"/>
    <x v="0"/>
    <s v="STORE1"/>
    <n v="3"/>
    <n v="79.95"/>
    <n v="0.2"/>
    <x v="2"/>
    <x v="632"/>
  </r>
  <r>
    <s v="SALE633"/>
    <d v="2023-11-29T00:00:00"/>
    <s v="CUST1381"/>
    <s v="Erika Padilla"/>
    <s v="PROD5"/>
    <x v="4"/>
    <s v="STORE7"/>
    <n v="1"/>
    <n v="566.5"/>
    <n v="0.25"/>
    <x v="2"/>
    <x v="633"/>
  </r>
  <r>
    <s v="SALE634"/>
    <d v="2025-05-24T00:00:00"/>
    <s v="CUST1402"/>
    <s v="Cassandra Perez"/>
    <s v="PROD21"/>
    <x v="3"/>
    <s v="STORE0"/>
    <n v="2"/>
    <n v="347.95"/>
    <n v="0.13"/>
    <x v="2"/>
    <x v="634"/>
  </r>
  <r>
    <s v="SALE635"/>
    <d v="2024-02-25T00:00:00"/>
    <s v="CUST1209"/>
    <s v="Joan Johnson"/>
    <s v="PROD42"/>
    <x v="1"/>
    <s v="STORE3"/>
    <n v="2"/>
    <n v="250.83"/>
    <n v="0.15"/>
    <x v="1"/>
    <x v="635"/>
  </r>
  <r>
    <s v="SALE636"/>
    <d v="2025-03-05T00:00:00"/>
    <s v="CUST1149"/>
    <s v="Denise Griffin"/>
    <s v="PROD90"/>
    <x v="1"/>
    <s v="STORE1"/>
    <n v="1"/>
    <n v="888.05"/>
    <n v="0.2"/>
    <x v="1"/>
    <x v="636"/>
  </r>
  <r>
    <s v="SALE637"/>
    <d v="2024-08-27T00:00:00"/>
    <s v="CUST1006"/>
    <s v="Amber Jackson"/>
    <s v="PROD93"/>
    <x v="1"/>
    <s v="STORE18"/>
    <n v="2"/>
    <n v="673.02"/>
    <n v="0.11"/>
    <x v="1"/>
    <x v="637"/>
  </r>
  <r>
    <s v="SALE638"/>
    <d v="2024-02-10T00:00:00"/>
    <s v="CUST1440"/>
    <s v="Tammy Trevino"/>
    <s v="PROD64"/>
    <x v="2"/>
    <s v="STORE3"/>
    <n v="2"/>
    <n v="492.62"/>
    <n v="0.26"/>
    <x v="2"/>
    <x v="638"/>
  </r>
  <r>
    <s v="SALE639"/>
    <d v="2024-02-22T00:00:00"/>
    <s v="CUST1376"/>
    <s v="Michele Burke"/>
    <s v="PROD85"/>
    <x v="4"/>
    <s v="STORE3"/>
    <n v="4"/>
    <n v="986.93"/>
    <n v="0.01"/>
    <x v="0"/>
    <x v="639"/>
  </r>
  <r>
    <s v="SALE640"/>
    <d v="2024-04-06T00:00:00"/>
    <s v="CUST1479"/>
    <s v="Dylan Gutierrez"/>
    <s v="PROD74"/>
    <x v="1"/>
    <s v="STORE12"/>
    <n v="4"/>
    <n v="411.68"/>
    <n v="0.06"/>
    <x v="1"/>
    <x v="640"/>
  </r>
  <r>
    <s v="SALE641"/>
    <d v="2024-04-15T00:00:00"/>
    <s v="CUST1219"/>
    <s v="Jordan Wells"/>
    <s v="PROD37"/>
    <x v="4"/>
    <s v="STORE17"/>
    <n v="2"/>
    <n v="637.55999999999995"/>
    <n v="0.05"/>
    <x v="2"/>
    <x v="641"/>
  </r>
  <r>
    <s v="SALE642"/>
    <d v="2024-12-07T00:00:00"/>
    <s v="CUST1014"/>
    <s v="Ashley Cohen"/>
    <s v="PROD26"/>
    <x v="1"/>
    <s v="STORE3"/>
    <n v="3"/>
    <n v="706.87"/>
    <n v="0.27"/>
    <x v="0"/>
    <x v="642"/>
  </r>
  <r>
    <s v="SALE643"/>
    <d v="2024-12-03T00:00:00"/>
    <s v="CUST1055"/>
    <s v="Wayne Mcpherson"/>
    <s v="PROD15"/>
    <x v="1"/>
    <s v="STORE6"/>
    <n v="2"/>
    <n v="884.48"/>
    <n v="0"/>
    <x v="2"/>
    <x v="643"/>
  </r>
  <r>
    <s v="SALE644"/>
    <d v="2023-12-31T00:00:00"/>
    <s v="CUST1047"/>
    <s v="Gina Knight"/>
    <s v="PROD64"/>
    <x v="2"/>
    <s v="STORE4"/>
    <n v="3"/>
    <n v="718.23"/>
    <n v="0.19"/>
    <x v="1"/>
    <x v="644"/>
  </r>
  <r>
    <s v="SALE645"/>
    <d v="2025-09-14T00:00:00"/>
    <s v="CUST1180"/>
    <s v="Wesley Thompson"/>
    <s v="PROD90"/>
    <x v="1"/>
    <s v="STORE18"/>
    <n v="3"/>
    <n v="107.44"/>
    <n v="0.27"/>
    <x v="1"/>
    <x v="645"/>
  </r>
  <r>
    <s v="SALE646"/>
    <d v="2025-01-16T00:00:00"/>
    <s v="CUST1056"/>
    <s v="Christopher Sutton"/>
    <s v="PROD49"/>
    <x v="2"/>
    <s v="STORE3"/>
    <n v="4"/>
    <n v="608.97"/>
    <n v="0.14000000000000001"/>
    <x v="2"/>
    <x v="646"/>
  </r>
  <r>
    <s v="SALE647"/>
    <d v="2025-02-01T00:00:00"/>
    <s v="CUST1354"/>
    <s v="Ryan Torres"/>
    <s v="PROD61"/>
    <x v="0"/>
    <s v="STORE6"/>
    <n v="3"/>
    <n v="260.45999999999998"/>
    <n v="0.09"/>
    <x v="0"/>
    <x v="647"/>
  </r>
  <r>
    <s v="SALE648"/>
    <d v="2024-12-20T00:00:00"/>
    <s v="CUST1123"/>
    <s v="Erin Hopkins"/>
    <s v="PROD12"/>
    <x v="2"/>
    <s v="STORE6"/>
    <n v="1"/>
    <n v="747.03"/>
    <n v="0.01"/>
    <x v="0"/>
    <x v="648"/>
  </r>
  <r>
    <s v="SALE649"/>
    <d v="2024-07-02T00:00:00"/>
    <s v="CUST1404"/>
    <s v="David Ross"/>
    <s v="PROD23"/>
    <x v="4"/>
    <s v="STORE8"/>
    <n v="4"/>
    <n v="700.88"/>
    <n v="0.23"/>
    <x v="1"/>
    <x v="649"/>
  </r>
  <r>
    <s v="SALE650"/>
    <d v="2025-05-04T00:00:00"/>
    <s v="CUST1048"/>
    <s v="April Mullins"/>
    <s v="PROD95"/>
    <x v="0"/>
    <s v="STORE14"/>
    <n v="4"/>
    <n v="20.09"/>
    <n v="0.16"/>
    <x v="1"/>
    <x v="650"/>
  </r>
  <r>
    <s v="SALE651"/>
    <d v="2024-12-28T00:00:00"/>
    <s v="CUST1062"/>
    <s v="James Bean"/>
    <s v="PROD84"/>
    <x v="3"/>
    <s v="STORE11"/>
    <n v="3"/>
    <n v="917.64"/>
    <n v="0.24"/>
    <x v="1"/>
    <x v="651"/>
  </r>
  <r>
    <s v="SALE652"/>
    <d v="2024-10-29T00:00:00"/>
    <s v="CUST1051"/>
    <s v="Sarah Rodgers"/>
    <s v="PROD21"/>
    <x v="3"/>
    <s v="STORE0"/>
    <n v="1"/>
    <n v="242.08"/>
    <n v="0.18"/>
    <x v="1"/>
    <x v="652"/>
  </r>
  <r>
    <s v="SALE653"/>
    <d v="2024-10-16T00:00:00"/>
    <s v="CUST1057"/>
    <s v="Jay Patel"/>
    <s v="PROD38"/>
    <x v="0"/>
    <s v="STORE7"/>
    <n v="1"/>
    <n v="536.67999999999995"/>
    <n v="0.27"/>
    <x v="0"/>
    <x v="653"/>
  </r>
  <r>
    <s v="SALE654"/>
    <d v="2025-04-01T00:00:00"/>
    <s v="CUST1094"/>
    <s v="David Patterson"/>
    <s v="PROD39"/>
    <x v="1"/>
    <s v="STORE4"/>
    <n v="2"/>
    <n v="145.18"/>
    <n v="0.26"/>
    <x v="1"/>
    <x v="654"/>
  </r>
  <r>
    <s v="SALE655"/>
    <d v="2024-03-18T00:00:00"/>
    <s v="CUST1221"/>
    <s v="Lisa Young"/>
    <s v="PROD83"/>
    <x v="2"/>
    <s v="STORE4"/>
    <n v="2"/>
    <n v="132.77000000000001"/>
    <n v="0.13"/>
    <x v="2"/>
    <x v="655"/>
  </r>
  <r>
    <s v="SALE656"/>
    <d v="2025-02-13T00:00:00"/>
    <s v="CUST1013"/>
    <s v="Nathan Hernandez"/>
    <s v="PROD24"/>
    <x v="0"/>
    <s v="STORE9"/>
    <n v="4"/>
    <n v="682.11"/>
    <n v="0.14000000000000001"/>
    <x v="0"/>
    <x v="656"/>
  </r>
  <r>
    <s v="SALE657"/>
    <d v="2024-08-06T00:00:00"/>
    <s v="CUST1486"/>
    <s v="Eric Lee"/>
    <s v="PROD40"/>
    <x v="1"/>
    <s v="STORE17"/>
    <n v="4"/>
    <n v="502.95"/>
    <n v="0.14000000000000001"/>
    <x v="2"/>
    <x v="657"/>
  </r>
  <r>
    <s v="SALE658"/>
    <d v="2024-09-03T00:00:00"/>
    <s v="CUST1234"/>
    <s v="Nathaniel Hill"/>
    <s v="PROD98"/>
    <x v="1"/>
    <s v="STORE16"/>
    <n v="2"/>
    <n v="472.08"/>
    <n v="7.0000000000000007E-2"/>
    <x v="0"/>
    <x v="658"/>
  </r>
  <r>
    <s v="SALE659"/>
    <d v="2025-01-08T00:00:00"/>
    <s v="CUST1473"/>
    <s v="Laura Mathews"/>
    <s v="PROD50"/>
    <x v="0"/>
    <s v="STORE17"/>
    <n v="2"/>
    <n v="218.11"/>
    <n v="0.02"/>
    <x v="2"/>
    <x v="659"/>
  </r>
  <r>
    <s v="SALE660"/>
    <d v="2025-07-21T00:00:00"/>
    <s v="CUST1057"/>
    <s v="Jay Patel"/>
    <s v="PROD38"/>
    <x v="0"/>
    <s v="STORE6"/>
    <n v="4"/>
    <n v="845.58"/>
    <n v="0.06"/>
    <x v="1"/>
    <x v="660"/>
  </r>
  <r>
    <s v="SALE661"/>
    <d v="2023-11-25T00:00:00"/>
    <s v="CUST1128"/>
    <s v="Susan Mcdonald"/>
    <s v="PROD25"/>
    <x v="4"/>
    <s v="STORE2"/>
    <n v="2"/>
    <n v="111.28"/>
    <n v="0.14000000000000001"/>
    <x v="0"/>
    <x v="661"/>
  </r>
  <r>
    <s v="SALE662"/>
    <d v="2025-07-04T00:00:00"/>
    <s v="CUST1177"/>
    <s v="Curtis Lam"/>
    <s v="PROD59"/>
    <x v="2"/>
    <s v="STORE14"/>
    <n v="2"/>
    <n v="37.21"/>
    <n v="0.19"/>
    <x v="0"/>
    <x v="662"/>
  </r>
  <r>
    <s v="SALE663"/>
    <d v="2023-10-21T00:00:00"/>
    <s v="CUST1417"/>
    <s v="Karen King"/>
    <s v="PROD97"/>
    <x v="0"/>
    <s v="STORE13"/>
    <n v="1"/>
    <n v="331.73"/>
    <n v="0.04"/>
    <x v="0"/>
    <x v="663"/>
  </r>
  <r>
    <s v="SALE664"/>
    <d v="2023-12-13T00:00:00"/>
    <s v="CUST1364"/>
    <s v="Chloe Aguilar"/>
    <s v="PROD65"/>
    <x v="0"/>
    <s v="STORE12"/>
    <n v="3"/>
    <n v="306.70999999999998"/>
    <n v="0.09"/>
    <x v="1"/>
    <x v="664"/>
  </r>
  <r>
    <s v="SALE665"/>
    <d v="2024-06-13T00:00:00"/>
    <s v="CUST1270"/>
    <s v="Brian Garcia"/>
    <s v="PROD19"/>
    <x v="0"/>
    <s v="STORE6"/>
    <n v="4"/>
    <n v="484.92"/>
    <n v="0.28000000000000003"/>
    <x v="1"/>
    <x v="665"/>
  </r>
  <r>
    <s v="SALE666"/>
    <d v="2024-01-01T00:00:00"/>
    <s v="CUST1043"/>
    <s v="Joseph Snow"/>
    <s v="PROD39"/>
    <x v="1"/>
    <s v="STORE5"/>
    <n v="2"/>
    <n v="42.04"/>
    <n v="7.0000000000000007E-2"/>
    <x v="0"/>
    <x v="666"/>
  </r>
  <r>
    <s v="SALE667"/>
    <d v="2023-12-18T00:00:00"/>
    <s v="CUST1281"/>
    <s v="Brittany Watson"/>
    <s v="PROD55"/>
    <x v="3"/>
    <s v="STORE6"/>
    <n v="3"/>
    <n v="599.48"/>
    <n v="0.22"/>
    <x v="1"/>
    <x v="667"/>
  </r>
  <r>
    <s v="SALE668"/>
    <d v="2023-11-02T00:00:00"/>
    <s v="CUST1357"/>
    <s v="Manuel Castillo"/>
    <s v="PROD17"/>
    <x v="0"/>
    <s v="STORE1"/>
    <n v="3"/>
    <n v="401.42"/>
    <n v="0.01"/>
    <x v="2"/>
    <x v="668"/>
  </r>
  <r>
    <s v="SALE669"/>
    <d v="2025-09-07T00:00:00"/>
    <s v="CUST1192"/>
    <s v="Jacob Wood"/>
    <s v="PROD46"/>
    <x v="4"/>
    <s v="STORE8"/>
    <n v="4"/>
    <n v="442.54"/>
    <n v="0.06"/>
    <x v="0"/>
    <x v="669"/>
  </r>
  <r>
    <s v="SALE670"/>
    <d v="2023-12-10T00:00:00"/>
    <s v="CUST1456"/>
    <s v="Julie Powell"/>
    <s v="PROD88"/>
    <x v="0"/>
    <s v="STORE13"/>
    <n v="4"/>
    <n v="451.41"/>
    <n v="0.06"/>
    <x v="1"/>
    <x v="670"/>
  </r>
  <r>
    <s v="SALE671"/>
    <d v="2025-10-12T00:00:00"/>
    <s v="CUST1265"/>
    <s v="Tracy Kelly"/>
    <s v="PROD87"/>
    <x v="3"/>
    <s v="STORE9"/>
    <n v="4"/>
    <n v="547.21"/>
    <n v="0.25"/>
    <x v="0"/>
    <x v="671"/>
  </r>
  <r>
    <s v="SALE672"/>
    <d v="2025-04-03T00:00:00"/>
    <s v="CUST1203"/>
    <s v="Sarah Brady"/>
    <s v="PROD43"/>
    <x v="1"/>
    <s v="STORE4"/>
    <n v="1"/>
    <n v="979.28"/>
    <n v="0.2"/>
    <x v="1"/>
    <x v="672"/>
  </r>
  <r>
    <s v="SALE673"/>
    <d v="2024-01-09T00:00:00"/>
    <s v="CUST1464"/>
    <s v="David Pierce"/>
    <s v="PROD33"/>
    <x v="3"/>
    <s v="STORE7"/>
    <n v="4"/>
    <n v="263.58999999999997"/>
    <n v="0.04"/>
    <x v="0"/>
    <x v="673"/>
  </r>
  <r>
    <s v="SALE674"/>
    <d v="2025-08-07T00:00:00"/>
    <s v="CUST1002"/>
    <s v="Dr. Benjamin Price"/>
    <s v="PROD79"/>
    <x v="3"/>
    <s v="STORE5"/>
    <n v="1"/>
    <n v="692.75"/>
    <n v="0.11"/>
    <x v="2"/>
    <x v="674"/>
  </r>
  <r>
    <s v="SALE675"/>
    <d v="2024-01-10T00:00:00"/>
    <s v="CUST1163"/>
    <s v="Joseph Jones"/>
    <s v="PROD97"/>
    <x v="0"/>
    <s v="STORE3"/>
    <n v="3"/>
    <n v="142.83000000000001"/>
    <n v="0.01"/>
    <x v="0"/>
    <x v="675"/>
  </r>
  <r>
    <s v="SALE676"/>
    <d v="2025-07-19T00:00:00"/>
    <s v="CUST1124"/>
    <s v="Donald Lee"/>
    <s v="PROD22"/>
    <x v="0"/>
    <s v="STORE2"/>
    <n v="2"/>
    <n v="419.25"/>
    <n v="0.17"/>
    <x v="1"/>
    <x v="676"/>
  </r>
  <r>
    <s v="SALE677"/>
    <d v="2024-12-24T00:00:00"/>
    <s v="CUST1240"/>
    <s v="William Hull"/>
    <s v="PROD92"/>
    <x v="3"/>
    <s v="STORE19"/>
    <n v="2"/>
    <n v="800.84"/>
    <n v="0.27"/>
    <x v="2"/>
    <x v="677"/>
  </r>
  <r>
    <s v="SALE678"/>
    <d v="2024-08-16T00:00:00"/>
    <s v="CUST1001"/>
    <s v="Eugene Nelson"/>
    <s v="PROD51"/>
    <x v="1"/>
    <s v="STORE2"/>
    <n v="1"/>
    <n v="301.24"/>
    <n v="0.11"/>
    <x v="1"/>
    <x v="678"/>
  </r>
  <r>
    <s v="SALE679"/>
    <d v="2024-07-24T00:00:00"/>
    <s v="CUST1288"/>
    <s v="Misty Ferguson"/>
    <s v="PROD3"/>
    <x v="4"/>
    <s v="STORE5"/>
    <n v="2"/>
    <n v="701.49"/>
    <n v="0.09"/>
    <x v="1"/>
    <x v="679"/>
  </r>
  <r>
    <s v="SALE680"/>
    <d v="2024-11-19T00:00:00"/>
    <s v="CUST1351"/>
    <s v="Jeffrey Mccarthy"/>
    <s v="PROD26"/>
    <x v="1"/>
    <s v="STORE10"/>
    <n v="4"/>
    <n v="413.48"/>
    <n v="0.02"/>
    <x v="1"/>
    <x v="680"/>
  </r>
  <r>
    <s v="SALE681"/>
    <d v="2024-03-14T00:00:00"/>
    <s v="CUST1197"/>
    <s v="Andrea Jacobs"/>
    <s v="PROD37"/>
    <x v="4"/>
    <s v="STORE1"/>
    <n v="4"/>
    <n v="167.83"/>
    <n v="0.15"/>
    <x v="0"/>
    <x v="681"/>
  </r>
  <r>
    <s v="SALE682"/>
    <d v="2025-06-24T00:00:00"/>
    <s v="CUST1139"/>
    <s v="Brian Holder"/>
    <s v="PROD15"/>
    <x v="1"/>
    <s v="STORE18"/>
    <n v="2"/>
    <n v="669.12"/>
    <n v="0.22"/>
    <x v="0"/>
    <x v="682"/>
  </r>
  <r>
    <s v="SALE683"/>
    <d v="2024-08-26T00:00:00"/>
    <s v="CUST1039"/>
    <s v="Tonya Reynolds"/>
    <s v="PROD74"/>
    <x v="1"/>
    <s v="STORE7"/>
    <n v="3"/>
    <n v="346.77"/>
    <n v="0.18"/>
    <x v="1"/>
    <x v="683"/>
  </r>
  <r>
    <s v="SALE684"/>
    <d v="2025-10-09T00:00:00"/>
    <s v="CUST1059"/>
    <s v="Alyssa Vargas"/>
    <s v="PROD94"/>
    <x v="2"/>
    <s v="STORE19"/>
    <n v="3"/>
    <n v="648.33000000000004"/>
    <n v="0.2"/>
    <x v="2"/>
    <x v="684"/>
  </r>
  <r>
    <s v="SALE685"/>
    <d v="2024-04-19T00:00:00"/>
    <s v="CUST1285"/>
    <s v="Donna Guerra"/>
    <s v="PROD6"/>
    <x v="2"/>
    <s v="STORE2"/>
    <n v="4"/>
    <n v="254.94"/>
    <n v="0.06"/>
    <x v="1"/>
    <x v="685"/>
  </r>
  <r>
    <s v="SALE686"/>
    <d v="2024-05-08T00:00:00"/>
    <s v="CUST1338"/>
    <s v="Jasmine Snyder"/>
    <s v="PROD86"/>
    <x v="3"/>
    <s v="STORE4"/>
    <n v="1"/>
    <n v="445.5"/>
    <n v="0.28000000000000003"/>
    <x v="0"/>
    <x v="686"/>
  </r>
  <r>
    <s v="SALE687"/>
    <d v="2024-06-16T00:00:00"/>
    <s v="CUST1221"/>
    <s v="Lisa Young"/>
    <s v="PROD83"/>
    <x v="2"/>
    <s v="STORE4"/>
    <n v="1"/>
    <n v="900.94"/>
    <n v="0.1"/>
    <x v="0"/>
    <x v="687"/>
  </r>
  <r>
    <s v="SALE688"/>
    <d v="2024-05-17T00:00:00"/>
    <s v="CUST1196"/>
    <s v="Megan Greer"/>
    <s v="PROD15"/>
    <x v="1"/>
    <s v="STORE16"/>
    <n v="3"/>
    <n v="262.69"/>
    <n v="0.04"/>
    <x v="1"/>
    <x v="688"/>
  </r>
  <r>
    <s v="SALE689"/>
    <d v="2024-04-04T00:00:00"/>
    <s v="CUST1482"/>
    <s v="Sheri Joyce"/>
    <s v="PROD68"/>
    <x v="3"/>
    <s v="STORE2"/>
    <n v="3"/>
    <n v="212.72"/>
    <n v="0.22"/>
    <x v="1"/>
    <x v="689"/>
  </r>
  <r>
    <s v="SALE690"/>
    <d v="2025-05-26T00:00:00"/>
    <s v="CUST1151"/>
    <s v="Michael Davies"/>
    <s v="PROD24"/>
    <x v="0"/>
    <s v="STORE18"/>
    <n v="4"/>
    <n v="757.9"/>
    <n v="0.22"/>
    <x v="1"/>
    <x v="690"/>
  </r>
  <r>
    <s v="SALE691"/>
    <d v="2024-02-24T00:00:00"/>
    <s v="CUST1017"/>
    <s v="Adam Cruz"/>
    <s v="PROD41"/>
    <x v="0"/>
    <s v="STORE17"/>
    <n v="1"/>
    <n v="846.04"/>
    <n v="0.08"/>
    <x v="1"/>
    <x v="691"/>
  </r>
  <r>
    <s v="SALE692"/>
    <d v="2023-12-07T00:00:00"/>
    <s v="CUST1159"/>
    <s v="Brian Choi"/>
    <s v="PROD69"/>
    <x v="4"/>
    <s v="STORE7"/>
    <n v="3"/>
    <n v="179.7"/>
    <n v="0.17"/>
    <x v="2"/>
    <x v="692"/>
  </r>
  <r>
    <s v="SALE693"/>
    <d v="2024-10-07T00:00:00"/>
    <s v="CUST1446"/>
    <s v="Shannon Turner"/>
    <s v="PROD31"/>
    <x v="0"/>
    <s v="STORE4"/>
    <n v="4"/>
    <n v="681.08"/>
    <n v="0"/>
    <x v="1"/>
    <x v="693"/>
  </r>
  <r>
    <s v="SALE694"/>
    <d v="2023-11-22T00:00:00"/>
    <s v="CUST1403"/>
    <s v="Justin Ingram"/>
    <s v="PROD17"/>
    <x v="0"/>
    <s v="STORE7"/>
    <n v="4"/>
    <n v="723.44"/>
    <n v="0.14000000000000001"/>
    <x v="1"/>
    <x v="694"/>
  </r>
  <r>
    <s v="SALE695"/>
    <d v="2025-10-09T00:00:00"/>
    <s v="CUST1126"/>
    <s v="James Wolfe"/>
    <s v="PROD89"/>
    <x v="2"/>
    <s v="STORE14"/>
    <n v="4"/>
    <n v="471.89"/>
    <n v="0.12"/>
    <x v="2"/>
    <x v="695"/>
  </r>
  <r>
    <s v="SALE696"/>
    <d v="2024-09-24T00:00:00"/>
    <s v="CUST1366"/>
    <s v="Mallory Allen"/>
    <s v="PROD73"/>
    <x v="0"/>
    <s v="STORE17"/>
    <n v="1"/>
    <n v="613.17999999999995"/>
    <n v="0.14000000000000001"/>
    <x v="2"/>
    <x v="696"/>
  </r>
  <r>
    <s v="SALE697"/>
    <d v="2023-10-30T00:00:00"/>
    <s v="CUST1051"/>
    <s v="Sarah Rodgers"/>
    <s v="PROD21"/>
    <x v="3"/>
    <s v="STORE4"/>
    <n v="1"/>
    <n v="651.30999999999995"/>
    <n v="0.24"/>
    <x v="1"/>
    <x v="697"/>
  </r>
  <r>
    <s v="SALE698"/>
    <d v="2024-02-11T00:00:00"/>
    <s v="CUST1024"/>
    <s v="Heather Collins"/>
    <s v="PROD3"/>
    <x v="4"/>
    <s v="STORE6"/>
    <n v="2"/>
    <n v="635.14"/>
    <n v="0.1"/>
    <x v="2"/>
    <x v="698"/>
  </r>
  <r>
    <s v="SALE699"/>
    <d v="2025-04-05T00:00:00"/>
    <s v="CUST1380"/>
    <s v="Shelley Ponce"/>
    <s v="PROD98"/>
    <x v="1"/>
    <s v="STORE14"/>
    <n v="4"/>
    <n v="912.61"/>
    <n v="0.14000000000000001"/>
    <x v="0"/>
    <x v="699"/>
  </r>
  <r>
    <s v="SALE700"/>
    <d v="2025-05-18T00:00:00"/>
    <s v="CUST1274"/>
    <s v="Sarah Lane"/>
    <s v="PROD47"/>
    <x v="2"/>
    <s v="STORE7"/>
    <n v="3"/>
    <n v="79.77"/>
    <n v="0.09"/>
    <x v="0"/>
    <x v="700"/>
  </r>
  <r>
    <s v="SALE701"/>
    <d v="2025-04-08T00:00:00"/>
    <s v="CUST1277"/>
    <s v="Jeffrey Gomez"/>
    <s v="PROD93"/>
    <x v="1"/>
    <s v="STORE15"/>
    <n v="4"/>
    <n v="603.52"/>
    <n v="0.25"/>
    <x v="0"/>
    <x v="701"/>
  </r>
  <r>
    <s v="SALE702"/>
    <d v="2024-11-29T00:00:00"/>
    <s v="CUST1077"/>
    <s v="Katherine Young"/>
    <s v="PROD21"/>
    <x v="3"/>
    <s v="STORE12"/>
    <n v="4"/>
    <n v="453.12"/>
    <n v="0.23"/>
    <x v="2"/>
    <x v="702"/>
  </r>
  <r>
    <s v="SALE703"/>
    <d v="2024-12-30T00:00:00"/>
    <s v="CUST1497"/>
    <s v="Sarah Marsh"/>
    <s v="PROD33"/>
    <x v="3"/>
    <s v="STORE9"/>
    <n v="2"/>
    <n v="974.35"/>
    <n v="0.15"/>
    <x v="0"/>
    <x v="703"/>
  </r>
  <r>
    <s v="SALE704"/>
    <d v="2025-06-16T00:00:00"/>
    <s v="CUST1476"/>
    <s v="Elizabeth Foster"/>
    <s v="PROD69"/>
    <x v="4"/>
    <s v="STORE17"/>
    <n v="4"/>
    <n v="52.35"/>
    <n v="0.23"/>
    <x v="2"/>
    <x v="704"/>
  </r>
  <r>
    <s v="SALE705"/>
    <d v="2025-06-16T00:00:00"/>
    <s v="CUST1370"/>
    <s v="James Holloway Jr."/>
    <s v="PROD37"/>
    <x v="4"/>
    <s v="STORE17"/>
    <n v="3"/>
    <n v="681.58"/>
    <n v="0.23"/>
    <x v="0"/>
    <x v="705"/>
  </r>
  <r>
    <s v="SALE706"/>
    <d v="2024-04-02T00:00:00"/>
    <s v="CUST1177"/>
    <s v="Curtis Lam"/>
    <s v="PROD59"/>
    <x v="2"/>
    <s v="STORE15"/>
    <n v="3"/>
    <n v="71.23"/>
    <n v="0.03"/>
    <x v="0"/>
    <x v="706"/>
  </r>
  <r>
    <s v="SALE707"/>
    <d v="2024-03-28T00:00:00"/>
    <s v="CUST1241"/>
    <s v="Mr. William Horton"/>
    <s v="PROD15"/>
    <x v="1"/>
    <s v="STORE14"/>
    <n v="1"/>
    <n v="31.36"/>
    <n v="0.21"/>
    <x v="2"/>
    <x v="707"/>
  </r>
  <r>
    <s v="SALE708"/>
    <d v="2025-01-17T00:00:00"/>
    <s v="CUST1341"/>
    <s v="Angela Williams"/>
    <s v="PROD41"/>
    <x v="0"/>
    <s v="STORE13"/>
    <n v="2"/>
    <n v="555.54999999999995"/>
    <n v="0.14000000000000001"/>
    <x v="0"/>
    <x v="708"/>
  </r>
  <r>
    <s v="SALE709"/>
    <d v="2025-04-13T00:00:00"/>
    <s v="CUST1251"/>
    <s v="Tyler Garner"/>
    <s v="PROD9"/>
    <x v="0"/>
    <s v="STORE16"/>
    <n v="4"/>
    <n v="805.99"/>
    <n v="0.06"/>
    <x v="0"/>
    <x v="709"/>
  </r>
  <r>
    <s v="SALE710"/>
    <d v="2024-07-01T00:00:00"/>
    <s v="CUST1388"/>
    <s v="Timothy Valenzuela"/>
    <s v="PROD82"/>
    <x v="0"/>
    <s v="STORE1"/>
    <n v="1"/>
    <n v="506.55"/>
    <n v="0.28000000000000003"/>
    <x v="0"/>
    <x v="710"/>
  </r>
  <r>
    <s v="SALE711"/>
    <d v="2024-12-14T00:00:00"/>
    <s v="CUST1130"/>
    <s v="Jamie Reyes"/>
    <s v="PROD41"/>
    <x v="0"/>
    <s v="STORE11"/>
    <n v="3"/>
    <n v="28.69"/>
    <n v="0.02"/>
    <x v="0"/>
    <x v="711"/>
  </r>
  <r>
    <s v="SALE712"/>
    <d v="2023-11-23T00:00:00"/>
    <s v="CUST1387"/>
    <s v="Timothy Gardner"/>
    <s v="PROD76"/>
    <x v="1"/>
    <s v="STORE4"/>
    <n v="1"/>
    <n v="106.07"/>
    <n v="0.23"/>
    <x v="2"/>
    <x v="712"/>
  </r>
  <r>
    <s v="SALE713"/>
    <d v="2023-10-26T00:00:00"/>
    <s v="CUST1260"/>
    <s v="Russell Lamb"/>
    <s v="PROD84"/>
    <x v="3"/>
    <s v="STORE0"/>
    <n v="4"/>
    <n v="289.77"/>
    <n v="0.06"/>
    <x v="1"/>
    <x v="713"/>
  </r>
  <r>
    <s v="SALE714"/>
    <d v="2023-12-03T00:00:00"/>
    <s v="CUST1156"/>
    <s v="Maria Sanchez"/>
    <s v="PROD49"/>
    <x v="2"/>
    <s v="STORE18"/>
    <n v="2"/>
    <n v="354.26"/>
    <n v="0.01"/>
    <x v="2"/>
    <x v="714"/>
  </r>
  <r>
    <s v="SALE715"/>
    <d v="2024-09-19T00:00:00"/>
    <s v="CUST1385"/>
    <s v="Tammy Brennan"/>
    <s v="PROD68"/>
    <x v="3"/>
    <s v="STORE14"/>
    <n v="1"/>
    <n v="522.72"/>
    <n v="0.25"/>
    <x v="1"/>
    <x v="715"/>
  </r>
  <r>
    <s v="SALE716"/>
    <d v="2024-10-04T00:00:00"/>
    <s v="CUST1057"/>
    <s v="Jay Patel"/>
    <s v="PROD38"/>
    <x v="0"/>
    <s v="STORE9"/>
    <n v="3"/>
    <n v="966.02"/>
    <n v="0.03"/>
    <x v="2"/>
    <x v="716"/>
  </r>
  <r>
    <s v="SALE717"/>
    <d v="2023-10-18T00:00:00"/>
    <s v="CUST1224"/>
    <s v="Anthony Morgan"/>
    <s v="PROD39"/>
    <x v="1"/>
    <s v="STORE17"/>
    <n v="1"/>
    <n v="498.61"/>
    <n v="0.04"/>
    <x v="1"/>
    <x v="717"/>
  </r>
  <r>
    <s v="SALE718"/>
    <d v="2025-05-06T00:00:00"/>
    <s v="CUST1330"/>
    <s v="Pamela Mcguire"/>
    <s v="PROD42"/>
    <x v="1"/>
    <s v="STORE6"/>
    <n v="4"/>
    <n v="758.27"/>
    <n v="0.05"/>
    <x v="1"/>
    <x v="718"/>
  </r>
  <r>
    <s v="SALE719"/>
    <d v="2024-03-20T00:00:00"/>
    <s v="CUST1198"/>
    <s v="Wanda Snyder"/>
    <s v="PROD12"/>
    <x v="2"/>
    <s v="STORE2"/>
    <n v="2"/>
    <n v="371.03"/>
    <n v="0.23"/>
    <x v="1"/>
    <x v="719"/>
  </r>
  <r>
    <s v="SALE720"/>
    <d v="2024-06-10T00:00:00"/>
    <s v="CUST1355"/>
    <s v="Carlos Flores"/>
    <s v="PROD91"/>
    <x v="4"/>
    <s v="STORE17"/>
    <n v="1"/>
    <n v="230.32"/>
    <n v="0.05"/>
    <x v="2"/>
    <x v="720"/>
  </r>
  <r>
    <s v="SALE721"/>
    <d v="2024-08-22T00:00:00"/>
    <s v="CUST1342"/>
    <s v="Michelle Cunningham"/>
    <s v="PROD61"/>
    <x v="0"/>
    <s v="STORE6"/>
    <n v="2"/>
    <n v="985.43"/>
    <n v="0.28000000000000003"/>
    <x v="2"/>
    <x v="721"/>
  </r>
  <r>
    <s v="SALE722"/>
    <d v="2025-04-09T00:00:00"/>
    <s v="CUST1422"/>
    <s v="Brittany Edwards Dds"/>
    <s v="PROD49"/>
    <x v="2"/>
    <s v="STORE4"/>
    <n v="2"/>
    <n v="492.5"/>
    <n v="0.3"/>
    <x v="1"/>
    <x v="722"/>
  </r>
  <r>
    <s v="SALE723"/>
    <d v="2024-12-31T00:00:00"/>
    <s v="CUST1364"/>
    <s v="Chloe Aguilar"/>
    <s v="PROD65"/>
    <x v="0"/>
    <s v="STORE11"/>
    <n v="2"/>
    <n v="213.69"/>
    <n v="0.28000000000000003"/>
    <x v="1"/>
    <x v="723"/>
  </r>
  <r>
    <s v="SALE724"/>
    <d v="2025-02-28T00:00:00"/>
    <s v="CUST1065"/>
    <s v="Michael Thomas"/>
    <s v="PROD24"/>
    <x v="0"/>
    <s v="STORE8"/>
    <n v="4"/>
    <n v="618.83000000000004"/>
    <n v="0.08"/>
    <x v="1"/>
    <x v="724"/>
  </r>
  <r>
    <s v="SALE725"/>
    <d v="2024-01-22T00:00:00"/>
    <s v="CUST1093"/>
    <s v="Christy Vasquez"/>
    <s v="PROD5"/>
    <x v="4"/>
    <s v="STORE11"/>
    <n v="2"/>
    <n v="81.16"/>
    <n v="0.16"/>
    <x v="1"/>
    <x v="725"/>
  </r>
  <r>
    <s v="SALE726"/>
    <d v="2024-03-21T00:00:00"/>
    <s v="CUST1002"/>
    <s v="Dr. Benjamin Price"/>
    <s v="PROD79"/>
    <x v="3"/>
    <s v="STORE9"/>
    <n v="1"/>
    <n v="431.69"/>
    <n v="0.09"/>
    <x v="0"/>
    <x v="726"/>
  </r>
  <r>
    <s v="SALE727"/>
    <d v="2024-12-22T00:00:00"/>
    <s v="CUST1405"/>
    <s v="Eric Wolfe"/>
    <s v="PROD48"/>
    <x v="1"/>
    <s v="STORE5"/>
    <n v="3"/>
    <n v="438.65"/>
    <n v="0.28999999999999998"/>
    <x v="1"/>
    <x v="727"/>
  </r>
  <r>
    <s v="SALE728"/>
    <d v="2024-04-02T00:00:00"/>
    <s v="CUST1172"/>
    <s v="Thomas Rhodes"/>
    <s v="PROD79"/>
    <x v="3"/>
    <s v="STORE3"/>
    <n v="3"/>
    <n v="339.41"/>
    <n v="0.26"/>
    <x v="0"/>
    <x v="728"/>
  </r>
  <r>
    <s v="SALE729"/>
    <d v="2025-01-30T00:00:00"/>
    <s v="CUST1470"/>
    <s v="Manuel Fisher"/>
    <s v="PROD59"/>
    <x v="2"/>
    <s v="STORE9"/>
    <n v="4"/>
    <n v="848.47"/>
    <n v="0.21"/>
    <x v="2"/>
    <x v="729"/>
  </r>
  <r>
    <s v="SALE730"/>
    <d v="2025-03-31T00:00:00"/>
    <s v="CUST1192"/>
    <s v="Jacob Wood"/>
    <s v="PROD46"/>
    <x v="4"/>
    <s v="STORE8"/>
    <n v="1"/>
    <n v="664.87"/>
    <n v="0.08"/>
    <x v="1"/>
    <x v="730"/>
  </r>
  <r>
    <s v="SALE731"/>
    <d v="2025-01-30T00:00:00"/>
    <s v="CUST1099"/>
    <s v="Sheila Wilson"/>
    <s v="PROD26"/>
    <x v="1"/>
    <s v="STORE7"/>
    <n v="1"/>
    <n v="412.11"/>
    <n v="0.23"/>
    <x v="1"/>
    <x v="731"/>
  </r>
  <r>
    <s v="SALE732"/>
    <d v="2025-09-16T00:00:00"/>
    <s v="CUST1122"/>
    <s v="Michael Chang"/>
    <s v="PROD94"/>
    <x v="2"/>
    <s v="STORE1"/>
    <n v="1"/>
    <n v="126.09"/>
    <n v="0.05"/>
    <x v="2"/>
    <x v="732"/>
  </r>
  <r>
    <s v="SALE733"/>
    <d v="2025-09-17T00:00:00"/>
    <s v="CUST1198"/>
    <s v="Wanda Snyder"/>
    <s v="PROD12"/>
    <x v="2"/>
    <s v="STORE10"/>
    <n v="4"/>
    <n v="602.39"/>
    <n v="0.19"/>
    <x v="2"/>
    <x v="733"/>
  </r>
  <r>
    <s v="SALE734"/>
    <d v="2025-10-11T00:00:00"/>
    <s v="CUST1325"/>
    <s v="Andrew Smith"/>
    <s v="PROD54"/>
    <x v="0"/>
    <s v="STORE3"/>
    <n v="3"/>
    <n v="447.69"/>
    <n v="0.02"/>
    <x v="2"/>
    <x v="734"/>
  </r>
  <r>
    <s v="SALE735"/>
    <d v="2025-05-01T00:00:00"/>
    <s v="CUST1248"/>
    <s v="Nicholas Webb"/>
    <s v="PROD87"/>
    <x v="3"/>
    <s v="STORE3"/>
    <n v="3"/>
    <n v="35.159999999999997"/>
    <n v="0.04"/>
    <x v="2"/>
    <x v="735"/>
  </r>
  <r>
    <s v="SALE736"/>
    <d v="2025-03-24T00:00:00"/>
    <s v="CUST1330"/>
    <s v="Pamela Mcguire"/>
    <s v="PROD42"/>
    <x v="1"/>
    <s v="STORE11"/>
    <n v="2"/>
    <n v="838.59"/>
    <n v="0.18"/>
    <x v="2"/>
    <x v="736"/>
  </r>
  <r>
    <s v="SALE737"/>
    <d v="2024-11-02T00:00:00"/>
    <s v="CUST1089"/>
    <s v="Jamie Yoder"/>
    <s v="PROD57"/>
    <x v="0"/>
    <s v="STORE6"/>
    <n v="4"/>
    <n v="867.94"/>
    <n v="0.26"/>
    <x v="1"/>
    <x v="737"/>
  </r>
  <r>
    <s v="SALE738"/>
    <d v="2024-10-26T00:00:00"/>
    <s v="CUST1196"/>
    <s v="Megan Greer"/>
    <s v="PROD15"/>
    <x v="1"/>
    <s v="STORE17"/>
    <n v="1"/>
    <n v="623.88"/>
    <n v="0.25"/>
    <x v="0"/>
    <x v="738"/>
  </r>
  <r>
    <s v="SALE739"/>
    <d v="2024-09-11T00:00:00"/>
    <s v="CUST1177"/>
    <s v="Curtis Lam"/>
    <s v="PROD59"/>
    <x v="2"/>
    <s v="STORE14"/>
    <n v="2"/>
    <n v="567.95000000000005"/>
    <n v="0.12"/>
    <x v="1"/>
    <x v="739"/>
  </r>
  <r>
    <s v="SALE740"/>
    <d v="2024-07-10T00:00:00"/>
    <s v="CUST1323"/>
    <s v="Kristy Dunlap"/>
    <s v="PROD49"/>
    <x v="2"/>
    <s v="STORE18"/>
    <n v="2"/>
    <n v="671.69"/>
    <n v="0.19"/>
    <x v="0"/>
    <x v="740"/>
  </r>
  <r>
    <s v="SALE741"/>
    <d v="2025-05-09T00:00:00"/>
    <s v="CUST1206"/>
    <s v="Ronald Jones"/>
    <s v="PROD94"/>
    <x v="2"/>
    <s v="STORE7"/>
    <n v="2"/>
    <n v="257.95999999999998"/>
    <n v="0.21"/>
    <x v="1"/>
    <x v="741"/>
  </r>
  <r>
    <s v="SALE742"/>
    <d v="2024-07-02T00:00:00"/>
    <s v="CUST1204"/>
    <s v="Tiffany Herrera"/>
    <s v="PROD44"/>
    <x v="0"/>
    <s v="STORE19"/>
    <n v="4"/>
    <n v="281.48"/>
    <n v="0.27"/>
    <x v="1"/>
    <x v="742"/>
  </r>
  <r>
    <s v="SALE743"/>
    <d v="2024-06-27T00:00:00"/>
    <s v="CUST1316"/>
    <s v="Robert House"/>
    <s v="PROD25"/>
    <x v="4"/>
    <s v="STORE11"/>
    <n v="1"/>
    <n v="202.13"/>
    <n v="0.13"/>
    <x v="2"/>
    <x v="743"/>
  </r>
  <r>
    <s v="SALE744"/>
    <d v="2023-11-13T00:00:00"/>
    <s v="CUST1271"/>
    <s v="Daisy Johnson Dds"/>
    <s v="PROD74"/>
    <x v="1"/>
    <s v="STORE5"/>
    <n v="1"/>
    <n v="370.66"/>
    <n v="0.01"/>
    <x v="1"/>
    <x v="744"/>
  </r>
  <r>
    <s v="SALE745"/>
    <d v="2024-02-19T00:00:00"/>
    <s v="CUST1005"/>
    <s v="Christine Vaughn"/>
    <s v="PROD61"/>
    <x v="0"/>
    <s v="STORE12"/>
    <n v="4"/>
    <n v="731.53"/>
    <n v="0.12"/>
    <x v="0"/>
    <x v="745"/>
  </r>
  <r>
    <s v="SALE746"/>
    <d v="2024-03-20T00:00:00"/>
    <s v="CUST1165"/>
    <s v="Jason Wheeler"/>
    <s v="PROD27"/>
    <x v="3"/>
    <s v="STORE1"/>
    <n v="3"/>
    <n v="468.25"/>
    <n v="7.0000000000000007E-2"/>
    <x v="1"/>
    <x v="746"/>
  </r>
  <r>
    <s v="SALE747"/>
    <d v="2024-03-09T00:00:00"/>
    <s v="CUST1001"/>
    <s v="Eugene Nelson"/>
    <s v="PROD51"/>
    <x v="1"/>
    <s v="STORE0"/>
    <n v="1"/>
    <n v="928.72"/>
    <n v="0.1"/>
    <x v="2"/>
    <x v="747"/>
  </r>
  <r>
    <s v="SALE748"/>
    <d v="2024-07-26T00:00:00"/>
    <s v="CUST1101"/>
    <s v="Colleen Maynard"/>
    <s v="PROD89"/>
    <x v="2"/>
    <s v="STORE18"/>
    <n v="3"/>
    <n v="217.22"/>
    <n v="0.06"/>
    <x v="1"/>
    <x v="748"/>
  </r>
  <r>
    <s v="SALE749"/>
    <d v="2025-03-29T00:00:00"/>
    <s v="CUST1405"/>
    <s v="Eric Wolfe"/>
    <s v="PROD48"/>
    <x v="1"/>
    <s v="STORE3"/>
    <n v="1"/>
    <n v="387.99"/>
    <n v="0.3"/>
    <x v="0"/>
    <x v="749"/>
  </r>
  <r>
    <s v="SALE750"/>
    <d v="2025-03-02T00:00:00"/>
    <s v="CUST1476"/>
    <s v="Elizabeth Foster"/>
    <s v="PROD69"/>
    <x v="4"/>
    <s v="STORE6"/>
    <n v="4"/>
    <n v="186.24"/>
    <n v="0.23"/>
    <x v="0"/>
    <x v="750"/>
  </r>
  <r>
    <s v="SALE751"/>
    <d v="2024-06-11T00:00:00"/>
    <s v="CUST1296"/>
    <s v="Jared Moran"/>
    <s v="PROD14"/>
    <x v="3"/>
    <s v="STORE8"/>
    <n v="4"/>
    <n v="609.05999999999995"/>
    <n v="0.22"/>
    <x v="2"/>
    <x v="751"/>
  </r>
  <r>
    <s v="SALE752"/>
    <d v="2024-05-22T00:00:00"/>
    <s v="CUST1437"/>
    <s v="Melinda Rivera"/>
    <s v="PROD88"/>
    <x v="0"/>
    <s v="STORE11"/>
    <n v="1"/>
    <n v="827.91"/>
    <n v="0.21"/>
    <x v="1"/>
    <x v="752"/>
  </r>
  <r>
    <s v="SALE753"/>
    <d v="2024-07-13T00:00:00"/>
    <s v="CUST1176"/>
    <s v="John Bradford"/>
    <s v="PROD52"/>
    <x v="0"/>
    <s v="STORE0"/>
    <n v="1"/>
    <n v="303.79000000000002"/>
    <n v="0.24"/>
    <x v="1"/>
    <x v="753"/>
  </r>
  <r>
    <s v="SALE754"/>
    <d v="2025-09-02T00:00:00"/>
    <s v="CUST1104"/>
    <s v="Christopher Lester"/>
    <s v="PROD25"/>
    <x v="4"/>
    <s v="STORE6"/>
    <n v="2"/>
    <n v="365.91"/>
    <n v="0.14000000000000001"/>
    <x v="2"/>
    <x v="754"/>
  </r>
  <r>
    <s v="SALE755"/>
    <d v="2025-04-15T00:00:00"/>
    <s v="CUST1069"/>
    <s v="Roy Cole"/>
    <s v="PROD73"/>
    <x v="0"/>
    <s v="STORE17"/>
    <n v="3"/>
    <n v="852.72"/>
    <n v="0.16"/>
    <x v="0"/>
    <x v="755"/>
  </r>
  <r>
    <s v="SALE756"/>
    <d v="2025-04-05T00:00:00"/>
    <s v="CUST1247"/>
    <s v="Douglas Rhodes"/>
    <s v="PROD10"/>
    <x v="3"/>
    <s v="STORE4"/>
    <n v="1"/>
    <n v="768.25"/>
    <n v="0.18"/>
    <x v="0"/>
    <x v="756"/>
  </r>
  <r>
    <s v="SALE757"/>
    <d v="2023-11-24T00:00:00"/>
    <s v="CUST1350"/>
    <s v="Charles Miller"/>
    <s v="PROD92"/>
    <x v="3"/>
    <s v="STORE19"/>
    <n v="2"/>
    <n v="318.62"/>
    <n v="0.02"/>
    <x v="2"/>
    <x v="757"/>
  </r>
  <r>
    <s v="SALE758"/>
    <d v="2025-01-26T00:00:00"/>
    <s v="CUST1049"/>
    <s v="Timothy Weaver"/>
    <s v="PROD48"/>
    <x v="1"/>
    <s v="STORE2"/>
    <n v="4"/>
    <n v="402.11"/>
    <n v="0.14000000000000001"/>
    <x v="1"/>
    <x v="758"/>
  </r>
  <r>
    <s v="SALE759"/>
    <d v="2025-05-27T00:00:00"/>
    <s v="CUST1408"/>
    <s v="Isabel Foster"/>
    <s v="PROD31"/>
    <x v="0"/>
    <s v="STORE17"/>
    <n v="3"/>
    <n v="846.31"/>
    <n v="0.18"/>
    <x v="2"/>
    <x v="759"/>
  </r>
  <r>
    <s v="SALE760"/>
    <d v="2025-06-13T00:00:00"/>
    <s v="CUST1168"/>
    <s v="Daniel Contreras"/>
    <s v="PROD72"/>
    <x v="0"/>
    <s v="STORE14"/>
    <n v="1"/>
    <n v="269.94"/>
    <n v="7.0000000000000007E-2"/>
    <x v="2"/>
    <x v="760"/>
  </r>
  <r>
    <s v="SALE761"/>
    <d v="2024-06-29T00:00:00"/>
    <s v="CUST1241"/>
    <s v="Mr. William Horton"/>
    <s v="PROD15"/>
    <x v="1"/>
    <s v="STORE4"/>
    <n v="3"/>
    <n v="909.25"/>
    <n v="0.28999999999999998"/>
    <x v="2"/>
    <x v="761"/>
  </r>
  <r>
    <s v="SALE762"/>
    <d v="2024-02-09T00:00:00"/>
    <s v="CUST1363"/>
    <s v="Elizabeth Smith"/>
    <s v="PROD91"/>
    <x v="4"/>
    <s v="STORE12"/>
    <n v="2"/>
    <n v="229.81"/>
    <n v="0.21"/>
    <x v="2"/>
    <x v="762"/>
  </r>
  <r>
    <s v="SALE763"/>
    <d v="2024-06-08T00:00:00"/>
    <s v="CUST1037"/>
    <s v="Christopher Carter"/>
    <s v="PROD45"/>
    <x v="0"/>
    <s v="STORE15"/>
    <n v="3"/>
    <n v="442.36"/>
    <n v="0.06"/>
    <x v="1"/>
    <x v="763"/>
  </r>
  <r>
    <s v="SALE764"/>
    <d v="2024-04-04T00:00:00"/>
    <s v="CUST1239"/>
    <s v="Maria Hill"/>
    <s v="PROD19"/>
    <x v="0"/>
    <s v="STORE3"/>
    <n v="3"/>
    <n v="413.74"/>
    <n v="0.01"/>
    <x v="0"/>
    <x v="764"/>
  </r>
  <r>
    <s v="SALE765"/>
    <d v="2024-07-04T00:00:00"/>
    <s v="CUST1496"/>
    <s v="Christopher Ford"/>
    <s v="PROD51"/>
    <x v="1"/>
    <s v="STORE14"/>
    <n v="4"/>
    <n v="79.75"/>
    <n v="0.18"/>
    <x v="1"/>
    <x v="765"/>
  </r>
  <r>
    <s v="SALE766"/>
    <d v="2024-05-21T00:00:00"/>
    <s v="CUST1495"/>
    <s v="James Berger"/>
    <s v="PROD61"/>
    <x v="0"/>
    <s v="STORE12"/>
    <n v="4"/>
    <n v="95.06"/>
    <n v="0.03"/>
    <x v="0"/>
    <x v="766"/>
  </r>
  <r>
    <s v="SALE767"/>
    <d v="2025-04-12T00:00:00"/>
    <s v="CUST1416"/>
    <s v="Jennifer Myers"/>
    <s v="PROD49"/>
    <x v="2"/>
    <s v="STORE7"/>
    <n v="4"/>
    <n v="107.08"/>
    <n v="0.27"/>
    <x v="2"/>
    <x v="767"/>
  </r>
  <r>
    <s v="SALE768"/>
    <d v="2025-05-17T00:00:00"/>
    <s v="CUST1474"/>
    <s v="Joshua Howard"/>
    <s v="PROD99"/>
    <x v="3"/>
    <s v="STORE18"/>
    <n v="1"/>
    <n v="873.18"/>
    <n v="0.03"/>
    <x v="2"/>
    <x v="768"/>
  </r>
  <r>
    <s v="SALE769"/>
    <d v="2025-04-17T00:00:00"/>
    <s v="CUST1377"/>
    <s v="Charles Conley"/>
    <s v="PROD92"/>
    <x v="3"/>
    <s v="STORE18"/>
    <n v="1"/>
    <n v="914.75"/>
    <n v="0.1"/>
    <x v="2"/>
    <x v="769"/>
  </r>
  <r>
    <s v="SALE770"/>
    <d v="2023-12-19T00:00:00"/>
    <s v="CUST1049"/>
    <s v="Timothy Weaver"/>
    <s v="PROD48"/>
    <x v="1"/>
    <s v="STORE13"/>
    <n v="4"/>
    <n v="457.33"/>
    <n v="0.1"/>
    <x v="0"/>
    <x v="770"/>
  </r>
  <r>
    <s v="SALE771"/>
    <d v="2024-11-06T00:00:00"/>
    <s v="CUST1292"/>
    <s v="Ricardo Jones"/>
    <s v="PROD99"/>
    <x v="3"/>
    <s v="STORE3"/>
    <n v="3"/>
    <n v="761.88"/>
    <n v="0.23"/>
    <x v="1"/>
    <x v="771"/>
  </r>
  <r>
    <s v="SALE772"/>
    <d v="2025-05-16T00:00:00"/>
    <s v="CUST1177"/>
    <s v="Curtis Lam"/>
    <s v="PROD59"/>
    <x v="2"/>
    <s v="STORE19"/>
    <n v="4"/>
    <n v="122.87"/>
    <n v="0.13"/>
    <x v="0"/>
    <x v="772"/>
  </r>
  <r>
    <s v="SALE773"/>
    <d v="2025-05-01T00:00:00"/>
    <s v="CUST1475"/>
    <s v="Barbara Berry"/>
    <s v="PROD73"/>
    <x v="0"/>
    <s v="STORE4"/>
    <n v="4"/>
    <n v="753"/>
    <n v="0.28000000000000003"/>
    <x v="2"/>
    <x v="773"/>
  </r>
  <r>
    <s v="SALE774"/>
    <d v="2024-02-03T00:00:00"/>
    <s v="CUST1370"/>
    <s v="James Holloway Jr."/>
    <s v="PROD37"/>
    <x v="4"/>
    <s v="STORE5"/>
    <n v="2"/>
    <n v="788.05"/>
    <n v="0.21"/>
    <x v="0"/>
    <x v="774"/>
  </r>
  <r>
    <s v="SALE775"/>
    <d v="2025-08-06T00:00:00"/>
    <s v="CUST1462"/>
    <s v="Beth Martin"/>
    <s v="PROD33"/>
    <x v="3"/>
    <s v="STORE10"/>
    <n v="2"/>
    <n v="807.1"/>
    <n v="0.28999999999999998"/>
    <x v="0"/>
    <x v="775"/>
  </r>
  <r>
    <s v="SALE776"/>
    <d v="2024-01-29T00:00:00"/>
    <s v="CUST1134"/>
    <s v="Morgan Bowen"/>
    <s v="PROD70"/>
    <x v="3"/>
    <s v="STORE1"/>
    <n v="2"/>
    <n v="443.09"/>
    <n v="0.02"/>
    <x v="1"/>
    <x v="776"/>
  </r>
  <r>
    <s v="SALE777"/>
    <d v="2025-08-01T00:00:00"/>
    <s v="CUST1468"/>
    <s v="Gregory Curtis"/>
    <s v="PROD75"/>
    <x v="4"/>
    <s v="STORE15"/>
    <n v="1"/>
    <n v="512.16"/>
    <n v="0.02"/>
    <x v="2"/>
    <x v="777"/>
  </r>
  <r>
    <s v="SALE778"/>
    <d v="2024-10-12T00:00:00"/>
    <s v="CUST1208"/>
    <s v="John Perez"/>
    <s v="PROD34"/>
    <x v="1"/>
    <s v="STORE18"/>
    <n v="2"/>
    <n v="602.54999999999995"/>
    <n v="0.23"/>
    <x v="2"/>
    <x v="778"/>
  </r>
  <r>
    <s v="SALE779"/>
    <d v="2025-03-29T00:00:00"/>
    <s v="CUST1164"/>
    <s v="Daniel Rivas"/>
    <s v="PROD48"/>
    <x v="1"/>
    <s v="STORE0"/>
    <n v="3"/>
    <n v="846.19"/>
    <n v="0.09"/>
    <x v="2"/>
    <x v="779"/>
  </r>
  <r>
    <s v="SALE780"/>
    <d v="2025-04-25T00:00:00"/>
    <s v="CUST1326"/>
    <s v="Robert King"/>
    <s v="PROD37"/>
    <x v="4"/>
    <s v="STORE8"/>
    <n v="1"/>
    <n v="506.73"/>
    <n v="0.28999999999999998"/>
    <x v="0"/>
    <x v="780"/>
  </r>
  <r>
    <s v="SALE781"/>
    <d v="2024-01-08T00:00:00"/>
    <s v="CUST1052"/>
    <s v="Debra Liu"/>
    <s v="PROD51"/>
    <x v="1"/>
    <s v="STORE16"/>
    <n v="1"/>
    <n v="408.66"/>
    <n v="0.13"/>
    <x v="2"/>
    <x v="781"/>
  </r>
  <r>
    <s v="SALE782"/>
    <d v="2024-06-04T00:00:00"/>
    <s v="CUST1110"/>
    <s v="Ashley Griffin"/>
    <s v="PROD8"/>
    <x v="1"/>
    <s v="STORE17"/>
    <n v="3"/>
    <n v="170.48"/>
    <n v="0.06"/>
    <x v="2"/>
    <x v="782"/>
  </r>
  <r>
    <s v="SALE783"/>
    <d v="2025-03-01T00:00:00"/>
    <s v="CUST1097"/>
    <s v="David Cobb"/>
    <s v="PROD80"/>
    <x v="3"/>
    <s v="STORE9"/>
    <n v="1"/>
    <n v="423.48"/>
    <n v="0.18"/>
    <x v="1"/>
    <x v="783"/>
  </r>
  <r>
    <s v="SALE784"/>
    <d v="2023-10-14T00:00:00"/>
    <s v="CUST1235"/>
    <s v="Jon Ortiz"/>
    <s v="PROD91"/>
    <x v="4"/>
    <s v="STORE11"/>
    <n v="4"/>
    <n v="23.57"/>
    <n v="0.1"/>
    <x v="0"/>
    <x v="784"/>
  </r>
  <r>
    <s v="SALE785"/>
    <d v="2025-06-29T00:00:00"/>
    <s v="CUST1381"/>
    <s v="Erika Padilla"/>
    <s v="PROD5"/>
    <x v="4"/>
    <s v="STORE18"/>
    <n v="2"/>
    <n v="953.26"/>
    <n v="0.1"/>
    <x v="2"/>
    <x v="785"/>
  </r>
  <r>
    <s v="SALE786"/>
    <d v="2023-12-17T00:00:00"/>
    <s v="CUST1347"/>
    <s v="Justin Mason Dds"/>
    <s v="PROD37"/>
    <x v="4"/>
    <s v="STORE7"/>
    <n v="3"/>
    <n v="405.13"/>
    <n v="0.14000000000000001"/>
    <x v="2"/>
    <x v="786"/>
  </r>
  <r>
    <s v="SALE787"/>
    <d v="2023-11-18T00:00:00"/>
    <s v="CUST1339"/>
    <s v="Mrs. Susan Buckley"/>
    <s v="PROD9"/>
    <x v="0"/>
    <s v="STORE4"/>
    <n v="2"/>
    <n v="333.83"/>
    <n v="0.26"/>
    <x v="1"/>
    <x v="787"/>
  </r>
  <r>
    <s v="SALE788"/>
    <d v="2025-03-25T00:00:00"/>
    <s v="CUST1333"/>
    <s v="Teresa Johnson"/>
    <s v="PROD0"/>
    <x v="1"/>
    <s v="STORE3"/>
    <n v="2"/>
    <n v="727.18"/>
    <n v="0.22"/>
    <x v="1"/>
    <x v="788"/>
  </r>
  <r>
    <s v="SALE789"/>
    <d v="2025-05-01T00:00:00"/>
    <s v="CUST1306"/>
    <s v="Angela Robinson"/>
    <s v="PROD5"/>
    <x v="4"/>
    <s v="STORE10"/>
    <n v="2"/>
    <n v="516.02"/>
    <n v="0.19"/>
    <x v="2"/>
    <x v="789"/>
  </r>
  <r>
    <s v="SALE790"/>
    <d v="2024-03-10T00:00:00"/>
    <s v="CUST1294"/>
    <s v="Lisa Chandler"/>
    <s v="PROD82"/>
    <x v="0"/>
    <s v="STORE11"/>
    <n v="2"/>
    <n v="705.61"/>
    <n v="0.28000000000000003"/>
    <x v="0"/>
    <x v="790"/>
  </r>
  <r>
    <s v="SALE791"/>
    <d v="2024-05-02T00:00:00"/>
    <s v="CUST1275"/>
    <s v="Shannon Miller"/>
    <s v="PROD69"/>
    <x v="4"/>
    <s v="STORE8"/>
    <n v="3"/>
    <n v="654.47"/>
    <n v="0.18"/>
    <x v="2"/>
    <x v="791"/>
  </r>
  <r>
    <s v="SALE792"/>
    <d v="2025-03-18T00:00:00"/>
    <s v="CUST1171"/>
    <s v="Amy Wilson"/>
    <s v="PROD90"/>
    <x v="1"/>
    <s v="STORE15"/>
    <n v="2"/>
    <n v="315.27"/>
    <n v="0.23"/>
    <x v="0"/>
    <x v="792"/>
  </r>
  <r>
    <s v="SALE793"/>
    <d v="2024-11-27T00:00:00"/>
    <s v="CUST1222"/>
    <s v="Alejandro Doyle"/>
    <s v="PROD46"/>
    <x v="4"/>
    <s v="STORE2"/>
    <n v="1"/>
    <n v="974.47"/>
    <n v="0.05"/>
    <x v="0"/>
    <x v="793"/>
  </r>
  <r>
    <s v="SALE794"/>
    <d v="2024-02-18T00:00:00"/>
    <s v="CUST1067"/>
    <s v="Amber Mcclain"/>
    <s v="PROD46"/>
    <x v="4"/>
    <s v="STORE4"/>
    <n v="2"/>
    <n v="803.3"/>
    <n v="0.17"/>
    <x v="0"/>
    <x v="794"/>
  </r>
  <r>
    <s v="SALE795"/>
    <d v="2024-06-04T00:00:00"/>
    <s v="CUST1013"/>
    <s v="Nathan Hernandez"/>
    <s v="PROD24"/>
    <x v="0"/>
    <s v="STORE10"/>
    <n v="4"/>
    <n v="863.87"/>
    <n v="0.21"/>
    <x v="2"/>
    <x v="795"/>
  </r>
  <r>
    <s v="SALE796"/>
    <d v="2024-08-09T00:00:00"/>
    <s v="CUST1469"/>
    <s v="James Foster"/>
    <s v="PROD45"/>
    <x v="0"/>
    <s v="STORE18"/>
    <n v="1"/>
    <n v="450.11"/>
    <n v="0.17"/>
    <x v="0"/>
    <x v="796"/>
  </r>
  <r>
    <s v="SALE797"/>
    <d v="2024-07-13T00:00:00"/>
    <s v="CUST1230"/>
    <s v="Timothy Sanders"/>
    <s v="PROD68"/>
    <x v="3"/>
    <s v="STORE13"/>
    <n v="1"/>
    <n v="289.82"/>
    <n v="0.18"/>
    <x v="2"/>
    <x v="797"/>
  </r>
  <r>
    <s v="SALE798"/>
    <d v="2025-08-21T00:00:00"/>
    <s v="CUST1334"/>
    <s v="Mr. Christopher Sims"/>
    <s v="PROD71"/>
    <x v="2"/>
    <s v="STORE10"/>
    <n v="4"/>
    <n v="250.64"/>
    <n v="0.1"/>
    <x v="1"/>
    <x v="798"/>
  </r>
  <r>
    <s v="SALE799"/>
    <d v="2025-08-07T00:00:00"/>
    <s v="CUST1287"/>
    <s v="Cynthia Roberts"/>
    <s v="PROD3"/>
    <x v="4"/>
    <s v="STORE19"/>
    <n v="4"/>
    <n v="373.49"/>
    <n v="0.16"/>
    <x v="2"/>
    <x v="799"/>
  </r>
  <r>
    <s v="SALE800"/>
    <d v="2024-04-16T00:00:00"/>
    <s v="CUST1066"/>
    <s v="Cody Diaz"/>
    <s v="PROD94"/>
    <x v="2"/>
    <s v="STORE9"/>
    <n v="4"/>
    <n v="348.91"/>
    <n v="0.18"/>
    <x v="1"/>
    <x v="800"/>
  </r>
  <r>
    <s v="SALE801"/>
    <d v="2024-04-08T00:00:00"/>
    <s v="CUST1110"/>
    <s v="Ashley Griffin"/>
    <s v="PROD8"/>
    <x v="1"/>
    <s v="STORE17"/>
    <n v="4"/>
    <n v="212.96"/>
    <n v="0.17"/>
    <x v="0"/>
    <x v="801"/>
  </r>
  <r>
    <s v="SALE802"/>
    <d v="2024-04-24T00:00:00"/>
    <s v="CUST1190"/>
    <s v="Christopher Stewart"/>
    <s v="PROD27"/>
    <x v="3"/>
    <s v="STORE19"/>
    <n v="3"/>
    <n v="871.34"/>
    <n v="0.11"/>
    <x v="2"/>
    <x v="802"/>
  </r>
  <r>
    <s v="SALE803"/>
    <d v="2025-07-06T00:00:00"/>
    <s v="CUST1100"/>
    <s v="Diane Watson"/>
    <s v="PROD24"/>
    <x v="0"/>
    <s v="STORE0"/>
    <n v="2"/>
    <n v="698.94"/>
    <n v="0.06"/>
    <x v="0"/>
    <x v="803"/>
  </r>
  <r>
    <s v="SALE804"/>
    <d v="2025-02-09T00:00:00"/>
    <s v="CUST1316"/>
    <s v="Robert House"/>
    <s v="PROD25"/>
    <x v="4"/>
    <s v="STORE0"/>
    <n v="1"/>
    <n v="719.94"/>
    <n v="0.23"/>
    <x v="2"/>
    <x v="804"/>
  </r>
  <r>
    <s v="SALE805"/>
    <d v="2024-11-11T00:00:00"/>
    <s v="CUST1006"/>
    <s v="Amber Jackson"/>
    <s v="PROD93"/>
    <x v="1"/>
    <s v="STORE4"/>
    <n v="2"/>
    <n v="278.16000000000003"/>
    <n v="0.22"/>
    <x v="1"/>
    <x v="805"/>
  </r>
  <r>
    <s v="SALE806"/>
    <d v="2024-01-16T00:00:00"/>
    <s v="CUST1053"/>
    <s v="Sharon Brown"/>
    <s v="PROD37"/>
    <x v="4"/>
    <s v="STORE5"/>
    <n v="1"/>
    <n v="678.9"/>
    <n v="0.17"/>
    <x v="0"/>
    <x v="806"/>
  </r>
  <r>
    <s v="SALE807"/>
    <d v="2024-08-16T00:00:00"/>
    <s v="CUST1015"/>
    <s v="Laura Alvarez"/>
    <s v="PROD18"/>
    <x v="4"/>
    <s v="STORE15"/>
    <n v="4"/>
    <n v="94.13"/>
    <n v="0.15"/>
    <x v="0"/>
    <x v="807"/>
  </r>
  <r>
    <s v="SALE808"/>
    <d v="2025-10-03T00:00:00"/>
    <s v="CUST1441"/>
    <s v="Dalton Walters"/>
    <s v="PROD44"/>
    <x v="0"/>
    <s v="STORE1"/>
    <n v="4"/>
    <n v="415.02"/>
    <n v="0.01"/>
    <x v="1"/>
    <x v="808"/>
  </r>
  <r>
    <s v="SALE809"/>
    <d v="2025-07-03T00:00:00"/>
    <s v="CUST1051"/>
    <s v="Sarah Rodgers"/>
    <s v="PROD21"/>
    <x v="3"/>
    <s v="STORE4"/>
    <n v="4"/>
    <n v="780.07"/>
    <n v="0.03"/>
    <x v="0"/>
    <x v="809"/>
  </r>
  <r>
    <s v="SALE810"/>
    <d v="2025-08-08T00:00:00"/>
    <s v="CUST1428"/>
    <s v="Samuel Mullins"/>
    <s v="PROD63"/>
    <x v="2"/>
    <s v="STORE15"/>
    <n v="4"/>
    <n v="184.57"/>
    <n v="0.28000000000000003"/>
    <x v="0"/>
    <x v="810"/>
  </r>
  <r>
    <s v="SALE811"/>
    <d v="2024-08-28T00:00:00"/>
    <s v="CUST1287"/>
    <s v="Cynthia Roberts"/>
    <s v="PROD3"/>
    <x v="4"/>
    <s v="STORE4"/>
    <n v="4"/>
    <n v="277.58"/>
    <n v="0.22"/>
    <x v="1"/>
    <x v="811"/>
  </r>
  <r>
    <s v="SALE812"/>
    <d v="2025-03-18T00:00:00"/>
    <s v="CUST1104"/>
    <s v="Christopher Lester"/>
    <s v="PROD25"/>
    <x v="4"/>
    <s v="STORE3"/>
    <n v="1"/>
    <n v="36.799999999999997"/>
    <n v="0.18"/>
    <x v="0"/>
    <x v="812"/>
  </r>
  <r>
    <s v="SALE813"/>
    <d v="2025-06-01T00:00:00"/>
    <s v="CUST1356"/>
    <s v="Steve Hunt"/>
    <s v="PROD88"/>
    <x v="0"/>
    <s v="STORE6"/>
    <n v="1"/>
    <n v="539.37"/>
    <n v="0.14000000000000001"/>
    <x v="0"/>
    <x v="813"/>
  </r>
  <r>
    <s v="SALE814"/>
    <d v="2025-04-13T00:00:00"/>
    <s v="CUST1089"/>
    <s v="Jamie Yoder"/>
    <s v="PROD57"/>
    <x v="0"/>
    <s v="STORE18"/>
    <n v="1"/>
    <n v="27.83"/>
    <n v="0.3"/>
    <x v="1"/>
    <x v="814"/>
  </r>
  <r>
    <s v="SALE815"/>
    <d v="2024-06-13T00:00:00"/>
    <s v="CUST1283"/>
    <s v="Bryan Garcia"/>
    <s v="PROD70"/>
    <x v="3"/>
    <s v="STORE4"/>
    <n v="3"/>
    <n v="698.72"/>
    <n v="0.28000000000000003"/>
    <x v="2"/>
    <x v="815"/>
  </r>
  <r>
    <s v="SALE816"/>
    <d v="2025-02-10T00:00:00"/>
    <s v="CUST1012"/>
    <s v="Kenneth Lambert"/>
    <s v="PROD27"/>
    <x v="3"/>
    <s v="STORE13"/>
    <n v="4"/>
    <n v="528.23"/>
    <n v="0.15"/>
    <x v="2"/>
    <x v="816"/>
  </r>
  <r>
    <s v="SALE817"/>
    <d v="2024-09-13T00:00:00"/>
    <s v="CUST1492"/>
    <s v="Darrell Miller"/>
    <s v="PROD10"/>
    <x v="3"/>
    <s v="STORE16"/>
    <n v="2"/>
    <n v="780.9"/>
    <n v="0.24"/>
    <x v="1"/>
    <x v="817"/>
  </r>
  <r>
    <s v="SALE818"/>
    <d v="2023-11-06T00:00:00"/>
    <s v="CUST1180"/>
    <s v="Wesley Thompson"/>
    <s v="PROD90"/>
    <x v="1"/>
    <s v="STORE14"/>
    <n v="1"/>
    <n v="977.97"/>
    <n v="0.06"/>
    <x v="2"/>
    <x v="818"/>
  </r>
  <r>
    <s v="SALE819"/>
    <d v="2024-01-19T00:00:00"/>
    <s v="CUST1369"/>
    <s v="Gregory Allen"/>
    <s v="PROD33"/>
    <x v="3"/>
    <s v="STORE12"/>
    <n v="4"/>
    <n v="354.65"/>
    <n v="0.19"/>
    <x v="0"/>
    <x v="819"/>
  </r>
  <r>
    <s v="SALE820"/>
    <d v="2024-03-25T00:00:00"/>
    <s v="CUST1283"/>
    <s v="Bryan Garcia"/>
    <s v="PROD70"/>
    <x v="3"/>
    <s v="STORE19"/>
    <n v="1"/>
    <n v="671.62"/>
    <n v="0.09"/>
    <x v="2"/>
    <x v="820"/>
  </r>
  <r>
    <s v="SALE821"/>
    <d v="2025-09-14T00:00:00"/>
    <s v="CUST1317"/>
    <s v="Tiffany Williams"/>
    <s v="PROD10"/>
    <x v="3"/>
    <s v="STORE3"/>
    <n v="1"/>
    <n v="867.32"/>
    <n v="0.28999999999999998"/>
    <x v="1"/>
    <x v="821"/>
  </r>
  <r>
    <s v="SALE822"/>
    <d v="2024-02-14T00:00:00"/>
    <s v="CUST1081"/>
    <s v="Krystal Ford"/>
    <s v="PROD45"/>
    <x v="0"/>
    <s v="STORE12"/>
    <n v="3"/>
    <n v="240.27"/>
    <n v="0.15"/>
    <x v="1"/>
    <x v="822"/>
  </r>
  <r>
    <s v="SALE823"/>
    <d v="2025-03-12T00:00:00"/>
    <s v="CUST1075"/>
    <s v="Rhonda Morales"/>
    <s v="PROD16"/>
    <x v="2"/>
    <s v="STORE16"/>
    <n v="2"/>
    <n v="619.12"/>
    <n v="0.28000000000000003"/>
    <x v="2"/>
    <x v="823"/>
  </r>
  <r>
    <s v="SALE824"/>
    <d v="2025-04-08T00:00:00"/>
    <s v="CUST1213"/>
    <s v="Stuart Johnson"/>
    <s v="PROD21"/>
    <x v="3"/>
    <s v="STORE0"/>
    <n v="3"/>
    <n v="693.42"/>
    <n v="0.08"/>
    <x v="1"/>
    <x v="824"/>
  </r>
  <r>
    <s v="SALE825"/>
    <d v="2025-02-07T00:00:00"/>
    <s v="CUST1108"/>
    <s v="Travis Holland"/>
    <s v="PROD30"/>
    <x v="3"/>
    <s v="STORE10"/>
    <n v="4"/>
    <n v="751.63"/>
    <n v="0.28000000000000003"/>
    <x v="2"/>
    <x v="825"/>
  </r>
  <r>
    <s v="SALE826"/>
    <d v="2024-03-29T00:00:00"/>
    <s v="CUST1110"/>
    <s v="Ashley Griffin"/>
    <s v="PROD8"/>
    <x v="1"/>
    <s v="STORE15"/>
    <n v="3"/>
    <n v="108.14"/>
    <n v="0.19"/>
    <x v="2"/>
    <x v="826"/>
  </r>
  <r>
    <s v="SALE827"/>
    <d v="2024-06-03T00:00:00"/>
    <s v="CUST1256"/>
    <s v="Kristen Fischer"/>
    <s v="PROD34"/>
    <x v="1"/>
    <s v="STORE4"/>
    <n v="1"/>
    <n v="964.11"/>
    <n v="0.17"/>
    <x v="2"/>
    <x v="827"/>
  </r>
  <r>
    <s v="SALE828"/>
    <d v="2024-08-21T00:00:00"/>
    <s v="CUST1131"/>
    <s v="Joseph Richards"/>
    <s v="PROD56"/>
    <x v="3"/>
    <s v="STORE0"/>
    <n v="1"/>
    <n v="346.2"/>
    <n v="0.28999999999999998"/>
    <x v="0"/>
    <x v="828"/>
  </r>
  <r>
    <s v="SALE829"/>
    <d v="2024-08-23T00:00:00"/>
    <s v="CUST1457"/>
    <s v="Christina Robertson"/>
    <s v="PROD43"/>
    <x v="1"/>
    <s v="STORE15"/>
    <n v="3"/>
    <n v="791.75"/>
    <n v="0.28999999999999998"/>
    <x v="0"/>
    <x v="829"/>
  </r>
  <r>
    <s v="SALE830"/>
    <d v="2023-12-05T00:00:00"/>
    <s v="CUST1319"/>
    <s v="Casey Simpson"/>
    <s v="PROD49"/>
    <x v="2"/>
    <s v="STORE13"/>
    <n v="1"/>
    <n v="529.84"/>
    <n v="0.13"/>
    <x v="1"/>
    <x v="830"/>
  </r>
  <r>
    <s v="SALE831"/>
    <d v="2025-10-06T00:00:00"/>
    <s v="CUST1471"/>
    <s v="Debra Mccullough"/>
    <s v="PROD17"/>
    <x v="0"/>
    <s v="STORE3"/>
    <n v="3"/>
    <n v="582.57000000000005"/>
    <n v="0.11"/>
    <x v="1"/>
    <x v="831"/>
  </r>
  <r>
    <s v="SALE832"/>
    <d v="2023-11-12T00:00:00"/>
    <s v="CUST1211"/>
    <s v="Rodney Huffman"/>
    <s v="PROD85"/>
    <x v="4"/>
    <s v="STORE17"/>
    <n v="1"/>
    <n v="219.81"/>
    <n v="0.22"/>
    <x v="2"/>
    <x v="832"/>
  </r>
  <r>
    <s v="SALE833"/>
    <d v="2024-05-25T00:00:00"/>
    <s v="CUST1497"/>
    <s v="Sarah Marsh"/>
    <s v="PROD33"/>
    <x v="3"/>
    <s v="STORE18"/>
    <n v="4"/>
    <n v="883.31"/>
    <n v="0.27"/>
    <x v="0"/>
    <x v="833"/>
  </r>
  <r>
    <s v="SALE834"/>
    <d v="2024-12-01T00:00:00"/>
    <s v="CUST1234"/>
    <s v="Nathaniel Hill"/>
    <s v="PROD98"/>
    <x v="1"/>
    <s v="STORE14"/>
    <n v="4"/>
    <n v="329.06"/>
    <n v="0.04"/>
    <x v="2"/>
    <x v="834"/>
  </r>
  <r>
    <s v="SALE835"/>
    <d v="2025-01-21T00:00:00"/>
    <s v="CUST1105"/>
    <s v="Lance Baker"/>
    <s v="PROD39"/>
    <x v="1"/>
    <s v="STORE11"/>
    <n v="1"/>
    <n v="935.78"/>
    <n v="0.03"/>
    <x v="1"/>
    <x v="835"/>
  </r>
  <r>
    <s v="SALE836"/>
    <d v="2024-07-11T00:00:00"/>
    <s v="CUST1320"/>
    <s v="Jessica Gonzalez"/>
    <s v="PROD39"/>
    <x v="1"/>
    <s v="STORE10"/>
    <n v="4"/>
    <n v="597.79999999999995"/>
    <n v="0.2"/>
    <x v="0"/>
    <x v="836"/>
  </r>
  <r>
    <s v="SALE837"/>
    <d v="2025-02-12T00:00:00"/>
    <s v="CUST1259"/>
    <s v="Beth Allen"/>
    <s v="PROD13"/>
    <x v="1"/>
    <s v="STORE18"/>
    <n v="4"/>
    <n v="266.98"/>
    <n v="0.16"/>
    <x v="0"/>
    <x v="837"/>
  </r>
  <r>
    <s v="SALE838"/>
    <d v="2025-08-04T00:00:00"/>
    <s v="CUST1407"/>
    <s v="Joseph Mendoza"/>
    <s v="PROD70"/>
    <x v="3"/>
    <s v="STORE15"/>
    <n v="3"/>
    <n v="360.18"/>
    <n v="0.03"/>
    <x v="0"/>
    <x v="838"/>
  </r>
  <r>
    <s v="SALE839"/>
    <d v="2025-07-22T00:00:00"/>
    <s v="CUST1363"/>
    <s v="Elizabeth Smith"/>
    <s v="PROD91"/>
    <x v="4"/>
    <s v="STORE0"/>
    <n v="3"/>
    <n v="247.41"/>
    <n v="0.05"/>
    <x v="2"/>
    <x v="839"/>
  </r>
  <r>
    <s v="SALE840"/>
    <d v="2023-11-05T00:00:00"/>
    <s v="CUST1078"/>
    <s v="Cody Blake"/>
    <s v="PROD45"/>
    <x v="0"/>
    <s v="STORE15"/>
    <n v="3"/>
    <n v="674.66"/>
    <n v="0.23"/>
    <x v="0"/>
    <x v="840"/>
  </r>
  <r>
    <s v="SALE841"/>
    <d v="2025-08-05T00:00:00"/>
    <s v="CUST1415"/>
    <s v="Tyler Cook"/>
    <s v="PROD79"/>
    <x v="3"/>
    <s v="STORE4"/>
    <n v="1"/>
    <n v="913.98"/>
    <n v="0.27"/>
    <x v="1"/>
    <x v="841"/>
  </r>
  <r>
    <s v="SALE842"/>
    <d v="2025-04-22T00:00:00"/>
    <s v="CUST1314"/>
    <s v="Elizabeth Johnson"/>
    <s v="PROD11"/>
    <x v="1"/>
    <s v="STORE10"/>
    <n v="4"/>
    <n v="370.5"/>
    <n v="0.13"/>
    <x v="1"/>
    <x v="842"/>
  </r>
  <r>
    <s v="SALE843"/>
    <d v="2024-11-23T00:00:00"/>
    <s v="CUST1358"/>
    <s v="Ashley Anderson"/>
    <s v="PROD55"/>
    <x v="3"/>
    <s v="STORE13"/>
    <n v="1"/>
    <n v="735.1"/>
    <n v="0.1"/>
    <x v="1"/>
    <x v="843"/>
  </r>
  <r>
    <s v="SALE844"/>
    <d v="2024-11-18T00:00:00"/>
    <s v="CUST1135"/>
    <s v="Matthew Hanna"/>
    <s v="PROD44"/>
    <x v="0"/>
    <s v="STORE2"/>
    <n v="3"/>
    <n v="448.55"/>
    <n v="0.05"/>
    <x v="0"/>
    <x v="844"/>
  </r>
  <r>
    <s v="SALE845"/>
    <d v="2025-02-03T00:00:00"/>
    <s v="CUST1059"/>
    <s v="Alyssa Vargas"/>
    <s v="PROD94"/>
    <x v="2"/>
    <s v="STORE13"/>
    <n v="3"/>
    <n v="904.96"/>
    <n v="7.0000000000000007E-2"/>
    <x v="2"/>
    <x v="845"/>
  </r>
  <r>
    <s v="SALE846"/>
    <d v="2024-11-12T00:00:00"/>
    <s v="CUST1380"/>
    <s v="Shelley Ponce"/>
    <s v="PROD98"/>
    <x v="1"/>
    <s v="STORE13"/>
    <n v="4"/>
    <n v="408.72"/>
    <n v="0.16"/>
    <x v="2"/>
    <x v="846"/>
  </r>
  <r>
    <s v="SALE847"/>
    <d v="2024-04-30T00:00:00"/>
    <s v="CUST1282"/>
    <s v="Kristi Lopez"/>
    <s v="PROD91"/>
    <x v="4"/>
    <s v="STORE3"/>
    <n v="4"/>
    <n v="770.65"/>
    <n v="0.27"/>
    <x v="0"/>
    <x v="847"/>
  </r>
  <r>
    <s v="SALE848"/>
    <d v="2025-04-20T00:00:00"/>
    <s v="CUST1203"/>
    <s v="Sarah Brady"/>
    <s v="PROD43"/>
    <x v="1"/>
    <s v="STORE6"/>
    <n v="1"/>
    <n v="649.22"/>
    <n v="0.03"/>
    <x v="2"/>
    <x v="848"/>
  </r>
  <r>
    <s v="SALE849"/>
    <d v="2024-05-16T00:00:00"/>
    <s v="CUST1348"/>
    <s v="Sherry Cabrera"/>
    <s v="PROD24"/>
    <x v="0"/>
    <s v="STORE10"/>
    <n v="2"/>
    <n v="379.78"/>
    <n v="0.2"/>
    <x v="0"/>
    <x v="849"/>
  </r>
  <r>
    <s v="SALE850"/>
    <d v="2025-04-23T00:00:00"/>
    <s v="CUST1248"/>
    <s v="Nicholas Webb"/>
    <s v="PROD87"/>
    <x v="3"/>
    <s v="STORE8"/>
    <n v="3"/>
    <n v="924.15"/>
    <n v="0.1"/>
    <x v="1"/>
    <x v="850"/>
  </r>
  <r>
    <s v="SALE851"/>
    <d v="2024-10-06T00:00:00"/>
    <s v="CUST1469"/>
    <s v="James Foster"/>
    <s v="PROD45"/>
    <x v="0"/>
    <s v="STORE17"/>
    <n v="3"/>
    <n v="144.66999999999999"/>
    <n v="0.28999999999999998"/>
    <x v="2"/>
    <x v="851"/>
  </r>
  <r>
    <s v="SALE852"/>
    <d v="2025-02-12T00:00:00"/>
    <s v="CUST1121"/>
    <s v="Joel Robinson"/>
    <s v="PROD33"/>
    <x v="3"/>
    <s v="STORE15"/>
    <n v="2"/>
    <n v="667.17"/>
    <n v="0.1"/>
    <x v="1"/>
    <x v="852"/>
  </r>
  <r>
    <s v="SALE853"/>
    <d v="2024-03-31T00:00:00"/>
    <s v="CUST1402"/>
    <s v="Cassandra Perez"/>
    <s v="PROD21"/>
    <x v="3"/>
    <s v="STORE3"/>
    <n v="1"/>
    <n v="984.6"/>
    <n v="0.22"/>
    <x v="0"/>
    <x v="853"/>
  </r>
  <r>
    <s v="SALE854"/>
    <d v="2023-11-30T00:00:00"/>
    <s v="CUST1279"/>
    <s v="Aaron Luna"/>
    <s v="PROD13"/>
    <x v="1"/>
    <s v="STORE8"/>
    <n v="1"/>
    <n v="139.29"/>
    <n v="0"/>
    <x v="0"/>
    <x v="854"/>
  </r>
  <r>
    <s v="SALE855"/>
    <d v="2025-02-14T00:00:00"/>
    <s v="CUST1033"/>
    <s v="Robert Jones Dds"/>
    <s v="PROD46"/>
    <x v="4"/>
    <s v="STORE8"/>
    <n v="3"/>
    <n v="459.57"/>
    <n v="0.1"/>
    <x v="2"/>
    <x v="855"/>
  </r>
  <r>
    <s v="SALE856"/>
    <d v="2024-01-11T00:00:00"/>
    <s v="CUST1066"/>
    <s v="Cody Diaz"/>
    <s v="PROD94"/>
    <x v="2"/>
    <s v="STORE15"/>
    <n v="1"/>
    <n v="517.82000000000005"/>
    <n v="0.28999999999999998"/>
    <x v="0"/>
    <x v="856"/>
  </r>
  <r>
    <s v="SALE857"/>
    <d v="2024-12-27T00:00:00"/>
    <s v="CUST1379"/>
    <s v="Tanya Lopez"/>
    <s v="PROD20"/>
    <x v="0"/>
    <s v="STORE6"/>
    <n v="4"/>
    <n v="282.45"/>
    <n v="0.28999999999999998"/>
    <x v="2"/>
    <x v="857"/>
  </r>
  <r>
    <s v="SALE858"/>
    <d v="2023-11-20T00:00:00"/>
    <s v="CUST1455"/>
    <s v="Tyler Weber"/>
    <s v="PROD83"/>
    <x v="2"/>
    <s v="STORE7"/>
    <n v="2"/>
    <n v="386.46"/>
    <n v="0.23"/>
    <x v="2"/>
    <x v="858"/>
  </r>
  <r>
    <s v="SALE859"/>
    <d v="2025-01-04T00:00:00"/>
    <s v="CUST1195"/>
    <s v="Anthony Garcia"/>
    <s v="PROD19"/>
    <x v="0"/>
    <s v="STORE3"/>
    <n v="1"/>
    <n v="270.45"/>
    <n v="0.15"/>
    <x v="2"/>
    <x v="859"/>
  </r>
  <r>
    <s v="SALE860"/>
    <d v="2024-07-20T00:00:00"/>
    <s v="CUST1041"/>
    <s v="James Gibbs"/>
    <s v="PROD22"/>
    <x v="0"/>
    <s v="STORE10"/>
    <n v="4"/>
    <n v="762.94"/>
    <n v="0.09"/>
    <x v="2"/>
    <x v="860"/>
  </r>
  <r>
    <s v="SALE861"/>
    <d v="2023-11-12T00:00:00"/>
    <s v="CUST1494"/>
    <s v="Justin Lopez"/>
    <s v="PROD28"/>
    <x v="0"/>
    <s v="STORE13"/>
    <n v="1"/>
    <n v="409.03"/>
    <n v="0.25"/>
    <x v="2"/>
    <x v="861"/>
  </r>
  <r>
    <s v="SALE862"/>
    <d v="2024-04-29T00:00:00"/>
    <s v="CUST1219"/>
    <s v="Jordan Wells"/>
    <s v="PROD37"/>
    <x v="4"/>
    <s v="STORE18"/>
    <n v="2"/>
    <n v="891.13"/>
    <n v="0.13"/>
    <x v="0"/>
    <x v="862"/>
  </r>
  <r>
    <s v="SALE863"/>
    <d v="2024-10-28T00:00:00"/>
    <s v="CUST1032"/>
    <s v="Mike Jennings"/>
    <s v="PROD16"/>
    <x v="2"/>
    <s v="STORE16"/>
    <n v="1"/>
    <n v="553.38"/>
    <n v="0.21"/>
    <x v="1"/>
    <x v="863"/>
  </r>
  <r>
    <s v="SALE864"/>
    <d v="2023-12-21T00:00:00"/>
    <s v="CUST1160"/>
    <s v="John Lawson"/>
    <s v="PROD47"/>
    <x v="2"/>
    <s v="STORE13"/>
    <n v="2"/>
    <n v="652.29999999999995"/>
    <n v="0.16"/>
    <x v="2"/>
    <x v="864"/>
  </r>
  <r>
    <s v="SALE865"/>
    <d v="2024-10-10T00:00:00"/>
    <s v="CUST1122"/>
    <s v="Michael Chang"/>
    <s v="PROD94"/>
    <x v="2"/>
    <s v="STORE9"/>
    <n v="4"/>
    <n v="194.36"/>
    <n v="0.18"/>
    <x v="2"/>
    <x v="865"/>
  </r>
  <r>
    <s v="SALE866"/>
    <d v="2025-01-03T00:00:00"/>
    <s v="CUST1153"/>
    <s v="Joseph Faulkner"/>
    <s v="PROD72"/>
    <x v="0"/>
    <s v="STORE1"/>
    <n v="3"/>
    <n v="476.37"/>
    <n v="0.21"/>
    <x v="2"/>
    <x v="866"/>
  </r>
  <r>
    <s v="SALE867"/>
    <d v="2024-03-09T00:00:00"/>
    <s v="CUST1365"/>
    <s v="Brandon Mcbride"/>
    <s v="PROD45"/>
    <x v="0"/>
    <s v="STORE5"/>
    <n v="3"/>
    <n v="174.57"/>
    <n v="0"/>
    <x v="1"/>
    <x v="867"/>
  </r>
  <r>
    <s v="SALE868"/>
    <d v="2024-08-22T00:00:00"/>
    <s v="CUST1119"/>
    <s v="Michael Jones"/>
    <s v="PROD90"/>
    <x v="1"/>
    <s v="STORE0"/>
    <n v="3"/>
    <n v="762"/>
    <n v="0.02"/>
    <x v="1"/>
    <x v="868"/>
  </r>
  <r>
    <s v="SALE869"/>
    <d v="2024-04-13T00:00:00"/>
    <s v="CUST1425"/>
    <s v="Bryce Hawkins"/>
    <s v="PROD75"/>
    <x v="4"/>
    <s v="STORE19"/>
    <n v="1"/>
    <n v="44.08"/>
    <n v="0.05"/>
    <x v="0"/>
    <x v="869"/>
  </r>
  <r>
    <s v="SALE870"/>
    <d v="2024-06-23T00:00:00"/>
    <s v="CUST1495"/>
    <s v="James Berger"/>
    <s v="PROD61"/>
    <x v="0"/>
    <s v="STORE13"/>
    <n v="1"/>
    <n v="992.37"/>
    <n v="0.24"/>
    <x v="2"/>
    <x v="870"/>
  </r>
  <r>
    <s v="SALE871"/>
    <d v="2025-08-07T00:00:00"/>
    <s v="CUST1201"/>
    <s v="Mary Boyd"/>
    <s v="PROD87"/>
    <x v="3"/>
    <s v="STORE10"/>
    <n v="3"/>
    <n v="465.4"/>
    <n v="0.28999999999999998"/>
    <x v="2"/>
    <x v="871"/>
  </r>
  <r>
    <s v="SALE872"/>
    <d v="2025-03-08T00:00:00"/>
    <s v="CUST1337"/>
    <s v="Carol Lewis"/>
    <s v="PROD71"/>
    <x v="2"/>
    <s v="STORE10"/>
    <n v="2"/>
    <n v="693.61"/>
    <n v="0.15"/>
    <x v="1"/>
    <x v="872"/>
  </r>
  <r>
    <s v="SALE873"/>
    <d v="2025-05-24T00:00:00"/>
    <s v="CUST1465"/>
    <s v="Ronald Ross"/>
    <s v="PROD67"/>
    <x v="1"/>
    <s v="STORE8"/>
    <n v="2"/>
    <n v="995.11"/>
    <n v="0.13"/>
    <x v="1"/>
    <x v="873"/>
  </r>
  <r>
    <s v="SALE874"/>
    <d v="2025-04-02T00:00:00"/>
    <s v="CUST1381"/>
    <s v="Erika Padilla"/>
    <s v="PROD5"/>
    <x v="4"/>
    <s v="STORE4"/>
    <n v="3"/>
    <n v="70.97"/>
    <n v="0.06"/>
    <x v="2"/>
    <x v="874"/>
  </r>
  <r>
    <s v="SALE875"/>
    <d v="2024-02-03T00:00:00"/>
    <s v="CUST1113"/>
    <s v="Edward Hall"/>
    <s v="PROD47"/>
    <x v="2"/>
    <s v="STORE9"/>
    <n v="3"/>
    <n v="470.42"/>
    <n v="0.16"/>
    <x v="0"/>
    <x v="875"/>
  </r>
  <r>
    <s v="SALE876"/>
    <d v="2025-10-02T00:00:00"/>
    <s v="CUST1314"/>
    <s v="Elizabeth Johnson"/>
    <s v="PROD11"/>
    <x v="1"/>
    <s v="STORE16"/>
    <n v="2"/>
    <n v="215.59"/>
    <n v="0.18"/>
    <x v="0"/>
    <x v="876"/>
  </r>
  <r>
    <s v="SALE877"/>
    <d v="2025-08-26T00:00:00"/>
    <s v="CUST1239"/>
    <s v="Maria Hill"/>
    <s v="PROD19"/>
    <x v="0"/>
    <s v="STORE0"/>
    <n v="1"/>
    <n v="533.79999999999995"/>
    <n v="0.27"/>
    <x v="2"/>
    <x v="877"/>
  </r>
  <r>
    <s v="SALE878"/>
    <d v="2024-11-18T00:00:00"/>
    <s v="CUST1093"/>
    <s v="Christy Vasquez"/>
    <s v="PROD5"/>
    <x v="4"/>
    <s v="STORE3"/>
    <n v="2"/>
    <n v="732.67"/>
    <n v="0.24"/>
    <x v="1"/>
    <x v="878"/>
  </r>
  <r>
    <s v="SALE879"/>
    <d v="2023-11-17T00:00:00"/>
    <s v="CUST1489"/>
    <s v="Melinda Thomas"/>
    <s v="PROD89"/>
    <x v="2"/>
    <s v="STORE13"/>
    <n v="4"/>
    <n v="106.48"/>
    <n v="0.1"/>
    <x v="2"/>
    <x v="879"/>
  </r>
  <r>
    <s v="SALE880"/>
    <d v="2025-02-08T00:00:00"/>
    <s v="CUST1105"/>
    <s v="Lance Baker"/>
    <s v="PROD39"/>
    <x v="1"/>
    <s v="STORE3"/>
    <n v="1"/>
    <n v="38.950000000000003"/>
    <n v="0.28000000000000003"/>
    <x v="0"/>
    <x v="880"/>
  </r>
  <r>
    <s v="SALE881"/>
    <d v="2024-01-03T00:00:00"/>
    <s v="CUST1431"/>
    <s v="John Smith"/>
    <s v="PROD94"/>
    <x v="2"/>
    <s v="STORE16"/>
    <n v="1"/>
    <n v="835.17"/>
    <n v="0.02"/>
    <x v="2"/>
    <x v="881"/>
  </r>
  <r>
    <s v="SALE882"/>
    <d v="2024-04-07T00:00:00"/>
    <s v="CUST1134"/>
    <s v="Morgan Bowen"/>
    <s v="PROD70"/>
    <x v="3"/>
    <s v="STORE3"/>
    <n v="1"/>
    <n v="113.07"/>
    <n v="0.24"/>
    <x v="0"/>
    <x v="882"/>
  </r>
  <r>
    <s v="SALE883"/>
    <d v="2025-09-30T00:00:00"/>
    <s v="CUST1466"/>
    <s v="Cynthia Parrish"/>
    <s v="PROD48"/>
    <x v="1"/>
    <s v="STORE12"/>
    <n v="2"/>
    <n v="451.33"/>
    <n v="0.23"/>
    <x v="2"/>
    <x v="883"/>
  </r>
  <r>
    <s v="SALE884"/>
    <d v="2024-06-13T00:00:00"/>
    <s v="CUST1372"/>
    <s v="Jacqueline Anthony"/>
    <s v="PROD72"/>
    <x v="0"/>
    <s v="STORE6"/>
    <n v="3"/>
    <n v="619.80999999999995"/>
    <n v="0.16"/>
    <x v="2"/>
    <x v="884"/>
  </r>
  <r>
    <s v="SALE885"/>
    <d v="2025-02-25T00:00:00"/>
    <s v="CUST1108"/>
    <s v="Travis Holland"/>
    <s v="PROD30"/>
    <x v="3"/>
    <s v="STORE7"/>
    <n v="4"/>
    <n v="46.97"/>
    <n v="0.26"/>
    <x v="1"/>
    <x v="885"/>
  </r>
  <r>
    <s v="SALE886"/>
    <d v="2025-05-07T00:00:00"/>
    <s v="CUST1184"/>
    <s v="Leonard Cochran"/>
    <s v="PROD34"/>
    <x v="1"/>
    <s v="STORE2"/>
    <n v="2"/>
    <n v="71.48"/>
    <n v="0.14000000000000001"/>
    <x v="2"/>
    <x v="886"/>
  </r>
  <r>
    <s v="SALE887"/>
    <d v="2025-06-04T00:00:00"/>
    <s v="CUST1000"/>
    <s v="Sheena Bonilla  "/>
    <s v="PROD63"/>
    <x v="2"/>
    <s v="STORE19"/>
    <n v="2"/>
    <n v="404.08"/>
    <n v="7.0000000000000007E-2"/>
    <x v="0"/>
    <x v="887"/>
  </r>
  <r>
    <s v="SALE888"/>
    <d v="2024-12-27T00:00:00"/>
    <s v="CUST1264"/>
    <s v="Matthew Payne"/>
    <s v="PROD22"/>
    <x v="0"/>
    <s v="STORE16"/>
    <n v="1"/>
    <n v="519.91"/>
    <n v="0.05"/>
    <x v="2"/>
    <x v="888"/>
  </r>
  <r>
    <s v="SALE889"/>
    <d v="2025-01-15T00:00:00"/>
    <s v="CUST1145"/>
    <s v="Cameron Simpson"/>
    <s v="PROD69"/>
    <x v="4"/>
    <s v="STORE13"/>
    <n v="3"/>
    <n v="566.16"/>
    <n v="0.05"/>
    <x v="1"/>
    <x v="889"/>
  </r>
  <r>
    <s v="SALE890"/>
    <d v="2025-05-22T00:00:00"/>
    <s v="CUST1392"/>
    <s v="Jacqueline Payne"/>
    <s v="PROD52"/>
    <x v="0"/>
    <s v="STORE10"/>
    <n v="2"/>
    <n v="295.12"/>
    <n v="0.09"/>
    <x v="2"/>
    <x v="890"/>
  </r>
  <r>
    <s v="SALE891"/>
    <d v="2025-07-10T00:00:00"/>
    <s v="CUST1109"/>
    <s v="Amy Walker"/>
    <s v="PROD34"/>
    <x v="1"/>
    <s v="STORE11"/>
    <n v="2"/>
    <n v="414.18"/>
    <n v="0.25"/>
    <x v="1"/>
    <x v="891"/>
  </r>
  <r>
    <s v="SALE892"/>
    <d v="2025-09-18T00:00:00"/>
    <s v="CUST1268"/>
    <s v="Kevin Orr"/>
    <s v="PROD58"/>
    <x v="4"/>
    <s v="STORE8"/>
    <n v="2"/>
    <n v="433.75"/>
    <n v="0"/>
    <x v="0"/>
    <x v="892"/>
  </r>
  <r>
    <s v="SALE893"/>
    <d v="2023-12-28T00:00:00"/>
    <s v="CUST1281"/>
    <s v="Brittany Watson"/>
    <s v="PROD55"/>
    <x v="3"/>
    <s v="STORE19"/>
    <n v="3"/>
    <n v="104.33"/>
    <n v="0.13"/>
    <x v="2"/>
    <x v="893"/>
  </r>
  <r>
    <s v="SALE894"/>
    <d v="2024-07-04T00:00:00"/>
    <s v="CUST1464"/>
    <s v="David Pierce"/>
    <s v="PROD33"/>
    <x v="3"/>
    <s v="STORE12"/>
    <n v="1"/>
    <n v="221.7"/>
    <n v="0.04"/>
    <x v="0"/>
    <x v="894"/>
  </r>
  <r>
    <s v="SALE895"/>
    <d v="2025-05-19T00:00:00"/>
    <s v="CUST1211"/>
    <s v="Rodney Huffman"/>
    <s v="PROD85"/>
    <x v="4"/>
    <s v="STORE5"/>
    <n v="2"/>
    <n v="491.26"/>
    <n v="0.14000000000000001"/>
    <x v="2"/>
    <x v="895"/>
  </r>
  <r>
    <s v="SALE896"/>
    <d v="2024-12-04T00:00:00"/>
    <s v="CUST1181"/>
    <s v="Erin Ward"/>
    <s v="PROD63"/>
    <x v="2"/>
    <s v="STORE8"/>
    <n v="4"/>
    <n v="923.14"/>
    <n v="0.15"/>
    <x v="0"/>
    <x v="896"/>
  </r>
  <r>
    <s v="SALE897"/>
    <d v="2024-11-29T00:00:00"/>
    <s v="CUST1193"/>
    <s v="David Roberts"/>
    <s v="PROD64"/>
    <x v="2"/>
    <s v="STORE7"/>
    <n v="2"/>
    <n v="747.65"/>
    <n v="0.08"/>
    <x v="0"/>
    <x v="897"/>
  </r>
  <r>
    <s v="SALE898"/>
    <d v="2025-04-26T00:00:00"/>
    <s v="CUST1109"/>
    <s v="Amy Walker"/>
    <s v="PROD34"/>
    <x v="1"/>
    <s v="STORE7"/>
    <n v="3"/>
    <n v="94.55"/>
    <n v="0.13"/>
    <x v="2"/>
    <x v="898"/>
  </r>
  <r>
    <s v="SALE899"/>
    <d v="2024-01-17T00:00:00"/>
    <s v="CUST1039"/>
    <s v="Tonya Reynolds"/>
    <s v="PROD74"/>
    <x v="1"/>
    <s v="STORE19"/>
    <n v="3"/>
    <n v="620.12"/>
    <n v="0.06"/>
    <x v="0"/>
    <x v="899"/>
  </r>
  <r>
    <s v="SALE900"/>
    <d v="2025-07-31T00:00:00"/>
    <s v="CUST1486"/>
    <s v="Eric Lee"/>
    <s v="PROD40"/>
    <x v="1"/>
    <s v="STORE6"/>
    <n v="2"/>
    <n v="354.09"/>
    <n v="0.12"/>
    <x v="2"/>
    <x v="900"/>
  </r>
  <r>
    <s v="SALE901"/>
    <d v="2024-11-25T00:00:00"/>
    <s v="CUST1130"/>
    <s v="Jamie Reyes"/>
    <s v="PROD41"/>
    <x v="0"/>
    <s v="STORE5"/>
    <n v="3"/>
    <n v="214.94"/>
    <n v="0.22"/>
    <x v="2"/>
    <x v="901"/>
  </r>
  <r>
    <s v="SALE902"/>
    <d v="2024-05-16T00:00:00"/>
    <s v="CUST1199"/>
    <s v="Carmen Price"/>
    <s v="PROD48"/>
    <x v="1"/>
    <s v="STORE12"/>
    <n v="2"/>
    <n v="309.77999999999997"/>
    <n v="0.16"/>
    <x v="0"/>
    <x v="902"/>
  </r>
  <r>
    <s v="SALE903"/>
    <d v="2025-05-30T00:00:00"/>
    <s v="CUST1069"/>
    <s v="Roy Cole"/>
    <s v="PROD73"/>
    <x v="0"/>
    <s v="STORE3"/>
    <n v="2"/>
    <n v="183.85"/>
    <n v="0.14000000000000001"/>
    <x v="1"/>
    <x v="903"/>
  </r>
  <r>
    <s v="SALE904"/>
    <d v="2023-11-08T00:00:00"/>
    <s v="CUST1409"/>
    <s v="Sarah Smith"/>
    <s v="PROD97"/>
    <x v="0"/>
    <s v="STORE0"/>
    <n v="1"/>
    <n v="550.05999999999995"/>
    <n v="0.01"/>
    <x v="0"/>
    <x v="904"/>
  </r>
  <r>
    <s v="SALE905"/>
    <d v="2023-11-23T00:00:00"/>
    <s v="CUST1029"/>
    <s v="David Arnold"/>
    <s v="PROD86"/>
    <x v="3"/>
    <s v="STORE4"/>
    <n v="2"/>
    <n v="32.19"/>
    <n v="0.13"/>
    <x v="2"/>
    <x v="905"/>
  </r>
  <r>
    <s v="SALE906"/>
    <d v="2024-06-17T00:00:00"/>
    <s v="CUST1138"/>
    <s v="Sean Roth"/>
    <s v="PROD46"/>
    <x v="4"/>
    <s v="STORE19"/>
    <n v="2"/>
    <n v="892.06"/>
    <n v="0.08"/>
    <x v="0"/>
    <x v="906"/>
  </r>
  <r>
    <s v="SALE907"/>
    <d v="2024-12-02T00:00:00"/>
    <s v="CUST1472"/>
    <s v="Philip Mendoza"/>
    <s v="PROD34"/>
    <x v="1"/>
    <s v="STORE6"/>
    <n v="1"/>
    <n v="127.47"/>
    <n v="0.16"/>
    <x v="2"/>
    <x v="907"/>
  </r>
  <r>
    <s v="SALE908"/>
    <d v="2025-05-01T00:00:00"/>
    <s v="CUST1388"/>
    <s v="Timothy Valenzuela"/>
    <s v="PROD82"/>
    <x v="0"/>
    <s v="STORE14"/>
    <n v="3"/>
    <n v="212.87"/>
    <n v="0.18"/>
    <x v="0"/>
    <x v="908"/>
  </r>
  <r>
    <s v="SALE909"/>
    <d v="2024-06-28T00:00:00"/>
    <s v="CUST1181"/>
    <s v="Erin Ward"/>
    <s v="PROD63"/>
    <x v="2"/>
    <s v="STORE7"/>
    <n v="1"/>
    <n v="26.37"/>
    <n v="0.3"/>
    <x v="2"/>
    <x v="909"/>
  </r>
  <r>
    <s v="SALE910"/>
    <d v="2025-04-23T00:00:00"/>
    <s v="CUST1466"/>
    <s v="Cynthia Parrish"/>
    <s v="PROD48"/>
    <x v="1"/>
    <s v="STORE18"/>
    <n v="4"/>
    <n v="953.98"/>
    <n v="0.16"/>
    <x v="0"/>
    <x v="910"/>
  </r>
  <r>
    <s v="SALE911"/>
    <d v="2024-03-18T00:00:00"/>
    <s v="CUST1215"/>
    <s v="Steve Medina"/>
    <s v="PROD32"/>
    <x v="2"/>
    <s v="STORE19"/>
    <n v="3"/>
    <n v="968.88"/>
    <n v="0.15"/>
    <x v="0"/>
    <x v="911"/>
  </r>
  <r>
    <s v="SALE912"/>
    <d v="2025-09-10T00:00:00"/>
    <s v="CUST1187"/>
    <s v="Dr. Suzanne Bullock"/>
    <s v="PROD13"/>
    <x v="1"/>
    <s v="STORE18"/>
    <n v="1"/>
    <n v="533.04999999999995"/>
    <n v="0.11"/>
    <x v="1"/>
    <x v="912"/>
  </r>
  <r>
    <s v="SALE913"/>
    <d v="2024-12-11T00:00:00"/>
    <s v="CUST1381"/>
    <s v="Erika Padilla"/>
    <s v="PROD5"/>
    <x v="4"/>
    <s v="STORE1"/>
    <n v="3"/>
    <n v="138.86000000000001"/>
    <n v="0.11"/>
    <x v="1"/>
    <x v="913"/>
  </r>
  <r>
    <s v="SALE914"/>
    <d v="2025-02-18T00:00:00"/>
    <s v="CUST1159"/>
    <s v="Brian Choi"/>
    <s v="PROD69"/>
    <x v="4"/>
    <s v="STORE0"/>
    <n v="1"/>
    <n v="588.92999999999995"/>
    <n v="0.03"/>
    <x v="2"/>
    <x v="914"/>
  </r>
  <r>
    <s v="SALE915"/>
    <d v="2024-09-22T00:00:00"/>
    <s v="CUST1403"/>
    <s v="Justin Ingram"/>
    <s v="PROD17"/>
    <x v="0"/>
    <s v="STORE5"/>
    <n v="2"/>
    <n v="576.83000000000004"/>
    <n v="0.19"/>
    <x v="1"/>
    <x v="915"/>
  </r>
  <r>
    <s v="SALE916"/>
    <d v="2024-02-16T00:00:00"/>
    <s v="CUST1323"/>
    <s v="Kristy Dunlap"/>
    <s v="PROD49"/>
    <x v="2"/>
    <s v="STORE12"/>
    <n v="1"/>
    <n v="681.3"/>
    <n v="0.05"/>
    <x v="0"/>
    <x v="916"/>
  </r>
  <r>
    <s v="SALE917"/>
    <d v="2024-05-29T00:00:00"/>
    <s v="CUST1457"/>
    <s v="Christina Robertson"/>
    <s v="PROD43"/>
    <x v="1"/>
    <s v="STORE15"/>
    <n v="3"/>
    <n v="504.97"/>
    <n v="0.3"/>
    <x v="0"/>
    <x v="917"/>
  </r>
  <r>
    <s v="SALE918"/>
    <d v="2024-04-14T00:00:00"/>
    <s v="CUST1060"/>
    <s v="Dr. David Smith"/>
    <s v="PROD38"/>
    <x v="0"/>
    <s v="STORE11"/>
    <n v="3"/>
    <n v="649.78"/>
    <n v="0.1"/>
    <x v="1"/>
    <x v="918"/>
  </r>
  <r>
    <s v="SALE919"/>
    <d v="2024-01-26T00:00:00"/>
    <s v="CUST1245"/>
    <s v="Laura Soto"/>
    <s v="PROD39"/>
    <x v="1"/>
    <s v="STORE9"/>
    <n v="2"/>
    <n v="986.73"/>
    <n v="0.05"/>
    <x v="1"/>
    <x v="919"/>
  </r>
  <r>
    <s v="SALE920"/>
    <d v="2023-11-05T00:00:00"/>
    <s v="CUST1119"/>
    <s v="Michael Jones"/>
    <s v="PROD90"/>
    <x v="1"/>
    <s v="STORE15"/>
    <n v="2"/>
    <n v="65.44"/>
    <n v="0.05"/>
    <x v="1"/>
    <x v="920"/>
  </r>
  <r>
    <s v="SALE921"/>
    <d v="2025-06-16T00:00:00"/>
    <s v="CUST1383"/>
    <s v="Kristine Higgins"/>
    <s v="PROD58"/>
    <x v="4"/>
    <s v="STORE13"/>
    <n v="3"/>
    <n v="953.74"/>
    <n v="0.04"/>
    <x v="0"/>
    <x v="921"/>
  </r>
  <r>
    <s v="SALE922"/>
    <d v="2024-09-08T00:00:00"/>
    <s v="CUST1067"/>
    <s v="Amber Mcclain"/>
    <s v="PROD46"/>
    <x v="4"/>
    <s v="STORE10"/>
    <n v="3"/>
    <n v="904.48"/>
    <n v="0.21"/>
    <x v="1"/>
    <x v="922"/>
  </r>
  <r>
    <s v="SALE923"/>
    <d v="2024-10-30T00:00:00"/>
    <s v="CUST1492"/>
    <s v="Darrell Miller"/>
    <s v="PROD10"/>
    <x v="3"/>
    <s v="STORE15"/>
    <n v="3"/>
    <n v="920.82"/>
    <n v="0.1"/>
    <x v="1"/>
    <x v="923"/>
  </r>
  <r>
    <s v="SALE924"/>
    <d v="2025-05-26T00:00:00"/>
    <s v="CUST1305"/>
    <s v="Roberta Green"/>
    <s v="PROD28"/>
    <x v="0"/>
    <s v="STORE1"/>
    <n v="1"/>
    <n v="182.28"/>
    <n v="0.15"/>
    <x v="2"/>
    <x v="924"/>
  </r>
  <r>
    <s v="SALE925"/>
    <d v="2025-08-11T00:00:00"/>
    <s v="CUST1445"/>
    <s v="Gene Lee"/>
    <s v="PROD2"/>
    <x v="4"/>
    <s v="STORE16"/>
    <n v="3"/>
    <n v="938.68"/>
    <n v="0.14000000000000001"/>
    <x v="0"/>
    <x v="925"/>
  </r>
  <r>
    <s v="SALE926"/>
    <d v="2025-02-02T00:00:00"/>
    <s v="CUST1081"/>
    <s v="Krystal Ford"/>
    <s v="PROD45"/>
    <x v="0"/>
    <s v="STORE5"/>
    <n v="3"/>
    <n v="219.96"/>
    <n v="0.18"/>
    <x v="1"/>
    <x v="926"/>
  </r>
  <r>
    <s v="SALE927"/>
    <d v="2025-07-03T00:00:00"/>
    <s v="CUST1473"/>
    <s v="Laura Mathews"/>
    <s v="PROD50"/>
    <x v="0"/>
    <s v="STORE18"/>
    <n v="3"/>
    <n v="385.74"/>
    <n v="0.27"/>
    <x v="0"/>
    <x v="927"/>
  </r>
  <r>
    <s v="SALE928"/>
    <d v="2024-03-29T00:00:00"/>
    <s v="CUST1453"/>
    <s v="April Phillips"/>
    <s v="PROD12"/>
    <x v="2"/>
    <s v="STORE18"/>
    <n v="2"/>
    <n v="830.94"/>
    <n v="0.28000000000000003"/>
    <x v="1"/>
    <x v="928"/>
  </r>
  <r>
    <s v="SALE929"/>
    <d v="2024-07-30T00:00:00"/>
    <s v="CUST1383"/>
    <s v="Kristine Higgins"/>
    <s v="PROD58"/>
    <x v="4"/>
    <s v="STORE9"/>
    <n v="3"/>
    <n v="462.75"/>
    <n v="0.22"/>
    <x v="1"/>
    <x v="929"/>
  </r>
  <r>
    <s v="SALE930"/>
    <d v="2024-10-02T00:00:00"/>
    <s v="CUST1067"/>
    <s v="Amber Mcclain"/>
    <s v="PROD46"/>
    <x v="4"/>
    <s v="STORE15"/>
    <n v="4"/>
    <n v="973.9"/>
    <n v="0.02"/>
    <x v="2"/>
    <x v="930"/>
  </r>
  <r>
    <s v="SALE931"/>
    <d v="2024-11-04T00:00:00"/>
    <s v="CUST1140"/>
    <s v="Patty Francis"/>
    <s v="PROD35"/>
    <x v="3"/>
    <s v="STORE1"/>
    <n v="2"/>
    <n v="157.18"/>
    <n v="0.15"/>
    <x v="0"/>
    <x v="931"/>
  </r>
  <r>
    <s v="SALE932"/>
    <d v="2024-05-03T00:00:00"/>
    <s v="CUST1013"/>
    <s v="Nathan Hernandez"/>
    <s v="PROD24"/>
    <x v="0"/>
    <s v="STORE13"/>
    <n v="3"/>
    <n v="239.57"/>
    <n v="0.16"/>
    <x v="0"/>
    <x v="932"/>
  </r>
  <r>
    <s v="SALE933"/>
    <d v="2024-02-21T00:00:00"/>
    <s v="CUST1327"/>
    <s v="Reginald Willis"/>
    <s v="PROD1"/>
    <x v="4"/>
    <s v="STORE16"/>
    <n v="4"/>
    <n v="583.21"/>
    <n v="0.2"/>
    <x v="0"/>
    <x v="933"/>
  </r>
  <r>
    <s v="SALE934"/>
    <d v="2024-04-17T00:00:00"/>
    <s v="CUST1413"/>
    <s v="Megan Ryan"/>
    <s v="PROD70"/>
    <x v="3"/>
    <s v="STORE8"/>
    <n v="3"/>
    <n v="758.75"/>
    <n v="0.27"/>
    <x v="1"/>
    <x v="934"/>
  </r>
  <r>
    <s v="SALE935"/>
    <d v="2025-02-01T00:00:00"/>
    <s v="CUST1309"/>
    <s v="Stacy Collins"/>
    <s v="PROD61"/>
    <x v="0"/>
    <s v="STORE5"/>
    <n v="4"/>
    <n v="372.42"/>
    <n v="0.19"/>
    <x v="0"/>
    <x v="935"/>
  </r>
  <r>
    <s v="SALE936"/>
    <d v="2025-02-11T00:00:00"/>
    <s v="CUST1154"/>
    <s v="Julie Hale"/>
    <s v="PROD63"/>
    <x v="2"/>
    <s v="STORE19"/>
    <n v="4"/>
    <n v="286.27999999999997"/>
    <n v="0.28000000000000003"/>
    <x v="1"/>
    <x v="936"/>
  </r>
  <r>
    <s v="SALE937"/>
    <d v="2025-01-06T00:00:00"/>
    <s v="CUST1279"/>
    <s v="Aaron Luna"/>
    <s v="PROD13"/>
    <x v="1"/>
    <s v="STORE11"/>
    <n v="3"/>
    <n v="488.37"/>
    <n v="0.27"/>
    <x v="2"/>
    <x v="937"/>
  </r>
  <r>
    <s v="SALE938"/>
    <d v="2024-03-26T00:00:00"/>
    <s v="CUST1469"/>
    <s v="James Foster"/>
    <s v="PROD45"/>
    <x v="0"/>
    <s v="STORE8"/>
    <n v="3"/>
    <n v="662.82"/>
    <n v="0.01"/>
    <x v="2"/>
    <x v="938"/>
  </r>
  <r>
    <s v="SALE939"/>
    <d v="2024-04-30T00:00:00"/>
    <s v="CUST1497"/>
    <s v="Sarah Marsh"/>
    <s v="PROD33"/>
    <x v="3"/>
    <s v="STORE16"/>
    <n v="2"/>
    <n v="824.34"/>
    <n v="0.1"/>
    <x v="2"/>
    <x v="939"/>
  </r>
  <r>
    <s v="SALE940"/>
    <d v="2024-02-27T00:00:00"/>
    <s v="CUST1113"/>
    <s v="Edward Hall"/>
    <s v="PROD47"/>
    <x v="2"/>
    <s v="STORE8"/>
    <n v="1"/>
    <n v="437.12"/>
    <n v="0.21"/>
    <x v="0"/>
    <x v="940"/>
  </r>
  <r>
    <s v="SALE941"/>
    <d v="2024-07-13T00:00:00"/>
    <s v="CUST1357"/>
    <s v="Manuel Castillo"/>
    <s v="PROD17"/>
    <x v="0"/>
    <s v="STORE6"/>
    <n v="3"/>
    <n v="23.37"/>
    <n v="0.15"/>
    <x v="1"/>
    <x v="941"/>
  </r>
  <r>
    <s v="SALE942"/>
    <d v="2025-04-14T00:00:00"/>
    <s v="CUST1187"/>
    <s v="Dr. Suzanne Bullock"/>
    <s v="PROD13"/>
    <x v="1"/>
    <s v="STORE8"/>
    <n v="1"/>
    <n v="579.69000000000005"/>
    <n v="0.02"/>
    <x v="0"/>
    <x v="942"/>
  </r>
  <r>
    <s v="SALE943"/>
    <d v="2024-12-13T00:00:00"/>
    <s v="CUST1430"/>
    <s v="Kimberly Roberts"/>
    <s v="PROD87"/>
    <x v="3"/>
    <s v="STORE14"/>
    <n v="3"/>
    <n v="240.51"/>
    <n v="7.0000000000000007E-2"/>
    <x v="0"/>
    <x v="943"/>
  </r>
  <r>
    <s v="SALE944"/>
    <d v="2025-08-24T00:00:00"/>
    <s v="CUST1382"/>
    <s v="Martha Brown"/>
    <s v="PROD4"/>
    <x v="4"/>
    <s v="STORE14"/>
    <n v="2"/>
    <n v="855.4"/>
    <n v="0.08"/>
    <x v="2"/>
    <x v="944"/>
  </r>
  <r>
    <s v="SALE945"/>
    <d v="2023-10-28T00:00:00"/>
    <s v="CUST1007"/>
    <s v="Daniel Boyd"/>
    <s v="PROD67"/>
    <x v="1"/>
    <s v="STORE7"/>
    <n v="1"/>
    <n v="537.26"/>
    <n v="0.09"/>
    <x v="0"/>
    <x v="945"/>
  </r>
  <r>
    <s v="SALE946"/>
    <d v="2024-12-11T00:00:00"/>
    <s v="CUST1384"/>
    <s v="Andrew Mason"/>
    <s v="PROD74"/>
    <x v="1"/>
    <s v="STORE10"/>
    <n v="3"/>
    <n v="918.26"/>
    <n v="0.17"/>
    <x v="2"/>
    <x v="946"/>
  </r>
  <r>
    <s v="SALE947"/>
    <d v="2024-06-29T00:00:00"/>
    <s v="CUST1095"/>
    <s v="Amy Fowler"/>
    <s v="PROD40"/>
    <x v="1"/>
    <s v="STORE9"/>
    <n v="4"/>
    <n v="579.70000000000005"/>
    <n v="0.18"/>
    <x v="1"/>
    <x v="947"/>
  </r>
  <r>
    <s v="SALE948"/>
    <d v="2025-02-22T00:00:00"/>
    <s v="CUST1145"/>
    <s v="Cameron Simpson"/>
    <s v="PROD69"/>
    <x v="4"/>
    <s v="STORE6"/>
    <n v="1"/>
    <n v="824.32"/>
    <n v="0.18"/>
    <x v="0"/>
    <x v="948"/>
  </r>
  <r>
    <s v="SALE949"/>
    <d v="2025-01-25T00:00:00"/>
    <s v="CUST1109"/>
    <s v="Amy Walker"/>
    <s v="PROD34"/>
    <x v="1"/>
    <s v="STORE15"/>
    <n v="4"/>
    <n v="614.99"/>
    <n v="0.16"/>
    <x v="1"/>
    <x v="949"/>
  </r>
  <r>
    <s v="SALE950"/>
    <d v="2025-03-14T00:00:00"/>
    <s v="CUST1128"/>
    <s v="Susan Mcdonald"/>
    <s v="PROD25"/>
    <x v="4"/>
    <s v="STORE0"/>
    <n v="4"/>
    <n v="189.21"/>
    <n v="0.06"/>
    <x v="2"/>
    <x v="950"/>
  </r>
  <r>
    <s v="SALE951"/>
    <d v="2024-12-03T00:00:00"/>
    <s v="CUST1154"/>
    <s v="Julie Hale"/>
    <s v="PROD63"/>
    <x v="2"/>
    <s v="STORE14"/>
    <n v="2"/>
    <n v="233.33"/>
    <n v="0.05"/>
    <x v="0"/>
    <x v="951"/>
  </r>
  <r>
    <s v="SALE952"/>
    <d v="2025-05-06T00:00:00"/>
    <s v="CUST1248"/>
    <s v="Nicholas Webb"/>
    <s v="PROD87"/>
    <x v="3"/>
    <s v="STORE18"/>
    <n v="3"/>
    <n v="529.89"/>
    <n v="0.21"/>
    <x v="0"/>
    <x v="952"/>
  </r>
  <r>
    <s v="SALE953"/>
    <d v="2024-08-14T00:00:00"/>
    <s v="CUST1489"/>
    <s v="Melinda Thomas"/>
    <s v="PROD89"/>
    <x v="2"/>
    <s v="STORE1"/>
    <n v="2"/>
    <n v="954.1"/>
    <n v="0.17"/>
    <x v="1"/>
    <x v="953"/>
  </r>
  <r>
    <s v="SALE954"/>
    <d v="2023-12-14T00:00:00"/>
    <s v="CUST1323"/>
    <s v="Kristy Dunlap"/>
    <s v="PROD49"/>
    <x v="2"/>
    <s v="STORE7"/>
    <n v="1"/>
    <n v="370.04"/>
    <n v="0.04"/>
    <x v="2"/>
    <x v="954"/>
  </r>
  <r>
    <s v="SALE955"/>
    <d v="2024-01-06T00:00:00"/>
    <s v="CUST1061"/>
    <s v="Kristin Stein"/>
    <s v="PROD51"/>
    <x v="1"/>
    <s v="STORE19"/>
    <n v="4"/>
    <n v="492.71"/>
    <n v="0.08"/>
    <x v="0"/>
    <x v="955"/>
  </r>
  <r>
    <s v="SALE956"/>
    <d v="2024-08-26T00:00:00"/>
    <s v="CUST1280"/>
    <s v="Antonio Leon"/>
    <s v="PROD91"/>
    <x v="4"/>
    <s v="STORE13"/>
    <n v="4"/>
    <n v="853.26"/>
    <n v="0.24"/>
    <x v="2"/>
    <x v="956"/>
  </r>
  <r>
    <s v="SALE957"/>
    <d v="2025-03-24T00:00:00"/>
    <s v="CUST1406"/>
    <s v="David Lozano"/>
    <s v="PROD16"/>
    <x v="2"/>
    <s v="STORE16"/>
    <n v="1"/>
    <n v="402.47"/>
    <n v="0.19"/>
    <x v="1"/>
    <x v="957"/>
  </r>
  <r>
    <s v="SALE958"/>
    <d v="2024-01-20T00:00:00"/>
    <s v="CUST1402"/>
    <s v="Cassandra Perez"/>
    <s v="PROD21"/>
    <x v="3"/>
    <s v="STORE18"/>
    <n v="2"/>
    <n v="528.29999999999995"/>
    <n v="0.24"/>
    <x v="0"/>
    <x v="958"/>
  </r>
  <r>
    <s v="SALE959"/>
    <d v="2025-01-10T00:00:00"/>
    <s v="CUST1444"/>
    <s v="Cheryl Carr"/>
    <s v="PROD10"/>
    <x v="3"/>
    <s v="STORE6"/>
    <n v="4"/>
    <n v="599.85"/>
    <n v="0.25"/>
    <x v="0"/>
    <x v="959"/>
  </r>
  <r>
    <s v="SALE960"/>
    <d v="2023-12-21T00:00:00"/>
    <s v="CUST1303"/>
    <s v="John Sloan"/>
    <s v="PROD20"/>
    <x v="0"/>
    <s v="STORE9"/>
    <n v="2"/>
    <n v="61.42"/>
    <n v="0.08"/>
    <x v="1"/>
    <x v="960"/>
  </r>
  <r>
    <s v="SALE961"/>
    <d v="2025-02-05T00:00:00"/>
    <s v="CUST1249"/>
    <s v="Lauren George"/>
    <s v="PROD19"/>
    <x v="0"/>
    <s v="STORE10"/>
    <n v="2"/>
    <n v="466.42"/>
    <n v="0.12"/>
    <x v="1"/>
    <x v="961"/>
  </r>
  <r>
    <s v="SALE962"/>
    <d v="2025-07-19T00:00:00"/>
    <s v="CUST1099"/>
    <s v="Sheila Wilson"/>
    <s v="PROD26"/>
    <x v="1"/>
    <s v="STORE5"/>
    <n v="4"/>
    <n v="540.69000000000005"/>
    <n v="0.09"/>
    <x v="2"/>
    <x v="962"/>
  </r>
  <r>
    <s v="SALE963"/>
    <d v="2025-03-21T00:00:00"/>
    <s v="CUST1298"/>
    <s v="Tracy Stephens"/>
    <s v="PROD73"/>
    <x v="0"/>
    <s v="STORE13"/>
    <n v="3"/>
    <n v="677.46"/>
    <n v="0.05"/>
    <x v="0"/>
    <x v="963"/>
  </r>
  <r>
    <s v="SALE964"/>
    <d v="2025-04-24T00:00:00"/>
    <s v="CUST1328"/>
    <s v="Mario Harvey Jr."/>
    <s v="PROD20"/>
    <x v="0"/>
    <s v="STORE1"/>
    <n v="3"/>
    <n v="614.63"/>
    <n v="0.06"/>
    <x v="1"/>
    <x v="964"/>
  </r>
  <r>
    <s v="SALE965"/>
    <d v="2023-12-12T00:00:00"/>
    <s v="CUST1232"/>
    <s v="Christy Hill"/>
    <s v="PROD95"/>
    <x v="0"/>
    <s v="STORE8"/>
    <n v="4"/>
    <n v="649.52"/>
    <n v="0.11"/>
    <x v="0"/>
    <x v="965"/>
  </r>
  <r>
    <s v="SALE966"/>
    <d v="2024-07-08T00:00:00"/>
    <s v="CUST1445"/>
    <s v="Gene Lee"/>
    <s v="PROD2"/>
    <x v="4"/>
    <s v="STORE8"/>
    <n v="2"/>
    <n v="943.93"/>
    <n v="0.22"/>
    <x v="1"/>
    <x v="966"/>
  </r>
  <r>
    <s v="SALE967"/>
    <d v="2023-10-29T00:00:00"/>
    <s v="CUST1165"/>
    <s v="Jason Wheeler"/>
    <s v="PROD27"/>
    <x v="3"/>
    <s v="STORE8"/>
    <n v="4"/>
    <n v="538.73"/>
    <n v="0.03"/>
    <x v="0"/>
    <x v="967"/>
  </r>
  <r>
    <s v="SALE968"/>
    <d v="2024-05-20T00:00:00"/>
    <s v="CUST1088"/>
    <s v="Timothy Wright"/>
    <s v="PROD2"/>
    <x v="4"/>
    <s v="STORE8"/>
    <n v="2"/>
    <n v="853.93"/>
    <n v="0.01"/>
    <x v="1"/>
    <x v="968"/>
  </r>
  <r>
    <s v="SALE969"/>
    <d v="2025-09-14T00:00:00"/>
    <s v="CUST1491"/>
    <s v="Kaitlin Brown"/>
    <s v="PROD9"/>
    <x v="0"/>
    <s v="STORE4"/>
    <n v="4"/>
    <n v="465.42"/>
    <n v="0.26"/>
    <x v="2"/>
    <x v="969"/>
  </r>
  <r>
    <s v="SALE970"/>
    <d v="2025-04-11T00:00:00"/>
    <s v="CUST1055"/>
    <s v="Wayne Mcpherson"/>
    <s v="PROD15"/>
    <x v="1"/>
    <s v="STORE11"/>
    <n v="4"/>
    <n v="880.26"/>
    <n v="0.11"/>
    <x v="2"/>
    <x v="970"/>
  </r>
  <r>
    <s v="SALE971"/>
    <d v="2024-05-17T00:00:00"/>
    <s v="CUST1483"/>
    <s v="Sarah Smith"/>
    <s v="PROD12"/>
    <x v="2"/>
    <s v="STORE11"/>
    <n v="3"/>
    <n v="461.02"/>
    <n v="0.28999999999999998"/>
    <x v="1"/>
    <x v="971"/>
  </r>
  <r>
    <s v="SALE972"/>
    <d v="2024-10-13T00:00:00"/>
    <s v="CUST1026"/>
    <s v="Amber Carlson"/>
    <s v="PROD1"/>
    <x v="4"/>
    <s v="STORE13"/>
    <n v="1"/>
    <n v="531.99"/>
    <n v="0.17"/>
    <x v="1"/>
    <x v="972"/>
  </r>
  <r>
    <s v="SALE973"/>
    <d v="2024-07-13T00:00:00"/>
    <s v="CUST1004"/>
    <s v="Caroline Collins"/>
    <s v="PROD47"/>
    <x v="2"/>
    <s v="STORE17"/>
    <n v="2"/>
    <n v="274.08999999999997"/>
    <n v="0.13"/>
    <x v="1"/>
    <x v="973"/>
  </r>
  <r>
    <s v="SALE974"/>
    <d v="2025-02-06T00:00:00"/>
    <s v="CUST1443"/>
    <s v="Adam Castro"/>
    <s v="PROD34"/>
    <x v="1"/>
    <s v="STORE10"/>
    <n v="1"/>
    <n v="66.14"/>
    <n v="0.14000000000000001"/>
    <x v="2"/>
    <x v="974"/>
  </r>
  <r>
    <s v="SALE975"/>
    <d v="2025-08-06T00:00:00"/>
    <s v="CUST1077"/>
    <s v="Katherine Young"/>
    <s v="PROD21"/>
    <x v="3"/>
    <s v="STORE9"/>
    <n v="3"/>
    <n v="955.82"/>
    <n v="0.16"/>
    <x v="2"/>
    <x v="975"/>
  </r>
  <r>
    <s v="SALE976"/>
    <d v="2024-05-20T00:00:00"/>
    <s v="CUST1319"/>
    <s v="Casey Simpson"/>
    <s v="PROD49"/>
    <x v="2"/>
    <s v="STORE12"/>
    <n v="1"/>
    <n v="904.92"/>
    <n v="0.13"/>
    <x v="0"/>
    <x v="976"/>
  </r>
  <r>
    <s v="SALE977"/>
    <d v="2024-10-10T00:00:00"/>
    <s v="CUST1000"/>
    <s v="Sheena Bonilla  "/>
    <s v="PROD63"/>
    <x v="2"/>
    <s v="STORE7"/>
    <n v="3"/>
    <n v="490.02"/>
    <n v="0.26"/>
    <x v="0"/>
    <x v="977"/>
  </r>
  <r>
    <s v="SALE978"/>
    <d v="2024-02-18T00:00:00"/>
    <s v="CUST1363"/>
    <s v="Elizabeth Smith"/>
    <s v="PROD91"/>
    <x v="4"/>
    <s v="STORE6"/>
    <n v="2"/>
    <n v="957.54"/>
    <n v="0.1"/>
    <x v="2"/>
    <x v="978"/>
  </r>
  <r>
    <s v="SALE979"/>
    <d v="2025-09-26T00:00:00"/>
    <s v="CUST1329"/>
    <s v="Victor Mcintosh"/>
    <s v="PROD57"/>
    <x v="0"/>
    <s v="STORE13"/>
    <n v="2"/>
    <n v="314.39999999999998"/>
    <n v="7.0000000000000007E-2"/>
    <x v="1"/>
    <x v="979"/>
  </r>
  <r>
    <s v="SALE980"/>
    <d v="2024-03-22T00:00:00"/>
    <s v="CUST1394"/>
    <s v="Alejandro Evans"/>
    <s v="PROD89"/>
    <x v="2"/>
    <s v="STORE6"/>
    <n v="3"/>
    <n v="480.11"/>
    <n v="0.11"/>
    <x v="1"/>
    <x v="980"/>
  </r>
  <r>
    <s v="SALE981"/>
    <d v="2024-10-14T00:00:00"/>
    <s v="CUST1388"/>
    <s v="Timothy Valenzuela"/>
    <s v="PROD82"/>
    <x v="0"/>
    <s v="STORE6"/>
    <n v="4"/>
    <n v="826.55"/>
    <n v="0.28000000000000003"/>
    <x v="0"/>
    <x v="981"/>
  </r>
  <r>
    <s v="SALE982"/>
    <d v="2025-05-28T00:00:00"/>
    <s v="CUST1190"/>
    <s v="Christopher Stewart"/>
    <s v="PROD27"/>
    <x v="3"/>
    <s v="STORE3"/>
    <n v="3"/>
    <n v="530.16999999999996"/>
    <n v="0.18"/>
    <x v="1"/>
    <x v="982"/>
  </r>
  <r>
    <s v="SALE983"/>
    <d v="2024-08-18T00:00:00"/>
    <s v="CUST1407"/>
    <s v="Joseph Mendoza"/>
    <s v="PROD70"/>
    <x v="3"/>
    <s v="STORE17"/>
    <n v="3"/>
    <n v="336.17"/>
    <n v="0.04"/>
    <x v="2"/>
    <x v="983"/>
  </r>
  <r>
    <s v="SALE984"/>
    <d v="2024-01-13T00:00:00"/>
    <s v="CUST1421"/>
    <s v="Holly Robinson"/>
    <s v="PROD81"/>
    <x v="0"/>
    <s v="STORE8"/>
    <n v="4"/>
    <n v="22.51"/>
    <n v="0.27"/>
    <x v="1"/>
    <x v="984"/>
  </r>
  <r>
    <s v="SALE985"/>
    <d v="2024-06-13T00:00:00"/>
    <s v="CUST1190"/>
    <s v="Christopher Stewart"/>
    <s v="PROD27"/>
    <x v="3"/>
    <s v="STORE2"/>
    <n v="2"/>
    <n v="909.51"/>
    <n v="0.27"/>
    <x v="0"/>
    <x v="985"/>
  </r>
  <r>
    <s v="SALE986"/>
    <d v="2025-04-29T00:00:00"/>
    <s v="CUST1052"/>
    <s v="Debra Liu"/>
    <s v="PROD51"/>
    <x v="1"/>
    <s v="STORE14"/>
    <n v="4"/>
    <n v="593.84"/>
    <n v="0.24"/>
    <x v="1"/>
    <x v="986"/>
  </r>
  <r>
    <s v="SALE987"/>
    <d v="2024-10-01T00:00:00"/>
    <s v="CUST1109"/>
    <s v="Amy Walker"/>
    <s v="PROD34"/>
    <x v="1"/>
    <s v="STORE10"/>
    <n v="3"/>
    <n v="909.11"/>
    <n v="0.23"/>
    <x v="2"/>
    <x v="987"/>
  </r>
  <r>
    <s v="SALE988"/>
    <d v="2024-09-07T00:00:00"/>
    <s v="CUST1399"/>
    <s v="John Donaldson"/>
    <s v="PROD66"/>
    <x v="2"/>
    <s v="STORE1"/>
    <n v="4"/>
    <n v="996.85"/>
    <n v="0.24"/>
    <x v="1"/>
    <x v="988"/>
  </r>
  <r>
    <s v="SALE989"/>
    <d v="2025-06-26T00:00:00"/>
    <s v="CUST1300"/>
    <s v="Matthew Avery"/>
    <s v="PROD36"/>
    <x v="4"/>
    <s v="STORE17"/>
    <n v="1"/>
    <n v="522.69000000000005"/>
    <n v="0.06"/>
    <x v="2"/>
    <x v="989"/>
  </r>
  <r>
    <s v="SALE990"/>
    <d v="2024-04-23T00:00:00"/>
    <s v="CUST1194"/>
    <s v="Ashley Ferguson"/>
    <s v="PROD54"/>
    <x v="0"/>
    <s v="STORE3"/>
    <n v="3"/>
    <n v="261.05"/>
    <n v="0.12"/>
    <x v="1"/>
    <x v="990"/>
  </r>
  <r>
    <s v="SALE991"/>
    <d v="2025-09-18T00:00:00"/>
    <s v="CUST1087"/>
    <s v="Melissa Duffy Md"/>
    <s v="PROD76"/>
    <x v="1"/>
    <s v="STORE17"/>
    <n v="3"/>
    <n v="644.73"/>
    <n v="0.01"/>
    <x v="2"/>
    <x v="991"/>
  </r>
  <r>
    <s v="SALE992"/>
    <d v="2023-10-18T00:00:00"/>
    <s v="CUST1198"/>
    <s v="Wanda Snyder"/>
    <s v="PROD12"/>
    <x v="2"/>
    <s v="STORE2"/>
    <n v="2"/>
    <n v="541.52"/>
    <n v="0.26"/>
    <x v="1"/>
    <x v="992"/>
  </r>
  <r>
    <s v="SALE993"/>
    <d v="2023-11-29T00:00:00"/>
    <s v="CUST1426"/>
    <s v="Jeanette Nichols"/>
    <s v="PROD63"/>
    <x v="2"/>
    <s v="STORE10"/>
    <n v="1"/>
    <n v="395.18"/>
    <n v="0.09"/>
    <x v="1"/>
    <x v="993"/>
  </r>
  <r>
    <s v="SALE994"/>
    <d v="2025-03-24T00:00:00"/>
    <s v="CUST1100"/>
    <s v="Diane Watson"/>
    <s v="PROD24"/>
    <x v="0"/>
    <s v="STORE8"/>
    <n v="4"/>
    <n v="56.37"/>
    <n v="0.17"/>
    <x v="0"/>
    <x v="994"/>
  </r>
  <r>
    <s v="SALE995"/>
    <d v="2025-09-08T00:00:00"/>
    <s v="CUST1209"/>
    <s v="Joan Johnson"/>
    <s v="PROD42"/>
    <x v="1"/>
    <s v="STORE9"/>
    <n v="4"/>
    <n v="202.59"/>
    <n v="0.06"/>
    <x v="2"/>
    <x v="995"/>
  </r>
  <r>
    <s v="SALE996"/>
    <d v="2024-11-05T00:00:00"/>
    <s v="CUST1004"/>
    <s v="Caroline Collins"/>
    <s v="PROD47"/>
    <x v="2"/>
    <s v="STORE5"/>
    <n v="2"/>
    <n v="358.36"/>
    <n v="0.05"/>
    <x v="1"/>
    <x v="996"/>
  </r>
  <r>
    <s v="SALE997"/>
    <d v="2024-08-31T00:00:00"/>
    <s v="CUST1072"/>
    <s v="Tonya Burch"/>
    <s v="PROD26"/>
    <x v="1"/>
    <s v="STORE18"/>
    <n v="4"/>
    <n v="85.62"/>
    <n v="0.28000000000000003"/>
    <x v="2"/>
    <x v="997"/>
  </r>
  <r>
    <s v="SALE998"/>
    <d v="2024-06-16T00:00:00"/>
    <s v="CUST1185"/>
    <s v="Brent Rivas"/>
    <s v="PROD79"/>
    <x v="3"/>
    <s v="STORE17"/>
    <n v="4"/>
    <n v="929.26"/>
    <n v="0.23"/>
    <x v="1"/>
    <x v="998"/>
  </r>
  <r>
    <s v="SALE999"/>
    <d v="2025-01-24T00:00:00"/>
    <s v="CUST1309"/>
    <s v="Stacy Collins"/>
    <s v="PROD61"/>
    <x v="0"/>
    <s v="STORE13"/>
    <n v="2"/>
    <n v="92.64"/>
    <n v="0.14000000000000001"/>
    <x v="2"/>
    <x v="999"/>
  </r>
  <r>
    <s v="SALE1000"/>
    <d v="2025-03-09T00:00:00"/>
    <s v="CUST1248"/>
    <s v="Nicholas Webb"/>
    <s v="PROD87"/>
    <x v="3"/>
    <s v="STORE4"/>
    <n v="4"/>
    <n v="139.05000000000001"/>
    <n v="0.28999999999999998"/>
    <x v="2"/>
    <x v="1000"/>
  </r>
  <r>
    <s v="SALE1001"/>
    <d v="2024-06-18T00:00:00"/>
    <s v="CUST1140"/>
    <s v="Patty Francis"/>
    <s v="PROD35"/>
    <x v="3"/>
    <s v="STORE4"/>
    <n v="3"/>
    <n v="155.87"/>
    <n v="0.03"/>
    <x v="2"/>
    <x v="1001"/>
  </r>
  <r>
    <s v="SALE1002"/>
    <d v="2025-06-29T00:00:00"/>
    <s v="CUST1442"/>
    <s v="Kelli Smith"/>
    <s v="PROD56"/>
    <x v="3"/>
    <s v="STORE16"/>
    <n v="4"/>
    <n v="115.42"/>
    <n v="0.03"/>
    <x v="2"/>
    <x v="1002"/>
  </r>
  <r>
    <s v="SALE1003"/>
    <d v="2025-06-15T00:00:00"/>
    <s v="CUST1122"/>
    <s v="Michael Chang"/>
    <s v="PROD94"/>
    <x v="2"/>
    <s v="STORE6"/>
    <n v="3"/>
    <n v="593.62"/>
    <n v="0.08"/>
    <x v="0"/>
    <x v="1003"/>
  </r>
  <r>
    <s v="SALE1004"/>
    <d v="2025-03-17T00:00:00"/>
    <s v="CUST1353"/>
    <s v="Laura Green"/>
    <s v="PROD48"/>
    <x v="1"/>
    <s v="STORE4"/>
    <n v="2"/>
    <n v="825.04"/>
    <n v="0.2"/>
    <x v="0"/>
    <x v="1004"/>
  </r>
  <r>
    <s v="SALE1005"/>
    <d v="2024-01-31T00:00:00"/>
    <s v="CUST1464"/>
    <s v="David Pierce"/>
    <s v="PROD33"/>
    <x v="3"/>
    <s v="STORE13"/>
    <n v="1"/>
    <n v="963.76"/>
    <n v="0.14000000000000001"/>
    <x v="1"/>
    <x v="1005"/>
  </r>
  <r>
    <s v="SALE1006"/>
    <d v="2024-05-03T00:00:00"/>
    <s v="CUST1292"/>
    <s v="Ricardo Jones"/>
    <s v="PROD99"/>
    <x v="3"/>
    <s v="STORE6"/>
    <n v="1"/>
    <n v="238.24"/>
    <n v="0.12"/>
    <x v="1"/>
    <x v="1006"/>
  </r>
  <r>
    <s v="SALE1007"/>
    <d v="2024-12-18T00:00:00"/>
    <s v="CUST1457"/>
    <s v="Christina Robertson"/>
    <s v="PROD43"/>
    <x v="1"/>
    <s v="STORE16"/>
    <n v="1"/>
    <n v="756.63"/>
    <n v="0.04"/>
    <x v="1"/>
    <x v="1007"/>
  </r>
  <r>
    <s v="SALE1008"/>
    <d v="2025-07-07T00:00:00"/>
    <s v="CUST1019"/>
    <s v="Michael Torres"/>
    <s v="PROD76"/>
    <x v="1"/>
    <s v="STORE7"/>
    <n v="3"/>
    <n v="159.76"/>
    <n v="0.22"/>
    <x v="0"/>
    <x v="1008"/>
  </r>
  <r>
    <s v="SALE1009"/>
    <d v="2024-03-03T00:00:00"/>
    <s v="CUST1368"/>
    <s v="Miranda King"/>
    <s v="PROD12"/>
    <x v="2"/>
    <s v="STORE8"/>
    <n v="1"/>
    <n v="329.94"/>
    <n v="0.14000000000000001"/>
    <x v="2"/>
    <x v="1009"/>
  </r>
  <r>
    <s v="SALE1010"/>
    <d v="2025-03-04T00:00:00"/>
    <s v="CUST1060"/>
    <s v="Dr. David Smith"/>
    <s v="PROD38"/>
    <x v="0"/>
    <s v="STORE8"/>
    <n v="1"/>
    <n v="234.06"/>
    <n v="0.11"/>
    <x v="1"/>
    <x v="1010"/>
  </r>
  <r>
    <s v="SALE1011"/>
    <d v="2023-12-18T00:00:00"/>
    <s v="CUST1317"/>
    <s v="Tiffany Williams"/>
    <s v="PROD10"/>
    <x v="3"/>
    <s v="STORE0"/>
    <n v="2"/>
    <n v="773.75"/>
    <n v="0.16"/>
    <x v="1"/>
    <x v="1011"/>
  </r>
  <r>
    <s v="SALE1012"/>
    <d v="2024-05-10T00:00:00"/>
    <s v="CUST1436"/>
    <s v="Sharon Simpson"/>
    <s v="PROD52"/>
    <x v="0"/>
    <s v="STORE18"/>
    <n v="1"/>
    <n v="73.88"/>
    <n v="0.04"/>
    <x v="0"/>
    <x v="1012"/>
  </r>
  <r>
    <s v="SALE1013"/>
    <d v="2024-02-15T00:00:00"/>
    <s v="CUST1005"/>
    <s v="Christine Vaughn"/>
    <s v="PROD61"/>
    <x v="0"/>
    <s v="STORE18"/>
    <n v="1"/>
    <n v="859.3"/>
    <n v="0.16"/>
    <x v="1"/>
    <x v="1013"/>
  </r>
  <r>
    <s v="SALE1014"/>
    <d v="2024-09-29T00:00:00"/>
    <s v="CUST1129"/>
    <s v="Jessica Mitchell"/>
    <s v="PROD91"/>
    <x v="4"/>
    <s v="STORE6"/>
    <n v="4"/>
    <n v="762.43"/>
    <n v="0.05"/>
    <x v="0"/>
    <x v="1014"/>
  </r>
  <r>
    <s v="SALE1015"/>
    <d v="2024-05-12T00:00:00"/>
    <s v="CUST1124"/>
    <s v="Donald Lee"/>
    <s v="PROD22"/>
    <x v="0"/>
    <s v="STORE0"/>
    <n v="1"/>
    <n v="328.51"/>
    <n v="0.2"/>
    <x v="2"/>
    <x v="1015"/>
  </r>
  <r>
    <s v="SALE1016"/>
    <d v="2025-03-03T00:00:00"/>
    <s v="CUST1274"/>
    <s v="Sarah Lane"/>
    <s v="PROD47"/>
    <x v="2"/>
    <s v="STORE4"/>
    <n v="1"/>
    <n v="34.51"/>
    <n v="0.04"/>
    <x v="2"/>
    <x v="1016"/>
  </r>
  <r>
    <s v="SALE1017"/>
    <d v="2023-11-20T00:00:00"/>
    <s v="CUST1105"/>
    <s v="Lance Baker"/>
    <s v="PROD39"/>
    <x v="1"/>
    <s v="STORE11"/>
    <n v="3"/>
    <n v="663.73"/>
    <n v="0.06"/>
    <x v="2"/>
    <x v="1017"/>
  </r>
  <r>
    <s v="SALE1018"/>
    <d v="2024-07-06T00:00:00"/>
    <s v="CUST1246"/>
    <s v="Mary Russell"/>
    <s v="PROD72"/>
    <x v="0"/>
    <s v="STORE9"/>
    <n v="1"/>
    <n v="409.41"/>
    <n v="0.13"/>
    <x v="1"/>
    <x v="1018"/>
  </r>
  <r>
    <s v="SALE1019"/>
    <d v="2025-03-11T00:00:00"/>
    <s v="CUST1092"/>
    <s v="Robert Jackson"/>
    <s v="PROD10"/>
    <x v="3"/>
    <s v="STORE3"/>
    <n v="3"/>
    <n v="461.03"/>
    <n v="0.11"/>
    <x v="1"/>
    <x v="1019"/>
  </r>
  <r>
    <s v="SALE1020"/>
    <d v="2024-04-12T00:00:00"/>
    <s v="CUST1368"/>
    <s v="Miranda King"/>
    <s v="PROD12"/>
    <x v="2"/>
    <s v="STORE14"/>
    <n v="2"/>
    <n v="760.14"/>
    <n v="0.02"/>
    <x v="2"/>
    <x v="1020"/>
  </r>
  <r>
    <s v="SALE1021"/>
    <d v="2025-04-26T00:00:00"/>
    <s v="CUST1278"/>
    <s v="Stephen Fowler"/>
    <s v="PROD88"/>
    <x v="0"/>
    <s v="STORE1"/>
    <n v="3"/>
    <n v="688.76"/>
    <n v="0.12"/>
    <x v="1"/>
    <x v="1021"/>
  </r>
  <r>
    <s v="SALE1022"/>
    <d v="2025-05-02T00:00:00"/>
    <s v="CUST1159"/>
    <s v="Brian Choi"/>
    <s v="PROD69"/>
    <x v="4"/>
    <s v="STORE9"/>
    <n v="2"/>
    <n v="257.77999999999997"/>
    <n v="0.05"/>
    <x v="0"/>
    <x v="1022"/>
  </r>
  <r>
    <s v="SALE1023"/>
    <d v="2024-04-18T00:00:00"/>
    <s v="CUST1052"/>
    <s v="Debra Liu"/>
    <s v="PROD51"/>
    <x v="1"/>
    <s v="STORE7"/>
    <n v="2"/>
    <n v="314.29000000000002"/>
    <n v="0.19"/>
    <x v="2"/>
    <x v="1023"/>
  </r>
  <r>
    <s v="SALE1024"/>
    <d v="2024-08-16T00:00:00"/>
    <s v="CUST1155"/>
    <s v="Curtis Haynes"/>
    <s v="PROD72"/>
    <x v="0"/>
    <s v="STORE14"/>
    <n v="3"/>
    <n v="336.09"/>
    <n v="0.01"/>
    <x v="1"/>
    <x v="1024"/>
  </r>
  <r>
    <s v="SALE1025"/>
    <d v="2025-07-23T00:00:00"/>
    <s v="CUST1002"/>
    <s v="Dr. Benjamin Price"/>
    <s v="PROD79"/>
    <x v="3"/>
    <s v="STORE17"/>
    <n v="3"/>
    <n v="202.07"/>
    <n v="0.23"/>
    <x v="1"/>
    <x v="1025"/>
  </r>
  <r>
    <s v="SALE1026"/>
    <d v="2025-05-04T00:00:00"/>
    <s v="CUST1310"/>
    <s v="Kara Dodson"/>
    <s v="PROD17"/>
    <x v="0"/>
    <s v="STORE8"/>
    <n v="2"/>
    <n v="485.25"/>
    <n v="0.28000000000000003"/>
    <x v="0"/>
    <x v="1026"/>
  </r>
  <r>
    <s v="SALE1027"/>
    <d v="2025-09-06T00:00:00"/>
    <s v="CUST1171"/>
    <s v="Amy Wilson"/>
    <s v="PROD90"/>
    <x v="1"/>
    <s v="STORE10"/>
    <n v="4"/>
    <n v="552.38"/>
    <n v="0.1"/>
    <x v="1"/>
    <x v="1027"/>
  </r>
  <r>
    <s v="SALE1028"/>
    <d v="2023-11-21T00:00:00"/>
    <s v="CUST1107"/>
    <s v="Erica Carney"/>
    <s v="PROD75"/>
    <x v="4"/>
    <s v="STORE17"/>
    <n v="4"/>
    <n v="377.26"/>
    <n v="0.22"/>
    <x v="2"/>
    <x v="1028"/>
  </r>
  <r>
    <s v="SALE1029"/>
    <d v="2023-11-27T00:00:00"/>
    <s v="CUST1053"/>
    <s v="Sharon Brown"/>
    <s v="PROD37"/>
    <x v="4"/>
    <s v="STORE19"/>
    <n v="4"/>
    <n v="189.07"/>
    <n v="0.1"/>
    <x v="2"/>
    <x v="1029"/>
  </r>
  <r>
    <s v="SALE1030"/>
    <d v="2025-06-10T00:00:00"/>
    <s v="CUST1499"/>
    <s v="Philip Pennington"/>
    <s v="PROD55"/>
    <x v="3"/>
    <s v="STORE4"/>
    <n v="3"/>
    <n v="272.27"/>
    <n v="0.01"/>
    <x v="0"/>
    <x v="1030"/>
  </r>
  <r>
    <s v="SALE1031"/>
    <d v="2025-05-29T00:00:00"/>
    <s v="CUST1264"/>
    <s v="Matthew Payne"/>
    <s v="PROD22"/>
    <x v="0"/>
    <s v="STORE11"/>
    <n v="1"/>
    <n v="209.39"/>
    <n v="0.28000000000000003"/>
    <x v="1"/>
    <x v="1031"/>
  </r>
  <r>
    <s v="SALE1032"/>
    <d v="2023-12-28T00:00:00"/>
    <s v="CUST1053"/>
    <s v="Sharon Brown"/>
    <s v="PROD37"/>
    <x v="4"/>
    <s v="STORE9"/>
    <n v="1"/>
    <n v="813.87"/>
    <n v="0.23"/>
    <x v="0"/>
    <x v="1032"/>
  </r>
  <r>
    <s v="SALE1033"/>
    <d v="2025-05-06T00:00:00"/>
    <s v="CUST1257"/>
    <s v="Christopher David"/>
    <s v="PROD85"/>
    <x v="4"/>
    <s v="STORE0"/>
    <n v="1"/>
    <n v="143.69999999999999"/>
    <n v="0.19"/>
    <x v="1"/>
    <x v="1033"/>
  </r>
  <r>
    <s v="SALE1034"/>
    <d v="2024-04-03T00:00:00"/>
    <s v="CUST1470"/>
    <s v="Manuel Fisher"/>
    <s v="PROD59"/>
    <x v="2"/>
    <s v="STORE1"/>
    <n v="4"/>
    <n v="837.34"/>
    <n v="0.05"/>
    <x v="1"/>
    <x v="1034"/>
  </r>
  <r>
    <s v="SALE1035"/>
    <d v="2025-08-09T00:00:00"/>
    <s v="CUST1120"/>
    <s v="Jacob Hopkins"/>
    <s v="PROD73"/>
    <x v="0"/>
    <s v="STORE19"/>
    <n v="1"/>
    <n v="151.66"/>
    <n v="0.16"/>
    <x v="2"/>
    <x v="1035"/>
  </r>
  <r>
    <s v="SALE1036"/>
    <d v="2025-03-04T00:00:00"/>
    <s v="CUST1499"/>
    <s v="Philip Pennington"/>
    <s v="PROD55"/>
    <x v="3"/>
    <s v="STORE8"/>
    <n v="3"/>
    <n v="961.4"/>
    <n v="0.02"/>
    <x v="1"/>
    <x v="1036"/>
  </r>
  <r>
    <s v="SALE1037"/>
    <d v="2024-07-30T00:00:00"/>
    <s v="CUST1370"/>
    <s v="James Holloway Jr."/>
    <s v="PROD37"/>
    <x v="4"/>
    <s v="STORE18"/>
    <n v="4"/>
    <n v="475.98"/>
    <n v="0.19"/>
    <x v="1"/>
    <x v="1037"/>
  </r>
  <r>
    <s v="SALE1038"/>
    <d v="2024-09-16T00:00:00"/>
    <s v="CUST1380"/>
    <s v="Shelley Ponce"/>
    <s v="PROD98"/>
    <x v="1"/>
    <s v="STORE15"/>
    <n v="4"/>
    <n v="132.88999999999999"/>
    <n v="0.12"/>
    <x v="0"/>
    <x v="1038"/>
  </r>
  <r>
    <s v="SALE1039"/>
    <d v="2025-07-12T00:00:00"/>
    <s v="CUST1437"/>
    <s v="Melinda Rivera"/>
    <s v="PROD88"/>
    <x v="0"/>
    <s v="STORE12"/>
    <n v="3"/>
    <n v="471.31"/>
    <n v="0"/>
    <x v="1"/>
    <x v="1039"/>
  </r>
  <r>
    <s v="SALE1040"/>
    <d v="2024-05-29T00:00:00"/>
    <s v="CUST1464"/>
    <s v="David Pierce"/>
    <s v="PROD33"/>
    <x v="3"/>
    <s v="STORE14"/>
    <n v="2"/>
    <n v="720.32"/>
    <n v="0.26"/>
    <x v="0"/>
    <x v="1040"/>
  </r>
  <r>
    <s v="SALE1041"/>
    <d v="2024-05-19T00:00:00"/>
    <s v="CUST1075"/>
    <s v="Rhonda Morales"/>
    <s v="PROD16"/>
    <x v="2"/>
    <s v="STORE18"/>
    <n v="4"/>
    <n v="99.92"/>
    <n v="0.11"/>
    <x v="2"/>
    <x v="1041"/>
  </r>
  <r>
    <s v="SALE1042"/>
    <d v="2025-08-04T00:00:00"/>
    <s v="CUST1067"/>
    <s v="Amber Mcclain"/>
    <s v="PROD46"/>
    <x v="4"/>
    <s v="STORE3"/>
    <n v="3"/>
    <n v="900.63"/>
    <n v="0.11"/>
    <x v="2"/>
    <x v="1042"/>
  </r>
  <r>
    <s v="SALE1043"/>
    <d v="2024-12-03T00:00:00"/>
    <s v="CUST1442"/>
    <s v="Kelli Smith"/>
    <s v="PROD56"/>
    <x v="3"/>
    <s v="STORE8"/>
    <n v="1"/>
    <n v="681.72"/>
    <n v="0.11"/>
    <x v="1"/>
    <x v="1043"/>
  </r>
  <r>
    <s v="SALE1044"/>
    <d v="2023-10-23T00:00:00"/>
    <s v="CUST1009"/>
    <s v="Ms. Maria Leach"/>
    <s v="PROD78"/>
    <x v="3"/>
    <s v="STORE13"/>
    <n v="2"/>
    <n v="838.22"/>
    <n v="0.3"/>
    <x v="0"/>
    <x v="1044"/>
  </r>
  <r>
    <s v="SALE1045"/>
    <d v="2025-05-20T00:00:00"/>
    <s v="CUST1194"/>
    <s v="Ashley Ferguson"/>
    <s v="PROD54"/>
    <x v="0"/>
    <s v="STORE12"/>
    <n v="2"/>
    <n v="816.22"/>
    <n v="0.27"/>
    <x v="0"/>
    <x v="1045"/>
  </r>
  <r>
    <s v="SALE1046"/>
    <d v="2024-09-19T00:00:00"/>
    <s v="CUST1380"/>
    <s v="Shelley Ponce"/>
    <s v="PROD98"/>
    <x v="1"/>
    <s v="STORE7"/>
    <n v="2"/>
    <n v="654.12"/>
    <n v="0.27"/>
    <x v="1"/>
    <x v="1046"/>
  </r>
  <r>
    <s v="SALE1047"/>
    <d v="2024-04-03T00:00:00"/>
    <s v="CUST1105"/>
    <s v="Lance Baker"/>
    <s v="PROD39"/>
    <x v="1"/>
    <s v="STORE13"/>
    <n v="4"/>
    <n v="528.22"/>
    <n v="0.2"/>
    <x v="1"/>
    <x v="1047"/>
  </r>
  <r>
    <s v="SALE1048"/>
    <d v="2025-02-16T00:00:00"/>
    <s v="CUST1221"/>
    <s v="Lisa Young"/>
    <s v="PROD83"/>
    <x v="2"/>
    <s v="STORE7"/>
    <n v="4"/>
    <n v="36.72"/>
    <n v="7.0000000000000007E-2"/>
    <x v="2"/>
    <x v="1048"/>
  </r>
  <r>
    <s v="SALE1049"/>
    <d v="2024-09-10T00:00:00"/>
    <s v="CUST1370"/>
    <s v="James Holloway Jr."/>
    <s v="PROD37"/>
    <x v="4"/>
    <s v="STORE19"/>
    <n v="2"/>
    <n v="705.97"/>
    <n v="0.1"/>
    <x v="1"/>
    <x v="1049"/>
  </r>
  <r>
    <s v="SALE1050"/>
    <d v="2025-03-20T00:00:00"/>
    <s v="CUST1023"/>
    <s v="Jonathan Steele"/>
    <s v="PROD68"/>
    <x v="3"/>
    <s v="STORE1"/>
    <n v="2"/>
    <n v="994.29"/>
    <n v="0.01"/>
    <x v="1"/>
    <x v="1050"/>
  </r>
  <r>
    <s v="SALE1051"/>
    <d v="2024-11-12T00:00:00"/>
    <s v="CUST1421"/>
    <s v="Holly Robinson"/>
    <s v="PROD81"/>
    <x v="0"/>
    <s v="STORE18"/>
    <n v="1"/>
    <n v="909.04"/>
    <n v="0.11"/>
    <x v="0"/>
    <x v="1051"/>
  </r>
  <r>
    <s v="SALE1052"/>
    <d v="2024-02-12T00:00:00"/>
    <s v="CUST1349"/>
    <s v="Heather Valenzuela"/>
    <s v="PROD71"/>
    <x v="2"/>
    <s v="STORE11"/>
    <n v="1"/>
    <n v="164.73"/>
    <n v="0.12"/>
    <x v="1"/>
    <x v="1052"/>
  </r>
  <r>
    <s v="SALE1053"/>
    <d v="2025-02-02T00:00:00"/>
    <s v="CUST1062"/>
    <s v="James Bean"/>
    <s v="PROD84"/>
    <x v="3"/>
    <s v="STORE7"/>
    <n v="2"/>
    <n v="606.35"/>
    <n v="0.16"/>
    <x v="2"/>
    <x v="1053"/>
  </r>
  <r>
    <s v="SALE1054"/>
    <d v="2024-07-08T00:00:00"/>
    <s v="CUST1163"/>
    <s v="Joseph Jones"/>
    <s v="PROD97"/>
    <x v="0"/>
    <s v="STORE4"/>
    <n v="3"/>
    <n v="904.19"/>
    <n v="0.09"/>
    <x v="0"/>
    <x v="1054"/>
  </r>
  <r>
    <s v="SALE1055"/>
    <d v="2024-10-11T00:00:00"/>
    <s v="CUST1151"/>
    <s v="Michael Davies"/>
    <s v="PROD24"/>
    <x v="0"/>
    <s v="STORE2"/>
    <n v="4"/>
    <n v="694.61"/>
    <n v="0.18"/>
    <x v="2"/>
    <x v="1055"/>
  </r>
  <r>
    <s v="SALE1056"/>
    <d v="2023-10-16T00:00:00"/>
    <s v="CUST1225"/>
    <s v="Elizabeth Stanley"/>
    <s v="PROD19"/>
    <x v="0"/>
    <s v="STORE2"/>
    <n v="4"/>
    <n v="753.83"/>
    <n v="0.24"/>
    <x v="0"/>
    <x v="1056"/>
  </r>
  <r>
    <s v="SALE1057"/>
    <d v="2024-12-27T00:00:00"/>
    <s v="CUST1197"/>
    <s v="Andrea Jacobs"/>
    <s v="PROD37"/>
    <x v="4"/>
    <s v="STORE8"/>
    <n v="1"/>
    <n v="66.22"/>
    <n v="0.02"/>
    <x v="0"/>
    <x v="1057"/>
  </r>
  <r>
    <s v="SALE1058"/>
    <d v="2023-11-11T00:00:00"/>
    <s v="CUST1337"/>
    <s v="Carol Lewis"/>
    <s v="PROD71"/>
    <x v="2"/>
    <s v="STORE14"/>
    <n v="2"/>
    <n v="891.8"/>
    <n v="0.28999999999999998"/>
    <x v="2"/>
    <x v="1058"/>
  </r>
  <r>
    <s v="SALE1059"/>
    <d v="2024-05-16T00:00:00"/>
    <s v="CUST1363"/>
    <s v="Elizabeth Smith"/>
    <s v="PROD91"/>
    <x v="4"/>
    <s v="STORE9"/>
    <n v="4"/>
    <n v="255.48"/>
    <n v="0.03"/>
    <x v="2"/>
    <x v="1059"/>
  </r>
  <r>
    <s v="SALE1060"/>
    <d v="2024-10-28T00:00:00"/>
    <s v="CUST1301"/>
    <s v="Ryan Kane"/>
    <s v="PROD84"/>
    <x v="3"/>
    <s v="STORE17"/>
    <n v="4"/>
    <n v="604.87"/>
    <n v="0.28000000000000003"/>
    <x v="1"/>
    <x v="1060"/>
  </r>
  <r>
    <s v="SALE1061"/>
    <d v="2024-03-19T00:00:00"/>
    <s v="CUST1045"/>
    <s v="Jordan Jackson Dds"/>
    <s v="PROD33"/>
    <x v="3"/>
    <s v="STORE17"/>
    <n v="3"/>
    <n v="623.82000000000005"/>
    <n v="0.13"/>
    <x v="2"/>
    <x v="1061"/>
  </r>
  <r>
    <s v="SALE1062"/>
    <d v="2025-08-13T00:00:00"/>
    <s v="CUST1138"/>
    <s v="Sean Roth"/>
    <s v="PROD46"/>
    <x v="4"/>
    <s v="STORE16"/>
    <n v="3"/>
    <n v="575.24"/>
    <n v="0.12"/>
    <x v="2"/>
    <x v="1062"/>
  </r>
  <r>
    <s v="SALE1063"/>
    <d v="2025-08-09T00:00:00"/>
    <s v="CUST1414"/>
    <s v="Melissa Valentine"/>
    <s v="PROD4"/>
    <x v="4"/>
    <s v="STORE11"/>
    <n v="1"/>
    <n v="769.4"/>
    <n v="0.16"/>
    <x v="0"/>
    <x v="1063"/>
  </r>
  <r>
    <s v="SALE1064"/>
    <d v="2024-05-08T00:00:00"/>
    <s v="CUST1329"/>
    <s v="Victor Mcintosh"/>
    <s v="PROD57"/>
    <x v="0"/>
    <s v="STORE17"/>
    <n v="1"/>
    <n v="227.28"/>
    <n v="0.13"/>
    <x v="2"/>
    <x v="1064"/>
  </r>
  <r>
    <s v="SALE1065"/>
    <d v="2024-03-10T00:00:00"/>
    <s v="CUST1051"/>
    <s v="Sarah Rodgers"/>
    <s v="PROD21"/>
    <x v="3"/>
    <s v="STORE17"/>
    <n v="4"/>
    <n v="127.58"/>
    <n v="0.15"/>
    <x v="0"/>
    <x v="1065"/>
  </r>
  <r>
    <s v="SALE1066"/>
    <d v="2025-02-14T00:00:00"/>
    <s v="CUST1418"/>
    <s v="Luke Parks"/>
    <s v="PROD89"/>
    <x v="2"/>
    <s v="STORE3"/>
    <n v="1"/>
    <n v="793.21"/>
    <n v="0.09"/>
    <x v="0"/>
    <x v="1066"/>
  </r>
  <r>
    <s v="SALE1067"/>
    <d v="2025-08-02T00:00:00"/>
    <s v="CUST1301"/>
    <s v="Ryan Kane"/>
    <s v="PROD84"/>
    <x v="3"/>
    <s v="STORE12"/>
    <n v="3"/>
    <n v="435.61"/>
    <n v="0.03"/>
    <x v="1"/>
    <x v="1067"/>
  </r>
  <r>
    <s v="SALE1068"/>
    <d v="2024-08-27T00:00:00"/>
    <s v="CUST1385"/>
    <s v="Tammy Brennan"/>
    <s v="PROD68"/>
    <x v="3"/>
    <s v="STORE16"/>
    <n v="1"/>
    <n v="850.06"/>
    <n v="0.28999999999999998"/>
    <x v="1"/>
    <x v="1068"/>
  </r>
  <r>
    <s v="SALE1069"/>
    <d v="2024-02-08T00:00:00"/>
    <s v="CUST1347"/>
    <s v="Justin Mason Dds"/>
    <s v="PROD37"/>
    <x v="4"/>
    <s v="STORE16"/>
    <n v="2"/>
    <n v="753.92"/>
    <n v="0.17"/>
    <x v="1"/>
    <x v="1069"/>
  </r>
  <r>
    <s v="SALE1070"/>
    <d v="2024-01-20T00:00:00"/>
    <s v="CUST1488"/>
    <s v="Zachary Andrade"/>
    <s v="PROD78"/>
    <x v="3"/>
    <s v="STORE13"/>
    <n v="3"/>
    <n v="408.99"/>
    <n v="0.27"/>
    <x v="1"/>
    <x v="1070"/>
  </r>
  <r>
    <s v="SALE1071"/>
    <d v="2024-10-02T00:00:00"/>
    <s v="CUST1285"/>
    <s v="Donna Guerra"/>
    <s v="PROD6"/>
    <x v="2"/>
    <s v="STORE5"/>
    <n v="3"/>
    <n v="404.5"/>
    <n v="0.22"/>
    <x v="1"/>
    <x v="1071"/>
  </r>
  <r>
    <s v="SALE1072"/>
    <d v="2023-11-09T00:00:00"/>
    <s v="CUST1380"/>
    <s v="Shelley Ponce"/>
    <s v="PROD98"/>
    <x v="1"/>
    <s v="STORE3"/>
    <n v="3"/>
    <n v="717.81"/>
    <n v="0.17"/>
    <x v="2"/>
    <x v="1072"/>
  </r>
  <r>
    <s v="SALE1073"/>
    <d v="2023-12-24T00:00:00"/>
    <s v="CUST1251"/>
    <s v="Tyler Garner"/>
    <s v="PROD9"/>
    <x v="0"/>
    <s v="STORE1"/>
    <n v="3"/>
    <n v="204.77"/>
    <n v="0.14000000000000001"/>
    <x v="0"/>
    <x v="1073"/>
  </r>
  <r>
    <s v="SALE1074"/>
    <d v="2025-01-29T00:00:00"/>
    <s v="CUST1039"/>
    <s v="Tonya Reynolds"/>
    <s v="PROD74"/>
    <x v="1"/>
    <s v="STORE18"/>
    <n v="4"/>
    <n v="106.23"/>
    <n v="0.28000000000000003"/>
    <x v="2"/>
    <x v="1074"/>
  </r>
  <r>
    <s v="SALE1075"/>
    <d v="2025-06-16T00:00:00"/>
    <s v="CUST1325"/>
    <s v="Andrew Smith"/>
    <s v="PROD54"/>
    <x v="0"/>
    <s v="STORE5"/>
    <n v="2"/>
    <n v="769.48"/>
    <n v="0.11"/>
    <x v="1"/>
    <x v="1075"/>
  </r>
  <r>
    <s v="SALE1076"/>
    <d v="2025-07-29T00:00:00"/>
    <s v="CUST1255"/>
    <s v="Damon Perez"/>
    <s v="PROD72"/>
    <x v="0"/>
    <s v="STORE13"/>
    <n v="2"/>
    <n v="714.21"/>
    <n v="0.14000000000000001"/>
    <x v="0"/>
    <x v="1076"/>
  </r>
  <r>
    <s v="SALE1077"/>
    <d v="2024-10-13T00:00:00"/>
    <s v="CUST1271"/>
    <s v="Daisy Johnson Dds"/>
    <s v="PROD74"/>
    <x v="1"/>
    <s v="STORE15"/>
    <n v="4"/>
    <n v="632.24"/>
    <n v="0.25"/>
    <x v="1"/>
    <x v="1077"/>
  </r>
  <r>
    <s v="SALE1078"/>
    <d v="2024-10-10T00:00:00"/>
    <s v="CUST1161"/>
    <s v="Cynthia Morris"/>
    <s v="PROD97"/>
    <x v="0"/>
    <s v="STORE3"/>
    <n v="2"/>
    <n v="845.27"/>
    <n v="0.18"/>
    <x v="1"/>
    <x v="1078"/>
  </r>
  <r>
    <s v="SALE1079"/>
    <d v="2025-06-08T00:00:00"/>
    <s v="CUST1497"/>
    <s v="Sarah Marsh"/>
    <s v="PROD33"/>
    <x v="3"/>
    <s v="STORE13"/>
    <n v="1"/>
    <n v="575.94000000000005"/>
    <n v="0.17"/>
    <x v="0"/>
    <x v="1079"/>
  </r>
  <r>
    <s v="SALE1080"/>
    <d v="2024-11-24T00:00:00"/>
    <s v="CUST1251"/>
    <s v="Tyler Garner"/>
    <s v="PROD9"/>
    <x v="0"/>
    <s v="STORE15"/>
    <n v="1"/>
    <n v="907.97"/>
    <n v="0.26"/>
    <x v="2"/>
    <x v="1080"/>
  </r>
  <r>
    <s v="SALE1081"/>
    <d v="2025-02-07T00:00:00"/>
    <s v="CUST1266"/>
    <s v="Cynthia Payne"/>
    <s v="PROD15"/>
    <x v="1"/>
    <s v="STORE12"/>
    <n v="1"/>
    <n v="99.35"/>
    <n v="0.08"/>
    <x v="2"/>
    <x v="1081"/>
  </r>
  <r>
    <s v="SALE1082"/>
    <d v="2024-10-31T00:00:00"/>
    <s v="CUST1071"/>
    <s v="Andrea Perez"/>
    <s v="PROD83"/>
    <x v="2"/>
    <s v="STORE3"/>
    <n v="2"/>
    <n v="374.42"/>
    <n v="0.21"/>
    <x v="2"/>
    <x v="1082"/>
  </r>
  <r>
    <s v="SALE1083"/>
    <d v="2025-07-31T00:00:00"/>
    <s v="CUST1481"/>
    <s v="Bryan Tran"/>
    <s v="PROD62"/>
    <x v="1"/>
    <s v="STORE15"/>
    <n v="3"/>
    <n v="248.43"/>
    <n v="0.24"/>
    <x v="2"/>
    <x v="1083"/>
  </r>
  <r>
    <s v="SALE1084"/>
    <d v="2024-12-05T00:00:00"/>
    <s v="CUST1468"/>
    <s v="Gregory Curtis"/>
    <s v="PROD75"/>
    <x v="4"/>
    <s v="STORE1"/>
    <n v="1"/>
    <n v="784.46"/>
    <n v="0.14000000000000001"/>
    <x v="2"/>
    <x v="1084"/>
  </r>
  <r>
    <s v="SALE1085"/>
    <d v="2024-03-28T00:00:00"/>
    <s v="CUST1259"/>
    <s v="Beth Allen"/>
    <s v="PROD13"/>
    <x v="1"/>
    <s v="STORE10"/>
    <n v="3"/>
    <n v="70.88"/>
    <n v="0.27"/>
    <x v="2"/>
    <x v="1085"/>
  </r>
  <r>
    <s v="SALE1086"/>
    <d v="2024-12-15T00:00:00"/>
    <s v="CUST1110"/>
    <s v="Ashley Griffin"/>
    <s v="PROD8"/>
    <x v="1"/>
    <s v="STORE1"/>
    <n v="3"/>
    <n v="324.29000000000002"/>
    <n v="0.16"/>
    <x v="2"/>
    <x v="1086"/>
  </r>
  <r>
    <s v="SALE1087"/>
    <d v="2025-07-04T00:00:00"/>
    <s v="CUST1141"/>
    <s v="Cristian Wright"/>
    <s v="PROD21"/>
    <x v="3"/>
    <s v="STORE3"/>
    <n v="4"/>
    <n v="243.92"/>
    <n v="0.02"/>
    <x v="1"/>
    <x v="1087"/>
  </r>
  <r>
    <s v="SALE1088"/>
    <d v="2023-11-27T00:00:00"/>
    <s v="CUST1375"/>
    <s v="Joshua Bell"/>
    <s v="PROD28"/>
    <x v="0"/>
    <s v="STORE13"/>
    <n v="1"/>
    <n v="664.35"/>
    <n v="0"/>
    <x v="0"/>
    <x v="1088"/>
  </r>
  <r>
    <s v="SALE1089"/>
    <d v="2024-06-25T00:00:00"/>
    <s v="CUST1384"/>
    <s v="Andrew Mason"/>
    <s v="PROD74"/>
    <x v="1"/>
    <s v="STORE10"/>
    <n v="2"/>
    <n v="218.07"/>
    <n v="0.19"/>
    <x v="1"/>
    <x v="1089"/>
  </r>
  <r>
    <s v="SALE1090"/>
    <d v="2023-10-29T00:00:00"/>
    <s v="CUST1383"/>
    <s v="Kristine Higgins"/>
    <s v="PROD58"/>
    <x v="4"/>
    <s v="STORE3"/>
    <n v="4"/>
    <n v="921.83"/>
    <n v="0.27"/>
    <x v="0"/>
    <x v="1090"/>
  </r>
  <r>
    <s v="SALE1091"/>
    <d v="2025-01-04T00:00:00"/>
    <s v="CUST1168"/>
    <s v="Daniel Contreras"/>
    <s v="PROD72"/>
    <x v="0"/>
    <s v="STORE1"/>
    <n v="3"/>
    <n v="326.2"/>
    <n v="0.22"/>
    <x v="2"/>
    <x v="1091"/>
  </r>
  <r>
    <s v="SALE1092"/>
    <d v="2025-02-13T00:00:00"/>
    <s v="CUST1458"/>
    <s v="Kelly Garrett"/>
    <s v="PROD2"/>
    <x v="4"/>
    <s v="STORE19"/>
    <n v="1"/>
    <n v="244.25"/>
    <n v="0.09"/>
    <x v="1"/>
    <x v="1092"/>
  </r>
  <r>
    <s v="SALE1093"/>
    <d v="2024-06-05T00:00:00"/>
    <s v="CUST1369"/>
    <s v="Gregory Allen"/>
    <s v="PROD33"/>
    <x v="3"/>
    <s v="STORE10"/>
    <n v="3"/>
    <n v="808.87"/>
    <n v="0.12"/>
    <x v="2"/>
    <x v="1093"/>
  </r>
  <r>
    <s v="SALE1094"/>
    <d v="2024-04-05T00:00:00"/>
    <s v="CUST1338"/>
    <s v="Jasmine Snyder"/>
    <s v="PROD86"/>
    <x v="3"/>
    <s v="STORE2"/>
    <n v="3"/>
    <n v="826.15"/>
    <n v="0"/>
    <x v="1"/>
    <x v="1094"/>
  </r>
  <r>
    <s v="SALE1095"/>
    <d v="2024-12-26T00:00:00"/>
    <s v="CUST1187"/>
    <s v="Dr. Suzanne Bullock"/>
    <s v="PROD13"/>
    <x v="1"/>
    <s v="STORE19"/>
    <n v="3"/>
    <n v="631.20000000000005"/>
    <n v="0.24"/>
    <x v="0"/>
    <x v="1095"/>
  </r>
  <r>
    <s v="SALE1096"/>
    <d v="2024-01-25T00:00:00"/>
    <s v="CUST1274"/>
    <s v="Sarah Lane"/>
    <s v="PROD47"/>
    <x v="2"/>
    <s v="STORE10"/>
    <n v="1"/>
    <n v="937.01"/>
    <n v="7.0000000000000007E-2"/>
    <x v="0"/>
    <x v="1096"/>
  </r>
  <r>
    <s v="SALE1097"/>
    <d v="2024-01-25T00:00:00"/>
    <s v="CUST1151"/>
    <s v="Michael Davies"/>
    <s v="PROD24"/>
    <x v="0"/>
    <s v="STORE5"/>
    <n v="2"/>
    <n v="644"/>
    <n v="0.04"/>
    <x v="1"/>
    <x v="1097"/>
  </r>
  <r>
    <s v="SALE1098"/>
    <d v="2025-08-19T00:00:00"/>
    <s v="CUST1094"/>
    <s v="David Patterson"/>
    <s v="PROD39"/>
    <x v="1"/>
    <s v="STORE5"/>
    <n v="3"/>
    <n v="629.58000000000004"/>
    <n v="0.05"/>
    <x v="0"/>
    <x v="1098"/>
  </r>
  <r>
    <s v="SALE1099"/>
    <d v="2025-05-14T00:00:00"/>
    <s v="CUST1466"/>
    <s v="Cynthia Parrish"/>
    <s v="PROD48"/>
    <x v="1"/>
    <s v="STORE2"/>
    <n v="2"/>
    <n v="121.52"/>
    <n v="0.18"/>
    <x v="2"/>
    <x v="1099"/>
  </r>
  <r>
    <s v="SALE1100"/>
    <d v="2024-05-08T00:00:00"/>
    <s v="CUST1401"/>
    <s v="Terry Moses"/>
    <s v="PROD34"/>
    <x v="1"/>
    <s v="STORE19"/>
    <n v="2"/>
    <n v="549.83000000000004"/>
    <n v="7.0000000000000007E-2"/>
    <x v="1"/>
    <x v="1100"/>
  </r>
  <r>
    <s v="SALE1101"/>
    <d v="2023-10-20T00:00:00"/>
    <s v="CUST1140"/>
    <s v="Patty Francis"/>
    <s v="PROD35"/>
    <x v="3"/>
    <s v="STORE8"/>
    <n v="3"/>
    <n v="278.38"/>
    <n v="0.03"/>
    <x v="0"/>
    <x v="1101"/>
  </r>
  <r>
    <s v="SALE1102"/>
    <d v="2024-08-06T00:00:00"/>
    <s v="CUST1437"/>
    <s v="Melinda Rivera"/>
    <s v="PROD88"/>
    <x v="0"/>
    <s v="STORE3"/>
    <n v="4"/>
    <n v="723.66"/>
    <n v="0.03"/>
    <x v="1"/>
    <x v="1102"/>
  </r>
  <r>
    <s v="SALE1103"/>
    <d v="2025-01-30T00:00:00"/>
    <s v="CUST1205"/>
    <s v="Michelle Carpenter"/>
    <s v="PROD84"/>
    <x v="3"/>
    <s v="STORE9"/>
    <n v="1"/>
    <n v="724.74"/>
    <n v="0.15"/>
    <x v="1"/>
    <x v="1103"/>
  </r>
  <r>
    <s v="SALE1104"/>
    <d v="2023-12-11T00:00:00"/>
    <s v="CUST1455"/>
    <s v="Tyler Weber"/>
    <s v="PROD83"/>
    <x v="2"/>
    <s v="STORE4"/>
    <n v="2"/>
    <n v="961.84"/>
    <n v="0.25"/>
    <x v="1"/>
    <x v="1104"/>
  </r>
  <r>
    <s v="SALE1105"/>
    <d v="2024-06-03T00:00:00"/>
    <s v="CUST1020"/>
    <s v="Bridget Allen"/>
    <s v="PROD70"/>
    <x v="3"/>
    <s v="STORE16"/>
    <n v="4"/>
    <n v="21.12"/>
    <n v="0.18"/>
    <x v="2"/>
    <x v="1105"/>
  </r>
  <r>
    <s v="SALE1106"/>
    <d v="2024-10-14T00:00:00"/>
    <s v="CUST1319"/>
    <s v="Casey Simpson"/>
    <s v="PROD49"/>
    <x v="2"/>
    <s v="STORE4"/>
    <n v="3"/>
    <n v="819.93"/>
    <n v="0.08"/>
    <x v="1"/>
    <x v="1106"/>
  </r>
  <r>
    <s v="SALE1107"/>
    <d v="2025-03-09T00:00:00"/>
    <s v="CUST1294"/>
    <s v="Lisa Chandler"/>
    <s v="PROD82"/>
    <x v="0"/>
    <s v="STORE0"/>
    <n v="2"/>
    <n v="700.95"/>
    <n v="0.18"/>
    <x v="0"/>
    <x v="1107"/>
  </r>
  <r>
    <s v="SALE1108"/>
    <d v="2025-09-10T00:00:00"/>
    <s v="CUST1141"/>
    <s v="Cristian Wright"/>
    <s v="PROD21"/>
    <x v="3"/>
    <s v="STORE14"/>
    <n v="2"/>
    <n v="456.38"/>
    <n v="0.12"/>
    <x v="0"/>
    <x v="1108"/>
  </r>
  <r>
    <s v="SALE1109"/>
    <d v="2024-06-04T00:00:00"/>
    <s v="CUST1361"/>
    <s v="Natalie Johnson"/>
    <s v="PROD76"/>
    <x v="1"/>
    <s v="STORE14"/>
    <n v="3"/>
    <n v="291.05"/>
    <n v="0.3"/>
    <x v="0"/>
    <x v="1109"/>
  </r>
  <r>
    <s v="SALE1110"/>
    <d v="2024-01-16T00:00:00"/>
    <s v="CUST1233"/>
    <s v="Michelle Gonzalez"/>
    <s v="PROD88"/>
    <x v="0"/>
    <s v="STORE15"/>
    <n v="2"/>
    <n v="463.52"/>
    <n v="0.27"/>
    <x v="1"/>
    <x v="1110"/>
  </r>
  <r>
    <s v="SALE1111"/>
    <d v="2024-12-27T00:00:00"/>
    <s v="CUST1379"/>
    <s v="Tanya Lopez"/>
    <s v="PROD20"/>
    <x v="0"/>
    <s v="STORE17"/>
    <n v="3"/>
    <n v="241.64"/>
    <n v="0.28999999999999998"/>
    <x v="1"/>
    <x v="1111"/>
  </r>
  <r>
    <s v="SALE1112"/>
    <d v="2025-06-09T00:00:00"/>
    <s v="CUST1483"/>
    <s v="Sarah Smith"/>
    <s v="PROD12"/>
    <x v="2"/>
    <s v="STORE10"/>
    <n v="2"/>
    <n v="47.86"/>
    <n v="0.03"/>
    <x v="1"/>
    <x v="1112"/>
  </r>
  <r>
    <s v="SALE1113"/>
    <d v="2024-08-05T00:00:00"/>
    <s v="CUST1344"/>
    <s v="Evelyn Brown"/>
    <s v="PROD89"/>
    <x v="2"/>
    <s v="STORE3"/>
    <n v="1"/>
    <n v="805.07"/>
    <n v="0.06"/>
    <x v="2"/>
    <x v="1113"/>
  </r>
  <r>
    <s v="SALE1114"/>
    <d v="2025-04-06T00:00:00"/>
    <s v="CUST1373"/>
    <s v="James Orozco"/>
    <s v="PROD72"/>
    <x v="0"/>
    <s v="STORE1"/>
    <n v="3"/>
    <n v="848.48"/>
    <n v="0"/>
    <x v="2"/>
    <x v="1114"/>
  </r>
  <r>
    <s v="SALE1115"/>
    <d v="2024-08-08T00:00:00"/>
    <s v="CUST1244"/>
    <s v="Nancy Page"/>
    <s v="PROD50"/>
    <x v="0"/>
    <s v="STORE8"/>
    <n v="2"/>
    <n v="568.95000000000005"/>
    <n v="0.22"/>
    <x v="0"/>
    <x v="1115"/>
  </r>
  <r>
    <s v="SALE1116"/>
    <d v="2025-04-17T00:00:00"/>
    <s v="CUST1162"/>
    <s v="Mariah Brown"/>
    <s v="PROD99"/>
    <x v="3"/>
    <s v="STORE11"/>
    <n v="3"/>
    <n v="269.83999999999997"/>
    <n v="0.05"/>
    <x v="1"/>
    <x v="1116"/>
  </r>
  <r>
    <s v="SALE1117"/>
    <d v="2025-03-30T00:00:00"/>
    <s v="CUST1309"/>
    <s v="Stacy Collins"/>
    <s v="PROD61"/>
    <x v="0"/>
    <s v="STORE13"/>
    <n v="4"/>
    <n v="267.36"/>
    <n v="0.27"/>
    <x v="1"/>
    <x v="1117"/>
  </r>
  <r>
    <s v="SALE1118"/>
    <d v="2024-12-21T00:00:00"/>
    <s v="CUST1114"/>
    <s v="Ryan Hernandez"/>
    <s v="PROD59"/>
    <x v="2"/>
    <s v="STORE1"/>
    <n v="1"/>
    <n v="438.41"/>
    <n v="0.09"/>
    <x v="0"/>
    <x v="1118"/>
  </r>
  <r>
    <s v="SALE1119"/>
    <d v="2024-05-31T00:00:00"/>
    <s v="CUST1164"/>
    <s v="Daniel Rivas"/>
    <s v="PROD48"/>
    <x v="1"/>
    <s v="STORE18"/>
    <n v="2"/>
    <n v="86.72"/>
    <n v="0.28000000000000003"/>
    <x v="2"/>
    <x v="1119"/>
  </r>
  <r>
    <s v="SALE1120"/>
    <d v="2025-03-06T00:00:00"/>
    <s v="CUST1425"/>
    <s v="Bryce Hawkins"/>
    <s v="PROD75"/>
    <x v="4"/>
    <s v="STORE6"/>
    <n v="4"/>
    <n v="630.21"/>
    <n v="0.14000000000000001"/>
    <x v="2"/>
    <x v="1120"/>
  </r>
  <r>
    <s v="SALE1121"/>
    <d v="2024-10-10T00:00:00"/>
    <s v="CUST1359"/>
    <s v="Melanie Lam"/>
    <s v="PROD59"/>
    <x v="2"/>
    <s v="STORE6"/>
    <n v="3"/>
    <n v="180.84"/>
    <n v="0.03"/>
    <x v="1"/>
    <x v="1121"/>
  </r>
  <r>
    <s v="SALE1122"/>
    <d v="2024-05-29T00:00:00"/>
    <s v="CUST1004"/>
    <s v="Caroline Collins"/>
    <s v="PROD47"/>
    <x v="2"/>
    <s v="STORE16"/>
    <n v="1"/>
    <n v="453.41"/>
    <n v="0.04"/>
    <x v="2"/>
    <x v="1122"/>
  </r>
  <r>
    <s v="SALE1123"/>
    <d v="2025-10-10T00:00:00"/>
    <s v="CUST1024"/>
    <s v="Heather Collins"/>
    <s v="PROD3"/>
    <x v="4"/>
    <s v="STORE6"/>
    <n v="1"/>
    <n v="629.09"/>
    <n v="0.02"/>
    <x v="0"/>
    <x v="1123"/>
  </r>
  <r>
    <s v="SALE1124"/>
    <d v="2024-08-14T00:00:00"/>
    <s v="CUST1022"/>
    <s v="Paul Fox"/>
    <s v="PROD13"/>
    <x v="1"/>
    <s v="STORE2"/>
    <n v="2"/>
    <n v="257.45"/>
    <n v="0"/>
    <x v="2"/>
    <x v="1124"/>
  </r>
  <r>
    <s v="SALE1125"/>
    <d v="2025-07-23T00:00:00"/>
    <s v="CUST1179"/>
    <s v="Nicholas Bradshaw"/>
    <s v="PROD34"/>
    <x v="1"/>
    <s v="STORE15"/>
    <n v="2"/>
    <n v="696.61"/>
    <n v="0.17"/>
    <x v="1"/>
    <x v="1125"/>
  </r>
  <r>
    <s v="SALE1126"/>
    <d v="2024-05-04T00:00:00"/>
    <s v="CUST1373"/>
    <s v="James Orozco"/>
    <s v="PROD72"/>
    <x v="0"/>
    <s v="STORE7"/>
    <n v="2"/>
    <n v="143.79"/>
    <n v="0.1"/>
    <x v="1"/>
    <x v="1126"/>
  </r>
  <r>
    <s v="SALE1127"/>
    <d v="2024-11-12T00:00:00"/>
    <s v="CUST1296"/>
    <s v="Jared Moran"/>
    <s v="PROD14"/>
    <x v="3"/>
    <s v="STORE1"/>
    <n v="3"/>
    <n v="460.93"/>
    <n v="0.19"/>
    <x v="2"/>
    <x v="1127"/>
  </r>
  <r>
    <s v="SALE1128"/>
    <d v="2024-01-10T00:00:00"/>
    <s v="CUST1499"/>
    <s v="Philip Pennington"/>
    <s v="PROD55"/>
    <x v="3"/>
    <s v="STORE9"/>
    <n v="2"/>
    <n v="67.55"/>
    <n v="0.03"/>
    <x v="0"/>
    <x v="1128"/>
  </r>
  <r>
    <s v="SALE1129"/>
    <d v="2024-05-21T00:00:00"/>
    <s v="CUST1210"/>
    <s v="Antonio Jones"/>
    <s v="PROD60"/>
    <x v="2"/>
    <s v="STORE1"/>
    <n v="3"/>
    <n v="803.31"/>
    <n v="0.1"/>
    <x v="1"/>
    <x v="1129"/>
  </r>
  <r>
    <s v="SALE1130"/>
    <d v="2025-06-13T00:00:00"/>
    <s v="CUST1432"/>
    <s v="Summer Weiss"/>
    <s v="PROD16"/>
    <x v="2"/>
    <s v="STORE13"/>
    <n v="4"/>
    <n v="254.71"/>
    <n v="0.2"/>
    <x v="2"/>
    <x v="1130"/>
  </r>
  <r>
    <s v="SALE1131"/>
    <d v="2024-08-04T00:00:00"/>
    <s v="CUST1051"/>
    <s v="Sarah Rodgers"/>
    <s v="PROD21"/>
    <x v="3"/>
    <s v="STORE4"/>
    <n v="4"/>
    <n v="594.89"/>
    <n v="0.3"/>
    <x v="1"/>
    <x v="1131"/>
  </r>
  <r>
    <s v="SALE1132"/>
    <d v="2025-07-16T00:00:00"/>
    <s v="CUST1219"/>
    <s v="Jordan Wells"/>
    <s v="PROD37"/>
    <x v="4"/>
    <s v="STORE0"/>
    <n v="2"/>
    <n v="844.31"/>
    <n v="7.0000000000000007E-2"/>
    <x v="1"/>
    <x v="1132"/>
  </r>
  <r>
    <s v="SALE1133"/>
    <d v="2024-10-04T00:00:00"/>
    <s v="CUST1134"/>
    <s v="Morgan Bowen"/>
    <s v="PROD70"/>
    <x v="3"/>
    <s v="STORE6"/>
    <n v="4"/>
    <n v="101.33"/>
    <n v="0"/>
    <x v="0"/>
    <x v="1133"/>
  </r>
  <r>
    <s v="SALE1134"/>
    <d v="2025-06-16T00:00:00"/>
    <s v="CUST1131"/>
    <s v="Joseph Richards"/>
    <s v="PROD56"/>
    <x v="3"/>
    <s v="STORE8"/>
    <n v="3"/>
    <n v="922.56"/>
    <n v="0.18"/>
    <x v="1"/>
    <x v="1134"/>
  </r>
  <r>
    <s v="SALE1135"/>
    <d v="2024-03-01T00:00:00"/>
    <s v="CUST1432"/>
    <s v="Summer Weiss"/>
    <s v="PROD16"/>
    <x v="2"/>
    <s v="STORE14"/>
    <n v="4"/>
    <n v="867.19"/>
    <n v="7.0000000000000007E-2"/>
    <x v="2"/>
    <x v="1135"/>
  </r>
  <r>
    <s v="SALE1136"/>
    <d v="2024-06-11T00:00:00"/>
    <s v="CUST1006"/>
    <s v="Amber Jackson"/>
    <s v="PROD93"/>
    <x v="1"/>
    <s v="STORE17"/>
    <n v="3"/>
    <n v="816.87"/>
    <n v="0.14000000000000001"/>
    <x v="1"/>
    <x v="1136"/>
  </r>
  <r>
    <s v="SALE1137"/>
    <d v="2025-09-24T00:00:00"/>
    <s v="CUST1480"/>
    <s v="Jordan Medina"/>
    <s v="PROD65"/>
    <x v="0"/>
    <s v="STORE3"/>
    <n v="3"/>
    <n v="258.06"/>
    <n v="0"/>
    <x v="1"/>
    <x v="1137"/>
  </r>
  <r>
    <s v="SALE1138"/>
    <d v="2025-02-06T00:00:00"/>
    <s v="CUST1312"/>
    <s v="Jason Mullins"/>
    <s v="PROD74"/>
    <x v="1"/>
    <s v="STORE14"/>
    <n v="2"/>
    <n v="574.58000000000004"/>
    <n v="0.06"/>
    <x v="0"/>
    <x v="1138"/>
  </r>
  <r>
    <s v="SALE1139"/>
    <d v="2024-10-22T00:00:00"/>
    <s v="CUST1022"/>
    <s v="Paul Fox"/>
    <s v="PROD13"/>
    <x v="1"/>
    <s v="STORE6"/>
    <n v="2"/>
    <n v="472.18"/>
    <n v="0.27"/>
    <x v="1"/>
    <x v="1139"/>
  </r>
  <r>
    <s v="SALE1140"/>
    <d v="2024-09-21T00:00:00"/>
    <s v="CUST1340"/>
    <s v="Eric Davis"/>
    <s v="PROD41"/>
    <x v="0"/>
    <s v="STORE5"/>
    <n v="2"/>
    <n v="20.47"/>
    <n v="0.12"/>
    <x v="2"/>
    <x v="1140"/>
  </r>
  <r>
    <s v="SALE1141"/>
    <d v="2025-09-23T00:00:00"/>
    <s v="CUST1023"/>
    <s v="Jonathan Steele"/>
    <s v="PROD68"/>
    <x v="3"/>
    <s v="STORE7"/>
    <n v="3"/>
    <n v="235.41"/>
    <n v="0.15"/>
    <x v="1"/>
    <x v="1141"/>
  </r>
  <r>
    <s v="SALE1142"/>
    <d v="2025-06-03T00:00:00"/>
    <s v="CUST1230"/>
    <s v="Timothy Sanders"/>
    <s v="PROD68"/>
    <x v="3"/>
    <s v="STORE7"/>
    <n v="3"/>
    <n v="744.9"/>
    <n v="0.27"/>
    <x v="1"/>
    <x v="1142"/>
  </r>
  <r>
    <s v="SALE1143"/>
    <d v="2024-09-24T00:00:00"/>
    <s v="CUST1047"/>
    <s v="Gina Knight"/>
    <s v="PROD64"/>
    <x v="2"/>
    <s v="STORE3"/>
    <n v="2"/>
    <n v="382.2"/>
    <n v="0.15"/>
    <x v="0"/>
    <x v="1143"/>
  </r>
  <r>
    <s v="SALE1144"/>
    <d v="2025-08-12T00:00:00"/>
    <s v="CUST1346"/>
    <s v="John Jordan"/>
    <s v="PROD76"/>
    <x v="1"/>
    <s v="STORE16"/>
    <n v="1"/>
    <n v="269.25"/>
    <n v="0.14000000000000001"/>
    <x v="1"/>
    <x v="1144"/>
  </r>
  <r>
    <s v="SALE1145"/>
    <d v="2024-03-16T00:00:00"/>
    <s v="CUST1365"/>
    <s v="Brandon Mcbride"/>
    <s v="PROD45"/>
    <x v="0"/>
    <s v="STORE11"/>
    <n v="2"/>
    <n v="723.75"/>
    <n v="0.03"/>
    <x v="1"/>
    <x v="1145"/>
  </r>
  <r>
    <s v="SALE1146"/>
    <d v="2025-06-24T00:00:00"/>
    <s v="CUST1281"/>
    <s v="Brittany Watson"/>
    <s v="PROD55"/>
    <x v="3"/>
    <s v="STORE19"/>
    <n v="4"/>
    <n v="58.92"/>
    <n v="0.18"/>
    <x v="0"/>
    <x v="1146"/>
  </r>
  <r>
    <s v="SALE1147"/>
    <d v="2024-05-26T00:00:00"/>
    <s v="CUST1188"/>
    <s v="Kimberly Brooks"/>
    <s v="PROD30"/>
    <x v="3"/>
    <s v="STORE10"/>
    <n v="2"/>
    <n v="913.08"/>
    <n v="0.26"/>
    <x v="0"/>
    <x v="1147"/>
  </r>
  <r>
    <s v="SALE1148"/>
    <d v="2025-02-03T00:00:00"/>
    <s v="CUST1242"/>
    <s v="William Jackson"/>
    <s v="PROD81"/>
    <x v="0"/>
    <s v="STORE1"/>
    <n v="1"/>
    <n v="791.83"/>
    <n v="0.28000000000000003"/>
    <x v="1"/>
    <x v="1148"/>
  </r>
  <r>
    <s v="SALE1149"/>
    <d v="2024-08-02T00:00:00"/>
    <s v="CUST1471"/>
    <s v="Debra Mccullough"/>
    <s v="PROD17"/>
    <x v="0"/>
    <s v="STORE15"/>
    <n v="1"/>
    <n v="74.290000000000006"/>
    <n v="0.3"/>
    <x v="2"/>
    <x v="1149"/>
  </r>
  <r>
    <s v="SALE1150"/>
    <d v="2023-11-21T00:00:00"/>
    <s v="CUST1243"/>
    <s v="Brian Hammond"/>
    <s v="PROD69"/>
    <x v="4"/>
    <s v="STORE0"/>
    <n v="2"/>
    <n v="961.68"/>
    <n v="0.27"/>
    <x v="1"/>
    <x v="1150"/>
  </r>
  <r>
    <s v="SALE1151"/>
    <d v="2025-03-06T00:00:00"/>
    <s v="CUST1494"/>
    <s v="Justin Lopez"/>
    <s v="PROD28"/>
    <x v="0"/>
    <s v="STORE14"/>
    <n v="1"/>
    <n v="90.72"/>
    <n v="0.1"/>
    <x v="1"/>
    <x v="1151"/>
  </r>
  <r>
    <s v="SALE1152"/>
    <d v="2025-02-01T00:00:00"/>
    <s v="CUST1060"/>
    <s v="Dr. David Smith"/>
    <s v="PROD38"/>
    <x v="0"/>
    <s v="STORE7"/>
    <n v="1"/>
    <n v="458.69"/>
    <n v="0.16"/>
    <x v="1"/>
    <x v="1152"/>
  </r>
  <r>
    <s v="SALE1153"/>
    <d v="2024-02-24T00:00:00"/>
    <s v="CUST1231"/>
    <s v="Timothy Juarez"/>
    <s v="PROD31"/>
    <x v="0"/>
    <s v="STORE7"/>
    <n v="1"/>
    <n v="168.29"/>
    <n v="0.05"/>
    <x v="1"/>
    <x v="1153"/>
  </r>
  <r>
    <s v="SALE1154"/>
    <d v="2024-09-14T00:00:00"/>
    <s v="CUST1211"/>
    <s v="Rodney Huffman"/>
    <s v="PROD85"/>
    <x v="4"/>
    <s v="STORE17"/>
    <n v="1"/>
    <n v="391.77"/>
    <n v="0.1"/>
    <x v="1"/>
    <x v="1154"/>
  </r>
  <r>
    <s v="SALE1155"/>
    <d v="2025-08-31T00:00:00"/>
    <s v="CUST1343"/>
    <s v="Ryan Moore"/>
    <s v="PROD17"/>
    <x v="0"/>
    <s v="STORE14"/>
    <n v="1"/>
    <n v="424.83"/>
    <n v="0.05"/>
    <x v="2"/>
    <x v="1155"/>
  </r>
  <r>
    <s v="SALE1156"/>
    <d v="2024-01-17T00:00:00"/>
    <s v="CUST1053"/>
    <s v="Sharon Brown"/>
    <s v="PROD37"/>
    <x v="4"/>
    <s v="STORE3"/>
    <n v="1"/>
    <n v="499.46"/>
    <n v="0.1"/>
    <x v="0"/>
    <x v="1156"/>
  </r>
  <r>
    <s v="SALE1157"/>
    <d v="2024-02-14T00:00:00"/>
    <s v="CUST1019"/>
    <s v="Michael Torres"/>
    <s v="PROD76"/>
    <x v="1"/>
    <s v="STORE1"/>
    <n v="2"/>
    <n v="698.34"/>
    <n v="0.15"/>
    <x v="1"/>
    <x v="1157"/>
  </r>
  <r>
    <s v="SALE1158"/>
    <d v="2023-10-14T00:00:00"/>
    <s v="CUST1283"/>
    <s v="Bryan Garcia"/>
    <s v="PROD70"/>
    <x v="3"/>
    <s v="STORE16"/>
    <n v="2"/>
    <n v="805.08"/>
    <n v="0.27"/>
    <x v="1"/>
    <x v="1158"/>
  </r>
  <r>
    <s v="SALE1159"/>
    <d v="2025-03-26T00:00:00"/>
    <s v="CUST1466"/>
    <s v="Cynthia Parrish"/>
    <s v="PROD48"/>
    <x v="1"/>
    <s v="STORE2"/>
    <n v="4"/>
    <n v="934.79"/>
    <n v="0.08"/>
    <x v="1"/>
    <x v="1159"/>
  </r>
  <r>
    <s v="SALE1160"/>
    <d v="2025-10-02T00:00:00"/>
    <s v="CUST1019"/>
    <s v="Michael Torres"/>
    <s v="PROD76"/>
    <x v="1"/>
    <s v="STORE1"/>
    <n v="2"/>
    <n v="424.54"/>
    <n v="0.24"/>
    <x v="1"/>
    <x v="1160"/>
  </r>
  <r>
    <s v="SALE1161"/>
    <d v="2024-06-19T00:00:00"/>
    <s v="CUST1327"/>
    <s v="Reginald Willis"/>
    <s v="PROD1"/>
    <x v="4"/>
    <s v="STORE17"/>
    <n v="1"/>
    <n v="235.44"/>
    <n v="0.19"/>
    <x v="2"/>
    <x v="1161"/>
  </r>
  <r>
    <s v="SALE1162"/>
    <d v="2024-10-03T00:00:00"/>
    <s v="CUST1271"/>
    <s v="Daisy Johnson Dds"/>
    <s v="PROD74"/>
    <x v="1"/>
    <s v="STORE13"/>
    <n v="2"/>
    <n v="620.71"/>
    <n v="0.27"/>
    <x v="0"/>
    <x v="1162"/>
  </r>
  <r>
    <s v="SALE1163"/>
    <d v="2024-04-15T00:00:00"/>
    <s v="CUST1115"/>
    <s v="Tyler Conrad"/>
    <s v="PROD21"/>
    <x v="3"/>
    <s v="STORE11"/>
    <n v="2"/>
    <n v="851.77"/>
    <n v="0.13"/>
    <x v="1"/>
    <x v="1163"/>
  </r>
  <r>
    <s v="SALE1164"/>
    <d v="2024-10-04T00:00:00"/>
    <s v="CUST1168"/>
    <s v="Daniel Contreras"/>
    <s v="PROD72"/>
    <x v="0"/>
    <s v="STORE1"/>
    <n v="3"/>
    <n v="876.01"/>
    <n v="0.2"/>
    <x v="0"/>
    <x v="1164"/>
  </r>
  <r>
    <s v="SALE1165"/>
    <d v="2024-03-02T00:00:00"/>
    <s v="CUST1276"/>
    <s v="Arthur Warren"/>
    <s v="PROD65"/>
    <x v="0"/>
    <s v="STORE9"/>
    <n v="2"/>
    <n v="717.21"/>
    <n v="0.15"/>
    <x v="2"/>
    <x v="1165"/>
  </r>
  <r>
    <s v="SALE1166"/>
    <d v="2024-02-21T00:00:00"/>
    <s v="CUST1056"/>
    <s v="Christopher Sutton"/>
    <s v="PROD49"/>
    <x v="2"/>
    <s v="STORE8"/>
    <n v="2"/>
    <n v="871.43"/>
    <n v="0.05"/>
    <x v="0"/>
    <x v="1166"/>
  </r>
  <r>
    <s v="SALE1167"/>
    <d v="2024-01-30T00:00:00"/>
    <s v="CUST1453"/>
    <s v="April Phillips"/>
    <s v="PROD12"/>
    <x v="2"/>
    <s v="STORE7"/>
    <n v="1"/>
    <n v="514.65"/>
    <n v="0.18"/>
    <x v="0"/>
    <x v="1167"/>
  </r>
  <r>
    <s v="SALE1168"/>
    <d v="2024-12-24T00:00:00"/>
    <s v="CUST1459"/>
    <s v="John Perez"/>
    <s v="PROD54"/>
    <x v="0"/>
    <s v="STORE16"/>
    <n v="3"/>
    <n v="198.76"/>
    <n v="0.28000000000000003"/>
    <x v="2"/>
    <x v="1168"/>
  </r>
  <r>
    <s v="SALE1169"/>
    <d v="2025-06-03T00:00:00"/>
    <s v="CUST1225"/>
    <s v="Elizabeth Stanley"/>
    <s v="PROD19"/>
    <x v="0"/>
    <s v="STORE3"/>
    <n v="2"/>
    <n v="975.72"/>
    <n v="0.16"/>
    <x v="2"/>
    <x v="1169"/>
  </r>
  <r>
    <s v="SALE1170"/>
    <d v="2024-08-01T00:00:00"/>
    <s v="CUST1420"/>
    <s v="Dr. Tamara White Md"/>
    <s v="PROD21"/>
    <x v="3"/>
    <s v="STORE1"/>
    <n v="1"/>
    <n v="86.03"/>
    <n v="0.01"/>
    <x v="0"/>
    <x v="1170"/>
  </r>
  <r>
    <s v="SALE1171"/>
    <d v="2025-08-28T00:00:00"/>
    <s v="CUST1087"/>
    <s v="Melissa Duffy Md"/>
    <s v="PROD76"/>
    <x v="1"/>
    <s v="STORE12"/>
    <n v="4"/>
    <n v="705.12"/>
    <n v="0.15"/>
    <x v="1"/>
    <x v="1171"/>
  </r>
  <r>
    <s v="SALE1172"/>
    <d v="2024-11-06T00:00:00"/>
    <s v="CUST1371"/>
    <s v="Michael Garner"/>
    <s v="PROD67"/>
    <x v="1"/>
    <s v="STORE12"/>
    <n v="3"/>
    <n v="99.77"/>
    <n v="0.01"/>
    <x v="1"/>
    <x v="1172"/>
  </r>
  <r>
    <s v="SALE1173"/>
    <d v="2024-08-26T00:00:00"/>
    <s v="CUST1209"/>
    <s v="Joan Johnson"/>
    <s v="PROD42"/>
    <x v="1"/>
    <s v="STORE9"/>
    <n v="2"/>
    <n v="166.26"/>
    <n v="0.14000000000000001"/>
    <x v="1"/>
    <x v="1173"/>
  </r>
  <r>
    <s v="SALE1174"/>
    <d v="2025-03-13T00:00:00"/>
    <s v="CUST1459"/>
    <s v="John Perez"/>
    <s v="PROD54"/>
    <x v="0"/>
    <s v="STORE5"/>
    <n v="1"/>
    <n v="429.25"/>
    <n v="0.28999999999999998"/>
    <x v="0"/>
    <x v="1174"/>
  </r>
  <r>
    <s v="SALE1175"/>
    <d v="2024-06-25T00:00:00"/>
    <s v="CUST1443"/>
    <s v="Adam Castro"/>
    <s v="PROD34"/>
    <x v="1"/>
    <s v="STORE9"/>
    <n v="2"/>
    <n v="540.48"/>
    <n v="0.28999999999999998"/>
    <x v="0"/>
    <x v="1175"/>
  </r>
  <r>
    <s v="SALE1176"/>
    <d v="2025-10-06T00:00:00"/>
    <s v="CUST1269"/>
    <s v="Tyrone Olson"/>
    <s v="PROD77"/>
    <x v="1"/>
    <s v="STORE14"/>
    <n v="2"/>
    <n v="579.52"/>
    <n v="0.01"/>
    <x v="1"/>
    <x v="1176"/>
  </r>
  <r>
    <s v="SALE1177"/>
    <d v="2024-11-26T00:00:00"/>
    <s v="CUST1026"/>
    <s v="Amber Carlson"/>
    <s v="PROD1"/>
    <x v="4"/>
    <s v="STORE17"/>
    <n v="4"/>
    <n v="477.52"/>
    <n v="7.0000000000000007E-2"/>
    <x v="1"/>
    <x v="1177"/>
  </r>
  <r>
    <s v="SALE1178"/>
    <d v="2025-02-17T00:00:00"/>
    <s v="CUST1259"/>
    <s v="Beth Allen"/>
    <s v="PROD13"/>
    <x v="1"/>
    <s v="STORE6"/>
    <n v="3"/>
    <n v="242.58"/>
    <n v="0.25"/>
    <x v="0"/>
    <x v="1178"/>
  </r>
  <r>
    <s v="SALE1179"/>
    <d v="2023-11-20T00:00:00"/>
    <s v="CUST1367"/>
    <s v="Melinda Johnson"/>
    <s v="PROD89"/>
    <x v="2"/>
    <s v="STORE17"/>
    <n v="2"/>
    <n v="519.29999999999995"/>
    <n v="0.09"/>
    <x v="1"/>
    <x v="1179"/>
  </r>
  <r>
    <s v="SALE1180"/>
    <d v="2025-01-27T00:00:00"/>
    <s v="CUST1491"/>
    <s v="Kaitlin Brown"/>
    <s v="PROD9"/>
    <x v="0"/>
    <s v="STORE11"/>
    <n v="3"/>
    <n v="845.67"/>
    <n v="0.12"/>
    <x v="2"/>
    <x v="1180"/>
  </r>
  <r>
    <s v="SALE1181"/>
    <d v="2024-04-13T00:00:00"/>
    <s v="CUST1305"/>
    <s v="Roberta Green"/>
    <s v="PROD28"/>
    <x v="0"/>
    <s v="STORE16"/>
    <n v="4"/>
    <n v="750.26"/>
    <n v="0.01"/>
    <x v="1"/>
    <x v="1181"/>
  </r>
  <r>
    <s v="SALE1182"/>
    <d v="2024-03-31T00:00:00"/>
    <s v="CUST1332"/>
    <s v="Dr. Lindsay Hanna"/>
    <s v="PROD32"/>
    <x v="2"/>
    <s v="STORE12"/>
    <n v="4"/>
    <n v="294.38"/>
    <n v="0.2"/>
    <x v="0"/>
    <x v="1182"/>
  </r>
  <r>
    <s v="SALE1183"/>
    <d v="2025-09-19T00:00:00"/>
    <s v="CUST1097"/>
    <s v="David Cobb"/>
    <s v="PROD80"/>
    <x v="3"/>
    <s v="STORE2"/>
    <n v="3"/>
    <n v="583.52"/>
    <n v="7.0000000000000007E-2"/>
    <x v="1"/>
    <x v="1183"/>
  </r>
  <r>
    <s v="SALE1184"/>
    <d v="2024-06-10T00:00:00"/>
    <s v="CUST1470"/>
    <s v="Manuel Fisher"/>
    <s v="PROD59"/>
    <x v="2"/>
    <s v="STORE16"/>
    <n v="2"/>
    <n v="635.22"/>
    <n v="0.3"/>
    <x v="2"/>
    <x v="1184"/>
  </r>
  <r>
    <s v="SALE1185"/>
    <d v="2024-01-22T00:00:00"/>
    <s v="CUST1428"/>
    <s v="Samuel Mullins"/>
    <s v="PROD63"/>
    <x v="2"/>
    <s v="STORE2"/>
    <n v="1"/>
    <n v="743.55"/>
    <n v="0.11"/>
    <x v="2"/>
    <x v="1185"/>
  </r>
  <r>
    <s v="SALE1186"/>
    <d v="2024-03-26T00:00:00"/>
    <s v="CUST1101"/>
    <s v="Colleen Maynard"/>
    <s v="PROD89"/>
    <x v="2"/>
    <s v="STORE3"/>
    <n v="4"/>
    <n v="530.45000000000005"/>
    <n v="0.13"/>
    <x v="0"/>
    <x v="1186"/>
  </r>
  <r>
    <s v="SALE1187"/>
    <d v="2024-03-20T00:00:00"/>
    <s v="CUST1264"/>
    <s v="Matthew Payne"/>
    <s v="PROD22"/>
    <x v="0"/>
    <s v="STORE9"/>
    <n v="2"/>
    <n v="972.4"/>
    <n v="0.06"/>
    <x v="2"/>
    <x v="1187"/>
  </r>
  <r>
    <s v="SALE1188"/>
    <d v="2025-05-20T00:00:00"/>
    <s v="CUST1378"/>
    <s v="Frank Stewart"/>
    <s v="PROD91"/>
    <x v="4"/>
    <s v="STORE18"/>
    <n v="3"/>
    <n v="197.93"/>
    <n v="0"/>
    <x v="2"/>
    <x v="1188"/>
  </r>
  <r>
    <s v="SALE1189"/>
    <d v="2024-10-10T00:00:00"/>
    <s v="CUST1342"/>
    <s v="Michelle Cunningham"/>
    <s v="PROD61"/>
    <x v="0"/>
    <s v="STORE11"/>
    <n v="4"/>
    <n v="565.51"/>
    <n v="0.16"/>
    <x v="1"/>
    <x v="1189"/>
  </r>
  <r>
    <s v="SALE1190"/>
    <d v="2024-10-01T00:00:00"/>
    <s v="CUST1400"/>
    <s v="Mark Rogers"/>
    <s v="PROD39"/>
    <x v="1"/>
    <s v="STORE4"/>
    <n v="4"/>
    <n v="983.38"/>
    <n v="0.25"/>
    <x v="2"/>
    <x v="1190"/>
  </r>
  <r>
    <s v="SALE1191"/>
    <d v="2023-11-22T00:00:00"/>
    <s v="CUST1234"/>
    <s v="Nathaniel Hill"/>
    <s v="PROD98"/>
    <x v="1"/>
    <s v="STORE9"/>
    <n v="1"/>
    <n v="955.06"/>
    <n v="0.14000000000000001"/>
    <x v="0"/>
    <x v="1191"/>
  </r>
  <r>
    <s v="SALE1192"/>
    <d v="2025-02-05T00:00:00"/>
    <s v="CUST1352"/>
    <s v="Michael Greene"/>
    <s v="PROD43"/>
    <x v="1"/>
    <s v="STORE15"/>
    <n v="3"/>
    <n v="597.46"/>
    <n v="0.02"/>
    <x v="1"/>
    <x v="1192"/>
  </r>
  <r>
    <s v="SALE1193"/>
    <d v="2024-06-03T00:00:00"/>
    <s v="CUST1317"/>
    <s v="Tiffany Williams"/>
    <s v="PROD10"/>
    <x v="3"/>
    <s v="STORE16"/>
    <n v="3"/>
    <n v="581.09"/>
    <n v="0.1"/>
    <x v="2"/>
    <x v="1193"/>
  </r>
  <r>
    <s v="SALE1194"/>
    <d v="2025-07-24T00:00:00"/>
    <s v="CUST1054"/>
    <s v="Katherine Dorsey"/>
    <s v="PROD88"/>
    <x v="0"/>
    <s v="STORE4"/>
    <n v="4"/>
    <n v="153.94999999999999"/>
    <n v="0.11"/>
    <x v="1"/>
    <x v="1194"/>
  </r>
  <r>
    <s v="SALE1195"/>
    <d v="2024-08-26T00:00:00"/>
    <s v="CUST1081"/>
    <s v="Krystal Ford"/>
    <s v="PROD45"/>
    <x v="0"/>
    <s v="STORE8"/>
    <n v="4"/>
    <n v="271.04000000000002"/>
    <n v="0.12"/>
    <x v="2"/>
    <x v="1195"/>
  </r>
  <r>
    <s v="SALE1196"/>
    <d v="2024-09-23T00:00:00"/>
    <s v="CUST1015"/>
    <s v="Laura Alvarez"/>
    <s v="PROD18"/>
    <x v="4"/>
    <s v="STORE6"/>
    <n v="4"/>
    <n v="328.27"/>
    <n v="0.09"/>
    <x v="1"/>
    <x v="1196"/>
  </r>
  <r>
    <s v="SALE1197"/>
    <d v="2024-06-29T00:00:00"/>
    <s v="CUST1494"/>
    <s v="Justin Lopez"/>
    <s v="PROD28"/>
    <x v="0"/>
    <s v="STORE14"/>
    <n v="4"/>
    <n v="884.71"/>
    <n v="0.09"/>
    <x v="1"/>
    <x v="1197"/>
  </r>
  <r>
    <s v="SALE1198"/>
    <d v="2025-06-01T00:00:00"/>
    <s v="CUST1249"/>
    <s v="Lauren George"/>
    <s v="PROD19"/>
    <x v="0"/>
    <s v="STORE4"/>
    <n v="1"/>
    <n v="41.39"/>
    <n v="0.01"/>
    <x v="0"/>
    <x v="1198"/>
  </r>
  <r>
    <s v="SALE1199"/>
    <d v="2025-05-06T00:00:00"/>
    <s v="CUST1165"/>
    <s v="Jason Wheeler"/>
    <s v="PROD27"/>
    <x v="3"/>
    <s v="STORE9"/>
    <n v="4"/>
    <n v="64.06"/>
    <n v="0.26"/>
    <x v="0"/>
    <x v="1199"/>
  </r>
  <r>
    <s v="SALE1200"/>
    <d v="2025-07-11T00:00:00"/>
    <s v="CUST1346"/>
    <s v="John Jordan"/>
    <s v="PROD76"/>
    <x v="1"/>
    <s v="STORE9"/>
    <n v="2"/>
    <n v="152.25"/>
    <n v="0.13"/>
    <x v="0"/>
    <x v="1200"/>
  </r>
  <r>
    <s v="SALE1201"/>
    <d v="2023-12-21T00:00:00"/>
    <s v="CUST1100"/>
    <s v="Diane Watson"/>
    <s v="PROD24"/>
    <x v="0"/>
    <s v="STORE19"/>
    <n v="2"/>
    <n v="889.04"/>
    <n v="0.23"/>
    <x v="0"/>
    <x v="1201"/>
  </r>
  <r>
    <s v="SALE1202"/>
    <d v="2024-01-31T00:00:00"/>
    <s v="CUST1161"/>
    <s v="Cynthia Morris"/>
    <s v="PROD97"/>
    <x v="0"/>
    <s v="STORE10"/>
    <n v="3"/>
    <n v="145.25"/>
    <n v="0.24"/>
    <x v="1"/>
    <x v="1202"/>
  </r>
  <r>
    <s v="SALE1203"/>
    <d v="2024-09-25T00:00:00"/>
    <s v="CUST1056"/>
    <s v="Christopher Sutton"/>
    <s v="PROD49"/>
    <x v="2"/>
    <s v="STORE2"/>
    <n v="2"/>
    <n v="898.45"/>
    <n v="0.28999999999999998"/>
    <x v="2"/>
    <x v="1203"/>
  </r>
  <r>
    <s v="SALE1204"/>
    <d v="2025-09-05T00:00:00"/>
    <s v="CUST1030"/>
    <s v="Jessica Acevedo"/>
    <s v="PROD35"/>
    <x v="3"/>
    <s v="STORE15"/>
    <n v="4"/>
    <n v="642.04999999999995"/>
    <n v="0.25"/>
    <x v="0"/>
    <x v="1204"/>
  </r>
  <r>
    <s v="SALE1205"/>
    <d v="2024-08-27T00:00:00"/>
    <s v="CUST1313"/>
    <s v="Elizabeth Jones"/>
    <s v="PROD84"/>
    <x v="3"/>
    <s v="STORE7"/>
    <n v="4"/>
    <n v="450.83"/>
    <n v="0.24"/>
    <x v="0"/>
    <x v="1205"/>
  </r>
  <r>
    <s v="SALE1206"/>
    <d v="2023-10-17T00:00:00"/>
    <s v="CUST1010"/>
    <s v="Dominic Page"/>
    <s v="PROD33"/>
    <x v="3"/>
    <s v="STORE19"/>
    <n v="2"/>
    <n v="441.03"/>
    <n v="0.23"/>
    <x v="2"/>
    <x v="1206"/>
  </r>
  <r>
    <s v="SALE1207"/>
    <d v="2024-04-02T00:00:00"/>
    <s v="CUST1082"/>
    <s v="George Rosario"/>
    <s v="PROD92"/>
    <x v="3"/>
    <s v="STORE2"/>
    <n v="3"/>
    <n v="377.69"/>
    <n v="7.0000000000000007E-2"/>
    <x v="1"/>
    <x v="1207"/>
  </r>
  <r>
    <s v="SALE1208"/>
    <d v="2024-05-04T00:00:00"/>
    <s v="CUST1160"/>
    <s v="John Lawson"/>
    <s v="PROD47"/>
    <x v="2"/>
    <s v="STORE7"/>
    <n v="1"/>
    <n v="457.33"/>
    <n v="0.27"/>
    <x v="0"/>
    <x v="1208"/>
  </r>
  <r>
    <s v="SALE1209"/>
    <d v="2025-08-11T00:00:00"/>
    <s v="CUST1244"/>
    <s v="Nancy Page"/>
    <s v="PROD50"/>
    <x v="0"/>
    <s v="STORE6"/>
    <n v="4"/>
    <n v="218.01"/>
    <n v="0.06"/>
    <x v="0"/>
    <x v="1209"/>
  </r>
  <r>
    <s v="SALE1210"/>
    <d v="2025-10-03T00:00:00"/>
    <s v="CUST1218"/>
    <s v="Julia Jackson"/>
    <s v="PROD16"/>
    <x v="2"/>
    <s v="STORE18"/>
    <n v="2"/>
    <n v="682.7"/>
    <n v="0.13"/>
    <x v="0"/>
    <x v="1210"/>
  </r>
  <r>
    <s v="SALE1211"/>
    <d v="2024-02-23T00:00:00"/>
    <s v="CUST1323"/>
    <s v="Kristy Dunlap"/>
    <s v="PROD49"/>
    <x v="2"/>
    <s v="STORE18"/>
    <n v="3"/>
    <n v="726.97"/>
    <n v="0.04"/>
    <x v="1"/>
    <x v="1211"/>
  </r>
  <r>
    <s v="SALE1212"/>
    <d v="2025-01-24T00:00:00"/>
    <s v="CUST1408"/>
    <s v="Isabel Foster"/>
    <s v="PROD31"/>
    <x v="0"/>
    <s v="STORE9"/>
    <n v="2"/>
    <n v="107.97"/>
    <n v="0.06"/>
    <x v="0"/>
    <x v="1212"/>
  </r>
  <r>
    <s v="SALE1213"/>
    <d v="2025-05-08T00:00:00"/>
    <s v="CUST1007"/>
    <s v="Daniel Boyd"/>
    <s v="PROD67"/>
    <x v="1"/>
    <s v="STORE14"/>
    <n v="1"/>
    <n v="38.880000000000003"/>
    <n v="0.16"/>
    <x v="2"/>
    <x v="1213"/>
  </r>
  <r>
    <s v="SALE1214"/>
    <d v="2025-06-15T00:00:00"/>
    <s v="CUST1078"/>
    <s v="Cody Blake"/>
    <s v="PROD45"/>
    <x v="0"/>
    <s v="STORE17"/>
    <n v="3"/>
    <n v="484.39"/>
    <n v="0.28999999999999998"/>
    <x v="2"/>
    <x v="1214"/>
  </r>
  <r>
    <s v="SALE1215"/>
    <d v="2024-10-07T00:00:00"/>
    <s v="CUST1018"/>
    <s v="Rhonda Moss"/>
    <s v="PROD80"/>
    <x v="3"/>
    <s v="STORE15"/>
    <n v="2"/>
    <n v="949.3"/>
    <n v="0.08"/>
    <x v="2"/>
    <x v="1215"/>
  </r>
  <r>
    <s v="SALE1216"/>
    <d v="2023-11-29T00:00:00"/>
    <s v="CUST1433"/>
    <s v="Thomas Moore"/>
    <s v="PROD64"/>
    <x v="2"/>
    <s v="STORE6"/>
    <n v="3"/>
    <n v="664.75"/>
    <n v="0.12"/>
    <x v="0"/>
    <x v="1216"/>
  </r>
  <r>
    <s v="SALE1217"/>
    <d v="2025-03-24T00:00:00"/>
    <s v="CUST1282"/>
    <s v="Kristi Lopez"/>
    <s v="PROD91"/>
    <x v="4"/>
    <s v="STORE17"/>
    <n v="3"/>
    <n v="190.04"/>
    <n v="7.0000000000000007E-2"/>
    <x v="1"/>
    <x v="1217"/>
  </r>
  <r>
    <s v="SALE1218"/>
    <d v="2025-07-31T00:00:00"/>
    <s v="CUST1277"/>
    <s v="Jeffrey Gomez"/>
    <s v="PROD93"/>
    <x v="1"/>
    <s v="STORE15"/>
    <n v="3"/>
    <n v="754.02"/>
    <n v="0.1"/>
    <x v="2"/>
    <x v="1218"/>
  </r>
  <r>
    <s v="SALE1219"/>
    <d v="2024-08-22T00:00:00"/>
    <s v="CUST1384"/>
    <s v="Andrew Mason"/>
    <s v="PROD74"/>
    <x v="1"/>
    <s v="STORE12"/>
    <n v="4"/>
    <n v="94.13"/>
    <n v="0.04"/>
    <x v="2"/>
    <x v="1219"/>
  </r>
  <r>
    <s v="SALE1220"/>
    <d v="2024-07-16T00:00:00"/>
    <s v="CUST1468"/>
    <s v="Gregory Curtis"/>
    <s v="PROD75"/>
    <x v="4"/>
    <s v="STORE15"/>
    <n v="3"/>
    <n v="402.3"/>
    <n v="0.21"/>
    <x v="1"/>
    <x v="1220"/>
  </r>
  <r>
    <s v="SALE1221"/>
    <d v="2025-09-08T00:00:00"/>
    <s v="CUST1239"/>
    <s v="Maria Hill"/>
    <s v="PROD19"/>
    <x v="0"/>
    <s v="STORE7"/>
    <n v="1"/>
    <n v="729.05"/>
    <n v="0.06"/>
    <x v="2"/>
    <x v="1221"/>
  </r>
  <r>
    <s v="SALE1222"/>
    <d v="2025-09-12T00:00:00"/>
    <s v="CUST1134"/>
    <s v="Morgan Bowen"/>
    <s v="PROD70"/>
    <x v="3"/>
    <s v="STORE13"/>
    <n v="1"/>
    <n v="822.6"/>
    <n v="0.28999999999999998"/>
    <x v="1"/>
    <x v="1222"/>
  </r>
  <r>
    <s v="SALE1223"/>
    <d v="2025-04-24T00:00:00"/>
    <s v="CUST1193"/>
    <s v="David Roberts"/>
    <s v="PROD64"/>
    <x v="2"/>
    <s v="STORE8"/>
    <n v="2"/>
    <n v="327.25"/>
    <n v="0.19"/>
    <x v="1"/>
    <x v="1223"/>
  </r>
  <r>
    <s v="SALE1224"/>
    <d v="2024-11-23T00:00:00"/>
    <s v="CUST1084"/>
    <s v="Christy Hoffman"/>
    <s v="PROD25"/>
    <x v="4"/>
    <s v="STORE9"/>
    <n v="4"/>
    <n v="930.38"/>
    <n v="0"/>
    <x v="2"/>
    <x v="1224"/>
  </r>
  <r>
    <s v="SALE1225"/>
    <d v="2024-04-12T00:00:00"/>
    <s v="CUST1144"/>
    <s v="Justin Cross"/>
    <s v="PROD72"/>
    <x v="0"/>
    <s v="STORE5"/>
    <n v="2"/>
    <n v="437.84"/>
    <n v="0.24"/>
    <x v="0"/>
    <x v="1225"/>
  </r>
  <r>
    <s v="SALE1226"/>
    <d v="2025-05-09T00:00:00"/>
    <s v="CUST1070"/>
    <s v="Eric Singh"/>
    <s v="PROD78"/>
    <x v="3"/>
    <s v="STORE16"/>
    <n v="2"/>
    <n v="126.02"/>
    <n v="0.09"/>
    <x v="2"/>
    <x v="1226"/>
  </r>
  <r>
    <s v="SALE1227"/>
    <d v="2025-02-04T00:00:00"/>
    <s v="CUST1437"/>
    <s v="Melinda Rivera"/>
    <s v="PROD88"/>
    <x v="0"/>
    <s v="STORE15"/>
    <n v="1"/>
    <n v="860.84"/>
    <n v="7.0000000000000007E-2"/>
    <x v="1"/>
    <x v="1227"/>
  </r>
  <r>
    <s v="SALE1228"/>
    <d v="2025-01-20T00:00:00"/>
    <s v="CUST1093"/>
    <s v="Christy Vasquez"/>
    <s v="PROD5"/>
    <x v="4"/>
    <s v="STORE13"/>
    <n v="1"/>
    <n v="161.80000000000001"/>
    <n v="0.24"/>
    <x v="1"/>
    <x v="1228"/>
  </r>
  <r>
    <s v="SALE1229"/>
    <d v="2025-01-12T00:00:00"/>
    <s v="CUST1385"/>
    <s v="Tammy Brennan"/>
    <s v="PROD68"/>
    <x v="3"/>
    <s v="STORE17"/>
    <n v="4"/>
    <n v="347.82"/>
    <n v="0.02"/>
    <x v="2"/>
    <x v="1229"/>
  </r>
  <r>
    <s v="SALE1230"/>
    <d v="2024-01-08T00:00:00"/>
    <s v="CUST1453"/>
    <s v="April Phillips"/>
    <s v="PROD12"/>
    <x v="2"/>
    <s v="STORE16"/>
    <n v="3"/>
    <n v="416.44"/>
    <n v="0.27"/>
    <x v="0"/>
    <x v="1230"/>
  </r>
  <r>
    <s v="SALE1231"/>
    <d v="2025-08-24T00:00:00"/>
    <s v="CUST1005"/>
    <s v="Christine Vaughn"/>
    <s v="PROD61"/>
    <x v="0"/>
    <s v="STORE0"/>
    <n v="1"/>
    <n v="147.96"/>
    <n v="0.24"/>
    <x v="2"/>
    <x v="1231"/>
  </r>
  <r>
    <s v="SALE1232"/>
    <d v="2024-09-25T00:00:00"/>
    <s v="CUST1445"/>
    <s v="Gene Lee"/>
    <s v="PROD2"/>
    <x v="4"/>
    <s v="STORE8"/>
    <n v="3"/>
    <n v="550.26"/>
    <n v="0.22"/>
    <x v="0"/>
    <x v="1232"/>
  </r>
  <r>
    <s v="SALE1233"/>
    <d v="2023-12-07T00:00:00"/>
    <s v="CUST1371"/>
    <s v="Michael Garner"/>
    <s v="PROD67"/>
    <x v="1"/>
    <s v="STORE7"/>
    <n v="4"/>
    <n v="938.21"/>
    <n v="0.04"/>
    <x v="1"/>
    <x v="1233"/>
  </r>
  <r>
    <s v="SALE1234"/>
    <d v="2024-06-24T00:00:00"/>
    <s v="CUST1134"/>
    <s v="Morgan Bowen"/>
    <s v="PROD70"/>
    <x v="3"/>
    <s v="STORE16"/>
    <n v="3"/>
    <n v="517.98"/>
    <n v="0.01"/>
    <x v="1"/>
    <x v="1234"/>
  </r>
  <r>
    <s v="SALE1235"/>
    <d v="2025-07-09T00:00:00"/>
    <s v="CUST1036"/>
    <s v="Thomas Phillips"/>
    <s v="PROD90"/>
    <x v="1"/>
    <s v="STORE8"/>
    <n v="1"/>
    <n v="98.27"/>
    <n v="0.16"/>
    <x v="1"/>
    <x v="1235"/>
  </r>
  <r>
    <s v="SALE1236"/>
    <d v="2024-07-07T00:00:00"/>
    <s v="CUST1251"/>
    <s v="Tyler Garner"/>
    <s v="PROD9"/>
    <x v="0"/>
    <s v="STORE11"/>
    <n v="2"/>
    <n v="875.2"/>
    <n v="0.19"/>
    <x v="0"/>
    <x v="1236"/>
  </r>
  <r>
    <s v="SALE1237"/>
    <d v="2024-02-23T00:00:00"/>
    <s v="CUST1305"/>
    <s v="Roberta Green"/>
    <s v="PROD28"/>
    <x v="0"/>
    <s v="STORE0"/>
    <n v="1"/>
    <n v="227.35"/>
    <n v="0.06"/>
    <x v="2"/>
    <x v="1237"/>
  </r>
  <r>
    <s v="SALE1238"/>
    <d v="2023-11-05T00:00:00"/>
    <s v="CUST1210"/>
    <s v="Antonio Jones"/>
    <s v="PROD60"/>
    <x v="2"/>
    <s v="STORE1"/>
    <n v="1"/>
    <n v="842.46"/>
    <n v="0.05"/>
    <x v="2"/>
    <x v="1238"/>
  </r>
  <r>
    <s v="SALE1239"/>
    <d v="2024-09-08T00:00:00"/>
    <s v="CUST1212"/>
    <s v="Blake Harrison"/>
    <s v="PROD13"/>
    <x v="1"/>
    <s v="STORE11"/>
    <n v="3"/>
    <n v="120.67"/>
    <n v="0.08"/>
    <x v="2"/>
    <x v="1239"/>
  </r>
  <r>
    <s v="SALE1240"/>
    <d v="2024-04-20T00:00:00"/>
    <s v="CUST1497"/>
    <s v="Sarah Marsh"/>
    <s v="PROD33"/>
    <x v="3"/>
    <s v="STORE3"/>
    <n v="4"/>
    <n v="176.13"/>
    <n v="0.27"/>
    <x v="1"/>
    <x v="1240"/>
  </r>
  <r>
    <s v="SALE1241"/>
    <d v="2025-01-14T00:00:00"/>
    <s v="CUST1450"/>
    <s v="Shane Mills"/>
    <s v="PROD63"/>
    <x v="2"/>
    <s v="STORE11"/>
    <n v="4"/>
    <n v="592.67999999999995"/>
    <n v="0.03"/>
    <x v="0"/>
    <x v="1241"/>
  </r>
  <r>
    <s v="SALE1242"/>
    <d v="2024-03-16T00:00:00"/>
    <s v="CUST1176"/>
    <s v="John Bradford"/>
    <s v="PROD52"/>
    <x v="0"/>
    <s v="STORE4"/>
    <n v="4"/>
    <n v="662.43"/>
    <n v="0.24"/>
    <x v="1"/>
    <x v="1242"/>
  </r>
  <r>
    <s v="SALE1243"/>
    <d v="2024-07-15T00:00:00"/>
    <s v="CUST1128"/>
    <s v="Susan Mcdonald"/>
    <s v="PROD25"/>
    <x v="4"/>
    <s v="STORE8"/>
    <n v="3"/>
    <n v="518.35"/>
    <n v="0.21"/>
    <x v="2"/>
    <x v="1243"/>
  </r>
  <r>
    <s v="SALE1244"/>
    <d v="2024-08-05T00:00:00"/>
    <s v="CUST1310"/>
    <s v="Kara Dodson"/>
    <s v="PROD17"/>
    <x v="0"/>
    <s v="STORE5"/>
    <n v="1"/>
    <n v="85.58"/>
    <n v="0.1"/>
    <x v="2"/>
    <x v="1244"/>
  </r>
  <r>
    <s v="SALE1245"/>
    <d v="2024-02-01T00:00:00"/>
    <s v="CUST1363"/>
    <s v="Elizabeth Smith"/>
    <s v="PROD91"/>
    <x v="4"/>
    <s v="STORE1"/>
    <n v="4"/>
    <n v="800"/>
    <n v="0.2"/>
    <x v="0"/>
    <x v="1245"/>
  </r>
  <r>
    <s v="SALE1246"/>
    <d v="2025-08-20T00:00:00"/>
    <s v="CUST1155"/>
    <s v="Curtis Haynes"/>
    <s v="PROD72"/>
    <x v="0"/>
    <s v="STORE10"/>
    <n v="3"/>
    <n v="118.25"/>
    <n v="0.26"/>
    <x v="1"/>
    <x v="1246"/>
  </r>
  <r>
    <s v="SALE1247"/>
    <d v="2023-11-23T00:00:00"/>
    <s v="CUST1421"/>
    <s v="Holly Robinson"/>
    <s v="PROD81"/>
    <x v="0"/>
    <s v="STORE15"/>
    <n v="1"/>
    <n v="223.25"/>
    <n v="0.28999999999999998"/>
    <x v="0"/>
    <x v="1247"/>
  </r>
  <r>
    <s v="SALE1248"/>
    <d v="2024-08-26T00:00:00"/>
    <s v="CUST1427"/>
    <s v="Jose Stewart"/>
    <s v="PROD53"/>
    <x v="4"/>
    <s v="STORE4"/>
    <n v="3"/>
    <n v="918.76"/>
    <n v="0.2"/>
    <x v="1"/>
    <x v="1248"/>
  </r>
  <r>
    <s v="SALE1249"/>
    <d v="2024-07-18T00:00:00"/>
    <s v="CUST1280"/>
    <s v="Antonio Leon"/>
    <s v="PROD91"/>
    <x v="4"/>
    <s v="STORE13"/>
    <n v="2"/>
    <n v="905.26"/>
    <n v="0.15"/>
    <x v="2"/>
    <x v="1249"/>
  </r>
  <r>
    <s v="SALE1250"/>
    <d v="2024-12-02T00:00:00"/>
    <s v="CUST1312"/>
    <s v="Jason Mullins"/>
    <s v="PROD74"/>
    <x v="1"/>
    <s v="STORE19"/>
    <n v="4"/>
    <n v="295.39999999999998"/>
    <n v="0.23"/>
    <x v="1"/>
    <x v="1250"/>
  </r>
  <r>
    <s v="SALE1251"/>
    <d v="2025-07-23T00:00:00"/>
    <s v="CUST1087"/>
    <s v="Melissa Duffy Md"/>
    <s v="PROD76"/>
    <x v="1"/>
    <s v="STORE5"/>
    <n v="1"/>
    <n v="252.18"/>
    <n v="0.23"/>
    <x v="1"/>
    <x v="1251"/>
  </r>
  <r>
    <s v="SALE1252"/>
    <d v="2025-08-09T00:00:00"/>
    <s v="CUST1152"/>
    <s v="Patrick Roberts"/>
    <s v="PROD70"/>
    <x v="3"/>
    <s v="STORE12"/>
    <n v="4"/>
    <n v="792.1"/>
    <n v="0.19"/>
    <x v="2"/>
    <x v="1252"/>
  </r>
  <r>
    <s v="SALE1253"/>
    <d v="2024-05-14T00:00:00"/>
    <s v="CUST1076"/>
    <s v="Nathan Campbell"/>
    <s v="PROD32"/>
    <x v="2"/>
    <s v="STORE14"/>
    <n v="1"/>
    <n v="883.36"/>
    <n v="0.11"/>
    <x v="1"/>
    <x v="1253"/>
  </r>
  <r>
    <s v="SALE1254"/>
    <d v="2023-11-01T00:00:00"/>
    <s v="CUST1276"/>
    <s v="Arthur Warren"/>
    <s v="PROD65"/>
    <x v="0"/>
    <s v="STORE0"/>
    <n v="4"/>
    <n v="305.95"/>
    <n v="0.08"/>
    <x v="1"/>
    <x v="1254"/>
  </r>
  <r>
    <s v="SALE1255"/>
    <d v="2024-11-13T00:00:00"/>
    <s v="CUST1401"/>
    <s v="Terry Moses"/>
    <s v="PROD34"/>
    <x v="1"/>
    <s v="STORE7"/>
    <n v="3"/>
    <n v="742.45"/>
    <n v="0.23"/>
    <x v="2"/>
    <x v="1255"/>
  </r>
  <r>
    <s v="SALE1256"/>
    <d v="2024-04-10T00:00:00"/>
    <s v="CUST1355"/>
    <s v="Carlos Flores"/>
    <s v="PROD91"/>
    <x v="4"/>
    <s v="STORE18"/>
    <n v="3"/>
    <n v="336.1"/>
    <n v="0.12"/>
    <x v="2"/>
    <x v="1256"/>
  </r>
  <r>
    <s v="SALE1257"/>
    <d v="2025-08-07T00:00:00"/>
    <s v="CUST1412"/>
    <s v="Shane Brown"/>
    <s v="PROD53"/>
    <x v="4"/>
    <s v="STORE7"/>
    <n v="3"/>
    <n v="310.36"/>
    <n v="0.14000000000000001"/>
    <x v="2"/>
    <x v="1257"/>
  </r>
  <r>
    <s v="SALE1258"/>
    <d v="2025-04-25T00:00:00"/>
    <s v="CUST1279"/>
    <s v="Aaron Luna"/>
    <s v="PROD13"/>
    <x v="1"/>
    <s v="STORE8"/>
    <n v="3"/>
    <n v="992.81"/>
    <n v="0.04"/>
    <x v="1"/>
    <x v="1258"/>
  </r>
  <r>
    <s v="SALE1259"/>
    <d v="2023-10-18T00:00:00"/>
    <s v="CUST1198"/>
    <s v="Wanda Snyder"/>
    <s v="PROD12"/>
    <x v="2"/>
    <s v="STORE11"/>
    <n v="3"/>
    <n v="257.11"/>
    <n v="0.26"/>
    <x v="2"/>
    <x v="1259"/>
  </r>
  <r>
    <s v="SALE1260"/>
    <d v="2025-03-23T00:00:00"/>
    <s v="CUST1220"/>
    <s v="George Davis"/>
    <s v="PROD29"/>
    <x v="3"/>
    <s v="STORE12"/>
    <n v="4"/>
    <n v="816.29"/>
    <n v="0.24"/>
    <x v="1"/>
    <x v="1260"/>
  </r>
  <r>
    <s v="SALE1261"/>
    <d v="2023-12-12T00:00:00"/>
    <s v="CUST1122"/>
    <s v="Michael Chang"/>
    <s v="PROD94"/>
    <x v="2"/>
    <s v="STORE12"/>
    <n v="4"/>
    <n v="755.82"/>
    <n v="0.22"/>
    <x v="2"/>
    <x v="1261"/>
  </r>
  <r>
    <s v="SALE1262"/>
    <d v="2024-08-20T00:00:00"/>
    <s v="CUST1003"/>
    <s v="Jeremy Harris"/>
    <s v="PROD0"/>
    <x v="1"/>
    <s v="STORE14"/>
    <n v="1"/>
    <n v="449.6"/>
    <n v="0.01"/>
    <x v="1"/>
    <x v="1262"/>
  </r>
  <r>
    <s v="SALE1263"/>
    <d v="2024-07-08T00:00:00"/>
    <s v="CUST1351"/>
    <s v="Jeffrey Mccarthy"/>
    <s v="PROD26"/>
    <x v="1"/>
    <s v="STORE0"/>
    <n v="2"/>
    <n v="779.29"/>
    <n v="0.12"/>
    <x v="2"/>
    <x v="1263"/>
  </r>
  <r>
    <s v="SALE1264"/>
    <d v="2023-12-07T00:00:00"/>
    <s v="CUST1464"/>
    <s v="David Pierce"/>
    <s v="PROD33"/>
    <x v="3"/>
    <s v="STORE17"/>
    <n v="1"/>
    <n v="748.75"/>
    <n v="0.1"/>
    <x v="2"/>
    <x v="1264"/>
  </r>
  <r>
    <s v="SALE1265"/>
    <d v="2024-02-06T00:00:00"/>
    <s v="CUST1181"/>
    <s v="Erin Ward"/>
    <s v="PROD63"/>
    <x v="2"/>
    <s v="STORE0"/>
    <n v="2"/>
    <n v="121.67"/>
    <n v="0.08"/>
    <x v="2"/>
    <x v="1265"/>
  </r>
  <r>
    <s v="SALE1266"/>
    <d v="2025-05-10T00:00:00"/>
    <s v="CUST1492"/>
    <s v="Darrell Miller"/>
    <s v="PROD10"/>
    <x v="3"/>
    <s v="STORE15"/>
    <n v="3"/>
    <n v="225.14"/>
    <n v="0.15"/>
    <x v="2"/>
    <x v="1266"/>
  </r>
  <r>
    <s v="SALE1267"/>
    <d v="2025-08-07T00:00:00"/>
    <s v="CUST1321"/>
    <s v="Darren Burton"/>
    <s v="PROD99"/>
    <x v="3"/>
    <s v="STORE19"/>
    <n v="1"/>
    <n v="654.17999999999995"/>
    <n v="0.19"/>
    <x v="1"/>
    <x v="1267"/>
  </r>
  <r>
    <s v="SALE1268"/>
    <d v="2024-09-17T00:00:00"/>
    <s v="CUST1058"/>
    <s v="Cheryl Copeland"/>
    <s v="PROD70"/>
    <x v="3"/>
    <s v="STORE5"/>
    <n v="2"/>
    <n v="504.98"/>
    <n v="0.08"/>
    <x v="2"/>
    <x v="1268"/>
  </r>
  <r>
    <s v="SALE1269"/>
    <d v="2025-06-15T00:00:00"/>
    <s v="CUST1378"/>
    <s v="Frank Stewart"/>
    <s v="PROD91"/>
    <x v="4"/>
    <s v="STORE8"/>
    <n v="2"/>
    <n v="623.20000000000005"/>
    <n v="0.14000000000000001"/>
    <x v="2"/>
    <x v="1269"/>
  </r>
  <r>
    <s v="SALE1270"/>
    <d v="2024-11-26T00:00:00"/>
    <s v="CUST1325"/>
    <s v="Andrew Smith"/>
    <s v="PROD54"/>
    <x v="0"/>
    <s v="STORE16"/>
    <n v="2"/>
    <n v="530.54"/>
    <n v="0.28000000000000003"/>
    <x v="2"/>
    <x v="1270"/>
  </r>
  <r>
    <s v="SALE1271"/>
    <d v="2025-06-02T00:00:00"/>
    <s v="CUST1365"/>
    <s v="Brandon Mcbride"/>
    <s v="PROD45"/>
    <x v="0"/>
    <s v="STORE16"/>
    <n v="3"/>
    <n v="279.45"/>
    <n v="0.15"/>
    <x v="2"/>
    <x v="1271"/>
  </r>
  <r>
    <s v="SALE1272"/>
    <d v="2024-12-19T00:00:00"/>
    <s v="CUST1266"/>
    <s v="Cynthia Payne"/>
    <s v="PROD15"/>
    <x v="1"/>
    <s v="STORE8"/>
    <n v="3"/>
    <n v="906.99"/>
    <n v="0.26"/>
    <x v="2"/>
    <x v="1272"/>
  </r>
  <r>
    <s v="SALE1273"/>
    <d v="2025-04-02T00:00:00"/>
    <s v="CUST1070"/>
    <s v="Eric Singh"/>
    <s v="PROD78"/>
    <x v="3"/>
    <s v="STORE17"/>
    <n v="4"/>
    <n v="408.76"/>
    <n v="0.12"/>
    <x v="2"/>
    <x v="1273"/>
  </r>
  <r>
    <s v="SALE1274"/>
    <d v="2024-09-02T00:00:00"/>
    <s v="CUST1177"/>
    <s v="Curtis Lam"/>
    <s v="PROD59"/>
    <x v="2"/>
    <s v="STORE9"/>
    <n v="2"/>
    <n v="117.34"/>
    <n v="0.09"/>
    <x v="1"/>
    <x v="1274"/>
  </r>
  <r>
    <s v="SALE1275"/>
    <d v="2024-03-25T00:00:00"/>
    <s v="CUST1168"/>
    <s v="Daniel Contreras"/>
    <s v="PROD72"/>
    <x v="0"/>
    <s v="STORE14"/>
    <n v="3"/>
    <n v="690.27"/>
    <n v="7.0000000000000007E-2"/>
    <x v="1"/>
    <x v="1275"/>
  </r>
  <r>
    <s v="SALE1276"/>
    <d v="2025-02-21T00:00:00"/>
    <s v="CUST1108"/>
    <s v="Travis Holland"/>
    <s v="PROD30"/>
    <x v="3"/>
    <s v="STORE17"/>
    <n v="4"/>
    <n v="377.18"/>
    <n v="0.24"/>
    <x v="1"/>
    <x v="1276"/>
  </r>
  <r>
    <s v="SALE1277"/>
    <d v="2024-06-03T00:00:00"/>
    <s v="CUST1112"/>
    <s v="David Cole"/>
    <s v="PROD40"/>
    <x v="1"/>
    <s v="STORE0"/>
    <n v="1"/>
    <n v="70.52"/>
    <n v="0.08"/>
    <x v="2"/>
    <x v="1277"/>
  </r>
  <r>
    <s v="SALE1278"/>
    <d v="2024-02-08T00:00:00"/>
    <s v="CUST1275"/>
    <s v="Shannon Miller"/>
    <s v="PROD69"/>
    <x v="4"/>
    <s v="STORE9"/>
    <n v="1"/>
    <n v="40.25"/>
    <n v="0.1"/>
    <x v="1"/>
    <x v="1278"/>
  </r>
  <r>
    <s v="SALE1279"/>
    <d v="2024-04-06T00:00:00"/>
    <s v="CUST1232"/>
    <s v="Christy Hill"/>
    <s v="PROD95"/>
    <x v="0"/>
    <s v="STORE11"/>
    <n v="3"/>
    <n v="539.44000000000005"/>
    <n v="0.05"/>
    <x v="2"/>
    <x v="1279"/>
  </r>
  <r>
    <s v="SALE1280"/>
    <d v="2024-01-22T00:00:00"/>
    <s v="CUST1247"/>
    <s v="Douglas Rhodes"/>
    <s v="PROD10"/>
    <x v="3"/>
    <s v="STORE4"/>
    <n v="3"/>
    <n v="543.49"/>
    <n v="0.05"/>
    <x v="1"/>
    <x v="1280"/>
  </r>
  <r>
    <s v="SALE1281"/>
    <d v="2023-10-22T00:00:00"/>
    <s v="CUST1324"/>
    <s v="Alex Mann Ii"/>
    <s v="PROD20"/>
    <x v="0"/>
    <s v="STORE6"/>
    <n v="4"/>
    <n v="547.21"/>
    <n v="0.1"/>
    <x v="2"/>
    <x v="1281"/>
  </r>
  <r>
    <s v="SALE1282"/>
    <d v="2024-11-23T00:00:00"/>
    <s v="CUST1241"/>
    <s v="Mr. William Horton"/>
    <s v="PROD15"/>
    <x v="1"/>
    <s v="STORE1"/>
    <n v="2"/>
    <n v="892.46"/>
    <n v="7.0000000000000007E-2"/>
    <x v="1"/>
    <x v="1282"/>
  </r>
  <r>
    <s v="SALE1283"/>
    <d v="2023-12-26T00:00:00"/>
    <s v="CUST1387"/>
    <s v="Timothy Gardner"/>
    <s v="PROD76"/>
    <x v="1"/>
    <s v="STORE8"/>
    <n v="2"/>
    <n v="853.41"/>
    <n v="0.25"/>
    <x v="0"/>
    <x v="1283"/>
  </r>
  <r>
    <s v="SALE1284"/>
    <d v="2024-06-08T00:00:00"/>
    <s v="CUST1110"/>
    <s v="Ashley Griffin"/>
    <s v="PROD8"/>
    <x v="1"/>
    <s v="STORE7"/>
    <n v="1"/>
    <n v="162.13999999999999"/>
    <n v="7.0000000000000007E-2"/>
    <x v="1"/>
    <x v="1284"/>
  </r>
  <r>
    <s v="SALE1285"/>
    <d v="2024-07-05T00:00:00"/>
    <s v="CUST1147"/>
    <s v="Rhonda Young"/>
    <s v="PROD52"/>
    <x v="0"/>
    <s v="STORE16"/>
    <n v="1"/>
    <n v="893.14"/>
    <n v="0.09"/>
    <x v="0"/>
    <x v="1285"/>
  </r>
  <r>
    <s v="SALE1286"/>
    <d v="2024-08-24T00:00:00"/>
    <s v="CUST1103"/>
    <s v="Steven Stein"/>
    <s v="PROD89"/>
    <x v="2"/>
    <s v="STORE8"/>
    <n v="4"/>
    <n v="349.07"/>
    <n v="0.28000000000000003"/>
    <x v="0"/>
    <x v="1286"/>
  </r>
  <r>
    <s v="SALE1287"/>
    <d v="2024-05-06T00:00:00"/>
    <s v="CUST1283"/>
    <s v="Bryan Garcia"/>
    <s v="PROD70"/>
    <x v="3"/>
    <s v="STORE13"/>
    <n v="1"/>
    <n v="747.9"/>
    <n v="0.21"/>
    <x v="2"/>
    <x v="1287"/>
  </r>
  <r>
    <s v="SALE1288"/>
    <d v="2024-07-05T00:00:00"/>
    <s v="CUST1031"/>
    <s v="Sarah Vance"/>
    <s v="PROD62"/>
    <x v="1"/>
    <s v="STORE6"/>
    <n v="3"/>
    <n v="438.92"/>
    <n v="0.21"/>
    <x v="0"/>
    <x v="1288"/>
  </r>
  <r>
    <s v="SALE1289"/>
    <d v="2023-11-02T00:00:00"/>
    <s v="CUST1123"/>
    <s v="Erin Hopkins"/>
    <s v="PROD12"/>
    <x v="2"/>
    <s v="STORE4"/>
    <n v="4"/>
    <n v="665.38"/>
    <n v="0.18"/>
    <x v="0"/>
    <x v="1289"/>
  </r>
  <r>
    <s v="SALE1290"/>
    <d v="2024-11-20T00:00:00"/>
    <s v="CUST1003"/>
    <s v="Jeremy Harris"/>
    <s v="PROD0"/>
    <x v="1"/>
    <s v="STORE18"/>
    <n v="1"/>
    <n v="146.49"/>
    <n v="0.28000000000000003"/>
    <x v="0"/>
    <x v="1290"/>
  </r>
  <r>
    <s v="SALE1291"/>
    <d v="2025-04-27T00:00:00"/>
    <s v="CUST1139"/>
    <s v="Brian Holder"/>
    <s v="PROD15"/>
    <x v="1"/>
    <s v="STORE15"/>
    <n v="2"/>
    <n v="235.39"/>
    <n v="0.27"/>
    <x v="2"/>
    <x v="1291"/>
  </r>
  <r>
    <s v="SALE1292"/>
    <d v="2024-12-25T00:00:00"/>
    <s v="CUST1028"/>
    <s v="Joshua Ryan"/>
    <s v="PROD5"/>
    <x v="4"/>
    <s v="STORE5"/>
    <n v="3"/>
    <n v="38.07"/>
    <n v="0.09"/>
    <x v="1"/>
    <x v="1292"/>
  </r>
  <r>
    <s v="SALE1293"/>
    <d v="2025-09-02T00:00:00"/>
    <s v="CUST1403"/>
    <s v="Justin Ingram"/>
    <s v="PROD17"/>
    <x v="0"/>
    <s v="STORE4"/>
    <n v="2"/>
    <n v="511.7"/>
    <n v="0.12"/>
    <x v="2"/>
    <x v="1293"/>
  </r>
  <r>
    <s v="SALE1294"/>
    <d v="2024-04-19T00:00:00"/>
    <s v="CUST1092"/>
    <s v="Robert Jackson"/>
    <s v="PROD10"/>
    <x v="3"/>
    <s v="STORE8"/>
    <n v="4"/>
    <n v="488.72"/>
    <n v="0.23"/>
    <x v="1"/>
    <x v="1294"/>
  </r>
  <r>
    <s v="SALE1295"/>
    <d v="2025-03-01T00:00:00"/>
    <s v="CUST1391"/>
    <s v="Heidi Tyler"/>
    <s v="PROD29"/>
    <x v="3"/>
    <s v="STORE12"/>
    <n v="2"/>
    <n v="520.45000000000005"/>
    <n v="0.11"/>
    <x v="2"/>
    <x v="1295"/>
  </r>
  <r>
    <s v="SALE1296"/>
    <d v="2024-03-25T00:00:00"/>
    <s v="CUST1432"/>
    <s v="Summer Weiss"/>
    <s v="PROD16"/>
    <x v="2"/>
    <s v="STORE5"/>
    <n v="1"/>
    <n v="340.9"/>
    <n v="0.28999999999999998"/>
    <x v="0"/>
    <x v="1296"/>
  </r>
  <r>
    <s v="SALE1297"/>
    <d v="2024-10-11T00:00:00"/>
    <s v="CUST1346"/>
    <s v="John Jordan"/>
    <s v="PROD76"/>
    <x v="1"/>
    <s v="STORE8"/>
    <n v="3"/>
    <n v="653.59"/>
    <n v="0.17"/>
    <x v="2"/>
    <x v="1297"/>
  </r>
  <r>
    <s v="SALE1298"/>
    <d v="2025-09-06T00:00:00"/>
    <s v="CUST1021"/>
    <s v="Jeff Martinez"/>
    <s v="PROD26"/>
    <x v="1"/>
    <s v="STORE18"/>
    <n v="1"/>
    <n v="179.77"/>
    <n v="0.23"/>
    <x v="2"/>
    <x v="1298"/>
  </r>
  <r>
    <s v="SALE1299"/>
    <d v="2024-08-19T00:00:00"/>
    <s v="CUST1008"/>
    <s v="Melissa Howard"/>
    <s v="PROD30"/>
    <x v="3"/>
    <s v="STORE9"/>
    <n v="2"/>
    <n v="943.8"/>
    <n v="0.06"/>
    <x v="0"/>
    <x v="1299"/>
  </r>
  <r>
    <s v="SALE1300"/>
    <d v="2023-11-04T00:00:00"/>
    <s v="CUST1409"/>
    <s v="Sarah Smith"/>
    <s v="PROD97"/>
    <x v="0"/>
    <s v="STORE15"/>
    <n v="2"/>
    <n v="985"/>
    <n v="0.25"/>
    <x v="0"/>
    <x v="1300"/>
  </r>
  <r>
    <s v="SALE1301"/>
    <d v="2024-04-23T00:00:00"/>
    <s v="CUST1485"/>
    <s v="Sara Ingram"/>
    <s v="PROD26"/>
    <x v="1"/>
    <s v="STORE10"/>
    <n v="4"/>
    <n v="216.81"/>
    <n v="0.28999999999999998"/>
    <x v="0"/>
    <x v="1301"/>
  </r>
  <r>
    <s v="SALE1302"/>
    <d v="2023-10-24T00:00:00"/>
    <s v="CUST1117"/>
    <s v="Colleen Mccarthy"/>
    <s v="PROD97"/>
    <x v="0"/>
    <s v="STORE2"/>
    <n v="4"/>
    <n v="950.21"/>
    <n v="0.27"/>
    <x v="2"/>
    <x v="1302"/>
  </r>
  <r>
    <s v="SALE1303"/>
    <d v="2025-06-30T00:00:00"/>
    <s v="CUST1256"/>
    <s v="Kristen Fischer"/>
    <s v="PROD34"/>
    <x v="1"/>
    <s v="STORE7"/>
    <n v="2"/>
    <n v="271.39999999999998"/>
    <n v="0.17"/>
    <x v="1"/>
    <x v="1303"/>
  </r>
  <r>
    <s v="SALE1304"/>
    <d v="2025-08-14T00:00:00"/>
    <s v="CUST1168"/>
    <s v="Daniel Contreras"/>
    <s v="PROD72"/>
    <x v="0"/>
    <s v="STORE8"/>
    <n v="4"/>
    <n v="708.19"/>
    <n v="0.1"/>
    <x v="1"/>
    <x v="1304"/>
  </r>
  <r>
    <s v="SALE1305"/>
    <d v="2025-05-11T00:00:00"/>
    <s v="CUST1444"/>
    <s v="Cheryl Carr"/>
    <s v="PROD10"/>
    <x v="3"/>
    <s v="STORE3"/>
    <n v="3"/>
    <n v="477.05"/>
    <n v="0.05"/>
    <x v="1"/>
    <x v="1305"/>
  </r>
  <r>
    <s v="SALE1306"/>
    <d v="2024-04-01T00:00:00"/>
    <s v="CUST1307"/>
    <s v="Brandy Thompson"/>
    <s v="PROD93"/>
    <x v="1"/>
    <s v="STORE9"/>
    <n v="3"/>
    <n v="627.29"/>
    <n v="0.27"/>
    <x v="2"/>
    <x v="1306"/>
  </r>
  <r>
    <s v="SALE1307"/>
    <d v="2024-02-13T00:00:00"/>
    <s v="CUST1304"/>
    <s v="Miss Alexandria Li Dvm"/>
    <s v="PROD50"/>
    <x v="0"/>
    <s v="STORE11"/>
    <n v="3"/>
    <n v="206.84"/>
    <n v="0.19"/>
    <x v="1"/>
    <x v="1307"/>
  </r>
  <r>
    <s v="SALE1308"/>
    <d v="2024-01-13T00:00:00"/>
    <s v="CUST1251"/>
    <s v="Tyler Garner"/>
    <s v="PROD9"/>
    <x v="0"/>
    <s v="STORE1"/>
    <n v="4"/>
    <n v="629.04999999999995"/>
    <n v="0.26"/>
    <x v="0"/>
    <x v="1308"/>
  </r>
  <r>
    <s v="SALE1309"/>
    <d v="2024-09-08T00:00:00"/>
    <s v="CUST1438"/>
    <s v="Monica Flynn"/>
    <s v="PROD63"/>
    <x v="2"/>
    <s v="STORE17"/>
    <n v="4"/>
    <n v="529.04"/>
    <n v="0.1"/>
    <x v="1"/>
    <x v="1309"/>
  </r>
  <r>
    <s v="SALE1310"/>
    <d v="2024-02-04T00:00:00"/>
    <s v="CUST1349"/>
    <s v="Heather Valenzuela"/>
    <s v="PROD71"/>
    <x v="2"/>
    <s v="STORE17"/>
    <n v="1"/>
    <n v="350.67"/>
    <n v="0.22"/>
    <x v="1"/>
    <x v="1310"/>
  </r>
  <r>
    <s v="SALE1311"/>
    <d v="2024-07-25T00:00:00"/>
    <s v="CUST1371"/>
    <s v="Michael Garner"/>
    <s v="PROD67"/>
    <x v="1"/>
    <s v="STORE1"/>
    <n v="1"/>
    <n v="128.93"/>
    <n v="0.26"/>
    <x v="0"/>
    <x v="1311"/>
  </r>
  <r>
    <s v="SALE1312"/>
    <d v="2024-09-09T00:00:00"/>
    <s v="CUST1145"/>
    <s v="Cameron Simpson"/>
    <s v="PROD69"/>
    <x v="4"/>
    <s v="STORE15"/>
    <n v="2"/>
    <n v="384.92"/>
    <n v="0.09"/>
    <x v="0"/>
    <x v="1312"/>
  </r>
  <r>
    <s v="SALE1313"/>
    <d v="2023-12-08T00:00:00"/>
    <s v="CUST1334"/>
    <s v="Mr. Christopher Sims"/>
    <s v="PROD71"/>
    <x v="2"/>
    <s v="STORE8"/>
    <n v="3"/>
    <n v="120.77"/>
    <n v="0.28999999999999998"/>
    <x v="1"/>
    <x v="1313"/>
  </r>
  <r>
    <s v="SALE1314"/>
    <d v="2025-06-16T00:00:00"/>
    <s v="CUST1222"/>
    <s v="Alejandro Doyle"/>
    <s v="PROD46"/>
    <x v="4"/>
    <s v="STORE17"/>
    <n v="4"/>
    <n v="661.39"/>
    <n v="7.0000000000000007E-2"/>
    <x v="0"/>
    <x v="1314"/>
  </r>
  <r>
    <s v="SALE1315"/>
    <d v="2023-12-01T00:00:00"/>
    <s v="CUST1449"/>
    <s v="William Cortez"/>
    <s v="PROD98"/>
    <x v="1"/>
    <s v="STORE2"/>
    <n v="1"/>
    <n v="195.24"/>
    <n v="0.27"/>
    <x v="1"/>
    <x v="1315"/>
  </r>
  <r>
    <s v="SALE1316"/>
    <d v="2023-11-03T00:00:00"/>
    <s v="CUST1004"/>
    <s v="Caroline Collins"/>
    <s v="PROD47"/>
    <x v="2"/>
    <s v="STORE18"/>
    <n v="2"/>
    <n v="177.4"/>
    <n v="0.19"/>
    <x v="1"/>
    <x v="1316"/>
  </r>
  <r>
    <s v="SALE1317"/>
    <d v="2025-01-16T00:00:00"/>
    <s v="CUST1057"/>
    <s v="Jay Patel"/>
    <s v="PROD38"/>
    <x v="0"/>
    <s v="STORE11"/>
    <n v="4"/>
    <n v="862.67"/>
    <n v="0.2"/>
    <x v="1"/>
    <x v="1317"/>
  </r>
  <r>
    <s v="SALE1318"/>
    <d v="2024-09-30T00:00:00"/>
    <s v="CUST1444"/>
    <s v="Cheryl Carr"/>
    <s v="PROD10"/>
    <x v="3"/>
    <s v="STORE6"/>
    <n v="1"/>
    <n v="55.04"/>
    <n v="0.01"/>
    <x v="2"/>
    <x v="1318"/>
  </r>
  <r>
    <s v="SALE1319"/>
    <d v="2024-12-20T00:00:00"/>
    <s v="CUST1049"/>
    <s v="Timothy Weaver"/>
    <s v="PROD48"/>
    <x v="1"/>
    <s v="STORE0"/>
    <n v="2"/>
    <n v="905.47"/>
    <n v="0.2"/>
    <x v="2"/>
    <x v="1319"/>
  </r>
  <r>
    <s v="SALE1320"/>
    <d v="2024-09-04T00:00:00"/>
    <s v="CUST1461"/>
    <s v="Paul Cox"/>
    <s v="PROD65"/>
    <x v="0"/>
    <s v="STORE13"/>
    <n v="3"/>
    <n v="217.13"/>
    <n v="0.28000000000000003"/>
    <x v="0"/>
    <x v="1320"/>
  </r>
  <r>
    <s v="SALE1321"/>
    <d v="2025-10-06T00:00:00"/>
    <s v="CUST1389"/>
    <s v="Cynthia Lopez"/>
    <s v="PROD91"/>
    <x v="4"/>
    <s v="STORE0"/>
    <n v="3"/>
    <n v="580.45000000000005"/>
    <n v="0"/>
    <x v="1"/>
    <x v="1321"/>
  </r>
  <r>
    <s v="SALE1322"/>
    <d v="2025-07-16T00:00:00"/>
    <s v="CUST1103"/>
    <s v="Steven Stein"/>
    <s v="PROD89"/>
    <x v="2"/>
    <s v="STORE17"/>
    <n v="2"/>
    <n v="892.88"/>
    <n v="0.17"/>
    <x v="1"/>
    <x v="1322"/>
  </r>
  <r>
    <s v="SALE1323"/>
    <d v="2025-10-06T00:00:00"/>
    <s v="CUST1091"/>
    <s v="Donna Gregory"/>
    <s v="PROD46"/>
    <x v="4"/>
    <s v="STORE18"/>
    <n v="2"/>
    <n v="356.28"/>
    <n v="0.11"/>
    <x v="2"/>
    <x v="1323"/>
  </r>
  <r>
    <s v="SALE1324"/>
    <d v="2025-09-21T00:00:00"/>
    <s v="CUST1384"/>
    <s v="Andrew Mason"/>
    <s v="PROD74"/>
    <x v="1"/>
    <s v="STORE2"/>
    <n v="4"/>
    <n v="806.99"/>
    <n v="0.06"/>
    <x v="0"/>
    <x v="1324"/>
  </r>
  <r>
    <s v="SALE1325"/>
    <d v="2025-07-17T00:00:00"/>
    <s v="CUST1439"/>
    <s v="John Compton"/>
    <s v="PROD20"/>
    <x v="0"/>
    <s v="STORE1"/>
    <n v="3"/>
    <n v="684.22"/>
    <n v="0.09"/>
    <x v="0"/>
    <x v="1325"/>
  </r>
  <r>
    <s v="SALE1326"/>
    <d v="2025-06-29T00:00:00"/>
    <s v="CUST1443"/>
    <s v="Adam Castro"/>
    <s v="PROD34"/>
    <x v="1"/>
    <s v="STORE7"/>
    <n v="4"/>
    <n v="763.34"/>
    <n v="7.0000000000000007E-2"/>
    <x v="1"/>
    <x v="1326"/>
  </r>
  <r>
    <s v="SALE1327"/>
    <d v="2025-03-22T00:00:00"/>
    <s v="CUST1361"/>
    <s v="Natalie Johnson"/>
    <s v="PROD76"/>
    <x v="1"/>
    <s v="STORE3"/>
    <n v="3"/>
    <n v="721.94"/>
    <n v="0.26"/>
    <x v="0"/>
    <x v="1327"/>
  </r>
  <r>
    <s v="SALE1328"/>
    <d v="2024-02-01T00:00:00"/>
    <s v="CUST1406"/>
    <s v="David Lozano"/>
    <s v="PROD16"/>
    <x v="2"/>
    <s v="STORE1"/>
    <n v="3"/>
    <n v="760.38"/>
    <n v="0"/>
    <x v="2"/>
    <x v="1328"/>
  </r>
  <r>
    <s v="SALE1329"/>
    <d v="2024-03-11T00:00:00"/>
    <s v="CUST1298"/>
    <s v="Tracy Stephens"/>
    <s v="PROD73"/>
    <x v="0"/>
    <s v="STORE6"/>
    <n v="3"/>
    <n v="612.53"/>
    <n v="0.21"/>
    <x v="2"/>
    <x v="1329"/>
  </r>
  <r>
    <s v="SALE1330"/>
    <d v="2024-09-09T00:00:00"/>
    <s v="CUST1041"/>
    <s v="James Gibbs"/>
    <s v="PROD22"/>
    <x v="0"/>
    <s v="STORE16"/>
    <n v="3"/>
    <n v="841.37"/>
    <n v="0.28999999999999998"/>
    <x v="1"/>
    <x v="1330"/>
  </r>
  <r>
    <s v="SALE1331"/>
    <d v="2023-11-19T00:00:00"/>
    <s v="CUST1261"/>
    <s v="Carol Bishop"/>
    <s v="PROD42"/>
    <x v="1"/>
    <s v="STORE9"/>
    <n v="2"/>
    <n v="636.51"/>
    <n v="0.25"/>
    <x v="0"/>
    <x v="1331"/>
  </r>
  <r>
    <s v="SALE1332"/>
    <d v="2025-01-02T00:00:00"/>
    <s v="CUST1091"/>
    <s v="Donna Gregory"/>
    <s v="PROD46"/>
    <x v="4"/>
    <s v="STORE8"/>
    <n v="2"/>
    <n v="732.37"/>
    <n v="0.22"/>
    <x v="2"/>
    <x v="1332"/>
  </r>
  <r>
    <s v="SALE1333"/>
    <d v="2025-09-27T00:00:00"/>
    <s v="CUST1164"/>
    <s v="Daniel Rivas"/>
    <s v="PROD48"/>
    <x v="1"/>
    <s v="STORE16"/>
    <n v="3"/>
    <n v="183.44"/>
    <n v="0.28000000000000003"/>
    <x v="2"/>
    <x v="1333"/>
  </r>
  <r>
    <s v="SALE1334"/>
    <d v="2024-03-22T00:00:00"/>
    <s v="CUST1065"/>
    <s v="Michael Thomas"/>
    <s v="PROD24"/>
    <x v="0"/>
    <s v="STORE13"/>
    <n v="4"/>
    <n v="898.58"/>
    <n v="0.16"/>
    <x v="1"/>
    <x v="1334"/>
  </r>
  <r>
    <s v="SALE1335"/>
    <d v="2024-08-25T00:00:00"/>
    <s v="CUST1390"/>
    <s v="Daniel Bell"/>
    <s v="PROD11"/>
    <x v="1"/>
    <s v="STORE2"/>
    <n v="3"/>
    <n v="152.41"/>
    <n v="0.25"/>
    <x v="0"/>
    <x v="1335"/>
  </r>
  <r>
    <s v="SALE1336"/>
    <d v="2025-08-03T00:00:00"/>
    <s v="CUST1223"/>
    <s v="Robert Harris"/>
    <s v="PROD72"/>
    <x v="0"/>
    <s v="STORE14"/>
    <n v="3"/>
    <n v="972.58"/>
    <n v="0.28000000000000003"/>
    <x v="2"/>
    <x v="1336"/>
  </r>
  <r>
    <s v="SALE1337"/>
    <d v="2023-12-07T00:00:00"/>
    <s v="CUST1466"/>
    <s v="Cynthia Parrish"/>
    <s v="PROD48"/>
    <x v="1"/>
    <s v="STORE11"/>
    <n v="4"/>
    <n v="136.4"/>
    <n v="0.04"/>
    <x v="2"/>
    <x v="1337"/>
  </r>
  <r>
    <s v="SALE1338"/>
    <d v="2025-08-25T00:00:00"/>
    <s v="CUST1400"/>
    <s v="Mark Rogers"/>
    <s v="PROD39"/>
    <x v="1"/>
    <s v="STORE15"/>
    <n v="1"/>
    <n v="509.63"/>
    <n v="0.27"/>
    <x v="2"/>
    <x v="1338"/>
  </r>
  <r>
    <s v="SALE1339"/>
    <d v="2024-02-09T00:00:00"/>
    <s v="CUST1003"/>
    <s v="Jeremy Harris"/>
    <s v="PROD0"/>
    <x v="1"/>
    <s v="STORE3"/>
    <n v="4"/>
    <n v="360.28"/>
    <n v="0.09"/>
    <x v="2"/>
    <x v="1339"/>
  </r>
  <r>
    <s v="SALE1340"/>
    <d v="2025-09-10T00:00:00"/>
    <s v="CUST1080"/>
    <s v="Jennifer Garcia"/>
    <s v="PROD34"/>
    <x v="1"/>
    <s v="STORE15"/>
    <n v="3"/>
    <n v="882.05"/>
    <n v="0.06"/>
    <x v="1"/>
    <x v="1340"/>
  </r>
  <r>
    <s v="SALE1341"/>
    <d v="2024-09-29T00:00:00"/>
    <s v="CUST1195"/>
    <s v="Anthony Garcia"/>
    <s v="PROD19"/>
    <x v="0"/>
    <s v="STORE8"/>
    <n v="3"/>
    <n v="141.54"/>
    <n v="0.12"/>
    <x v="1"/>
    <x v="1341"/>
  </r>
  <r>
    <s v="SALE1342"/>
    <d v="2024-06-18T00:00:00"/>
    <s v="CUST1043"/>
    <s v="Joseph Snow"/>
    <s v="PROD39"/>
    <x v="1"/>
    <s v="STORE4"/>
    <n v="3"/>
    <n v="83.5"/>
    <n v="0.23"/>
    <x v="2"/>
    <x v="1342"/>
  </r>
  <r>
    <s v="SALE1343"/>
    <d v="2023-11-28T00:00:00"/>
    <s v="CUST1123"/>
    <s v="Erin Hopkins"/>
    <s v="PROD12"/>
    <x v="2"/>
    <s v="STORE6"/>
    <n v="2"/>
    <n v="629.73"/>
    <n v="7.0000000000000007E-2"/>
    <x v="1"/>
    <x v="1343"/>
  </r>
  <r>
    <s v="SALE1344"/>
    <d v="2023-10-29T00:00:00"/>
    <s v="CUST1012"/>
    <s v="Kenneth Lambert"/>
    <s v="PROD27"/>
    <x v="3"/>
    <s v="STORE6"/>
    <n v="2"/>
    <n v="159.93"/>
    <n v="0.2"/>
    <x v="2"/>
    <x v="1344"/>
  </r>
  <r>
    <s v="SALE1345"/>
    <d v="2025-07-20T00:00:00"/>
    <s v="CUST1012"/>
    <s v="Kenneth Lambert"/>
    <s v="PROD27"/>
    <x v="3"/>
    <s v="STORE18"/>
    <n v="1"/>
    <n v="459.89"/>
    <n v="0.18"/>
    <x v="2"/>
    <x v="1345"/>
  </r>
  <r>
    <s v="SALE1346"/>
    <d v="2024-08-28T00:00:00"/>
    <s v="CUST1188"/>
    <s v="Kimberly Brooks"/>
    <s v="PROD30"/>
    <x v="3"/>
    <s v="STORE19"/>
    <n v="4"/>
    <n v="885.57"/>
    <n v="0.27"/>
    <x v="0"/>
    <x v="1346"/>
  </r>
  <r>
    <s v="SALE1347"/>
    <d v="2024-06-11T00:00:00"/>
    <s v="CUST1402"/>
    <s v="Cassandra Perez"/>
    <s v="PROD21"/>
    <x v="3"/>
    <s v="STORE15"/>
    <n v="3"/>
    <n v="789.05"/>
    <n v="0"/>
    <x v="1"/>
    <x v="1347"/>
  </r>
  <r>
    <s v="SALE1348"/>
    <d v="2023-11-14T00:00:00"/>
    <s v="CUST1154"/>
    <s v="Julie Hale"/>
    <s v="PROD63"/>
    <x v="2"/>
    <s v="STORE0"/>
    <n v="1"/>
    <n v="570.52"/>
    <n v="0"/>
    <x v="1"/>
    <x v="1348"/>
  </r>
  <r>
    <s v="SALE1349"/>
    <d v="2024-01-31T00:00:00"/>
    <s v="CUST1179"/>
    <s v="Nicholas Bradshaw"/>
    <s v="PROD34"/>
    <x v="1"/>
    <s v="STORE16"/>
    <n v="4"/>
    <n v="310.79000000000002"/>
    <n v="0.22"/>
    <x v="2"/>
    <x v="1349"/>
  </r>
  <r>
    <s v="SALE1350"/>
    <d v="2025-04-10T00:00:00"/>
    <s v="CUST1057"/>
    <s v="Jay Patel"/>
    <s v="PROD38"/>
    <x v="0"/>
    <s v="STORE17"/>
    <n v="4"/>
    <n v="255.67"/>
    <n v="0.17"/>
    <x v="0"/>
    <x v="1350"/>
  </r>
  <r>
    <s v="SALE1351"/>
    <d v="2024-04-15T00:00:00"/>
    <s v="CUST1129"/>
    <s v="Jessica Mitchell"/>
    <s v="PROD91"/>
    <x v="4"/>
    <s v="STORE16"/>
    <n v="2"/>
    <n v="270.66000000000003"/>
    <n v="0.1"/>
    <x v="2"/>
    <x v="1351"/>
  </r>
  <r>
    <s v="SALE1352"/>
    <d v="2025-09-14T00:00:00"/>
    <s v="CUST1299"/>
    <s v="Stephanie Jacobs"/>
    <s v="PROD23"/>
    <x v="4"/>
    <s v="STORE17"/>
    <n v="3"/>
    <n v="373.35"/>
    <n v="0.2"/>
    <x v="2"/>
    <x v="1352"/>
  </r>
  <r>
    <s v="SALE1353"/>
    <d v="2024-05-20T00:00:00"/>
    <s v="CUST1036"/>
    <s v="Thomas Phillips"/>
    <s v="PROD90"/>
    <x v="1"/>
    <s v="STORE11"/>
    <n v="2"/>
    <n v="23.58"/>
    <n v="0.02"/>
    <x v="1"/>
    <x v="1353"/>
  </r>
  <r>
    <s v="SALE1354"/>
    <d v="2025-05-21T00:00:00"/>
    <s v="CUST1005"/>
    <s v="Christine Vaughn"/>
    <s v="PROD61"/>
    <x v="0"/>
    <s v="STORE7"/>
    <n v="4"/>
    <n v="185.67"/>
    <n v="0.21"/>
    <x v="1"/>
    <x v="1354"/>
  </r>
  <r>
    <s v="SALE1355"/>
    <d v="2024-04-14T00:00:00"/>
    <s v="CUST1120"/>
    <s v="Jacob Hopkins"/>
    <s v="PROD73"/>
    <x v="0"/>
    <s v="STORE13"/>
    <n v="3"/>
    <n v="928.74"/>
    <n v="0.27"/>
    <x v="1"/>
    <x v="1355"/>
  </r>
  <r>
    <s v="SALE1356"/>
    <d v="2023-11-05T00:00:00"/>
    <s v="CUST1029"/>
    <s v="David Arnold"/>
    <s v="PROD86"/>
    <x v="3"/>
    <s v="STORE5"/>
    <n v="3"/>
    <n v="923.38"/>
    <n v="7.0000000000000007E-2"/>
    <x v="2"/>
    <x v="1356"/>
  </r>
  <r>
    <s v="SALE1357"/>
    <d v="2024-07-26T00:00:00"/>
    <s v="CUST1462"/>
    <s v="Beth Martin"/>
    <s v="PROD33"/>
    <x v="3"/>
    <s v="STORE9"/>
    <n v="2"/>
    <n v="409.26"/>
    <n v="0.1"/>
    <x v="1"/>
    <x v="1357"/>
  </r>
  <r>
    <s v="SALE1358"/>
    <d v="2023-12-12T00:00:00"/>
    <s v="CUST1254"/>
    <s v="Linda Kline"/>
    <s v="PROD23"/>
    <x v="4"/>
    <s v="STORE7"/>
    <n v="2"/>
    <n v="608.46"/>
    <n v="0.16"/>
    <x v="0"/>
    <x v="1358"/>
  </r>
  <r>
    <s v="SALE1359"/>
    <d v="2025-05-08T00:00:00"/>
    <s v="CUST1212"/>
    <s v="Blake Harrison"/>
    <s v="PROD13"/>
    <x v="1"/>
    <s v="STORE19"/>
    <n v="4"/>
    <n v="150.47999999999999"/>
    <n v="0.09"/>
    <x v="0"/>
    <x v="1359"/>
  </r>
  <r>
    <s v="SALE1360"/>
    <d v="2024-08-30T00:00:00"/>
    <s v="CUST1245"/>
    <s v="Laura Soto"/>
    <s v="PROD39"/>
    <x v="1"/>
    <s v="STORE14"/>
    <n v="4"/>
    <n v="207.41"/>
    <n v="0.02"/>
    <x v="0"/>
    <x v="1360"/>
  </r>
  <r>
    <s v="SALE1361"/>
    <d v="2025-05-26T00:00:00"/>
    <s v="CUST1172"/>
    <s v="Thomas Rhodes"/>
    <s v="PROD79"/>
    <x v="3"/>
    <s v="STORE6"/>
    <n v="1"/>
    <n v="56.59"/>
    <n v="0.15"/>
    <x v="1"/>
    <x v="1361"/>
  </r>
  <r>
    <s v="SALE1362"/>
    <d v="2025-01-10T00:00:00"/>
    <s v="CUST1405"/>
    <s v="Eric Wolfe"/>
    <s v="PROD48"/>
    <x v="1"/>
    <s v="STORE4"/>
    <n v="4"/>
    <n v="995.4"/>
    <n v="0.27"/>
    <x v="0"/>
    <x v="1362"/>
  </r>
  <r>
    <s v="SALE1363"/>
    <d v="2024-12-30T00:00:00"/>
    <s v="CUST1064"/>
    <s v="Mr. Mason Butler"/>
    <s v="PROD47"/>
    <x v="2"/>
    <s v="STORE12"/>
    <n v="2"/>
    <n v="591.33000000000004"/>
    <n v="0.24"/>
    <x v="0"/>
    <x v="1363"/>
  </r>
  <r>
    <s v="SALE1364"/>
    <d v="2025-07-31T00:00:00"/>
    <s v="CUST1378"/>
    <s v="Frank Stewart"/>
    <s v="PROD91"/>
    <x v="4"/>
    <s v="STORE17"/>
    <n v="2"/>
    <n v="204.89"/>
    <n v="0.24"/>
    <x v="0"/>
    <x v="1364"/>
  </r>
  <r>
    <s v="SALE1365"/>
    <d v="2024-09-14T00:00:00"/>
    <s v="CUST1090"/>
    <s v="Oscar Moon"/>
    <s v="PROD65"/>
    <x v="0"/>
    <s v="STORE14"/>
    <n v="2"/>
    <n v="546.41"/>
    <n v="0.08"/>
    <x v="2"/>
    <x v="1365"/>
  </r>
  <r>
    <s v="SALE1366"/>
    <d v="2024-04-27T00:00:00"/>
    <s v="CUST1056"/>
    <s v="Christopher Sutton"/>
    <s v="PROD49"/>
    <x v="2"/>
    <s v="STORE12"/>
    <n v="4"/>
    <n v="455.49"/>
    <n v="0.17"/>
    <x v="0"/>
    <x v="1366"/>
  </r>
  <r>
    <s v="SALE1367"/>
    <d v="2024-03-23T00:00:00"/>
    <s v="CUST1422"/>
    <s v="Brittany Edwards Dds"/>
    <s v="PROD49"/>
    <x v="2"/>
    <s v="STORE16"/>
    <n v="2"/>
    <n v="700.27"/>
    <n v="0.16"/>
    <x v="0"/>
    <x v="1367"/>
  </r>
  <r>
    <s v="SALE1368"/>
    <d v="2023-12-22T00:00:00"/>
    <s v="CUST1345"/>
    <s v="Daniel Nelson"/>
    <s v="PROD22"/>
    <x v="0"/>
    <s v="STORE17"/>
    <n v="2"/>
    <n v="160.21"/>
    <n v="0.09"/>
    <x v="0"/>
    <x v="1368"/>
  </r>
  <r>
    <s v="SALE1369"/>
    <d v="2025-03-26T00:00:00"/>
    <s v="CUST1031"/>
    <s v="Sarah Vance"/>
    <s v="PROD62"/>
    <x v="1"/>
    <s v="STORE11"/>
    <n v="1"/>
    <n v="713.63"/>
    <n v="0.28000000000000003"/>
    <x v="2"/>
    <x v="1369"/>
  </r>
  <r>
    <s v="SALE1370"/>
    <d v="2024-06-04T00:00:00"/>
    <s v="CUST1227"/>
    <s v="Gregory Pham"/>
    <s v="PROD93"/>
    <x v="1"/>
    <s v="STORE7"/>
    <n v="2"/>
    <n v="224.69"/>
    <n v="0.2"/>
    <x v="2"/>
    <x v="1370"/>
  </r>
  <r>
    <s v="SALE1371"/>
    <d v="2025-03-17T00:00:00"/>
    <s v="CUST1453"/>
    <s v="April Phillips"/>
    <s v="PROD12"/>
    <x v="2"/>
    <s v="STORE14"/>
    <n v="2"/>
    <n v="740.57"/>
    <n v="0.06"/>
    <x v="0"/>
    <x v="1371"/>
  </r>
  <r>
    <s v="SALE1372"/>
    <d v="2024-03-22T00:00:00"/>
    <s v="CUST1142"/>
    <s v="Maria Ramirez"/>
    <s v="PROD69"/>
    <x v="4"/>
    <s v="STORE3"/>
    <n v="3"/>
    <n v="250.14"/>
    <n v="0.23"/>
    <x v="1"/>
    <x v="1372"/>
  </r>
  <r>
    <s v="SALE1373"/>
    <d v="2024-12-29T00:00:00"/>
    <s v="CUST1020"/>
    <s v="Bridget Allen"/>
    <s v="PROD70"/>
    <x v="3"/>
    <s v="STORE19"/>
    <n v="3"/>
    <n v="34.97"/>
    <n v="0.01"/>
    <x v="0"/>
    <x v="1373"/>
  </r>
  <r>
    <s v="SALE1374"/>
    <d v="2025-07-30T00:00:00"/>
    <s v="CUST1304"/>
    <s v="Miss Alexandria Li Dvm"/>
    <s v="PROD50"/>
    <x v="0"/>
    <s v="STORE16"/>
    <n v="1"/>
    <n v="653.91"/>
    <n v="0.3"/>
    <x v="1"/>
    <x v="1374"/>
  </r>
  <r>
    <s v="SALE1375"/>
    <d v="2024-02-16T00:00:00"/>
    <s v="CUST1363"/>
    <s v="Elizabeth Smith"/>
    <s v="PROD91"/>
    <x v="4"/>
    <s v="STORE3"/>
    <n v="1"/>
    <n v="997.87"/>
    <n v="0.24"/>
    <x v="0"/>
    <x v="1375"/>
  </r>
  <r>
    <s v="SALE1376"/>
    <d v="2024-02-27T00:00:00"/>
    <s v="CUST1208"/>
    <s v="John Perez"/>
    <s v="PROD34"/>
    <x v="1"/>
    <s v="STORE14"/>
    <n v="1"/>
    <n v="174.27"/>
    <n v="0.27"/>
    <x v="2"/>
    <x v="1376"/>
  </r>
  <r>
    <s v="SALE1377"/>
    <d v="2024-03-17T00:00:00"/>
    <s v="CUST1115"/>
    <s v="Tyler Conrad"/>
    <s v="PROD21"/>
    <x v="3"/>
    <s v="STORE7"/>
    <n v="3"/>
    <n v="847.44"/>
    <n v="0.17"/>
    <x v="0"/>
    <x v="1377"/>
  </r>
  <r>
    <s v="SALE1378"/>
    <d v="2023-11-13T00:00:00"/>
    <s v="CUST1428"/>
    <s v="Samuel Mullins"/>
    <s v="PROD63"/>
    <x v="2"/>
    <s v="STORE2"/>
    <n v="1"/>
    <n v="493.45"/>
    <n v="0.09"/>
    <x v="0"/>
    <x v="1378"/>
  </r>
  <r>
    <s v="SALE1379"/>
    <d v="2024-10-12T00:00:00"/>
    <s v="CUST1232"/>
    <s v="Christy Hill"/>
    <s v="PROD95"/>
    <x v="0"/>
    <s v="STORE2"/>
    <n v="4"/>
    <n v="111.66"/>
    <n v="0.14000000000000001"/>
    <x v="0"/>
    <x v="1379"/>
  </r>
  <r>
    <s v="SALE1380"/>
    <d v="2024-02-21T00:00:00"/>
    <s v="CUST1278"/>
    <s v="Stephen Fowler"/>
    <s v="PROD88"/>
    <x v="0"/>
    <s v="STORE11"/>
    <n v="1"/>
    <n v="413.65"/>
    <n v="0.1"/>
    <x v="2"/>
    <x v="1380"/>
  </r>
  <r>
    <s v="SALE1381"/>
    <d v="2025-03-28T00:00:00"/>
    <s v="CUST1475"/>
    <s v="Barbara Berry"/>
    <s v="PROD73"/>
    <x v="0"/>
    <s v="STORE9"/>
    <n v="1"/>
    <n v="317.14999999999998"/>
    <n v="0.24"/>
    <x v="2"/>
    <x v="1381"/>
  </r>
  <r>
    <s v="SALE1382"/>
    <d v="2025-08-04T00:00:00"/>
    <s v="CUST1359"/>
    <s v="Melanie Lam"/>
    <s v="PROD59"/>
    <x v="2"/>
    <s v="STORE1"/>
    <n v="3"/>
    <n v="642.94000000000005"/>
    <n v="0.05"/>
    <x v="2"/>
    <x v="1382"/>
  </r>
  <r>
    <s v="SALE1383"/>
    <d v="2024-11-05T00:00:00"/>
    <s v="CUST1133"/>
    <s v="Hayley Pope"/>
    <s v="PROD36"/>
    <x v="4"/>
    <s v="STORE10"/>
    <n v="4"/>
    <n v="559.59"/>
    <n v="0.19"/>
    <x v="2"/>
    <x v="1383"/>
  </r>
  <r>
    <s v="SALE1384"/>
    <d v="2024-06-15T00:00:00"/>
    <s v="CUST1114"/>
    <s v="Ryan Hernandez"/>
    <s v="PROD59"/>
    <x v="2"/>
    <s v="STORE18"/>
    <n v="1"/>
    <n v="758.54"/>
    <n v="0.28999999999999998"/>
    <x v="1"/>
    <x v="1384"/>
  </r>
  <r>
    <s v="SALE1385"/>
    <d v="2024-12-23T00:00:00"/>
    <s v="CUST1462"/>
    <s v="Beth Martin"/>
    <s v="PROD33"/>
    <x v="3"/>
    <s v="STORE15"/>
    <n v="4"/>
    <n v="643.96"/>
    <n v="0.16"/>
    <x v="1"/>
    <x v="1385"/>
  </r>
  <r>
    <s v="SALE1386"/>
    <d v="2024-12-27T00:00:00"/>
    <s v="CUST1243"/>
    <s v="Brian Hammond"/>
    <s v="PROD69"/>
    <x v="4"/>
    <s v="STORE9"/>
    <n v="1"/>
    <n v="882.73"/>
    <n v="0.1"/>
    <x v="0"/>
    <x v="1386"/>
  </r>
  <r>
    <s v="SALE1387"/>
    <d v="2024-03-27T00:00:00"/>
    <s v="CUST1325"/>
    <s v="Andrew Smith"/>
    <s v="PROD54"/>
    <x v="0"/>
    <s v="STORE19"/>
    <n v="2"/>
    <n v="600.03"/>
    <n v="0.26"/>
    <x v="1"/>
    <x v="1387"/>
  </r>
  <r>
    <s v="SALE1388"/>
    <d v="2024-12-12T00:00:00"/>
    <s v="CUST1157"/>
    <s v="Paul Zamora"/>
    <s v="PROD55"/>
    <x v="3"/>
    <s v="STORE5"/>
    <n v="2"/>
    <n v="628.83000000000004"/>
    <n v="7.0000000000000007E-2"/>
    <x v="1"/>
    <x v="1388"/>
  </r>
  <r>
    <s v="SALE1389"/>
    <d v="2023-12-17T00:00:00"/>
    <s v="CUST1175"/>
    <s v="Michelle Rogers"/>
    <s v="PROD49"/>
    <x v="2"/>
    <s v="STORE9"/>
    <n v="3"/>
    <n v="113.87"/>
    <n v="0.21"/>
    <x v="2"/>
    <x v="1389"/>
  </r>
  <r>
    <s v="SALE1390"/>
    <d v="2024-02-29T00:00:00"/>
    <s v="CUST1418"/>
    <s v="Luke Parks"/>
    <s v="PROD89"/>
    <x v="2"/>
    <s v="STORE7"/>
    <n v="4"/>
    <n v="282.07"/>
    <n v="0.18"/>
    <x v="1"/>
    <x v="1390"/>
  </r>
  <r>
    <s v="SALE1391"/>
    <d v="2023-12-30T00:00:00"/>
    <s v="CUST1156"/>
    <s v="Maria Sanchez"/>
    <s v="PROD49"/>
    <x v="2"/>
    <s v="STORE6"/>
    <n v="3"/>
    <n v="676.77"/>
    <n v="0.17"/>
    <x v="1"/>
    <x v="1391"/>
  </r>
  <r>
    <s v="SALE1392"/>
    <d v="2024-12-12T00:00:00"/>
    <s v="CUST1220"/>
    <s v="George Davis"/>
    <s v="PROD29"/>
    <x v="3"/>
    <s v="STORE16"/>
    <n v="2"/>
    <n v="362.7"/>
    <n v="0.09"/>
    <x v="0"/>
    <x v="1392"/>
  </r>
  <r>
    <s v="SALE1393"/>
    <d v="2025-01-22T00:00:00"/>
    <s v="CUST1135"/>
    <s v="Matthew Hanna"/>
    <s v="PROD44"/>
    <x v="0"/>
    <s v="STORE2"/>
    <n v="1"/>
    <n v="908.5"/>
    <n v="0.2"/>
    <x v="2"/>
    <x v="1393"/>
  </r>
  <r>
    <s v="SALE1394"/>
    <d v="2024-01-05T00:00:00"/>
    <s v="CUST1067"/>
    <s v="Amber Mcclain"/>
    <s v="PROD46"/>
    <x v="4"/>
    <s v="STORE15"/>
    <n v="2"/>
    <n v="795.37"/>
    <n v="0.2"/>
    <x v="2"/>
    <x v="1394"/>
  </r>
  <r>
    <s v="SALE1395"/>
    <d v="2025-04-13T00:00:00"/>
    <s v="CUST1144"/>
    <s v="Justin Cross"/>
    <s v="PROD72"/>
    <x v="0"/>
    <s v="STORE4"/>
    <n v="2"/>
    <n v="326.85000000000002"/>
    <n v="0.17"/>
    <x v="2"/>
    <x v="1395"/>
  </r>
  <r>
    <s v="SALE1396"/>
    <d v="2024-11-07T00:00:00"/>
    <s v="CUST1350"/>
    <s v="Charles Miller"/>
    <s v="PROD92"/>
    <x v="3"/>
    <s v="STORE14"/>
    <n v="3"/>
    <n v="169.43"/>
    <n v="0.19"/>
    <x v="0"/>
    <x v="1396"/>
  </r>
  <r>
    <s v="SALE1397"/>
    <d v="2024-05-01T00:00:00"/>
    <s v="CUST1163"/>
    <s v="Joseph Jones"/>
    <s v="PROD97"/>
    <x v="0"/>
    <s v="STORE6"/>
    <n v="1"/>
    <n v="254.47"/>
    <n v="0.1"/>
    <x v="0"/>
    <x v="1397"/>
  </r>
  <r>
    <s v="SALE1398"/>
    <d v="2024-08-02T00:00:00"/>
    <s v="CUST1418"/>
    <s v="Luke Parks"/>
    <s v="PROD89"/>
    <x v="2"/>
    <s v="STORE16"/>
    <n v="4"/>
    <n v="627.73"/>
    <n v="0.11"/>
    <x v="2"/>
    <x v="1398"/>
  </r>
  <r>
    <s v="SALE1399"/>
    <d v="2024-04-12T00:00:00"/>
    <s v="CUST1371"/>
    <s v="Michael Garner"/>
    <s v="PROD67"/>
    <x v="1"/>
    <s v="STORE19"/>
    <n v="4"/>
    <n v="327.25"/>
    <n v="0.13"/>
    <x v="2"/>
    <x v="1399"/>
  </r>
  <r>
    <s v="SALE1400"/>
    <d v="2025-04-08T00:00:00"/>
    <s v="CUST1145"/>
    <s v="Cameron Simpson"/>
    <s v="PROD69"/>
    <x v="4"/>
    <s v="STORE11"/>
    <n v="4"/>
    <n v="511.43"/>
    <n v="0.18"/>
    <x v="2"/>
    <x v="1400"/>
  </r>
  <r>
    <s v="SALE1401"/>
    <d v="2024-06-30T00:00:00"/>
    <s v="CUST1165"/>
    <s v="Jason Wheeler"/>
    <s v="PROD27"/>
    <x v="3"/>
    <s v="STORE17"/>
    <n v="4"/>
    <n v="194.67"/>
    <n v="0.23"/>
    <x v="1"/>
    <x v="1401"/>
  </r>
  <r>
    <s v="SALE1402"/>
    <d v="2024-01-13T00:00:00"/>
    <s v="CUST1059"/>
    <s v="Alyssa Vargas"/>
    <s v="PROD94"/>
    <x v="2"/>
    <s v="STORE1"/>
    <n v="2"/>
    <n v="54.51"/>
    <n v="7.0000000000000007E-2"/>
    <x v="0"/>
    <x v="1402"/>
  </r>
  <r>
    <s v="SALE1403"/>
    <d v="2024-09-22T00:00:00"/>
    <s v="CUST1076"/>
    <s v="Nathan Campbell"/>
    <s v="PROD32"/>
    <x v="2"/>
    <s v="STORE11"/>
    <n v="4"/>
    <n v="964"/>
    <n v="0.14000000000000001"/>
    <x v="1"/>
    <x v="1403"/>
  </r>
  <r>
    <s v="SALE1404"/>
    <d v="2024-08-23T00:00:00"/>
    <s v="CUST1040"/>
    <s v="Eric Vega"/>
    <s v="PROD17"/>
    <x v="0"/>
    <s v="STORE4"/>
    <n v="1"/>
    <n v="170.12"/>
    <n v="0.26"/>
    <x v="1"/>
    <x v="1404"/>
  </r>
  <r>
    <s v="SALE1405"/>
    <d v="2025-08-06T00:00:00"/>
    <s v="CUST1152"/>
    <s v="Patrick Roberts"/>
    <s v="PROD70"/>
    <x v="3"/>
    <s v="STORE19"/>
    <n v="2"/>
    <n v="664.5"/>
    <n v="0.23"/>
    <x v="0"/>
    <x v="1405"/>
  </r>
  <r>
    <s v="SALE1406"/>
    <d v="2025-10-06T00:00:00"/>
    <s v="CUST1371"/>
    <s v="Michael Garner"/>
    <s v="PROD67"/>
    <x v="1"/>
    <s v="STORE10"/>
    <n v="4"/>
    <n v="557.51"/>
    <n v="0.11"/>
    <x v="0"/>
    <x v="1406"/>
  </r>
  <r>
    <s v="SALE1407"/>
    <d v="2025-05-30T00:00:00"/>
    <s v="CUST1397"/>
    <s v="Charles Norman Phd"/>
    <s v="PROD94"/>
    <x v="2"/>
    <s v="STORE1"/>
    <n v="2"/>
    <n v="410"/>
    <n v="0.13"/>
    <x v="2"/>
    <x v="1407"/>
  </r>
  <r>
    <s v="SALE1408"/>
    <d v="2024-06-30T00:00:00"/>
    <s v="CUST1306"/>
    <s v="Angela Robinson"/>
    <s v="PROD5"/>
    <x v="4"/>
    <s v="STORE5"/>
    <n v="2"/>
    <n v="879.93"/>
    <n v="0.28999999999999998"/>
    <x v="2"/>
    <x v="1408"/>
  </r>
  <r>
    <s v="SALE1409"/>
    <d v="2025-01-07T00:00:00"/>
    <s v="CUST1007"/>
    <s v="Daniel Boyd"/>
    <s v="PROD67"/>
    <x v="1"/>
    <s v="STORE18"/>
    <n v="1"/>
    <n v="350.58"/>
    <n v="0.03"/>
    <x v="2"/>
    <x v="1409"/>
  </r>
  <r>
    <s v="SALE1410"/>
    <d v="2024-12-07T00:00:00"/>
    <s v="CUST1350"/>
    <s v="Charles Miller"/>
    <s v="PROD92"/>
    <x v="3"/>
    <s v="STORE3"/>
    <n v="4"/>
    <n v="348.58"/>
    <n v="0.16"/>
    <x v="0"/>
    <x v="1410"/>
  </r>
  <r>
    <s v="SALE1411"/>
    <d v="2024-09-13T00:00:00"/>
    <s v="CUST1459"/>
    <s v="John Perez"/>
    <s v="PROD54"/>
    <x v="0"/>
    <s v="STORE3"/>
    <n v="3"/>
    <n v="247.66"/>
    <n v="0.02"/>
    <x v="2"/>
    <x v="1411"/>
  </r>
  <r>
    <s v="SALE1412"/>
    <d v="2023-11-14T00:00:00"/>
    <s v="CUST1388"/>
    <s v="Timothy Valenzuela"/>
    <s v="PROD82"/>
    <x v="0"/>
    <s v="STORE15"/>
    <n v="3"/>
    <n v="836.27"/>
    <n v="0.16"/>
    <x v="0"/>
    <x v="1412"/>
  </r>
  <r>
    <s v="SALE1413"/>
    <d v="2025-04-06T00:00:00"/>
    <s v="CUST1195"/>
    <s v="Anthony Garcia"/>
    <s v="PROD19"/>
    <x v="0"/>
    <s v="STORE10"/>
    <n v="3"/>
    <n v="696.74"/>
    <n v="0.13"/>
    <x v="2"/>
    <x v="1413"/>
  </r>
  <r>
    <s v="SALE1414"/>
    <d v="2025-05-27T00:00:00"/>
    <s v="CUST1245"/>
    <s v="Laura Soto"/>
    <s v="PROD39"/>
    <x v="1"/>
    <s v="STORE13"/>
    <n v="2"/>
    <n v="822.59"/>
    <n v="0.22"/>
    <x v="1"/>
    <x v="1414"/>
  </r>
  <r>
    <s v="SALE1415"/>
    <d v="2023-12-03T00:00:00"/>
    <s v="CUST1222"/>
    <s v="Alejandro Doyle"/>
    <s v="PROD46"/>
    <x v="4"/>
    <s v="STORE2"/>
    <n v="1"/>
    <n v="462.23"/>
    <n v="0.3"/>
    <x v="1"/>
    <x v="1415"/>
  </r>
  <r>
    <s v="SALE1416"/>
    <d v="2025-09-06T00:00:00"/>
    <s v="CUST1447"/>
    <s v="Monica Wright"/>
    <s v="PROD42"/>
    <x v="1"/>
    <s v="STORE17"/>
    <n v="1"/>
    <n v="361.09"/>
    <n v="0.06"/>
    <x v="1"/>
    <x v="1416"/>
  </r>
  <r>
    <s v="SALE1417"/>
    <d v="2023-11-13T00:00:00"/>
    <s v="CUST1383"/>
    <s v="Kristine Higgins"/>
    <s v="PROD58"/>
    <x v="4"/>
    <s v="STORE19"/>
    <n v="3"/>
    <n v="59.37"/>
    <n v="0.03"/>
    <x v="1"/>
    <x v="1417"/>
  </r>
  <r>
    <s v="SALE1418"/>
    <d v="2025-01-29T00:00:00"/>
    <s v="CUST1036"/>
    <s v="Thomas Phillips"/>
    <s v="PROD90"/>
    <x v="1"/>
    <s v="STORE1"/>
    <n v="3"/>
    <n v="765.21"/>
    <n v="0.14000000000000001"/>
    <x v="2"/>
    <x v="1418"/>
  </r>
  <r>
    <s v="SALE1419"/>
    <d v="2024-06-29T00:00:00"/>
    <s v="CUST1243"/>
    <s v="Brian Hammond"/>
    <s v="PROD69"/>
    <x v="4"/>
    <s v="STORE12"/>
    <n v="4"/>
    <n v="303.56"/>
    <n v="0.2"/>
    <x v="2"/>
    <x v="1419"/>
  </r>
  <r>
    <s v="SALE1420"/>
    <d v="2025-05-02T00:00:00"/>
    <s v="CUST1443"/>
    <s v="Adam Castro"/>
    <s v="PROD34"/>
    <x v="1"/>
    <s v="STORE0"/>
    <n v="1"/>
    <n v="640.92999999999995"/>
    <n v="0.19"/>
    <x v="1"/>
    <x v="1420"/>
  </r>
  <r>
    <s v="SALE1421"/>
    <d v="2025-06-22T00:00:00"/>
    <s v="CUST1174"/>
    <s v="Maria Davis"/>
    <s v="PROD86"/>
    <x v="3"/>
    <s v="STORE10"/>
    <n v="2"/>
    <n v="611.25"/>
    <n v="0.22"/>
    <x v="0"/>
    <x v="1421"/>
  </r>
  <r>
    <s v="SALE1422"/>
    <d v="2025-04-09T00:00:00"/>
    <s v="CUST1461"/>
    <s v="Paul Cox"/>
    <s v="PROD65"/>
    <x v="0"/>
    <s v="STORE1"/>
    <n v="1"/>
    <n v="209.93"/>
    <n v="0.21"/>
    <x v="0"/>
    <x v="1422"/>
  </r>
  <r>
    <s v="SALE1423"/>
    <d v="2025-07-09T00:00:00"/>
    <s v="CUST1110"/>
    <s v="Ashley Griffin"/>
    <s v="PROD8"/>
    <x v="1"/>
    <s v="STORE10"/>
    <n v="3"/>
    <n v="130.38999999999999"/>
    <n v="0.24"/>
    <x v="1"/>
    <x v="1423"/>
  </r>
  <r>
    <s v="SALE1424"/>
    <d v="2024-01-31T00:00:00"/>
    <s v="CUST1291"/>
    <s v="James Powell"/>
    <s v="PROD93"/>
    <x v="1"/>
    <s v="STORE7"/>
    <n v="2"/>
    <n v="846.18"/>
    <n v="0.1"/>
    <x v="2"/>
    <x v="1424"/>
  </r>
  <r>
    <s v="SALE1425"/>
    <d v="2025-06-21T00:00:00"/>
    <s v="CUST1354"/>
    <s v="Ryan Torres"/>
    <s v="PROD61"/>
    <x v="0"/>
    <s v="STORE14"/>
    <n v="2"/>
    <n v="424.53"/>
    <n v="0.14000000000000001"/>
    <x v="2"/>
    <x v="1425"/>
  </r>
  <r>
    <s v="SALE1426"/>
    <d v="2024-09-04T00:00:00"/>
    <s v="CUST1258"/>
    <s v="Sarah Stewart"/>
    <s v="PROD88"/>
    <x v="0"/>
    <s v="STORE14"/>
    <n v="4"/>
    <n v="450.42"/>
    <n v="0.08"/>
    <x v="2"/>
    <x v="1426"/>
  </r>
  <r>
    <s v="SALE1427"/>
    <d v="2025-08-24T00:00:00"/>
    <s v="CUST1156"/>
    <s v="Maria Sanchez"/>
    <s v="PROD49"/>
    <x v="2"/>
    <s v="STORE9"/>
    <n v="4"/>
    <n v="896.91"/>
    <n v="0.1"/>
    <x v="0"/>
    <x v="1427"/>
  </r>
  <r>
    <s v="SALE1428"/>
    <d v="2025-06-06T00:00:00"/>
    <s v="CUST1485"/>
    <s v="Sara Ingram"/>
    <s v="PROD26"/>
    <x v="1"/>
    <s v="STORE10"/>
    <n v="3"/>
    <n v="679.38"/>
    <n v="0.3"/>
    <x v="2"/>
    <x v="1428"/>
  </r>
  <r>
    <s v="SALE1429"/>
    <d v="2024-10-06T00:00:00"/>
    <s v="CUST1016"/>
    <s v="John Scott"/>
    <s v="PROD56"/>
    <x v="3"/>
    <s v="STORE16"/>
    <n v="3"/>
    <n v="483.63"/>
    <n v="0"/>
    <x v="0"/>
    <x v="1429"/>
  </r>
  <r>
    <s v="SALE1430"/>
    <d v="2024-09-07T00:00:00"/>
    <s v="CUST1030"/>
    <s v="Jessica Acevedo"/>
    <s v="PROD35"/>
    <x v="3"/>
    <s v="STORE0"/>
    <n v="3"/>
    <n v="158.27000000000001"/>
    <n v="0.24"/>
    <x v="2"/>
    <x v="1430"/>
  </r>
  <r>
    <s v="SALE1431"/>
    <d v="2025-04-11T00:00:00"/>
    <s v="CUST1115"/>
    <s v="Tyler Conrad"/>
    <s v="PROD21"/>
    <x v="3"/>
    <s v="STORE15"/>
    <n v="4"/>
    <n v="601.5"/>
    <n v="0.18"/>
    <x v="0"/>
    <x v="1431"/>
  </r>
  <r>
    <s v="SALE1432"/>
    <d v="2025-02-21T00:00:00"/>
    <s v="CUST1069"/>
    <s v="Roy Cole"/>
    <s v="PROD73"/>
    <x v="0"/>
    <s v="STORE18"/>
    <n v="2"/>
    <n v="46.39"/>
    <n v="7.0000000000000007E-2"/>
    <x v="0"/>
    <x v="1432"/>
  </r>
  <r>
    <s v="SALE1433"/>
    <d v="2024-10-22T00:00:00"/>
    <s v="CUST1119"/>
    <s v="Michael Jones"/>
    <s v="PROD90"/>
    <x v="1"/>
    <s v="STORE8"/>
    <n v="4"/>
    <n v="892.28"/>
    <n v="0.23"/>
    <x v="0"/>
    <x v="1433"/>
  </r>
  <r>
    <s v="SALE1434"/>
    <d v="2024-07-21T00:00:00"/>
    <s v="CUST1221"/>
    <s v="Lisa Young"/>
    <s v="PROD83"/>
    <x v="2"/>
    <s v="STORE7"/>
    <n v="2"/>
    <n v="164.23"/>
    <n v="0.17"/>
    <x v="0"/>
    <x v="1434"/>
  </r>
  <r>
    <s v="SALE1435"/>
    <d v="2024-01-14T00:00:00"/>
    <s v="CUST1452"/>
    <s v="Jeffery Wolf"/>
    <s v="PROD59"/>
    <x v="2"/>
    <s v="STORE7"/>
    <n v="1"/>
    <n v="484.23"/>
    <n v="0.12"/>
    <x v="2"/>
    <x v="1435"/>
  </r>
  <r>
    <s v="SALE1436"/>
    <d v="2024-04-01T00:00:00"/>
    <s v="CUST1005"/>
    <s v="Christine Vaughn"/>
    <s v="PROD61"/>
    <x v="0"/>
    <s v="STORE18"/>
    <n v="3"/>
    <n v="341.51"/>
    <n v="0.22"/>
    <x v="2"/>
    <x v="1436"/>
  </r>
  <r>
    <s v="SALE1437"/>
    <d v="2025-05-11T00:00:00"/>
    <s v="CUST1109"/>
    <s v="Amy Walker"/>
    <s v="PROD34"/>
    <x v="1"/>
    <s v="STORE13"/>
    <n v="3"/>
    <n v="758.87"/>
    <n v="0.11"/>
    <x v="1"/>
    <x v="1437"/>
  </r>
  <r>
    <s v="SALE1438"/>
    <d v="2025-07-17T00:00:00"/>
    <s v="CUST1470"/>
    <s v="Manuel Fisher"/>
    <s v="PROD59"/>
    <x v="2"/>
    <s v="STORE12"/>
    <n v="3"/>
    <n v="560.52"/>
    <n v="0.17"/>
    <x v="0"/>
    <x v="1438"/>
  </r>
  <r>
    <s v="SALE1439"/>
    <d v="2024-08-29T00:00:00"/>
    <s v="CUST1351"/>
    <s v="Jeffrey Mccarthy"/>
    <s v="PROD26"/>
    <x v="1"/>
    <s v="STORE17"/>
    <n v="2"/>
    <n v="977.18"/>
    <n v="0.19"/>
    <x v="0"/>
    <x v="1439"/>
  </r>
  <r>
    <s v="SALE1440"/>
    <d v="2025-04-16T00:00:00"/>
    <s v="CUST1236"/>
    <s v="Joshua Wilson"/>
    <s v="PROD16"/>
    <x v="2"/>
    <s v="STORE14"/>
    <n v="4"/>
    <n v="761.35"/>
    <n v="0.08"/>
    <x v="0"/>
    <x v="1440"/>
  </r>
  <r>
    <s v="SALE1441"/>
    <d v="2025-08-31T00:00:00"/>
    <s v="CUST1179"/>
    <s v="Nicholas Bradshaw"/>
    <s v="PROD34"/>
    <x v="1"/>
    <s v="STORE18"/>
    <n v="2"/>
    <n v="947.56"/>
    <n v="0.02"/>
    <x v="2"/>
    <x v="1441"/>
  </r>
  <r>
    <s v="SALE1442"/>
    <d v="2025-10-13T00:00:00"/>
    <s v="CUST1238"/>
    <s v="Steven Smith"/>
    <s v="PROD43"/>
    <x v="1"/>
    <s v="STORE18"/>
    <n v="4"/>
    <n v="975.47"/>
    <n v="0.04"/>
    <x v="0"/>
    <x v="1442"/>
  </r>
  <r>
    <s v="SALE1443"/>
    <d v="2024-06-05T00:00:00"/>
    <s v="CUST1477"/>
    <s v="Andrea Harris"/>
    <s v="PROD76"/>
    <x v="1"/>
    <s v="STORE9"/>
    <n v="3"/>
    <n v="769.06"/>
    <n v="0.23"/>
    <x v="2"/>
    <x v="1443"/>
  </r>
  <r>
    <s v="SALE1444"/>
    <d v="2025-09-29T00:00:00"/>
    <s v="CUST1486"/>
    <s v="Eric Lee"/>
    <s v="PROD40"/>
    <x v="1"/>
    <s v="STORE2"/>
    <n v="3"/>
    <n v="824.75"/>
    <n v="0.23"/>
    <x v="0"/>
    <x v="1444"/>
  </r>
  <r>
    <s v="SALE1445"/>
    <d v="2024-07-05T00:00:00"/>
    <s v="CUST1401"/>
    <s v="Terry Moses"/>
    <s v="PROD34"/>
    <x v="1"/>
    <s v="STORE4"/>
    <n v="2"/>
    <n v="821.35"/>
    <n v="0.11"/>
    <x v="1"/>
    <x v="1445"/>
  </r>
  <r>
    <s v="SALE1446"/>
    <d v="2025-03-07T00:00:00"/>
    <s v="CUST1405"/>
    <s v="Eric Wolfe"/>
    <s v="PROD48"/>
    <x v="1"/>
    <s v="STORE10"/>
    <n v="1"/>
    <n v="120.57"/>
    <n v="0.06"/>
    <x v="1"/>
    <x v="1446"/>
  </r>
  <r>
    <s v="SALE1447"/>
    <d v="2023-11-10T00:00:00"/>
    <s v="CUST1335"/>
    <s v="Jennifer Woods"/>
    <s v="PROD29"/>
    <x v="3"/>
    <s v="STORE1"/>
    <n v="1"/>
    <n v="122.27"/>
    <n v="0.26"/>
    <x v="1"/>
    <x v="1447"/>
  </r>
  <r>
    <s v="SALE1448"/>
    <d v="2025-08-21T00:00:00"/>
    <s v="CUST1170"/>
    <s v="Christopher Garcia Dds"/>
    <s v="PROD83"/>
    <x v="2"/>
    <s v="STORE2"/>
    <n v="2"/>
    <n v="182.89"/>
    <n v="0.11"/>
    <x v="0"/>
    <x v="1448"/>
  </r>
  <r>
    <s v="SALE1449"/>
    <d v="2025-05-19T00:00:00"/>
    <s v="CUST1371"/>
    <s v="Michael Garner"/>
    <s v="PROD67"/>
    <x v="1"/>
    <s v="STORE4"/>
    <n v="1"/>
    <n v="695.26"/>
    <n v="0.23"/>
    <x v="1"/>
    <x v="1449"/>
  </r>
  <r>
    <s v="SALE1450"/>
    <d v="2025-08-26T00:00:00"/>
    <s v="CUST1027"/>
    <s v="Leslie Johnson"/>
    <s v="PROD24"/>
    <x v="0"/>
    <s v="STORE6"/>
    <n v="2"/>
    <n v="408.8"/>
    <n v="0.17"/>
    <x v="2"/>
    <x v="1450"/>
  </r>
  <r>
    <s v="SALE1451"/>
    <d v="2025-01-19T00:00:00"/>
    <s v="CUST1226"/>
    <s v="Alexis Castaneda"/>
    <s v="PROD49"/>
    <x v="2"/>
    <s v="STORE8"/>
    <n v="3"/>
    <n v="512.15"/>
    <n v="0.12"/>
    <x v="0"/>
    <x v="1451"/>
  </r>
  <r>
    <s v="SALE1452"/>
    <d v="2024-10-03T00:00:00"/>
    <s v="CUST1409"/>
    <s v="Sarah Smith"/>
    <s v="PROD97"/>
    <x v="0"/>
    <s v="STORE8"/>
    <n v="3"/>
    <n v="136.4"/>
    <n v="0.15"/>
    <x v="1"/>
    <x v="1452"/>
  </r>
  <r>
    <s v="SALE1453"/>
    <d v="2023-12-12T00:00:00"/>
    <s v="CUST1175"/>
    <s v="Michelle Rogers"/>
    <s v="PROD49"/>
    <x v="2"/>
    <s v="STORE3"/>
    <n v="2"/>
    <n v="42.51"/>
    <n v="0.04"/>
    <x v="2"/>
    <x v="1453"/>
  </r>
  <r>
    <s v="SALE1454"/>
    <d v="2025-03-02T00:00:00"/>
    <s v="CUST1359"/>
    <s v="Melanie Lam"/>
    <s v="PROD59"/>
    <x v="2"/>
    <s v="STORE7"/>
    <n v="3"/>
    <n v="582.1"/>
    <n v="0.12"/>
    <x v="1"/>
    <x v="1454"/>
  </r>
  <r>
    <s v="SALE1455"/>
    <d v="2024-03-05T00:00:00"/>
    <s v="CUST1219"/>
    <s v="Jordan Wells"/>
    <s v="PROD37"/>
    <x v="4"/>
    <s v="STORE17"/>
    <n v="4"/>
    <n v="461.52"/>
    <n v="0"/>
    <x v="2"/>
    <x v="1455"/>
  </r>
  <r>
    <s v="SALE1456"/>
    <d v="2024-09-17T00:00:00"/>
    <s v="CUST1496"/>
    <s v="Christopher Ford"/>
    <s v="PROD51"/>
    <x v="1"/>
    <s v="STORE11"/>
    <n v="1"/>
    <n v="558.41999999999996"/>
    <n v="0.03"/>
    <x v="0"/>
    <x v="1456"/>
  </r>
  <r>
    <s v="SALE1457"/>
    <d v="2023-12-28T00:00:00"/>
    <s v="CUST1263"/>
    <s v="Crystal Davis"/>
    <s v="PROD65"/>
    <x v="0"/>
    <s v="STORE18"/>
    <n v="4"/>
    <n v="700.98"/>
    <n v="0.12"/>
    <x v="1"/>
    <x v="1457"/>
  </r>
  <r>
    <s v="SALE1458"/>
    <d v="2024-11-09T00:00:00"/>
    <s v="CUST1405"/>
    <s v="Eric Wolfe"/>
    <s v="PROD48"/>
    <x v="1"/>
    <s v="STORE18"/>
    <n v="2"/>
    <n v="227.97"/>
    <n v="0.08"/>
    <x v="2"/>
    <x v="1458"/>
  </r>
  <r>
    <s v="SALE1459"/>
    <d v="2024-08-12T00:00:00"/>
    <s v="CUST1474"/>
    <s v="Joshua Howard"/>
    <s v="PROD99"/>
    <x v="3"/>
    <s v="STORE11"/>
    <n v="4"/>
    <n v="278.70999999999998"/>
    <n v="0.2"/>
    <x v="1"/>
    <x v="1459"/>
  </r>
  <r>
    <s v="SALE1460"/>
    <d v="2024-03-28T00:00:00"/>
    <s v="CUST1259"/>
    <s v="Beth Allen"/>
    <s v="PROD13"/>
    <x v="1"/>
    <s v="STORE8"/>
    <n v="2"/>
    <n v="916.12"/>
    <n v="0.05"/>
    <x v="1"/>
    <x v="1460"/>
  </r>
  <r>
    <s v="SALE1461"/>
    <d v="2024-10-02T00:00:00"/>
    <s v="CUST1133"/>
    <s v="Hayley Pope"/>
    <s v="PROD36"/>
    <x v="4"/>
    <s v="STORE12"/>
    <n v="4"/>
    <n v="228.98"/>
    <n v="0.22"/>
    <x v="1"/>
    <x v="1461"/>
  </r>
  <r>
    <s v="SALE1462"/>
    <d v="2024-08-06T00:00:00"/>
    <s v="CUST1234"/>
    <s v="Nathaniel Hill"/>
    <s v="PROD98"/>
    <x v="1"/>
    <s v="STORE15"/>
    <n v="4"/>
    <n v="904.82"/>
    <n v="0.09"/>
    <x v="1"/>
    <x v="1462"/>
  </r>
  <r>
    <s v="SALE1463"/>
    <d v="2025-05-29T00:00:00"/>
    <s v="CUST1081"/>
    <s v="Krystal Ford"/>
    <s v="PROD45"/>
    <x v="0"/>
    <s v="STORE11"/>
    <n v="1"/>
    <n v="588.61"/>
    <n v="0.1"/>
    <x v="1"/>
    <x v="1463"/>
  </r>
  <r>
    <s v="SALE1464"/>
    <d v="2023-11-10T00:00:00"/>
    <s v="CUST1113"/>
    <s v="Edward Hall"/>
    <s v="PROD47"/>
    <x v="2"/>
    <s v="STORE3"/>
    <n v="4"/>
    <n v="695.97"/>
    <n v="0.02"/>
    <x v="0"/>
    <x v="1464"/>
  </r>
  <r>
    <s v="SALE1465"/>
    <d v="2024-01-18T00:00:00"/>
    <s v="CUST1301"/>
    <s v="Ryan Kane"/>
    <s v="PROD84"/>
    <x v="3"/>
    <s v="STORE11"/>
    <n v="2"/>
    <n v="181.42"/>
    <n v="0.08"/>
    <x v="1"/>
    <x v="1465"/>
  </r>
  <r>
    <s v="SALE1466"/>
    <d v="2024-03-24T00:00:00"/>
    <s v="CUST1023"/>
    <s v="Jonathan Steele"/>
    <s v="PROD68"/>
    <x v="3"/>
    <s v="STORE13"/>
    <n v="1"/>
    <n v="439.55"/>
    <n v="0.28999999999999998"/>
    <x v="2"/>
    <x v="1466"/>
  </r>
  <r>
    <s v="SALE1467"/>
    <d v="2025-03-17T00:00:00"/>
    <s v="CUST1114"/>
    <s v="Ryan Hernandez"/>
    <s v="PROD59"/>
    <x v="2"/>
    <s v="STORE18"/>
    <n v="3"/>
    <n v="471.27"/>
    <n v="0.27"/>
    <x v="2"/>
    <x v="1467"/>
  </r>
  <r>
    <s v="SALE1468"/>
    <d v="2024-05-23T00:00:00"/>
    <s v="CUST1044"/>
    <s v="Denise Williams"/>
    <s v="PROD1"/>
    <x v="4"/>
    <s v="STORE12"/>
    <n v="1"/>
    <n v="758.89"/>
    <n v="0.1"/>
    <x v="0"/>
    <x v="1468"/>
  </r>
  <r>
    <s v="SALE1469"/>
    <d v="2025-07-26T00:00:00"/>
    <s v="CUST1485"/>
    <s v="Sara Ingram"/>
    <s v="PROD26"/>
    <x v="1"/>
    <s v="STORE15"/>
    <n v="4"/>
    <n v="918.1"/>
    <n v="0.19"/>
    <x v="2"/>
    <x v="1469"/>
  </r>
  <r>
    <s v="SALE1470"/>
    <d v="2024-10-04T00:00:00"/>
    <s v="CUST1259"/>
    <s v="Beth Allen"/>
    <s v="PROD13"/>
    <x v="1"/>
    <s v="STORE11"/>
    <n v="1"/>
    <n v="861.5"/>
    <n v="0.05"/>
    <x v="2"/>
    <x v="1470"/>
  </r>
  <r>
    <s v="SALE1471"/>
    <d v="2025-01-07T00:00:00"/>
    <s v="CUST1462"/>
    <s v="Beth Martin"/>
    <s v="PROD33"/>
    <x v="3"/>
    <s v="STORE14"/>
    <n v="1"/>
    <n v="588.29999999999995"/>
    <n v="0.26"/>
    <x v="2"/>
    <x v="1471"/>
  </r>
  <r>
    <s v="SALE1472"/>
    <d v="2024-12-19T00:00:00"/>
    <s v="CUST1462"/>
    <s v="Beth Martin"/>
    <s v="PROD33"/>
    <x v="3"/>
    <s v="STORE7"/>
    <n v="1"/>
    <n v="917.26"/>
    <n v="0.05"/>
    <x v="1"/>
    <x v="1472"/>
  </r>
  <r>
    <s v="SALE1473"/>
    <d v="2024-06-06T00:00:00"/>
    <s v="CUST1233"/>
    <s v="Michelle Gonzalez"/>
    <s v="PROD88"/>
    <x v="0"/>
    <s v="STORE18"/>
    <n v="4"/>
    <n v="96.78"/>
    <n v="0.11"/>
    <x v="1"/>
    <x v="1473"/>
  </r>
  <r>
    <s v="SALE1474"/>
    <d v="2024-12-03T00:00:00"/>
    <s v="CUST1478"/>
    <s v="Earl Smith Dds"/>
    <s v="PROD39"/>
    <x v="1"/>
    <s v="STORE4"/>
    <n v="3"/>
    <n v="199.41"/>
    <n v="0.16"/>
    <x v="2"/>
    <x v="1474"/>
  </r>
  <r>
    <s v="SALE1475"/>
    <d v="2025-03-23T00:00:00"/>
    <s v="CUST1019"/>
    <s v="Michael Torres"/>
    <s v="PROD76"/>
    <x v="1"/>
    <s v="STORE9"/>
    <n v="1"/>
    <n v="687.91"/>
    <n v="0.25"/>
    <x v="0"/>
    <x v="1475"/>
  </r>
  <r>
    <s v="SALE1476"/>
    <d v="2025-07-11T00:00:00"/>
    <s v="CUST1039"/>
    <s v="Tonya Reynolds"/>
    <s v="PROD74"/>
    <x v="1"/>
    <s v="STORE2"/>
    <n v="3"/>
    <n v="769.62"/>
    <n v="0.09"/>
    <x v="1"/>
    <x v="1476"/>
  </r>
  <r>
    <s v="SALE1477"/>
    <d v="2023-10-31T00:00:00"/>
    <s v="CUST1220"/>
    <s v="George Davis"/>
    <s v="PROD29"/>
    <x v="3"/>
    <s v="STORE3"/>
    <n v="1"/>
    <n v="492.05"/>
    <n v="0.27"/>
    <x v="0"/>
    <x v="1477"/>
  </r>
  <r>
    <s v="SALE1478"/>
    <d v="2024-01-01T00:00:00"/>
    <s v="CUST1104"/>
    <s v="Christopher Lester"/>
    <s v="PROD25"/>
    <x v="4"/>
    <s v="STORE12"/>
    <n v="2"/>
    <n v="428.55"/>
    <n v="0"/>
    <x v="1"/>
    <x v="1478"/>
  </r>
  <r>
    <s v="SALE1479"/>
    <d v="2023-11-21T00:00:00"/>
    <s v="CUST1229"/>
    <s v="Tanner Thompson"/>
    <s v="PROD52"/>
    <x v="0"/>
    <s v="STORE15"/>
    <n v="4"/>
    <n v="316.18"/>
    <n v="0.12"/>
    <x v="0"/>
    <x v="1479"/>
  </r>
  <r>
    <s v="SALE1480"/>
    <d v="2024-09-20T00:00:00"/>
    <s v="CUST1007"/>
    <s v="Daniel Boyd"/>
    <s v="PROD67"/>
    <x v="1"/>
    <s v="STORE3"/>
    <n v="3"/>
    <n v="162.16999999999999"/>
    <n v="0.15"/>
    <x v="1"/>
    <x v="1480"/>
  </r>
  <r>
    <s v="SALE1481"/>
    <d v="2024-04-03T00:00:00"/>
    <s v="CUST1331"/>
    <s v="Maria Phillips"/>
    <s v="PROD4"/>
    <x v="4"/>
    <s v="STORE3"/>
    <n v="3"/>
    <n v="698.14"/>
    <n v="0.04"/>
    <x v="1"/>
    <x v="1481"/>
  </r>
  <r>
    <s v="SALE1482"/>
    <d v="2025-05-10T00:00:00"/>
    <s v="CUST1310"/>
    <s v="Kara Dodson"/>
    <s v="PROD17"/>
    <x v="0"/>
    <s v="STORE18"/>
    <n v="1"/>
    <n v="478.08"/>
    <n v="7.0000000000000007E-2"/>
    <x v="2"/>
    <x v="1482"/>
  </r>
  <r>
    <s v="SALE1483"/>
    <d v="2025-06-14T00:00:00"/>
    <s v="CUST1208"/>
    <s v="John Perez"/>
    <s v="PROD34"/>
    <x v="1"/>
    <s v="STORE7"/>
    <n v="2"/>
    <n v="958.64"/>
    <n v="0.2"/>
    <x v="1"/>
    <x v="1483"/>
  </r>
  <r>
    <s v="SALE1484"/>
    <d v="2024-10-25T00:00:00"/>
    <s v="CUST1464"/>
    <s v="David Pierce"/>
    <s v="PROD33"/>
    <x v="3"/>
    <s v="STORE12"/>
    <n v="2"/>
    <n v="581.19000000000005"/>
    <n v="7.0000000000000007E-2"/>
    <x v="2"/>
    <x v="1484"/>
  </r>
  <r>
    <s v="SALE1485"/>
    <d v="2024-11-22T00:00:00"/>
    <s v="CUST1112"/>
    <s v="David Cole"/>
    <s v="PROD40"/>
    <x v="1"/>
    <s v="STORE11"/>
    <n v="1"/>
    <n v="736.54"/>
    <n v="0.16"/>
    <x v="1"/>
    <x v="1485"/>
  </r>
  <r>
    <s v="SALE1486"/>
    <d v="2024-10-21T00:00:00"/>
    <s v="CUST1401"/>
    <s v="Terry Moses"/>
    <s v="PROD34"/>
    <x v="1"/>
    <s v="STORE15"/>
    <n v="1"/>
    <n v="524"/>
    <n v="0.28000000000000003"/>
    <x v="0"/>
    <x v="1486"/>
  </r>
  <r>
    <s v="SALE1487"/>
    <d v="2024-09-13T00:00:00"/>
    <s v="CUST1046"/>
    <s v="Michelle Garcia Dds"/>
    <s v="PROD23"/>
    <x v="4"/>
    <s v="STORE3"/>
    <n v="4"/>
    <n v="566.09"/>
    <n v="0.28000000000000003"/>
    <x v="2"/>
    <x v="1487"/>
  </r>
  <r>
    <s v="SALE1488"/>
    <d v="2025-04-25T00:00:00"/>
    <s v="CUST1259"/>
    <s v="Beth Allen"/>
    <s v="PROD13"/>
    <x v="1"/>
    <s v="STORE10"/>
    <n v="1"/>
    <n v="251.99"/>
    <n v="0.09"/>
    <x v="0"/>
    <x v="1488"/>
  </r>
  <r>
    <s v="SALE1489"/>
    <d v="2024-03-10T00:00:00"/>
    <s v="CUST1221"/>
    <s v="Lisa Young"/>
    <s v="PROD83"/>
    <x v="2"/>
    <s v="STORE19"/>
    <n v="1"/>
    <n v="259.2"/>
    <n v="0.27"/>
    <x v="2"/>
    <x v="1489"/>
  </r>
  <r>
    <s v="SALE1490"/>
    <d v="2023-11-05T00:00:00"/>
    <s v="CUST1446"/>
    <s v="Shannon Turner"/>
    <s v="PROD31"/>
    <x v="0"/>
    <s v="STORE15"/>
    <n v="1"/>
    <n v="935.66"/>
    <n v="0.26"/>
    <x v="1"/>
    <x v="1490"/>
  </r>
  <r>
    <s v="SALE1491"/>
    <d v="2025-07-26T00:00:00"/>
    <s v="CUST1469"/>
    <s v="James Foster"/>
    <s v="PROD45"/>
    <x v="0"/>
    <s v="STORE8"/>
    <n v="4"/>
    <n v="480.75"/>
    <n v="0.02"/>
    <x v="0"/>
    <x v="1491"/>
  </r>
  <r>
    <s v="SALE1492"/>
    <d v="2025-01-24T00:00:00"/>
    <s v="CUST1369"/>
    <s v="Gregory Allen"/>
    <s v="PROD33"/>
    <x v="3"/>
    <s v="STORE15"/>
    <n v="2"/>
    <n v="457.83"/>
    <n v="0.01"/>
    <x v="2"/>
    <x v="1492"/>
  </r>
  <r>
    <s v="SALE1493"/>
    <d v="2025-09-05T00:00:00"/>
    <s v="CUST1164"/>
    <s v="Daniel Rivas"/>
    <s v="PROD48"/>
    <x v="1"/>
    <s v="STORE14"/>
    <n v="1"/>
    <n v="994.63"/>
    <n v="0.28000000000000003"/>
    <x v="0"/>
    <x v="1493"/>
  </r>
  <r>
    <s v="SALE1494"/>
    <d v="2025-04-18T00:00:00"/>
    <s v="CUST1245"/>
    <s v="Laura Soto"/>
    <s v="PROD39"/>
    <x v="1"/>
    <s v="STORE0"/>
    <n v="3"/>
    <n v="65.569999999999993"/>
    <n v="0.3"/>
    <x v="2"/>
    <x v="1494"/>
  </r>
  <r>
    <s v="SALE1495"/>
    <d v="2025-06-13T00:00:00"/>
    <s v="CUST1160"/>
    <s v="John Lawson"/>
    <s v="PROD47"/>
    <x v="2"/>
    <s v="STORE17"/>
    <n v="3"/>
    <n v="622.98"/>
    <n v="0.28000000000000003"/>
    <x v="1"/>
    <x v="1495"/>
  </r>
  <r>
    <s v="SALE1496"/>
    <d v="2025-02-03T00:00:00"/>
    <s v="CUST1250"/>
    <s v="Veronica Newman"/>
    <s v="PROD55"/>
    <x v="3"/>
    <s v="STORE13"/>
    <n v="1"/>
    <n v="170.68"/>
    <n v="0.13"/>
    <x v="1"/>
    <x v="1496"/>
  </r>
  <r>
    <s v="SALE1497"/>
    <d v="2025-07-22T00:00:00"/>
    <s v="CUST1096"/>
    <s v="Samantha Walker"/>
    <s v="PROD65"/>
    <x v="0"/>
    <s v="STORE8"/>
    <n v="4"/>
    <n v="797.83"/>
    <n v="0.08"/>
    <x v="0"/>
    <x v="1497"/>
  </r>
  <r>
    <s v="SALE1498"/>
    <d v="2025-09-22T00:00:00"/>
    <s v="CUST1098"/>
    <s v="Brittney Morgan"/>
    <s v="PROD62"/>
    <x v="1"/>
    <s v="STORE16"/>
    <n v="1"/>
    <n v="372.75"/>
    <n v="0.12"/>
    <x v="0"/>
    <x v="1498"/>
  </r>
  <r>
    <s v="SALE1499"/>
    <d v="2024-07-04T00:00:00"/>
    <s v="CUST1396"/>
    <s v="Alexander Byrd"/>
    <s v="PROD43"/>
    <x v="1"/>
    <s v="STORE4"/>
    <n v="1"/>
    <n v="994.18"/>
    <n v="0.05"/>
    <x v="1"/>
    <x v="1499"/>
  </r>
  <r>
    <s v="SALE1500"/>
    <d v="2024-07-31T00:00:00"/>
    <s v="CUST1422"/>
    <s v="Brittany Edwards Dds"/>
    <s v="PROD49"/>
    <x v="2"/>
    <s v="STORE13"/>
    <n v="1"/>
    <n v="136.12"/>
    <n v="7.0000000000000007E-2"/>
    <x v="0"/>
    <x v="1500"/>
  </r>
  <r>
    <s v="SALE1501"/>
    <d v="2025-07-24T00:00:00"/>
    <s v="CUST1030"/>
    <s v="Jessica Acevedo"/>
    <s v="PROD35"/>
    <x v="3"/>
    <s v="STORE18"/>
    <n v="3"/>
    <n v="634.45000000000005"/>
    <n v="0.17"/>
    <x v="1"/>
    <x v="1501"/>
  </r>
  <r>
    <s v="SALE1502"/>
    <d v="2024-10-14T00:00:00"/>
    <s v="CUST1329"/>
    <s v="Victor Mcintosh"/>
    <s v="PROD57"/>
    <x v="0"/>
    <s v="STORE0"/>
    <n v="4"/>
    <n v="179.62"/>
    <n v="0.05"/>
    <x v="0"/>
    <x v="1502"/>
  </r>
  <r>
    <s v="SALE1503"/>
    <d v="2025-01-01T00:00:00"/>
    <s v="CUST1294"/>
    <s v="Lisa Chandler"/>
    <s v="PROD82"/>
    <x v="0"/>
    <s v="STORE18"/>
    <n v="4"/>
    <n v="558.83000000000004"/>
    <n v="0.16"/>
    <x v="1"/>
    <x v="1503"/>
  </r>
  <r>
    <s v="SALE1504"/>
    <d v="2025-01-07T00:00:00"/>
    <s v="CUST1171"/>
    <s v="Amy Wilson"/>
    <s v="PROD90"/>
    <x v="1"/>
    <s v="STORE6"/>
    <n v="2"/>
    <n v="859.74"/>
    <n v="0.25"/>
    <x v="2"/>
    <x v="1504"/>
  </r>
  <r>
    <s v="SALE1505"/>
    <d v="2025-10-06T00:00:00"/>
    <s v="CUST1106"/>
    <s v="Howard Summers"/>
    <s v="PROD65"/>
    <x v="0"/>
    <s v="STORE16"/>
    <n v="3"/>
    <n v="578.47"/>
    <n v="0.06"/>
    <x v="2"/>
    <x v="1505"/>
  </r>
  <r>
    <s v="SALE1506"/>
    <d v="2024-02-22T00:00:00"/>
    <s v="CUST1055"/>
    <s v="Wayne Mcpherson"/>
    <s v="PROD15"/>
    <x v="1"/>
    <s v="STORE12"/>
    <n v="1"/>
    <n v="440.48"/>
    <n v="0.11"/>
    <x v="2"/>
    <x v="1506"/>
  </r>
  <r>
    <s v="SALE1507"/>
    <d v="2024-02-07T00:00:00"/>
    <s v="CUST1016"/>
    <s v="John Scott"/>
    <s v="PROD56"/>
    <x v="3"/>
    <s v="STORE19"/>
    <n v="2"/>
    <n v="303.67"/>
    <n v="0.05"/>
    <x v="1"/>
    <x v="1507"/>
  </r>
  <r>
    <s v="SALE1508"/>
    <d v="2025-08-26T00:00:00"/>
    <s v="CUST1336"/>
    <s v="John Jones"/>
    <s v="PROD11"/>
    <x v="1"/>
    <s v="STORE14"/>
    <n v="2"/>
    <n v="611.21"/>
    <n v="0.22"/>
    <x v="2"/>
    <x v="1508"/>
  </r>
  <r>
    <s v="SALE1509"/>
    <d v="2023-11-09T00:00:00"/>
    <s v="CUST1202"/>
    <s v="Christina Garcia"/>
    <s v="PROD78"/>
    <x v="3"/>
    <s v="STORE15"/>
    <n v="2"/>
    <n v="768.08"/>
    <n v="0.26"/>
    <x v="1"/>
    <x v="1509"/>
  </r>
  <r>
    <s v="SALE1510"/>
    <d v="2024-01-05T00:00:00"/>
    <s v="CUST1296"/>
    <s v="Jared Moran"/>
    <s v="PROD14"/>
    <x v="3"/>
    <s v="STORE18"/>
    <n v="1"/>
    <n v="616.82000000000005"/>
    <n v="0.24"/>
    <x v="0"/>
    <x v="1510"/>
  </r>
  <r>
    <s v="SALE1511"/>
    <d v="2025-01-15T00:00:00"/>
    <s v="CUST1183"/>
    <s v="Mario Jacobs"/>
    <s v="PROD38"/>
    <x v="0"/>
    <s v="STORE18"/>
    <n v="1"/>
    <n v="470.34"/>
    <n v="0.18"/>
    <x v="2"/>
    <x v="1511"/>
  </r>
  <r>
    <s v="SALE1512"/>
    <d v="2024-07-26T00:00:00"/>
    <s v="CUST1219"/>
    <s v="Jordan Wells"/>
    <s v="PROD37"/>
    <x v="4"/>
    <s v="STORE8"/>
    <n v="2"/>
    <n v="616.36"/>
    <n v="0.12"/>
    <x v="1"/>
    <x v="1512"/>
  </r>
  <r>
    <s v="SALE1513"/>
    <d v="2024-05-22T00:00:00"/>
    <s v="CUST1082"/>
    <s v="George Rosario"/>
    <s v="PROD92"/>
    <x v="3"/>
    <s v="STORE9"/>
    <n v="3"/>
    <n v="657.24"/>
    <n v="0.18"/>
    <x v="1"/>
    <x v="1513"/>
  </r>
  <r>
    <s v="SALE1514"/>
    <d v="2025-08-24T00:00:00"/>
    <s v="CUST1034"/>
    <s v="Christopher Olson"/>
    <s v="PROD28"/>
    <x v="0"/>
    <s v="STORE19"/>
    <n v="2"/>
    <n v="392.45"/>
    <n v="0.04"/>
    <x v="1"/>
    <x v="1514"/>
  </r>
  <r>
    <s v="SALE1515"/>
    <d v="2024-02-24T00:00:00"/>
    <s v="CUST1245"/>
    <s v="Laura Soto"/>
    <s v="PROD39"/>
    <x v="1"/>
    <s v="STORE14"/>
    <n v="3"/>
    <n v="62.03"/>
    <n v="0.01"/>
    <x v="2"/>
    <x v="1515"/>
  </r>
  <r>
    <s v="SALE1516"/>
    <d v="2024-11-17T00:00:00"/>
    <s v="CUST1092"/>
    <s v="Robert Jackson"/>
    <s v="PROD10"/>
    <x v="3"/>
    <s v="STORE3"/>
    <n v="4"/>
    <n v="933.73"/>
    <n v="0.25"/>
    <x v="1"/>
    <x v="1516"/>
  </r>
  <r>
    <s v="SALE1517"/>
    <d v="2025-09-28T00:00:00"/>
    <s v="CUST1155"/>
    <s v="Curtis Haynes"/>
    <s v="PROD72"/>
    <x v="0"/>
    <s v="STORE16"/>
    <n v="3"/>
    <n v="615.30999999999995"/>
    <n v="0.14000000000000001"/>
    <x v="1"/>
    <x v="1517"/>
  </r>
  <r>
    <s v="SALE1518"/>
    <d v="2024-11-23T00:00:00"/>
    <s v="CUST1373"/>
    <s v="James Orozco"/>
    <s v="PROD72"/>
    <x v="0"/>
    <s v="STORE18"/>
    <n v="4"/>
    <n v="790.38"/>
    <n v="0.22"/>
    <x v="2"/>
    <x v="1518"/>
  </r>
  <r>
    <s v="SALE1519"/>
    <d v="2024-08-29T00:00:00"/>
    <s v="CUST1269"/>
    <s v="Tyrone Olson"/>
    <s v="PROD77"/>
    <x v="1"/>
    <s v="STORE17"/>
    <n v="2"/>
    <n v="102.85"/>
    <n v="0.08"/>
    <x v="1"/>
    <x v="1519"/>
  </r>
  <r>
    <s v="SALE1520"/>
    <d v="2025-05-04T00:00:00"/>
    <s v="CUST1039"/>
    <s v="Tonya Reynolds"/>
    <s v="PROD74"/>
    <x v="1"/>
    <s v="STORE16"/>
    <n v="3"/>
    <n v="866.78"/>
    <n v="0.27"/>
    <x v="1"/>
    <x v="1520"/>
  </r>
  <r>
    <s v="SALE1521"/>
    <d v="2024-03-27T00:00:00"/>
    <s v="CUST1208"/>
    <s v="John Perez"/>
    <s v="PROD34"/>
    <x v="1"/>
    <s v="STORE16"/>
    <n v="3"/>
    <n v="392.84"/>
    <n v="0.27"/>
    <x v="1"/>
    <x v="1521"/>
  </r>
  <r>
    <s v="SALE1522"/>
    <d v="2025-01-31T00:00:00"/>
    <s v="CUST1323"/>
    <s v="Kristy Dunlap"/>
    <s v="PROD49"/>
    <x v="2"/>
    <s v="STORE5"/>
    <n v="2"/>
    <n v="753.1"/>
    <n v="0.19"/>
    <x v="1"/>
    <x v="1522"/>
  </r>
  <r>
    <s v="SALE1523"/>
    <d v="2025-09-27T00:00:00"/>
    <s v="CUST1007"/>
    <s v="Daniel Boyd"/>
    <s v="PROD67"/>
    <x v="1"/>
    <s v="STORE17"/>
    <n v="2"/>
    <n v="700.91"/>
    <n v="0.1"/>
    <x v="1"/>
    <x v="1523"/>
  </r>
  <r>
    <s v="SALE1524"/>
    <d v="2025-04-28T00:00:00"/>
    <s v="CUST1072"/>
    <s v="Tonya Burch"/>
    <s v="PROD26"/>
    <x v="1"/>
    <s v="STORE12"/>
    <n v="4"/>
    <n v="935.98"/>
    <n v="0.11"/>
    <x v="1"/>
    <x v="1524"/>
  </r>
  <r>
    <s v="SALE1525"/>
    <d v="2025-07-11T00:00:00"/>
    <s v="CUST1485"/>
    <s v="Sara Ingram"/>
    <s v="PROD26"/>
    <x v="1"/>
    <s v="STORE16"/>
    <n v="1"/>
    <n v="539.9"/>
    <n v="7.0000000000000007E-2"/>
    <x v="0"/>
    <x v="1525"/>
  </r>
  <r>
    <s v="SALE1526"/>
    <d v="2024-10-08T00:00:00"/>
    <s v="CUST1171"/>
    <s v="Amy Wilson"/>
    <s v="PROD90"/>
    <x v="1"/>
    <s v="STORE6"/>
    <n v="1"/>
    <n v="312.81"/>
    <n v="0.14000000000000001"/>
    <x v="1"/>
    <x v="1526"/>
  </r>
  <r>
    <s v="SALE1527"/>
    <d v="2024-03-05T00:00:00"/>
    <s v="CUST1249"/>
    <s v="Lauren George"/>
    <s v="PROD19"/>
    <x v="0"/>
    <s v="STORE7"/>
    <n v="3"/>
    <n v="855.96"/>
    <n v="0.28999999999999998"/>
    <x v="2"/>
    <x v="1527"/>
  </r>
  <r>
    <s v="SALE1528"/>
    <d v="2024-02-04T00:00:00"/>
    <s v="CUST1355"/>
    <s v="Carlos Flores"/>
    <s v="PROD91"/>
    <x v="4"/>
    <s v="STORE11"/>
    <n v="3"/>
    <n v="305"/>
    <n v="0.01"/>
    <x v="2"/>
    <x v="1528"/>
  </r>
  <r>
    <s v="SALE1529"/>
    <d v="2024-03-10T00:00:00"/>
    <s v="CUST1468"/>
    <s v="Gregory Curtis"/>
    <s v="PROD75"/>
    <x v="4"/>
    <s v="STORE12"/>
    <n v="3"/>
    <n v="831.15"/>
    <n v="0.19"/>
    <x v="0"/>
    <x v="1529"/>
  </r>
  <r>
    <s v="SALE1530"/>
    <d v="2025-09-26T00:00:00"/>
    <s v="CUST1207"/>
    <s v="Jacqueline Pacheco"/>
    <s v="PROD96"/>
    <x v="4"/>
    <s v="STORE3"/>
    <n v="2"/>
    <n v="644.97"/>
    <n v="0.24"/>
    <x v="2"/>
    <x v="1530"/>
  </r>
  <r>
    <s v="SALE1531"/>
    <d v="2025-07-01T00:00:00"/>
    <s v="CUST1095"/>
    <s v="Amy Fowler"/>
    <s v="PROD40"/>
    <x v="1"/>
    <s v="STORE1"/>
    <n v="1"/>
    <n v="149.56"/>
    <n v="0.09"/>
    <x v="0"/>
    <x v="1531"/>
  </r>
  <r>
    <s v="SALE1532"/>
    <d v="2024-05-22T00:00:00"/>
    <s v="CUST1217"/>
    <s v="Kathy Copeland"/>
    <s v="PROD43"/>
    <x v="1"/>
    <s v="STORE19"/>
    <n v="1"/>
    <n v="661.77"/>
    <n v="0.03"/>
    <x v="1"/>
    <x v="1532"/>
  </r>
  <r>
    <s v="SALE1533"/>
    <d v="2025-06-11T00:00:00"/>
    <s v="CUST1108"/>
    <s v="Travis Holland"/>
    <s v="PROD30"/>
    <x v="3"/>
    <s v="STORE7"/>
    <n v="3"/>
    <n v="99.67"/>
    <n v="0.17"/>
    <x v="0"/>
    <x v="1533"/>
  </r>
  <r>
    <s v="SALE1534"/>
    <d v="2024-09-18T00:00:00"/>
    <s v="CUST1221"/>
    <s v="Lisa Young"/>
    <s v="PROD83"/>
    <x v="2"/>
    <s v="STORE1"/>
    <n v="3"/>
    <n v="103.66"/>
    <n v="0.26"/>
    <x v="2"/>
    <x v="1534"/>
  </r>
  <r>
    <s v="SALE1535"/>
    <d v="2023-11-28T00:00:00"/>
    <s v="CUST1436"/>
    <s v="Sharon Simpson"/>
    <s v="PROD52"/>
    <x v="0"/>
    <s v="STORE2"/>
    <n v="4"/>
    <n v="54.4"/>
    <n v="0.22"/>
    <x v="0"/>
    <x v="1535"/>
  </r>
  <r>
    <s v="SALE1536"/>
    <d v="2024-05-23T00:00:00"/>
    <s v="CUST1490"/>
    <s v="Scott Harris"/>
    <s v="PROD47"/>
    <x v="2"/>
    <s v="STORE14"/>
    <n v="1"/>
    <n v="46.66"/>
    <n v="0.2"/>
    <x v="0"/>
    <x v="1536"/>
  </r>
  <r>
    <s v="SALE1537"/>
    <d v="2024-06-04T00:00:00"/>
    <s v="CUST1007"/>
    <s v="Daniel Boyd"/>
    <s v="PROD67"/>
    <x v="1"/>
    <s v="STORE11"/>
    <n v="4"/>
    <n v="871.2"/>
    <n v="0.28999999999999998"/>
    <x v="0"/>
    <x v="1537"/>
  </r>
  <r>
    <s v="SALE1538"/>
    <d v="2025-03-08T00:00:00"/>
    <s v="CUST1379"/>
    <s v="Tanya Lopez"/>
    <s v="PROD20"/>
    <x v="0"/>
    <s v="STORE14"/>
    <n v="4"/>
    <n v="317.11"/>
    <n v="0.16"/>
    <x v="1"/>
    <x v="1538"/>
  </r>
  <r>
    <s v="SALE1539"/>
    <d v="2024-02-16T00:00:00"/>
    <s v="CUST1258"/>
    <s v="Sarah Stewart"/>
    <s v="PROD88"/>
    <x v="0"/>
    <s v="STORE13"/>
    <n v="2"/>
    <n v="388.34"/>
    <n v="0.09"/>
    <x v="1"/>
    <x v="1539"/>
  </r>
  <r>
    <s v="SALE1540"/>
    <d v="2023-11-22T00:00:00"/>
    <s v="CUST1319"/>
    <s v="Casey Simpson"/>
    <s v="PROD49"/>
    <x v="2"/>
    <s v="STORE6"/>
    <n v="4"/>
    <n v="998.2"/>
    <n v="0.15"/>
    <x v="0"/>
    <x v="1540"/>
  </r>
  <r>
    <s v="SALE1541"/>
    <d v="2024-11-10T00:00:00"/>
    <s v="CUST1493"/>
    <s v="Amanda Powell"/>
    <s v="PROD59"/>
    <x v="2"/>
    <s v="STORE0"/>
    <n v="1"/>
    <n v="887.38"/>
    <n v="0.01"/>
    <x v="2"/>
    <x v="1541"/>
  </r>
  <r>
    <s v="SALE1542"/>
    <d v="2024-08-20T00:00:00"/>
    <s v="CUST1312"/>
    <s v="Jason Mullins"/>
    <s v="PROD74"/>
    <x v="1"/>
    <s v="STORE12"/>
    <n v="4"/>
    <n v="332.97"/>
    <n v="0.28000000000000003"/>
    <x v="0"/>
    <x v="1542"/>
  </r>
  <r>
    <s v="SALE1543"/>
    <d v="2025-10-04T00:00:00"/>
    <s v="CUST1021"/>
    <s v="Jeff Martinez"/>
    <s v="PROD26"/>
    <x v="1"/>
    <s v="STORE0"/>
    <n v="2"/>
    <n v="157.91"/>
    <n v="0.09"/>
    <x v="2"/>
    <x v="1543"/>
  </r>
  <r>
    <s v="SALE1544"/>
    <d v="2024-09-04T00:00:00"/>
    <s v="CUST1356"/>
    <s v="Steve Hunt"/>
    <s v="PROD88"/>
    <x v="0"/>
    <s v="STORE18"/>
    <n v="1"/>
    <n v="548.15"/>
    <n v="0.11"/>
    <x v="0"/>
    <x v="1544"/>
  </r>
  <r>
    <s v="SALE1545"/>
    <d v="2024-09-20T00:00:00"/>
    <s v="CUST1209"/>
    <s v="Joan Johnson"/>
    <s v="PROD42"/>
    <x v="1"/>
    <s v="STORE15"/>
    <n v="1"/>
    <n v="135.13"/>
    <n v="0.04"/>
    <x v="0"/>
    <x v="1545"/>
  </r>
  <r>
    <s v="SALE1546"/>
    <d v="2023-12-21T00:00:00"/>
    <s v="CUST1219"/>
    <s v="Jordan Wells"/>
    <s v="PROD37"/>
    <x v="4"/>
    <s v="STORE3"/>
    <n v="3"/>
    <n v="579.26"/>
    <n v="0.19"/>
    <x v="0"/>
    <x v="1546"/>
  </r>
  <r>
    <s v="SALE1547"/>
    <d v="2024-10-17T00:00:00"/>
    <s v="CUST1389"/>
    <s v="Cynthia Lopez"/>
    <s v="PROD91"/>
    <x v="4"/>
    <s v="STORE0"/>
    <n v="1"/>
    <n v="465.63"/>
    <n v="0.25"/>
    <x v="0"/>
    <x v="1547"/>
  </r>
  <r>
    <s v="SALE1548"/>
    <d v="2024-03-21T00:00:00"/>
    <s v="CUST1047"/>
    <s v="Gina Knight"/>
    <s v="PROD64"/>
    <x v="2"/>
    <s v="STORE16"/>
    <n v="2"/>
    <n v="675.61"/>
    <n v="0.08"/>
    <x v="2"/>
    <x v="1548"/>
  </r>
  <r>
    <s v="SALE1549"/>
    <d v="2024-06-15T00:00:00"/>
    <s v="CUST1416"/>
    <s v="Jennifer Myers"/>
    <s v="PROD49"/>
    <x v="2"/>
    <s v="STORE6"/>
    <n v="1"/>
    <n v="718.99"/>
    <n v="0.08"/>
    <x v="1"/>
    <x v="1549"/>
  </r>
  <r>
    <s v="SALE1550"/>
    <d v="2025-10-13T00:00:00"/>
    <s v="CUST1376"/>
    <s v="Michele Burke"/>
    <s v="PROD85"/>
    <x v="4"/>
    <s v="STORE10"/>
    <n v="2"/>
    <n v="675.65"/>
    <n v="0.2"/>
    <x v="2"/>
    <x v="1550"/>
  </r>
  <r>
    <s v="SALE1551"/>
    <d v="2024-03-23T00:00:00"/>
    <s v="CUST1336"/>
    <s v="John Jones"/>
    <s v="PROD11"/>
    <x v="1"/>
    <s v="STORE15"/>
    <n v="4"/>
    <n v="284.24"/>
    <n v="0.1"/>
    <x v="0"/>
    <x v="1551"/>
  </r>
  <r>
    <s v="SALE1552"/>
    <d v="2024-03-23T00:00:00"/>
    <s v="CUST1213"/>
    <s v="Stuart Johnson"/>
    <s v="PROD21"/>
    <x v="3"/>
    <s v="STORE3"/>
    <n v="1"/>
    <n v="94.26"/>
    <n v="0.18"/>
    <x v="1"/>
    <x v="1552"/>
  </r>
  <r>
    <s v="SALE1553"/>
    <d v="2025-05-12T00:00:00"/>
    <s v="CUST1416"/>
    <s v="Jennifer Myers"/>
    <s v="PROD49"/>
    <x v="2"/>
    <s v="STORE10"/>
    <n v="4"/>
    <n v="458.58"/>
    <n v="0.28999999999999998"/>
    <x v="2"/>
    <x v="1553"/>
  </r>
  <r>
    <s v="SALE1554"/>
    <d v="2024-06-09T00:00:00"/>
    <s v="CUST1113"/>
    <s v="Edward Hall"/>
    <s v="PROD47"/>
    <x v="2"/>
    <s v="STORE10"/>
    <n v="4"/>
    <n v="704.49"/>
    <n v="0.05"/>
    <x v="2"/>
    <x v="1554"/>
  </r>
  <r>
    <s v="SALE1555"/>
    <d v="2023-12-24T00:00:00"/>
    <s v="CUST1032"/>
    <s v="Mike Jennings"/>
    <s v="PROD16"/>
    <x v="2"/>
    <s v="STORE19"/>
    <n v="4"/>
    <n v="822.32"/>
    <n v="0.26"/>
    <x v="1"/>
    <x v="1555"/>
  </r>
  <r>
    <s v="SALE1556"/>
    <d v="2024-02-03T00:00:00"/>
    <s v="CUST1245"/>
    <s v="Laura Soto"/>
    <s v="PROD39"/>
    <x v="1"/>
    <s v="STORE13"/>
    <n v="4"/>
    <n v="785.41"/>
    <n v="0.13"/>
    <x v="2"/>
    <x v="1556"/>
  </r>
  <r>
    <s v="SALE1557"/>
    <d v="2024-06-22T00:00:00"/>
    <s v="CUST1031"/>
    <s v="Sarah Vance"/>
    <s v="PROD62"/>
    <x v="1"/>
    <s v="STORE14"/>
    <n v="1"/>
    <n v="405.8"/>
    <n v="0.11"/>
    <x v="1"/>
    <x v="1557"/>
  </r>
  <r>
    <s v="SALE1558"/>
    <d v="2024-11-16T00:00:00"/>
    <s v="CUST1433"/>
    <s v="Thomas Moore"/>
    <s v="PROD64"/>
    <x v="2"/>
    <s v="STORE9"/>
    <n v="2"/>
    <n v="976.83"/>
    <n v="0.1"/>
    <x v="1"/>
    <x v="1558"/>
  </r>
  <r>
    <s v="SALE1559"/>
    <d v="2024-06-29T00:00:00"/>
    <s v="CUST1273"/>
    <s v="Samantha Robinson"/>
    <s v="PROD20"/>
    <x v="0"/>
    <s v="STORE2"/>
    <n v="1"/>
    <n v="644.15"/>
    <n v="0.06"/>
    <x v="0"/>
    <x v="1559"/>
  </r>
  <r>
    <s v="SALE1560"/>
    <d v="2025-08-28T00:00:00"/>
    <s v="CUST1337"/>
    <s v="Carol Lewis"/>
    <s v="PROD71"/>
    <x v="2"/>
    <s v="STORE13"/>
    <n v="1"/>
    <n v="470.55"/>
    <n v="0.23"/>
    <x v="1"/>
    <x v="1560"/>
  </r>
  <r>
    <s v="SALE1561"/>
    <d v="2023-11-11T00:00:00"/>
    <s v="CUST1478"/>
    <s v="Earl Smith Dds"/>
    <s v="PROD39"/>
    <x v="1"/>
    <s v="STORE6"/>
    <n v="3"/>
    <n v="598.82000000000005"/>
    <n v="0.19"/>
    <x v="2"/>
    <x v="1561"/>
  </r>
  <r>
    <s v="SALE1562"/>
    <d v="2025-07-13T00:00:00"/>
    <s v="CUST1101"/>
    <s v="Colleen Maynard"/>
    <s v="PROD89"/>
    <x v="2"/>
    <s v="STORE12"/>
    <n v="4"/>
    <n v="659.17"/>
    <n v="0.12"/>
    <x v="0"/>
    <x v="1562"/>
  </r>
  <r>
    <s v="SALE1563"/>
    <d v="2024-10-07T00:00:00"/>
    <s v="CUST1104"/>
    <s v="Christopher Lester"/>
    <s v="PROD25"/>
    <x v="4"/>
    <s v="STORE1"/>
    <n v="2"/>
    <n v="216.02"/>
    <n v="0.25"/>
    <x v="0"/>
    <x v="1563"/>
  </r>
  <r>
    <s v="SALE1564"/>
    <d v="2025-04-27T00:00:00"/>
    <s v="CUST1030"/>
    <s v="Jessica Acevedo"/>
    <s v="PROD35"/>
    <x v="3"/>
    <s v="STORE10"/>
    <n v="2"/>
    <n v="613.47"/>
    <n v="0.02"/>
    <x v="1"/>
    <x v="1564"/>
  </r>
  <r>
    <s v="SALE1565"/>
    <d v="2025-09-21T00:00:00"/>
    <s v="CUST1098"/>
    <s v="Brittney Morgan"/>
    <s v="PROD62"/>
    <x v="1"/>
    <s v="STORE12"/>
    <n v="2"/>
    <n v="485.17"/>
    <n v="0.11"/>
    <x v="1"/>
    <x v="1565"/>
  </r>
  <r>
    <s v="SALE1566"/>
    <d v="2023-12-08T00:00:00"/>
    <s v="CUST1307"/>
    <s v="Brandy Thompson"/>
    <s v="PROD93"/>
    <x v="1"/>
    <s v="STORE10"/>
    <n v="1"/>
    <n v="209.7"/>
    <n v="0.2"/>
    <x v="1"/>
    <x v="1566"/>
  </r>
  <r>
    <s v="SALE1567"/>
    <d v="2024-04-20T00:00:00"/>
    <s v="CUST1326"/>
    <s v="Robert King"/>
    <s v="PROD37"/>
    <x v="4"/>
    <s v="STORE0"/>
    <n v="1"/>
    <n v="681.47"/>
    <n v="0.15"/>
    <x v="0"/>
    <x v="1567"/>
  </r>
  <r>
    <s v="SALE1568"/>
    <d v="2025-01-10T00:00:00"/>
    <s v="CUST1440"/>
    <s v="Tammy Trevino"/>
    <s v="PROD64"/>
    <x v="2"/>
    <s v="STORE17"/>
    <n v="2"/>
    <n v="877.21"/>
    <n v="0.1"/>
    <x v="0"/>
    <x v="1568"/>
  </r>
  <r>
    <s v="SALE1569"/>
    <d v="2025-09-02T00:00:00"/>
    <s v="CUST1318"/>
    <s v="Madison Wright"/>
    <s v="PROD78"/>
    <x v="3"/>
    <s v="STORE5"/>
    <n v="2"/>
    <n v="479.77"/>
    <n v="0.21"/>
    <x v="1"/>
    <x v="1569"/>
  </r>
  <r>
    <s v="SALE1570"/>
    <d v="2024-10-24T00:00:00"/>
    <s v="CUST1322"/>
    <s v="Samuel Arias"/>
    <s v="PROD6"/>
    <x v="2"/>
    <s v="STORE15"/>
    <n v="1"/>
    <n v="140.72"/>
    <n v="0"/>
    <x v="2"/>
    <x v="1570"/>
  </r>
  <r>
    <s v="SALE1571"/>
    <d v="2025-01-11T00:00:00"/>
    <s v="CUST1027"/>
    <s v="Leslie Johnson"/>
    <s v="PROD24"/>
    <x v="0"/>
    <s v="STORE6"/>
    <n v="2"/>
    <n v="764.25"/>
    <n v="0.23"/>
    <x v="1"/>
    <x v="1571"/>
  </r>
  <r>
    <s v="SALE1572"/>
    <d v="2024-01-09T00:00:00"/>
    <s v="CUST1222"/>
    <s v="Alejandro Doyle"/>
    <s v="PROD46"/>
    <x v="4"/>
    <s v="STORE5"/>
    <n v="3"/>
    <n v="107.8"/>
    <n v="0.28999999999999998"/>
    <x v="1"/>
    <x v="1572"/>
  </r>
  <r>
    <s v="SALE1573"/>
    <d v="2025-04-10T00:00:00"/>
    <s v="CUST1147"/>
    <s v="Rhonda Young"/>
    <s v="PROD52"/>
    <x v="0"/>
    <s v="STORE8"/>
    <n v="4"/>
    <n v="565.37"/>
    <n v="7.0000000000000007E-2"/>
    <x v="1"/>
    <x v="1573"/>
  </r>
  <r>
    <s v="SALE1574"/>
    <d v="2023-11-05T00:00:00"/>
    <s v="CUST1034"/>
    <s v="Christopher Olson"/>
    <s v="PROD28"/>
    <x v="0"/>
    <s v="STORE4"/>
    <n v="3"/>
    <n v="811.45"/>
    <n v="0.26"/>
    <x v="0"/>
    <x v="1574"/>
  </r>
  <r>
    <s v="SALE1575"/>
    <d v="2025-04-02T00:00:00"/>
    <s v="CUST1410"/>
    <s v="Jackie Thompson"/>
    <s v="PROD96"/>
    <x v="4"/>
    <s v="STORE19"/>
    <n v="4"/>
    <n v="62.25"/>
    <n v="0.11"/>
    <x v="1"/>
    <x v="1575"/>
  </r>
  <r>
    <s v="SALE1576"/>
    <d v="2025-05-30T00:00:00"/>
    <s v="CUST1025"/>
    <s v="Diana Taylor"/>
    <s v="PROD95"/>
    <x v="0"/>
    <s v="STORE10"/>
    <n v="1"/>
    <n v="749.78"/>
    <n v="0.03"/>
    <x v="0"/>
    <x v="1576"/>
  </r>
  <r>
    <s v="SALE1577"/>
    <d v="2024-07-23T00:00:00"/>
    <s v="CUST1350"/>
    <s v="Charles Miller"/>
    <s v="PROD92"/>
    <x v="3"/>
    <s v="STORE5"/>
    <n v="3"/>
    <n v="630.28"/>
    <n v="7.0000000000000007E-2"/>
    <x v="2"/>
    <x v="1577"/>
  </r>
  <r>
    <s v="SALE1578"/>
    <d v="2024-03-04T00:00:00"/>
    <s v="CUST1143"/>
    <s v="Carlos Skinner"/>
    <s v="PROD17"/>
    <x v="0"/>
    <s v="STORE16"/>
    <n v="1"/>
    <n v="101.84"/>
    <n v="0.17"/>
    <x v="0"/>
    <x v="1578"/>
  </r>
  <r>
    <s v="SALE1579"/>
    <d v="2023-11-26T00:00:00"/>
    <s v="CUST1055"/>
    <s v="Wayne Mcpherson"/>
    <s v="PROD15"/>
    <x v="1"/>
    <s v="STORE18"/>
    <n v="4"/>
    <n v="641.45000000000005"/>
    <n v="0.16"/>
    <x v="2"/>
    <x v="1579"/>
  </r>
  <r>
    <s v="SALE1580"/>
    <d v="2025-07-11T00:00:00"/>
    <s v="CUST1471"/>
    <s v="Debra Mccullough"/>
    <s v="PROD17"/>
    <x v="0"/>
    <s v="STORE1"/>
    <n v="1"/>
    <n v="135.87"/>
    <n v="0.23"/>
    <x v="1"/>
    <x v="1580"/>
  </r>
  <r>
    <s v="SALE1581"/>
    <d v="2024-02-22T00:00:00"/>
    <s v="CUST1095"/>
    <s v="Amy Fowler"/>
    <s v="PROD40"/>
    <x v="1"/>
    <s v="STORE6"/>
    <n v="1"/>
    <n v="388.35"/>
    <n v="0.01"/>
    <x v="1"/>
    <x v="1581"/>
  </r>
  <r>
    <s v="SALE1582"/>
    <d v="2024-03-16T00:00:00"/>
    <s v="CUST1486"/>
    <s v="Eric Lee"/>
    <s v="PROD40"/>
    <x v="1"/>
    <s v="STORE9"/>
    <n v="2"/>
    <n v="999.08"/>
    <n v="0.3"/>
    <x v="1"/>
    <x v="1582"/>
  </r>
  <r>
    <s v="SALE1583"/>
    <d v="2025-08-18T00:00:00"/>
    <s v="CUST1170"/>
    <s v="Christopher Garcia Dds"/>
    <s v="PROD83"/>
    <x v="2"/>
    <s v="STORE17"/>
    <n v="3"/>
    <n v="453.19"/>
    <n v="0.08"/>
    <x v="2"/>
    <x v="1583"/>
  </r>
  <r>
    <s v="SALE1584"/>
    <d v="2024-10-02T00:00:00"/>
    <s v="CUST1235"/>
    <s v="Jon Ortiz"/>
    <s v="PROD91"/>
    <x v="4"/>
    <s v="STORE10"/>
    <n v="2"/>
    <n v="61.31"/>
    <n v="0.15"/>
    <x v="2"/>
    <x v="1584"/>
  </r>
  <r>
    <s v="SALE1585"/>
    <d v="2023-10-24T00:00:00"/>
    <s v="CUST1342"/>
    <s v="Michelle Cunningham"/>
    <s v="PROD61"/>
    <x v="0"/>
    <s v="STORE10"/>
    <n v="2"/>
    <n v="870.13"/>
    <n v="0.23"/>
    <x v="0"/>
    <x v="1585"/>
  </r>
  <r>
    <s v="SALE1586"/>
    <d v="2025-01-07T00:00:00"/>
    <s v="CUST1067"/>
    <s v="Amber Mcclain"/>
    <s v="PROD46"/>
    <x v="4"/>
    <s v="STORE19"/>
    <n v="1"/>
    <n v="336.51"/>
    <n v="0.11"/>
    <x v="1"/>
    <x v="1586"/>
  </r>
  <r>
    <s v="SALE1587"/>
    <d v="2024-01-22T00:00:00"/>
    <s v="CUST1181"/>
    <s v="Erin Ward"/>
    <s v="PROD63"/>
    <x v="2"/>
    <s v="STORE0"/>
    <n v="1"/>
    <n v="305.70999999999998"/>
    <n v="0.26"/>
    <x v="2"/>
    <x v="1587"/>
  </r>
  <r>
    <s v="SALE1588"/>
    <d v="2023-10-25T00:00:00"/>
    <s v="CUST1121"/>
    <s v="Joel Robinson"/>
    <s v="PROD33"/>
    <x v="3"/>
    <s v="STORE18"/>
    <n v="2"/>
    <n v="635.39"/>
    <n v="0.28999999999999998"/>
    <x v="2"/>
    <x v="1588"/>
  </r>
  <r>
    <s v="SALE1589"/>
    <d v="2024-07-18T00:00:00"/>
    <s v="CUST1116"/>
    <s v="Anthony Phillips"/>
    <s v="PROD15"/>
    <x v="1"/>
    <s v="STORE19"/>
    <n v="2"/>
    <n v="253.87"/>
    <n v="0.23"/>
    <x v="2"/>
    <x v="1589"/>
  </r>
  <r>
    <s v="SALE1590"/>
    <d v="2024-06-29T00:00:00"/>
    <s v="CUST1484"/>
    <s v="Jessica Castro"/>
    <s v="PROD77"/>
    <x v="1"/>
    <s v="STORE17"/>
    <n v="3"/>
    <n v="915.81"/>
    <n v="0.17"/>
    <x v="2"/>
    <x v="1590"/>
  </r>
  <r>
    <s v="SALE1591"/>
    <d v="2025-05-18T00:00:00"/>
    <s v="CUST1209"/>
    <s v="Joan Johnson"/>
    <s v="PROD42"/>
    <x v="1"/>
    <s v="STORE8"/>
    <n v="3"/>
    <n v="779.5"/>
    <n v="0.02"/>
    <x v="0"/>
    <x v="1591"/>
  </r>
  <r>
    <s v="SALE1592"/>
    <d v="2024-06-27T00:00:00"/>
    <s v="CUST1469"/>
    <s v="James Foster"/>
    <s v="PROD45"/>
    <x v="0"/>
    <s v="STORE16"/>
    <n v="2"/>
    <n v="780.57"/>
    <n v="0.26"/>
    <x v="0"/>
    <x v="1592"/>
  </r>
  <r>
    <s v="SALE1593"/>
    <d v="2024-04-08T00:00:00"/>
    <s v="CUST1383"/>
    <s v="Kristine Higgins"/>
    <s v="PROD58"/>
    <x v="4"/>
    <s v="STORE19"/>
    <n v="1"/>
    <n v="511.35"/>
    <n v="0"/>
    <x v="0"/>
    <x v="1593"/>
  </r>
  <r>
    <s v="SALE1594"/>
    <d v="2025-05-26T00:00:00"/>
    <s v="CUST1016"/>
    <s v="John Scott"/>
    <s v="PROD56"/>
    <x v="3"/>
    <s v="STORE3"/>
    <n v="4"/>
    <n v="44.07"/>
    <n v="0.28999999999999998"/>
    <x v="2"/>
    <x v="1594"/>
  </r>
  <r>
    <s v="SALE1595"/>
    <d v="2024-01-29T00:00:00"/>
    <s v="CUST1197"/>
    <s v="Andrea Jacobs"/>
    <s v="PROD37"/>
    <x v="4"/>
    <s v="STORE11"/>
    <n v="2"/>
    <n v="895.92"/>
    <n v="0.15"/>
    <x v="0"/>
    <x v="1595"/>
  </r>
  <r>
    <s v="SALE1596"/>
    <d v="2024-11-23T00:00:00"/>
    <s v="CUST1305"/>
    <s v="Roberta Green"/>
    <s v="PROD28"/>
    <x v="0"/>
    <s v="STORE2"/>
    <n v="4"/>
    <n v="456.32"/>
    <n v="0.22"/>
    <x v="2"/>
    <x v="1596"/>
  </r>
  <r>
    <s v="SALE1597"/>
    <d v="2025-04-30T00:00:00"/>
    <s v="CUST1420"/>
    <s v="Dr. Tamara White Md"/>
    <s v="PROD21"/>
    <x v="3"/>
    <s v="STORE0"/>
    <n v="1"/>
    <n v="905.5"/>
    <n v="0.28999999999999998"/>
    <x v="2"/>
    <x v="1597"/>
  </r>
  <r>
    <s v="SALE1598"/>
    <d v="2024-08-19T00:00:00"/>
    <s v="CUST1204"/>
    <s v="Tiffany Herrera"/>
    <s v="PROD44"/>
    <x v="0"/>
    <s v="STORE13"/>
    <n v="3"/>
    <n v="63.19"/>
    <n v="0.08"/>
    <x v="0"/>
    <x v="1598"/>
  </r>
  <r>
    <s v="SALE1599"/>
    <d v="2024-12-02T00:00:00"/>
    <s v="CUST1050"/>
    <s v="Matthew Hunter Jr."/>
    <s v="PROD99"/>
    <x v="3"/>
    <s v="STORE7"/>
    <n v="3"/>
    <n v="687.66"/>
    <n v="0.06"/>
    <x v="1"/>
    <x v="1599"/>
  </r>
  <r>
    <s v="SALE1600"/>
    <d v="2025-03-26T00:00:00"/>
    <s v="CUST1219"/>
    <s v="Jordan Wells"/>
    <s v="PROD37"/>
    <x v="4"/>
    <s v="STORE9"/>
    <n v="4"/>
    <n v="639.05999999999995"/>
    <n v="0.12"/>
    <x v="1"/>
    <x v="1600"/>
  </r>
  <r>
    <s v="SALE1601"/>
    <d v="2024-06-13T00:00:00"/>
    <s v="CUST1067"/>
    <s v="Amber Mcclain"/>
    <s v="PROD46"/>
    <x v="4"/>
    <s v="STORE7"/>
    <n v="1"/>
    <n v="475.15"/>
    <n v="0.04"/>
    <x v="2"/>
    <x v="1601"/>
  </r>
  <r>
    <s v="SALE1602"/>
    <d v="2024-08-30T00:00:00"/>
    <s v="CUST1190"/>
    <s v="Christopher Stewart"/>
    <s v="PROD27"/>
    <x v="3"/>
    <s v="STORE6"/>
    <n v="1"/>
    <n v="62.38"/>
    <n v="0.08"/>
    <x v="2"/>
    <x v="1602"/>
  </r>
  <r>
    <s v="SALE1603"/>
    <d v="2024-03-24T00:00:00"/>
    <s v="CUST1354"/>
    <s v="Ryan Torres"/>
    <s v="PROD61"/>
    <x v="0"/>
    <s v="STORE7"/>
    <n v="1"/>
    <n v="977.02"/>
    <n v="0.2"/>
    <x v="2"/>
    <x v="1603"/>
  </r>
  <r>
    <s v="SALE1604"/>
    <d v="2024-09-11T00:00:00"/>
    <s v="CUST1074"/>
    <s v="John Mayer"/>
    <s v="PROD83"/>
    <x v="2"/>
    <s v="STORE4"/>
    <n v="2"/>
    <n v="898.81"/>
    <n v="0.25"/>
    <x v="0"/>
    <x v="1604"/>
  </r>
  <r>
    <s v="SALE1605"/>
    <d v="2025-04-22T00:00:00"/>
    <s v="CUST1351"/>
    <s v="Jeffrey Mccarthy"/>
    <s v="PROD26"/>
    <x v="1"/>
    <s v="STORE3"/>
    <n v="2"/>
    <n v="422.13"/>
    <n v="0.28000000000000003"/>
    <x v="0"/>
    <x v="1605"/>
  </r>
  <r>
    <s v="SALE1606"/>
    <d v="2024-08-20T00:00:00"/>
    <s v="CUST1050"/>
    <s v="Matthew Hunter Jr."/>
    <s v="PROD99"/>
    <x v="3"/>
    <s v="STORE11"/>
    <n v="1"/>
    <n v="324.56"/>
    <n v="0.03"/>
    <x v="2"/>
    <x v="1606"/>
  </r>
  <r>
    <s v="SALE1607"/>
    <d v="2024-08-27T00:00:00"/>
    <s v="CUST1468"/>
    <s v="Gregory Curtis"/>
    <s v="PROD75"/>
    <x v="4"/>
    <s v="STORE16"/>
    <n v="4"/>
    <n v="570.38"/>
    <n v="0.26"/>
    <x v="1"/>
    <x v="1607"/>
  </r>
  <r>
    <s v="SALE1608"/>
    <d v="2024-07-06T00:00:00"/>
    <s v="CUST1394"/>
    <s v="Alejandro Evans"/>
    <s v="PROD89"/>
    <x v="2"/>
    <s v="STORE15"/>
    <n v="2"/>
    <n v="223.73"/>
    <n v="0.11"/>
    <x v="1"/>
    <x v="1608"/>
  </r>
  <r>
    <s v="SALE1609"/>
    <d v="2025-07-30T00:00:00"/>
    <s v="CUST1351"/>
    <s v="Jeffrey Mccarthy"/>
    <s v="PROD26"/>
    <x v="1"/>
    <s v="STORE16"/>
    <n v="4"/>
    <n v="164.93"/>
    <n v="0.11"/>
    <x v="0"/>
    <x v="1609"/>
  </r>
  <r>
    <s v="SALE1610"/>
    <d v="2024-10-04T00:00:00"/>
    <s v="CUST1249"/>
    <s v="Lauren George"/>
    <s v="PROD19"/>
    <x v="0"/>
    <s v="STORE7"/>
    <n v="3"/>
    <n v="326.66000000000003"/>
    <n v="0.28000000000000003"/>
    <x v="2"/>
    <x v="1610"/>
  </r>
  <r>
    <s v="SALE1611"/>
    <d v="2024-03-31T00:00:00"/>
    <s v="CUST1182"/>
    <s v="Melissa Hamilton"/>
    <s v="PROD34"/>
    <x v="1"/>
    <s v="STORE15"/>
    <n v="2"/>
    <n v="462.93"/>
    <n v="0.17"/>
    <x v="1"/>
    <x v="1611"/>
  </r>
  <r>
    <s v="SALE1612"/>
    <d v="2025-08-16T00:00:00"/>
    <s v="CUST1147"/>
    <s v="Rhonda Young"/>
    <s v="PROD52"/>
    <x v="0"/>
    <s v="STORE16"/>
    <n v="3"/>
    <n v="60.26"/>
    <n v="0.04"/>
    <x v="0"/>
    <x v="1612"/>
  </r>
  <r>
    <s v="SALE1613"/>
    <d v="2025-06-21T00:00:00"/>
    <s v="CUST1071"/>
    <s v="Andrea Perez"/>
    <s v="PROD83"/>
    <x v="2"/>
    <s v="STORE9"/>
    <n v="3"/>
    <n v="109.5"/>
    <n v="0.06"/>
    <x v="2"/>
    <x v="1613"/>
  </r>
  <r>
    <s v="SALE1614"/>
    <d v="2025-03-05T00:00:00"/>
    <s v="CUST1382"/>
    <s v="Martha Brown"/>
    <s v="PROD4"/>
    <x v="4"/>
    <s v="STORE16"/>
    <n v="1"/>
    <n v="505.83"/>
    <n v="0.14000000000000001"/>
    <x v="2"/>
    <x v="1614"/>
  </r>
  <r>
    <s v="SALE1615"/>
    <d v="2024-08-07T00:00:00"/>
    <s v="CUST1163"/>
    <s v="Joseph Jones"/>
    <s v="PROD97"/>
    <x v="0"/>
    <s v="STORE10"/>
    <n v="2"/>
    <n v="443.15"/>
    <n v="0.27"/>
    <x v="1"/>
    <x v="1615"/>
  </r>
  <r>
    <s v="SALE1616"/>
    <d v="2025-03-23T00:00:00"/>
    <s v="CUST1497"/>
    <s v="Sarah Marsh"/>
    <s v="PROD33"/>
    <x v="3"/>
    <s v="STORE7"/>
    <n v="2"/>
    <n v="784.26"/>
    <n v="0.23"/>
    <x v="1"/>
    <x v="1616"/>
  </r>
  <r>
    <s v="SALE1617"/>
    <d v="2024-08-29T00:00:00"/>
    <s v="CUST1455"/>
    <s v="Tyler Weber"/>
    <s v="PROD83"/>
    <x v="2"/>
    <s v="STORE11"/>
    <n v="3"/>
    <n v="590.30999999999995"/>
    <n v="0.17"/>
    <x v="1"/>
    <x v="1617"/>
  </r>
  <r>
    <s v="SALE1618"/>
    <d v="2024-09-18T00:00:00"/>
    <s v="CUST1120"/>
    <s v="Jacob Hopkins"/>
    <s v="PROD73"/>
    <x v="0"/>
    <s v="STORE16"/>
    <n v="1"/>
    <n v="696.13"/>
    <n v="0.06"/>
    <x v="2"/>
    <x v="1618"/>
  </r>
  <r>
    <s v="SALE1619"/>
    <d v="2024-02-19T00:00:00"/>
    <s v="CUST1104"/>
    <s v="Christopher Lester"/>
    <s v="PROD25"/>
    <x v="4"/>
    <s v="STORE6"/>
    <n v="4"/>
    <n v="194.39"/>
    <n v="0.25"/>
    <x v="0"/>
    <x v="1619"/>
  </r>
  <r>
    <s v="SALE1620"/>
    <d v="2024-05-18T00:00:00"/>
    <s v="CUST1330"/>
    <s v="Pamela Mcguire"/>
    <s v="PROD42"/>
    <x v="1"/>
    <s v="STORE1"/>
    <n v="1"/>
    <n v="339.7"/>
    <n v="0.1"/>
    <x v="0"/>
    <x v="1620"/>
  </r>
  <r>
    <s v="SALE1621"/>
    <d v="2025-09-12T00:00:00"/>
    <s v="CUST1048"/>
    <s v="April Mullins"/>
    <s v="PROD95"/>
    <x v="0"/>
    <s v="STORE13"/>
    <n v="4"/>
    <n v="463.16"/>
    <n v="0.27"/>
    <x v="1"/>
    <x v="1621"/>
  </r>
  <r>
    <s v="SALE1622"/>
    <d v="2025-02-21T00:00:00"/>
    <s v="CUST1107"/>
    <s v="Erica Carney"/>
    <s v="PROD75"/>
    <x v="4"/>
    <s v="STORE10"/>
    <n v="2"/>
    <n v="824.91"/>
    <n v="0.09"/>
    <x v="0"/>
    <x v="1622"/>
  </r>
  <r>
    <s v="SALE1623"/>
    <d v="2024-08-16T00:00:00"/>
    <s v="CUST1070"/>
    <s v="Eric Singh"/>
    <s v="PROD78"/>
    <x v="3"/>
    <s v="STORE2"/>
    <n v="4"/>
    <n v="796.89"/>
    <n v="0.17"/>
    <x v="0"/>
    <x v="1623"/>
  </r>
  <r>
    <s v="SALE1624"/>
    <d v="2024-07-05T00:00:00"/>
    <s v="CUST1240"/>
    <s v="William Hull"/>
    <s v="PROD92"/>
    <x v="3"/>
    <s v="STORE17"/>
    <n v="3"/>
    <n v="543.92999999999995"/>
    <n v="0.3"/>
    <x v="2"/>
    <x v="1624"/>
  </r>
  <r>
    <s v="SALE1625"/>
    <d v="2024-07-23T00:00:00"/>
    <s v="CUST1173"/>
    <s v="Teresa Stokes"/>
    <s v="PROD20"/>
    <x v="0"/>
    <s v="STORE7"/>
    <n v="2"/>
    <n v="44.65"/>
    <n v="0.03"/>
    <x v="1"/>
    <x v="1625"/>
  </r>
  <r>
    <s v="SALE1626"/>
    <d v="2025-03-26T00:00:00"/>
    <s v="CUST1250"/>
    <s v="Veronica Newman"/>
    <s v="PROD55"/>
    <x v="3"/>
    <s v="STORE0"/>
    <n v="4"/>
    <n v="827.39"/>
    <n v="0.06"/>
    <x v="2"/>
    <x v="1626"/>
  </r>
  <r>
    <s v="SALE1627"/>
    <d v="2024-01-10T00:00:00"/>
    <s v="CUST1308"/>
    <s v="Jennifer Zamora"/>
    <s v="PROD14"/>
    <x v="3"/>
    <s v="STORE12"/>
    <n v="2"/>
    <n v="403.2"/>
    <n v="0.21"/>
    <x v="1"/>
    <x v="1627"/>
  </r>
  <r>
    <s v="SALE1628"/>
    <d v="2024-09-12T00:00:00"/>
    <s v="CUST1017"/>
    <s v="Adam Cruz"/>
    <s v="PROD41"/>
    <x v="0"/>
    <s v="STORE13"/>
    <n v="4"/>
    <n v="292.31"/>
    <n v="0.27"/>
    <x v="1"/>
    <x v="1628"/>
  </r>
  <r>
    <s v="SALE1629"/>
    <d v="2025-05-29T00:00:00"/>
    <s v="CUST1492"/>
    <s v="Darrell Miller"/>
    <s v="PROD10"/>
    <x v="3"/>
    <s v="STORE10"/>
    <n v="1"/>
    <n v="948.33"/>
    <n v="0.11"/>
    <x v="0"/>
    <x v="1629"/>
  </r>
  <r>
    <s v="SALE1630"/>
    <d v="2024-01-03T00:00:00"/>
    <s v="CUST1343"/>
    <s v="Ryan Moore"/>
    <s v="PROD17"/>
    <x v="0"/>
    <s v="STORE5"/>
    <n v="1"/>
    <n v="702.27"/>
    <n v="0.17"/>
    <x v="2"/>
    <x v="1630"/>
  </r>
  <r>
    <s v="SALE1631"/>
    <d v="2025-08-06T00:00:00"/>
    <s v="CUST1041"/>
    <s v="James Gibbs"/>
    <s v="PROD22"/>
    <x v="0"/>
    <s v="STORE3"/>
    <n v="2"/>
    <n v="379.28"/>
    <n v="0.26"/>
    <x v="0"/>
    <x v="1631"/>
  </r>
  <r>
    <s v="SALE1632"/>
    <d v="2025-01-12T00:00:00"/>
    <s v="CUST1132"/>
    <s v="Miguel Reynolds"/>
    <s v="PROD47"/>
    <x v="2"/>
    <s v="STORE0"/>
    <n v="4"/>
    <n v="92.35"/>
    <n v="0.15"/>
    <x v="0"/>
    <x v="1632"/>
  </r>
  <r>
    <s v="SALE1633"/>
    <d v="2024-11-10T00:00:00"/>
    <s v="CUST1219"/>
    <s v="Jordan Wells"/>
    <s v="PROD37"/>
    <x v="4"/>
    <s v="STORE12"/>
    <n v="4"/>
    <n v="721.54"/>
    <n v="0.21"/>
    <x v="0"/>
    <x v="1633"/>
  </r>
  <r>
    <s v="SALE1634"/>
    <d v="2025-05-10T00:00:00"/>
    <s v="CUST1053"/>
    <s v="Sharon Brown"/>
    <s v="PROD37"/>
    <x v="4"/>
    <s v="STORE9"/>
    <n v="1"/>
    <n v="228.69"/>
    <n v="0.14000000000000001"/>
    <x v="0"/>
    <x v="1634"/>
  </r>
  <r>
    <s v="SALE1635"/>
    <d v="2025-09-29T00:00:00"/>
    <s v="CUST1355"/>
    <s v="Carlos Flores"/>
    <s v="PROD91"/>
    <x v="4"/>
    <s v="STORE10"/>
    <n v="1"/>
    <n v="899.09"/>
    <n v="0.2"/>
    <x v="1"/>
    <x v="1635"/>
  </r>
  <r>
    <s v="SALE1636"/>
    <d v="2024-03-28T00:00:00"/>
    <s v="CUST1384"/>
    <s v="Andrew Mason"/>
    <s v="PROD74"/>
    <x v="1"/>
    <s v="STORE8"/>
    <n v="4"/>
    <n v="195.75"/>
    <n v="0.17"/>
    <x v="0"/>
    <x v="1636"/>
  </r>
  <r>
    <s v="SALE1637"/>
    <d v="2024-08-28T00:00:00"/>
    <s v="CUST1426"/>
    <s v="Jeanette Nichols"/>
    <s v="PROD63"/>
    <x v="2"/>
    <s v="STORE15"/>
    <n v="3"/>
    <n v="199.13"/>
    <n v="0.24"/>
    <x v="0"/>
    <x v="1637"/>
  </r>
  <r>
    <s v="SALE1638"/>
    <d v="2024-06-23T00:00:00"/>
    <s v="CUST1160"/>
    <s v="John Lawson"/>
    <s v="PROD47"/>
    <x v="2"/>
    <s v="STORE14"/>
    <n v="2"/>
    <n v="833.62"/>
    <n v="0.18"/>
    <x v="0"/>
    <x v="1638"/>
  </r>
  <r>
    <s v="SALE1639"/>
    <d v="2024-04-13T00:00:00"/>
    <s v="CUST1484"/>
    <s v="Jessica Castro"/>
    <s v="PROD77"/>
    <x v="1"/>
    <s v="STORE0"/>
    <n v="1"/>
    <n v="676.26"/>
    <n v="0.14000000000000001"/>
    <x v="0"/>
    <x v="1639"/>
  </r>
  <r>
    <s v="SALE1640"/>
    <d v="2025-02-20T00:00:00"/>
    <s v="CUST1032"/>
    <s v="Mike Jennings"/>
    <s v="PROD16"/>
    <x v="2"/>
    <s v="STORE9"/>
    <n v="2"/>
    <n v="666.49"/>
    <n v="0.06"/>
    <x v="0"/>
    <x v="1640"/>
  </r>
  <r>
    <s v="SALE1641"/>
    <d v="2025-03-19T00:00:00"/>
    <s v="CUST1460"/>
    <s v="Justin Johnson"/>
    <s v="PROD15"/>
    <x v="1"/>
    <s v="STORE4"/>
    <n v="3"/>
    <n v="471.19"/>
    <n v="0.28000000000000003"/>
    <x v="2"/>
    <x v="1641"/>
  </r>
  <r>
    <s v="SALE1642"/>
    <d v="2023-11-07T00:00:00"/>
    <s v="CUST1119"/>
    <s v="Michael Jones"/>
    <s v="PROD90"/>
    <x v="1"/>
    <s v="STORE3"/>
    <n v="4"/>
    <n v="555.65"/>
    <n v="0.25"/>
    <x v="2"/>
    <x v="1642"/>
  </r>
  <r>
    <s v="SALE1643"/>
    <d v="2023-12-22T00:00:00"/>
    <s v="CUST1035"/>
    <s v="Rachel Myers"/>
    <s v="PROD97"/>
    <x v="0"/>
    <s v="STORE14"/>
    <n v="2"/>
    <n v="100.42"/>
    <n v="0.06"/>
    <x v="0"/>
    <x v="1643"/>
  </r>
  <r>
    <s v="SALE1644"/>
    <d v="2024-02-15T00:00:00"/>
    <s v="CUST1050"/>
    <s v="Matthew Hunter Jr."/>
    <s v="PROD99"/>
    <x v="3"/>
    <s v="STORE18"/>
    <n v="3"/>
    <n v="981.69"/>
    <n v="0.05"/>
    <x v="2"/>
    <x v="1644"/>
  </r>
  <r>
    <s v="SALE1645"/>
    <d v="2024-01-19T00:00:00"/>
    <s v="CUST1327"/>
    <s v="Reginald Willis"/>
    <s v="PROD1"/>
    <x v="4"/>
    <s v="STORE16"/>
    <n v="2"/>
    <n v="848.87"/>
    <n v="0.09"/>
    <x v="2"/>
    <x v="1645"/>
  </r>
  <r>
    <s v="SALE1646"/>
    <d v="2023-10-31T00:00:00"/>
    <s v="CUST1375"/>
    <s v="Joshua Bell"/>
    <s v="PROD28"/>
    <x v="0"/>
    <s v="STORE10"/>
    <n v="3"/>
    <n v="582.32000000000005"/>
    <n v="0"/>
    <x v="1"/>
    <x v="1646"/>
  </r>
  <r>
    <s v="SALE1647"/>
    <d v="2024-02-19T00:00:00"/>
    <s v="CUST1171"/>
    <s v="Amy Wilson"/>
    <s v="PROD90"/>
    <x v="1"/>
    <s v="STORE17"/>
    <n v="2"/>
    <n v="869.43"/>
    <n v="0.24"/>
    <x v="2"/>
    <x v="1647"/>
  </r>
  <r>
    <s v="SALE1648"/>
    <d v="2024-05-28T00:00:00"/>
    <s v="CUST1021"/>
    <s v="Jeff Martinez"/>
    <s v="PROD26"/>
    <x v="1"/>
    <s v="STORE4"/>
    <n v="1"/>
    <n v="62.26"/>
    <n v="0.03"/>
    <x v="2"/>
    <x v="1648"/>
  </r>
  <r>
    <s v="SALE1649"/>
    <d v="2025-05-21T00:00:00"/>
    <s v="CUST1152"/>
    <s v="Patrick Roberts"/>
    <s v="PROD70"/>
    <x v="3"/>
    <s v="STORE14"/>
    <n v="3"/>
    <n v="343.97"/>
    <n v="0.04"/>
    <x v="2"/>
    <x v="1649"/>
  </r>
  <r>
    <s v="SALE1650"/>
    <d v="2024-01-02T00:00:00"/>
    <s v="CUST1303"/>
    <s v="John Sloan"/>
    <s v="PROD20"/>
    <x v="0"/>
    <s v="STORE12"/>
    <n v="3"/>
    <n v="304.67"/>
    <n v="0.11"/>
    <x v="0"/>
    <x v="1650"/>
  </r>
  <r>
    <s v="SALE1651"/>
    <d v="2024-01-05T00:00:00"/>
    <s v="CUST1365"/>
    <s v="Brandon Mcbride"/>
    <s v="PROD45"/>
    <x v="0"/>
    <s v="STORE9"/>
    <n v="4"/>
    <n v="208.34"/>
    <n v="0.01"/>
    <x v="1"/>
    <x v="1651"/>
  </r>
  <r>
    <s v="SALE1652"/>
    <d v="2025-07-22T00:00:00"/>
    <s v="CUST1312"/>
    <s v="Jason Mullins"/>
    <s v="PROD74"/>
    <x v="1"/>
    <s v="STORE1"/>
    <n v="1"/>
    <n v="119.04"/>
    <n v="0.13"/>
    <x v="2"/>
    <x v="1652"/>
  </r>
  <r>
    <s v="SALE1653"/>
    <d v="2025-07-05T00:00:00"/>
    <s v="CUST1321"/>
    <s v="Darren Burton"/>
    <s v="PROD99"/>
    <x v="3"/>
    <s v="STORE9"/>
    <n v="4"/>
    <n v="791.65"/>
    <n v="0.06"/>
    <x v="2"/>
    <x v="1653"/>
  </r>
  <r>
    <s v="SALE1654"/>
    <d v="2025-07-24T00:00:00"/>
    <s v="CUST1052"/>
    <s v="Debra Liu"/>
    <s v="PROD51"/>
    <x v="1"/>
    <s v="STORE2"/>
    <n v="2"/>
    <n v="414.86"/>
    <n v="0.23"/>
    <x v="0"/>
    <x v="1654"/>
  </r>
  <r>
    <s v="SALE1655"/>
    <d v="2024-04-03T00:00:00"/>
    <s v="CUST1478"/>
    <s v="Earl Smith Dds"/>
    <s v="PROD39"/>
    <x v="1"/>
    <s v="STORE12"/>
    <n v="2"/>
    <n v="960.81"/>
    <n v="0.28000000000000003"/>
    <x v="1"/>
    <x v="1655"/>
  </r>
  <r>
    <s v="SALE1656"/>
    <d v="2025-01-11T00:00:00"/>
    <s v="CUST1212"/>
    <s v="Blake Harrison"/>
    <s v="PROD13"/>
    <x v="1"/>
    <s v="STORE4"/>
    <n v="4"/>
    <n v="943.36"/>
    <n v="0.18"/>
    <x v="1"/>
    <x v="1656"/>
  </r>
  <r>
    <s v="SALE1657"/>
    <d v="2024-09-26T00:00:00"/>
    <s v="CUST1213"/>
    <s v="Stuart Johnson"/>
    <s v="PROD21"/>
    <x v="3"/>
    <s v="STORE13"/>
    <n v="1"/>
    <n v="830.42"/>
    <n v="0.26"/>
    <x v="2"/>
    <x v="1657"/>
  </r>
  <r>
    <s v="SALE1658"/>
    <d v="2024-12-11T00:00:00"/>
    <s v="CUST1353"/>
    <s v="Laura Green"/>
    <s v="PROD48"/>
    <x v="1"/>
    <s v="STORE17"/>
    <n v="1"/>
    <n v="762.55"/>
    <n v="0.19"/>
    <x v="0"/>
    <x v="1658"/>
  </r>
  <r>
    <s v="SALE1659"/>
    <d v="2025-07-01T00:00:00"/>
    <s v="CUST1343"/>
    <s v="Ryan Moore"/>
    <s v="PROD17"/>
    <x v="0"/>
    <s v="STORE18"/>
    <n v="2"/>
    <n v="464.43"/>
    <n v="0.24"/>
    <x v="2"/>
    <x v="1659"/>
  </r>
  <r>
    <s v="SALE1660"/>
    <d v="2025-07-13T00:00:00"/>
    <s v="CUST1016"/>
    <s v="John Scott"/>
    <s v="PROD56"/>
    <x v="3"/>
    <s v="STORE18"/>
    <n v="1"/>
    <n v="711.08"/>
    <n v="0.24"/>
    <x v="1"/>
    <x v="1660"/>
  </r>
  <r>
    <s v="SALE1661"/>
    <d v="2024-12-30T00:00:00"/>
    <s v="CUST1251"/>
    <s v="Tyler Garner"/>
    <s v="PROD9"/>
    <x v="0"/>
    <s v="STORE14"/>
    <n v="2"/>
    <n v="984.96"/>
    <n v="0.16"/>
    <x v="1"/>
    <x v="1661"/>
  </r>
  <r>
    <s v="SALE1662"/>
    <d v="2025-04-12T00:00:00"/>
    <s v="CUST1343"/>
    <s v="Ryan Moore"/>
    <s v="PROD17"/>
    <x v="0"/>
    <s v="STORE12"/>
    <n v="1"/>
    <n v="21.14"/>
    <n v="0.06"/>
    <x v="2"/>
    <x v="1662"/>
  </r>
  <r>
    <s v="SALE1663"/>
    <d v="2025-01-22T00:00:00"/>
    <s v="CUST1106"/>
    <s v="Howard Summers"/>
    <s v="PROD65"/>
    <x v="0"/>
    <s v="STORE8"/>
    <n v="1"/>
    <n v="343.03"/>
    <n v="0.16"/>
    <x v="0"/>
    <x v="1663"/>
  </r>
  <r>
    <s v="SALE1664"/>
    <d v="2023-11-07T00:00:00"/>
    <s v="CUST1247"/>
    <s v="Douglas Rhodes"/>
    <s v="PROD10"/>
    <x v="3"/>
    <s v="STORE18"/>
    <n v="3"/>
    <n v="94.83"/>
    <n v="0.16"/>
    <x v="2"/>
    <x v="1664"/>
  </r>
  <r>
    <s v="SALE1665"/>
    <d v="2025-05-13T00:00:00"/>
    <s v="CUST1018"/>
    <s v="Rhonda Moss"/>
    <s v="PROD80"/>
    <x v="3"/>
    <s v="STORE19"/>
    <n v="3"/>
    <n v="74.66"/>
    <n v="0.03"/>
    <x v="1"/>
    <x v="1665"/>
  </r>
  <r>
    <s v="SALE1666"/>
    <d v="2023-12-08T00:00:00"/>
    <s v="CUST1136"/>
    <s v="Patrick Coleman"/>
    <s v="PROD35"/>
    <x v="3"/>
    <s v="STORE15"/>
    <n v="3"/>
    <n v="281.95999999999998"/>
    <n v="0.01"/>
    <x v="2"/>
    <x v="1666"/>
  </r>
  <r>
    <s v="SALE1667"/>
    <d v="2025-01-07T00:00:00"/>
    <s v="CUST1236"/>
    <s v="Joshua Wilson"/>
    <s v="PROD16"/>
    <x v="2"/>
    <s v="STORE18"/>
    <n v="4"/>
    <n v="622.27"/>
    <n v="0.02"/>
    <x v="1"/>
    <x v="1667"/>
  </r>
  <r>
    <s v="SALE1668"/>
    <d v="2024-07-02T00:00:00"/>
    <s v="CUST1102"/>
    <s v="Sarah Schneider"/>
    <s v="PROD98"/>
    <x v="1"/>
    <s v="STORE7"/>
    <n v="2"/>
    <n v="78.27"/>
    <n v="0.28999999999999998"/>
    <x v="2"/>
    <x v="1668"/>
  </r>
  <r>
    <s v="SALE1669"/>
    <d v="2025-07-07T00:00:00"/>
    <s v="CUST1012"/>
    <s v="Kenneth Lambert"/>
    <s v="PROD27"/>
    <x v="3"/>
    <s v="STORE13"/>
    <n v="4"/>
    <n v="676.58"/>
    <n v="0.23"/>
    <x v="2"/>
    <x v="1669"/>
  </r>
  <r>
    <s v="SALE1670"/>
    <d v="2024-06-03T00:00:00"/>
    <s v="CUST1486"/>
    <s v="Eric Lee"/>
    <s v="PROD40"/>
    <x v="1"/>
    <s v="STORE1"/>
    <n v="2"/>
    <n v="938.6"/>
    <n v="0.04"/>
    <x v="1"/>
    <x v="1670"/>
  </r>
  <r>
    <s v="SALE1671"/>
    <d v="2025-04-14T00:00:00"/>
    <s v="CUST1355"/>
    <s v="Carlos Flores"/>
    <s v="PROD91"/>
    <x v="4"/>
    <s v="STORE14"/>
    <n v="2"/>
    <n v="859.47"/>
    <n v="0.01"/>
    <x v="0"/>
    <x v="1671"/>
  </r>
  <r>
    <s v="SALE1672"/>
    <d v="2024-03-12T00:00:00"/>
    <s v="CUST1057"/>
    <s v="Jay Patel"/>
    <s v="PROD38"/>
    <x v="0"/>
    <s v="STORE14"/>
    <n v="3"/>
    <n v="672.98"/>
    <n v="0.23"/>
    <x v="1"/>
    <x v="1672"/>
  </r>
  <r>
    <s v="SALE1673"/>
    <d v="2024-05-08T00:00:00"/>
    <s v="CUST1206"/>
    <s v="Ronald Jones"/>
    <s v="PROD94"/>
    <x v="2"/>
    <s v="STORE18"/>
    <n v="1"/>
    <n v="75.8"/>
    <n v="0.28999999999999998"/>
    <x v="1"/>
    <x v="1673"/>
  </r>
  <r>
    <s v="SALE1674"/>
    <d v="2024-09-01T00:00:00"/>
    <s v="CUST1034"/>
    <s v="Christopher Olson"/>
    <s v="PROD28"/>
    <x v="0"/>
    <s v="STORE15"/>
    <n v="4"/>
    <n v="742.15"/>
    <n v="0.1"/>
    <x v="2"/>
    <x v="1674"/>
  </r>
  <r>
    <s v="SALE1675"/>
    <d v="2024-06-02T00:00:00"/>
    <s v="CUST1072"/>
    <s v="Tonya Burch"/>
    <s v="PROD26"/>
    <x v="1"/>
    <s v="STORE7"/>
    <n v="1"/>
    <n v="637.39"/>
    <n v="0.22"/>
    <x v="1"/>
    <x v="1675"/>
  </r>
  <r>
    <s v="SALE1676"/>
    <d v="2023-10-31T00:00:00"/>
    <s v="CUST1391"/>
    <s v="Heidi Tyler"/>
    <s v="PROD29"/>
    <x v="3"/>
    <s v="STORE17"/>
    <n v="1"/>
    <n v="631"/>
    <n v="0.04"/>
    <x v="0"/>
    <x v="1676"/>
  </r>
  <r>
    <s v="SALE1677"/>
    <d v="2025-09-16T00:00:00"/>
    <s v="CUST1393"/>
    <s v="Michael Mcneil"/>
    <s v="PROD80"/>
    <x v="3"/>
    <s v="STORE3"/>
    <n v="4"/>
    <n v="983.98"/>
    <n v="0.11"/>
    <x v="2"/>
    <x v="1677"/>
  </r>
  <r>
    <s v="SALE1678"/>
    <d v="2024-03-02T00:00:00"/>
    <s v="CUST1054"/>
    <s v="Katherine Dorsey"/>
    <s v="PROD88"/>
    <x v="0"/>
    <s v="STORE11"/>
    <n v="4"/>
    <n v="73.69"/>
    <n v="0.08"/>
    <x v="0"/>
    <x v="1678"/>
  </r>
  <r>
    <s v="SALE1679"/>
    <d v="2024-07-17T00:00:00"/>
    <s v="CUST1433"/>
    <s v="Thomas Moore"/>
    <s v="PROD64"/>
    <x v="2"/>
    <s v="STORE7"/>
    <n v="3"/>
    <n v="110.99"/>
    <n v="0.21"/>
    <x v="0"/>
    <x v="1679"/>
  </r>
  <r>
    <s v="SALE1680"/>
    <d v="2025-07-12T00:00:00"/>
    <s v="CUST1083"/>
    <s v="Thomas Robinson"/>
    <s v="PROD45"/>
    <x v="0"/>
    <s v="STORE7"/>
    <n v="1"/>
    <n v="66.86"/>
    <n v="0.22"/>
    <x v="2"/>
    <x v="1680"/>
  </r>
  <r>
    <s v="SALE1681"/>
    <d v="2024-08-11T00:00:00"/>
    <s v="CUST1417"/>
    <s v="Karen King"/>
    <s v="PROD97"/>
    <x v="0"/>
    <s v="STORE18"/>
    <n v="1"/>
    <n v="980.26"/>
    <n v="0.14000000000000001"/>
    <x v="1"/>
    <x v="1681"/>
  </r>
  <r>
    <s v="SALE1682"/>
    <d v="2024-01-31T00:00:00"/>
    <s v="CUST1037"/>
    <s v="Christopher Carter"/>
    <s v="PROD45"/>
    <x v="0"/>
    <s v="STORE18"/>
    <n v="1"/>
    <n v="235.28"/>
    <n v="0.05"/>
    <x v="1"/>
    <x v="1682"/>
  </r>
  <r>
    <s v="SALE1683"/>
    <d v="2024-09-07T00:00:00"/>
    <s v="CUST1416"/>
    <s v="Jennifer Myers"/>
    <s v="PROD49"/>
    <x v="2"/>
    <s v="STORE15"/>
    <n v="3"/>
    <n v="407.39"/>
    <n v="0.08"/>
    <x v="1"/>
    <x v="1683"/>
  </r>
  <r>
    <s v="SALE1684"/>
    <d v="2025-01-18T00:00:00"/>
    <s v="CUST1068"/>
    <s v="Mr. Mark Beasley"/>
    <s v="PROD52"/>
    <x v="0"/>
    <s v="STORE14"/>
    <n v="4"/>
    <n v="459.83"/>
    <n v="0.12"/>
    <x v="2"/>
    <x v="1684"/>
  </r>
  <r>
    <s v="SALE1685"/>
    <d v="2024-02-11T00:00:00"/>
    <s v="CUST1147"/>
    <s v="Rhonda Young"/>
    <s v="PROD52"/>
    <x v="0"/>
    <s v="STORE4"/>
    <n v="3"/>
    <n v="706.6"/>
    <n v="0.17"/>
    <x v="1"/>
    <x v="1685"/>
  </r>
  <r>
    <s v="SALE1686"/>
    <d v="2025-06-11T00:00:00"/>
    <s v="CUST1462"/>
    <s v="Beth Martin"/>
    <s v="PROD33"/>
    <x v="3"/>
    <s v="STORE19"/>
    <n v="3"/>
    <n v="811.16"/>
    <n v="0.1"/>
    <x v="2"/>
    <x v="1686"/>
  </r>
  <r>
    <s v="SALE1687"/>
    <d v="2023-12-08T00:00:00"/>
    <s v="CUST1217"/>
    <s v="Kathy Copeland"/>
    <s v="PROD43"/>
    <x v="1"/>
    <s v="STORE7"/>
    <n v="2"/>
    <n v="985.79"/>
    <n v="0.04"/>
    <x v="1"/>
    <x v="1687"/>
  </r>
  <r>
    <s v="SALE1688"/>
    <d v="2024-08-17T00:00:00"/>
    <s v="CUST1187"/>
    <s v="Dr. Suzanne Bullock"/>
    <s v="PROD13"/>
    <x v="1"/>
    <s v="STORE14"/>
    <n v="1"/>
    <n v="255.02"/>
    <n v="0.3"/>
    <x v="0"/>
    <x v="1688"/>
  </r>
  <r>
    <s v="SALE1689"/>
    <d v="2025-02-05T00:00:00"/>
    <s v="CUST1095"/>
    <s v="Amy Fowler"/>
    <s v="PROD40"/>
    <x v="1"/>
    <s v="STORE8"/>
    <n v="1"/>
    <n v="153.57"/>
    <n v="0.01"/>
    <x v="1"/>
    <x v="1689"/>
  </r>
  <r>
    <s v="SALE1690"/>
    <d v="2025-03-18T00:00:00"/>
    <s v="CUST1253"/>
    <s v="Dr. Ashley Yates Md"/>
    <s v="PROD71"/>
    <x v="2"/>
    <s v="STORE18"/>
    <n v="3"/>
    <n v="962.98"/>
    <n v="0.21"/>
    <x v="0"/>
    <x v="1690"/>
  </r>
  <r>
    <s v="SALE1691"/>
    <d v="2024-03-26T00:00:00"/>
    <s v="CUST1057"/>
    <s v="Jay Patel"/>
    <s v="PROD38"/>
    <x v="0"/>
    <s v="STORE8"/>
    <n v="3"/>
    <n v="884.46"/>
    <n v="0.25"/>
    <x v="0"/>
    <x v="1691"/>
  </r>
  <r>
    <s v="SALE1692"/>
    <d v="2025-05-01T00:00:00"/>
    <s v="CUST1437"/>
    <s v="Melinda Rivera"/>
    <s v="PROD88"/>
    <x v="0"/>
    <s v="STORE10"/>
    <n v="4"/>
    <n v="359.71"/>
    <n v="0.05"/>
    <x v="1"/>
    <x v="1692"/>
  </r>
  <r>
    <s v="SALE1693"/>
    <d v="2025-02-27T00:00:00"/>
    <s v="CUST1051"/>
    <s v="Sarah Rodgers"/>
    <s v="PROD21"/>
    <x v="3"/>
    <s v="STORE4"/>
    <n v="3"/>
    <n v="766.47"/>
    <n v="0.18"/>
    <x v="0"/>
    <x v="1693"/>
  </r>
  <r>
    <s v="SALE1694"/>
    <d v="2024-07-19T00:00:00"/>
    <s v="CUST1223"/>
    <s v="Robert Harris"/>
    <s v="PROD72"/>
    <x v="0"/>
    <s v="STORE18"/>
    <n v="1"/>
    <n v="772.07"/>
    <n v="0.26"/>
    <x v="1"/>
    <x v="1694"/>
  </r>
  <r>
    <s v="SALE1695"/>
    <d v="2024-01-01T00:00:00"/>
    <s v="CUST1277"/>
    <s v="Jeffrey Gomez"/>
    <s v="PROD93"/>
    <x v="1"/>
    <s v="STORE5"/>
    <n v="3"/>
    <n v="108.31"/>
    <n v="0.26"/>
    <x v="2"/>
    <x v="1695"/>
  </r>
  <r>
    <s v="SALE1696"/>
    <d v="2024-01-25T00:00:00"/>
    <s v="CUST1218"/>
    <s v="Julia Jackson"/>
    <s v="PROD16"/>
    <x v="2"/>
    <s v="STORE6"/>
    <n v="1"/>
    <n v="502.53"/>
    <n v="0"/>
    <x v="1"/>
    <x v="1696"/>
  </r>
  <r>
    <s v="SALE1697"/>
    <d v="2024-09-13T00:00:00"/>
    <s v="CUST1076"/>
    <s v="Nathan Campbell"/>
    <s v="PROD32"/>
    <x v="2"/>
    <s v="STORE16"/>
    <n v="2"/>
    <n v="508.52"/>
    <n v="0.11"/>
    <x v="2"/>
    <x v="1697"/>
  </r>
  <r>
    <s v="SALE1698"/>
    <d v="2024-10-07T00:00:00"/>
    <s v="CUST1468"/>
    <s v="Gregory Curtis"/>
    <s v="PROD75"/>
    <x v="4"/>
    <s v="STORE3"/>
    <n v="1"/>
    <n v="492"/>
    <n v="0.26"/>
    <x v="1"/>
    <x v="1698"/>
  </r>
  <r>
    <s v="SALE1699"/>
    <d v="2024-02-25T00:00:00"/>
    <s v="CUST1485"/>
    <s v="Sara Ingram"/>
    <s v="PROD26"/>
    <x v="1"/>
    <s v="STORE14"/>
    <n v="4"/>
    <n v="746.36"/>
    <n v="0.02"/>
    <x v="0"/>
    <x v="1699"/>
  </r>
  <r>
    <s v="SALE1700"/>
    <d v="2025-06-15T00:00:00"/>
    <s v="CUST1433"/>
    <s v="Thomas Moore"/>
    <s v="PROD64"/>
    <x v="2"/>
    <s v="STORE1"/>
    <n v="1"/>
    <n v="120.83"/>
    <n v="0.08"/>
    <x v="0"/>
    <x v="1700"/>
  </r>
  <r>
    <s v="SALE1701"/>
    <d v="2024-04-12T00:00:00"/>
    <s v="CUST1399"/>
    <s v="John Donaldson"/>
    <s v="PROD66"/>
    <x v="2"/>
    <s v="STORE18"/>
    <n v="2"/>
    <n v="68.31"/>
    <n v="0.28999999999999998"/>
    <x v="2"/>
    <x v="1701"/>
  </r>
  <r>
    <s v="SALE1702"/>
    <d v="2023-12-05T00:00:00"/>
    <s v="CUST1062"/>
    <s v="James Bean"/>
    <s v="PROD84"/>
    <x v="3"/>
    <s v="STORE18"/>
    <n v="2"/>
    <n v="761.71"/>
    <n v="0.02"/>
    <x v="1"/>
    <x v="1702"/>
  </r>
  <r>
    <s v="SALE1703"/>
    <d v="2023-12-01T00:00:00"/>
    <s v="CUST1066"/>
    <s v="Cody Diaz"/>
    <s v="PROD94"/>
    <x v="2"/>
    <s v="STORE3"/>
    <n v="4"/>
    <n v="346.37"/>
    <n v="0.18"/>
    <x v="2"/>
    <x v="1703"/>
  </r>
  <r>
    <s v="SALE1704"/>
    <d v="2025-02-14T00:00:00"/>
    <s v="CUST1007"/>
    <s v="Daniel Boyd"/>
    <s v="PROD67"/>
    <x v="1"/>
    <s v="STORE12"/>
    <n v="1"/>
    <n v="846.3"/>
    <n v="0.14000000000000001"/>
    <x v="1"/>
    <x v="1704"/>
  </r>
  <r>
    <s v="SALE1705"/>
    <d v="2024-11-28T00:00:00"/>
    <s v="CUST1432"/>
    <s v="Summer Weiss"/>
    <s v="PROD16"/>
    <x v="2"/>
    <s v="STORE19"/>
    <n v="1"/>
    <n v="458.97"/>
    <n v="0.1"/>
    <x v="1"/>
    <x v="1705"/>
  </r>
  <r>
    <s v="SALE1706"/>
    <d v="2025-03-20T00:00:00"/>
    <s v="CUST1289"/>
    <s v="Jennifer Figueroa"/>
    <s v="PROD43"/>
    <x v="1"/>
    <s v="STORE7"/>
    <n v="2"/>
    <n v="536.61"/>
    <n v="0.14000000000000001"/>
    <x v="0"/>
    <x v="1706"/>
  </r>
  <r>
    <s v="SALE1707"/>
    <d v="2025-02-21T00:00:00"/>
    <s v="CUST1420"/>
    <s v="Dr. Tamara White Md"/>
    <s v="PROD21"/>
    <x v="3"/>
    <s v="STORE0"/>
    <n v="3"/>
    <n v="130.41"/>
    <n v="0.14000000000000001"/>
    <x v="1"/>
    <x v="1707"/>
  </r>
  <r>
    <s v="SALE1708"/>
    <d v="2025-03-22T00:00:00"/>
    <s v="CUST1496"/>
    <s v="Christopher Ford"/>
    <s v="PROD51"/>
    <x v="1"/>
    <s v="STORE12"/>
    <n v="4"/>
    <n v="706.67"/>
    <n v="0.01"/>
    <x v="0"/>
    <x v="1708"/>
  </r>
  <r>
    <s v="SALE1709"/>
    <d v="2025-01-28T00:00:00"/>
    <s v="CUST1392"/>
    <s v="Jacqueline Payne"/>
    <s v="PROD52"/>
    <x v="0"/>
    <s v="STORE3"/>
    <n v="3"/>
    <n v="523.45000000000005"/>
    <n v="0.17"/>
    <x v="0"/>
    <x v="1709"/>
  </r>
  <r>
    <s v="SALE1710"/>
    <d v="2025-02-13T00:00:00"/>
    <s v="CUST1009"/>
    <s v="Ms. Maria Leach"/>
    <s v="PROD78"/>
    <x v="3"/>
    <s v="STORE18"/>
    <n v="3"/>
    <n v="482.2"/>
    <n v="0.23"/>
    <x v="2"/>
    <x v="1710"/>
  </r>
  <r>
    <s v="SALE1711"/>
    <d v="2025-03-29T00:00:00"/>
    <s v="CUST1124"/>
    <s v="Donald Lee"/>
    <s v="PROD22"/>
    <x v="0"/>
    <s v="STORE5"/>
    <n v="4"/>
    <n v="688.86"/>
    <n v="0.02"/>
    <x v="2"/>
    <x v="1711"/>
  </r>
  <r>
    <s v="SALE1712"/>
    <d v="2023-10-15T00:00:00"/>
    <s v="CUST1023"/>
    <s v="Jonathan Steele"/>
    <s v="PROD68"/>
    <x v="3"/>
    <s v="STORE0"/>
    <n v="1"/>
    <n v="145.47999999999999"/>
    <n v="0.1"/>
    <x v="2"/>
    <x v="1712"/>
  </r>
  <r>
    <s v="SALE1713"/>
    <d v="2024-09-12T00:00:00"/>
    <s v="CUST1052"/>
    <s v="Debra Liu"/>
    <s v="PROD51"/>
    <x v="1"/>
    <s v="STORE11"/>
    <n v="4"/>
    <n v="862.25"/>
    <n v="0.28000000000000003"/>
    <x v="1"/>
    <x v="1713"/>
  </r>
  <r>
    <s v="SALE1714"/>
    <d v="2024-01-05T00:00:00"/>
    <s v="CUST1292"/>
    <s v="Ricardo Jones"/>
    <s v="PROD99"/>
    <x v="3"/>
    <s v="STORE14"/>
    <n v="4"/>
    <n v="146.12"/>
    <n v="0.12"/>
    <x v="2"/>
    <x v="1714"/>
  </r>
  <r>
    <s v="SALE1715"/>
    <d v="2024-09-14T00:00:00"/>
    <s v="CUST1478"/>
    <s v="Earl Smith Dds"/>
    <s v="PROD39"/>
    <x v="1"/>
    <s v="STORE18"/>
    <n v="2"/>
    <n v="695.02"/>
    <n v="0.3"/>
    <x v="2"/>
    <x v="1715"/>
  </r>
  <r>
    <s v="SALE1716"/>
    <d v="2023-11-01T00:00:00"/>
    <s v="CUST1219"/>
    <s v="Jordan Wells"/>
    <s v="PROD37"/>
    <x v="4"/>
    <s v="STORE10"/>
    <n v="2"/>
    <n v="886.67"/>
    <n v="0.24"/>
    <x v="1"/>
    <x v="1716"/>
  </r>
  <r>
    <s v="SALE1717"/>
    <d v="2024-12-02T00:00:00"/>
    <s v="CUST1054"/>
    <s v="Katherine Dorsey"/>
    <s v="PROD88"/>
    <x v="0"/>
    <s v="STORE18"/>
    <n v="2"/>
    <n v="864.09"/>
    <n v="0.06"/>
    <x v="2"/>
    <x v="1717"/>
  </r>
  <r>
    <s v="SALE1718"/>
    <d v="2025-07-24T00:00:00"/>
    <s v="CUST1003"/>
    <s v="Jeremy Harris"/>
    <s v="PROD0"/>
    <x v="1"/>
    <s v="STORE9"/>
    <n v="1"/>
    <n v="437.65"/>
    <n v="0.02"/>
    <x v="1"/>
    <x v="1718"/>
  </r>
  <r>
    <s v="SALE1719"/>
    <d v="2025-07-05T00:00:00"/>
    <s v="CUST1202"/>
    <s v="Christina Garcia"/>
    <s v="PROD78"/>
    <x v="3"/>
    <s v="STORE13"/>
    <n v="2"/>
    <n v="208.09"/>
    <n v="0.27"/>
    <x v="0"/>
    <x v="1719"/>
  </r>
  <r>
    <s v="SALE1720"/>
    <d v="2024-07-09T00:00:00"/>
    <s v="CUST1054"/>
    <s v="Katherine Dorsey"/>
    <s v="PROD88"/>
    <x v="0"/>
    <s v="STORE17"/>
    <n v="4"/>
    <n v="825.78"/>
    <n v="0.02"/>
    <x v="0"/>
    <x v="1720"/>
  </r>
  <r>
    <s v="SALE1721"/>
    <d v="2024-01-22T00:00:00"/>
    <s v="CUST1116"/>
    <s v="Anthony Phillips"/>
    <s v="PROD15"/>
    <x v="1"/>
    <s v="STORE17"/>
    <n v="3"/>
    <n v="849.77"/>
    <n v="0.12"/>
    <x v="1"/>
    <x v="1721"/>
  </r>
  <r>
    <s v="SALE1722"/>
    <d v="2024-01-23T00:00:00"/>
    <s v="CUST1344"/>
    <s v="Evelyn Brown"/>
    <s v="PROD89"/>
    <x v="2"/>
    <s v="STORE4"/>
    <n v="1"/>
    <n v="88.78"/>
    <n v="0.18"/>
    <x v="0"/>
    <x v="1722"/>
  </r>
  <r>
    <s v="SALE1723"/>
    <d v="2024-08-22T00:00:00"/>
    <s v="CUST1191"/>
    <s v="Todd Poole"/>
    <s v="PROD17"/>
    <x v="0"/>
    <s v="STORE4"/>
    <n v="4"/>
    <n v="507.22"/>
    <n v="0.14000000000000001"/>
    <x v="1"/>
    <x v="1723"/>
  </r>
  <r>
    <s v="SALE1724"/>
    <d v="2025-08-18T00:00:00"/>
    <s v="CUST1316"/>
    <s v="Robert House"/>
    <s v="PROD25"/>
    <x v="4"/>
    <s v="STORE0"/>
    <n v="3"/>
    <n v="330.98"/>
    <n v="0.11"/>
    <x v="0"/>
    <x v="1724"/>
  </r>
  <r>
    <s v="SALE1725"/>
    <d v="2024-09-27T00:00:00"/>
    <s v="CUST1051"/>
    <s v="Sarah Rodgers"/>
    <s v="PROD21"/>
    <x v="3"/>
    <s v="STORE19"/>
    <n v="4"/>
    <n v="442.87"/>
    <n v="0.08"/>
    <x v="0"/>
    <x v="1725"/>
  </r>
  <r>
    <s v="SALE1726"/>
    <d v="2025-08-11T00:00:00"/>
    <s v="CUST1009"/>
    <s v="Ms. Maria Leach"/>
    <s v="PROD78"/>
    <x v="3"/>
    <s v="STORE2"/>
    <n v="2"/>
    <n v="939.66"/>
    <n v="0.14000000000000001"/>
    <x v="1"/>
    <x v="1726"/>
  </r>
  <r>
    <s v="SALE1727"/>
    <d v="2024-09-21T00:00:00"/>
    <s v="CUST1293"/>
    <s v="Gloria Taylor"/>
    <s v="PROD20"/>
    <x v="0"/>
    <s v="STORE3"/>
    <n v="1"/>
    <n v="24.13"/>
    <n v="0"/>
    <x v="0"/>
    <x v="1727"/>
  </r>
  <r>
    <s v="SALE1728"/>
    <d v="2024-03-04T00:00:00"/>
    <s v="CUST1364"/>
    <s v="Chloe Aguilar"/>
    <s v="PROD65"/>
    <x v="0"/>
    <s v="STORE3"/>
    <n v="3"/>
    <n v="239.54"/>
    <n v="0.28999999999999998"/>
    <x v="2"/>
    <x v="1728"/>
  </r>
  <r>
    <s v="SALE1729"/>
    <d v="2023-11-14T00:00:00"/>
    <s v="CUST1482"/>
    <s v="Sheri Joyce"/>
    <s v="PROD68"/>
    <x v="3"/>
    <s v="STORE14"/>
    <n v="1"/>
    <n v="588.53"/>
    <n v="0.1"/>
    <x v="0"/>
    <x v="1729"/>
  </r>
  <r>
    <s v="SALE1730"/>
    <d v="2025-07-25T00:00:00"/>
    <s v="CUST1288"/>
    <s v="Misty Ferguson"/>
    <s v="PROD3"/>
    <x v="4"/>
    <s v="STORE15"/>
    <n v="1"/>
    <n v="145.96"/>
    <n v="0.3"/>
    <x v="0"/>
    <x v="1730"/>
  </r>
  <r>
    <s v="SALE1731"/>
    <d v="2024-10-08T00:00:00"/>
    <s v="CUST1101"/>
    <s v="Colleen Maynard"/>
    <s v="PROD89"/>
    <x v="2"/>
    <s v="STORE4"/>
    <n v="4"/>
    <n v="640.91"/>
    <n v="0.06"/>
    <x v="0"/>
    <x v="1731"/>
  </r>
  <r>
    <s v="SALE1732"/>
    <d v="2025-05-15T00:00:00"/>
    <s v="CUST1042"/>
    <s v="William Martin"/>
    <s v="PROD51"/>
    <x v="1"/>
    <s v="STORE11"/>
    <n v="3"/>
    <n v="773.86"/>
    <n v="0.22"/>
    <x v="0"/>
    <x v="1732"/>
  </r>
  <r>
    <s v="SALE1733"/>
    <d v="2025-03-28T00:00:00"/>
    <s v="CUST1463"/>
    <s v="Samantha Lee"/>
    <s v="PROD8"/>
    <x v="1"/>
    <s v="STORE15"/>
    <n v="2"/>
    <n v="31.28"/>
    <n v="0.2"/>
    <x v="2"/>
    <x v="1733"/>
  </r>
  <r>
    <s v="SALE1734"/>
    <d v="2025-07-04T00:00:00"/>
    <s v="CUST1373"/>
    <s v="James Orozco"/>
    <s v="PROD72"/>
    <x v="0"/>
    <s v="STORE6"/>
    <n v="4"/>
    <n v="389.22"/>
    <n v="0.18"/>
    <x v="0"/>
    <x v="1734"/>
  </r>
  <r>
    <s v="SALE1735"/>
    <d v="2024-07-29T00:00:00"/>
    <s v="CUST1015"/>
    <s v="Laura Alvarez"/>
    <s v="PROD18"/>
    <x v="4"/>
    <s v="STORE15"/>
    <n v="3"/>
    <n v="543.44000000000005"/>
    <n v="0.13"/>
    <x v="1"/>
    <x v="1735"/>
  </r>
  <r>
    <s v="SALE1736"/>
    <d v="2024-01-05T00:00:00"/>
    <s v="CUST1257"/>
    <s v="Christopher David"/>
    <s v="PROD85"/>
    <x v="4"/>
    <s v="STORE19"/>
    <n v="4"/>
    <n v="715.42"/>
    <n v="0.28999999999999998"/>
    <x v="1"/>
    <x v="1736"/>
  </r>
  <r>
    <s v="SALE1737"/>
    <d v="2025-08-17T00:00:00"/>
    <s v="CUST1051"/>
    <s v="Sarah Rodgers"/>
    <s v="PROD21"/>
    <x v="3"/>
    <s v="STORE4"/>
    <n v="4"/>
    <n v="676.14"/>
    <n v="0.11"/>
    <x v="2"/>
    <x v="1737"/>
  </r>
  <r>
    <s v="SALE1738"/>
    <d v="2024-05-13T00:00:00"/>
    <s v="CUST1089"/>
    <s v="Jamie Yoder"/>
    <s v="PROD57"/>
    <x v="0"/>
    <s v="STORE1"/>
    <n v="4"/>
    <n v="352.72"/>
    <n v="0.25"/>
    <x v="0"/>
    <x v="1738"/>
  </r>
  <r>
    <s v="SALE1739"/>
    <d v="2025-05-20T00:00:00"/>
    <s v="CUST1173"/>
    <s v="Teresa Stokes"/>
    <s v="PROD20"/>
    <x v="0"/>
    <s v="STORE12"/>
    <n v="1"/>
    <n v="470.18"/>
    <n v="0.19"/>
    <x v="1"/>
    <x v="1739"/>
  </r>
  <r>
    <s v="SALE1740"/>
    <d v="2025-08-29T00:00:00"/>
    <s v="CUST1230"/>
    <s v="Timothy Sanders"/>
    <s v="PROD68"/>
    <x v="3"/>
    <s v="STORE11"/>
    <n v="1"/>
    <n v="891.79"/>
    <n v="0.03"/>
    <x v="0"/>
    <x v="1740"/>
  </r>
  <r>
    <s v="SALE1741"/>
    <d v="2024-04-08T00:00:00"/>
    <s v="CUST1348"/>
    <s v="Sherry Cabrera"/>
    <s v="PROD24"/>
    <x v="0"/>
    <s v="STORE17"/>
    <n v="2"/>
    <n v="433.07"/>
    <n v="0.25"/>
    <x v="2"/>
    <x v="1741"/>
  </r>
  <r>
    <s v="SALE1742"/>
    <d v="2024-03-04T00:00:00"/>
    <s v="CUST1012"/>
    <s v="Kenneth Lambert"/>
    <s v="PROD27"/>
    <x v="3"/>
    <s v="STORE19"/>
    <n v="3"/>
    <n v="626.71"/>
    <n v="7.0000000000000007E-2"/>
    <x v="2"/>
    <x v="1742"/>
  </r>
  <r>
    <s v="SALE1743"/>
    <d v="2025-09-16T00:00:00"/>
    <s v="CUST1076"/>
    <s v="Nathan Campbell"/>
    <s v="PROD32"/>
    <x v="2"/>
    <s v="STORE0"/>
    <n v="2"/>
    <n v="324.18"/>
    <n v="0.06"/>
    <x v="2"/>
    <x v="1743"/>
  </r>
  <r>
    <s v="SALE1744"/>
    <d v="2024-06-05T00:00:00"/>
    <s v="CUST1013"/>
    <s v="Nathan Hernandez"/>
    <s v="PROD24"/>
    <x v="0"/>
    <s v="STORE17"/>
    <n v="4"/>
    <n v="839.74"/>
    <n v="0.13"/>
    <x v="1"/>
    <x v="1744"/>
  </r>
  <r>
    <s v="SALE1745"/>
    <d v="2024-04-20T00:00:00"/>
    <s v="CUST1156"/>
    <s v="Maria Sanchez"/>
    <s v="PROD49"/>
    <x v="2"/>
    <s v="STORE15"/>
    <n v="3"/>
    <n v="252.63"/>
    <n v="0.28000000000000003"/>
    <x v="0"/>
    <x v="1745"/>
  </r>
  <r>
    <s v="SALE1746"/>
    <d v="2024-10-16T00:00:00"/>
    <s v="CUST1255"/>
    <s v="Damon Perez"/>
    <s v="PROD72"/>
    <x v="0"/>
    <s v="STORE19"/>
    <n v="2"/>
    <n v="60.53"/>
    <n v="0.18"/>
    <x v="0"/>
    <x v="1746"/>
  </r>
  <r>
    <s v="SALE1747"/>
    <d v="2024-11-14T00:00:00"/>
    <s v="CUST1054"/>
    <s v="Katherine Dorsey"/>
    <s v="PROD88"/>
    <x v="0"/>
    <s v="STORE13"/>
    <n v="4"/>
    <n v="341.95"/>
    <n v="0.25"/>
    <x v="0"/>
    <x v="1747"/>
  </r>
  <r>
    <s v="SALE1748"/>
    <d v="2024-05-26T00:00:00"/>
    <s v="CUST1283"/>
    <s v="Bryan Garcia"/>
    <s v="PROD70"/>
    <x v="3"/>
    <s v="STORE16"/>
    <n v="4"/>
    <n v="300.12"/>
    <n v="0.05"/>
    <x v="1"/>
    <x v="1748"/>
  </r>
  <r>
    <s v="SALE1749"/>
    <d v="2025-02-17T00:00:00"/>
    <s v="CUST1115"/>
    <s v="Tyler Conrad"/>
    <s v="PROD21"/>
    <x v="3"/>
    <s v="STORE17"/>
    <n v="2"/>
    <n v="289.14"/>
    <n v="0.12"/>
    <x v="2"/>
    <x v="1749"/>
  </r>
  <r>
    <s v="SALE1750"/>
    <d v="2025-02-07T00:00:00"/>
    <s v="CUST1045"/>
    <s v="Jordan Jackson Dds"/>
    <s v="PROD33"/>
    <x v="3"/>
    <s v="STORE0"/>
    <n v="2"/>
    <n v="596.84"/>
    <n v="0.01"/>
    <x v="1"/>
    <x v="1750"/>
  </r>
  <r>
    <s v="SALE1751"/>
    <d v="2024-10-06T00:00:00"/>
    <s v="CUST1436"/>
    <s v="Sharon Simpson"/>
    <s v="PROD52"/>
    <x v="0"/>
    <s v="STORE8"/>
    <n v="4"/>
    <n v="466.24"/>
    <n v="0.16"/>
    <x v="0"/>
    <x v="1751"/>
  </r>
  <r>
    <s v="SALE1752"/>
    <d v="2024-09-09T00:00:00"/>
    <s v="CUST1252"/>
    <s v="John Mccoy"/>
    <s v="PROD13"/>
    <x v="1"/>
    <s v="STORE16"/>
    <n v="2"/>
    <n v="330.59"/>
    <n v="0.14000000000000001"/>
    <x v="0"/>
    <x v="1752"/>
  </r>
  <r>
    <s v="SALE1753"/>
    <d v="2024-12-28T00:00:00"/>
    <s v="CUST1493"/>
    <s v="Amanda Powell"/>
    <s v="PROD59"/>
    <x v="2"/>
    <s v="STORE6"/>
    <n v="2"/>
    <n v="616.42999999999995"/>
    <n v="0.02"/>
    <x v="2"/>
    <x v="1753"/>
  </r>
  <r>
    <s v="SALE1754"/>
    <d v="2024-10-24T00:00:00"/>
    <s v="CUST1403"/>
    <s v="Justin Ingram"/>
    <s v="PROD17"/>
    <x v="0"/>
    <s v="STORE6"/>
    <n v="3"/>
    <n v="195.89"/>
    <n v="0.16"/>
    <x v="1"/>
    <x v="1754"/>
  </r>
  <r>
    <s v="SALE1755"/>
    <d v="2024-07-14T00:00:00"/>
    <s v="CUST1343"/>
    <s v="Ryan Moore"/>
    <s v="PROD17"/>
    <x v="0"/>
    <s v="STORE10"/>
    <n v="4"/>
    <n v="614.76"/>
    <n v="0.16"/>
    <x v="0"/>
    <x v="1755"/>
  </r>
  <r>
    <s v="SALE1756"/>
    <d v="2024-05-06T00:00:00"/>
    <s v="CUST1404"/>
    <s v="David Ross"/>
    <s v="PROD23"/>
    <x v="4"/>
    <s v="STORE7"/>
    <n v="1"/>
    <n v="224.49"/>
    <n v="0.11"/>
    <x v="1"/>
    <x v="1756"/>
  </r>
  <r>
    <s v="SALE1757"/>
    <d v="2024-02-16T00:00:00"/>
    <s v="CUST1356"/>
    <s v="Steve Hunt"/>
    <s v="PROD88"/>
    <x v="0"/>
    <s v="STORE12"/>
    <n v="1"/>
    <n v="967.76"/>
    <n v="0.09"/>
    <x v="0"/>
    <x v="1757"/>
  </r>
  <r>
    <s v="SALE1758"/>
    <d v="2024-08-03T00:00:00"/>
    <s v="CUST1067"/>
    <s v="Amber Mcclain"/>
    <s v="PROD46"/>
    <x v="4"/>
    <s v="STORE19"/>
    <n v="2"/>
    <n v="56.52"/>
    <n v="0.17"/>
    <x v="1"/>
    <x v="1758"/>
  </r>
  <r>
    <s v="SALE1759"/>
    <d v="2023-12-15T00:00:00"/>
    <s v="CUST1490"/>
    <s v="Scott Harris"/>
    <s v="PROD47"/>
    <x v="2"/>
    <s v="STORE1"/>
    <n v="4"/>
    <n v="921.84"/>
    <n v="0.04"/>
    <x v="0"/>
    <x v="1759"/>
  </r>
  <r>
    <s v="SALE1760"/>
    <d v="2024-01-28T00:00:00"/>
    <s v="CUST1328"/>
    <s v="Mario Harvey Jr."/>
    <s v="PROD20"/>
    <x v="0"/>
    <s v="STORE16"/>
    <n v="3"/>
    <n v="738.47"/>
    <n v="0.28000000000000003"/>
    <x v="0"/>
    <x v="1760"/>
  </r>
  <r>
    <s v="SALE1761"/>
    <d v="2024-11-24T00:00:00"/>
    <s v="CUST1328"/>
    <s v="Mario Harvey Jr."/>
    <s v="PROD20"/>
    <x v="0"/>
    <s v="STORE0"/>
    <n v="4"/>
    <n v="477.83"/>
    <n v="0.05"/>
    <x v="2"/>
    <x v="1761"/>
  </r>
  <r>
    <s v="SALE1762"/>
    <d v="2025-06-23T00:00:00"/>
    <s v="CUST1168"/>
    <s v="Daniel Contreras"/>
    <s v="PROD72"/>
    <x v="0"/>
    <s v="STORE12"/>
    <n v="3"/>
    <n v="605.83000000000004"/>
    <n v="0.28000000000000003"/>
    <x v="2"/>
    <x v="1762"/>
  </r>
  <r>
    <s v="SALE1763"/>
    <d v="2024-03-22T00:00:00"/>
    <s v="CUST1067"/>
    <s v="Amber Mcclain"/>
    <s v="PROD46"/>
    <x v="4"/>
    <s v="STORE3"/>
    <n v="2"/>
    <n v="521.44000000000005"/>
    <n v="0.25"/>
    <x v="2"/>
    <x v="1763"/>
  </r>
  <r>
    <s v="SALE1764"/>
    <d v="2025-07-25T00:00:00"/>
    <s v="CUST1373"/>
    <s v="James Orozco"/>
    <s v="PROD72"/>
    <x v="0"/>
    <s v="STORE7"/>
    <n v="4"/>
    <n v="499.02"/>
    <n v="0.06"/>
    <x v="0"/>
    <x v="1764"/>
  </r>
  <r>
    <s v="SALE1765"/>
    <d v="2025-04-11T00:00:00"/>
    <s v="CUST1153"/>
    <s v="Joseph Faulkner"/>
    <s v="PROD72"/>
    <x v="0"/>
    <s v="STORE18"/>
    <n v="4"/>
    <n v="299.45999999999998"/>
    <n v="0.18"/>
    <x v="2"/>
    <x v="1765"/>
  </r>
  <r>
    <s v="SALE1766"/>
    <d v="2023-12-25T00:00:00"/>
    <s v="CUST1457"/>
    <s v="Christina Robertson"/>
    <s v="PROD43"/>
    <x v="1"/>
    <s v="STORE0"/>
    <n v="1"/>
    <n v="609.29"/>
    <n v="0.15"/>
    <x v="0"/>
    <x v="1766"/>
  </r>
  <r>
    <s v="SALE1767"/>
    <d v="2024-12-30T00:00:00"/>
    <s v="CUST1101"/>
    <s v="Colleen Maynard"/>
    <s v="PROD89"/>
    <x v="2"/>
    <s v="STORE8"/>
    <n v="1"/>
    <n v="213.74"/>
    <n v="7.0000000000000007E-2"/>
    <x v="2"/>
    <x v="1767"/>
  </r>
  <r>
    <s v="SALE1768"/>
    <d v="2025-03-02T00:00:00"/>
    <s v="CUST1153"/>
    <s v="Joseph Faulkner"/>
    <s v="PROD72"/>
    <x v="0"/>
    <s v="STORE16"/>
    <n v="4"/>
    <n v="613.16999999999996"/>
    <n v="0.26"/>
    <x v="0"/>
    <x v="1768"/>
  </r>
  <r>
    <s v="SALE1769"/>
    <d v="2024-01-02T00:00:00"/>
    <s v="CUST1357"/>
    <s v="Manuel Castillo"/>
    <s v="PROD17"/>
    <x v="0"/>
    <s v="STORE11"/>
    <n v="2"/>
    <n v="687.36"/>
    <n v="7.0000000000000007E-2"/>
    <x v="2"/>
    <x v="1769"/>
  </r>
  <r>
    <s v="SALE1770"/>
    <d v="2025-09-15T00:00:00"/>
    <s v="CUST1326"/>
    <s v="Robert King"/>
    <s v="PROD37"/>
    <x v="4"/>
    <s v="STORE13"/>
    <n v="3"/>
    <n v="115.39"/>
    <n v="0.02"/>
    <x v="1"/>
    <x v="1770"/>
  </r>
  <r>
    <s v="SALE1771"/>
    <d v="2024-03-08T00:00:00"/>
    <s v="CUST1179"/>
    <s v="Nicholas Bradshaw"/>
    <s v="PROD34"/>
    <x v="1"/>
    <s v="STORE12"/>
    <n v="2"/>
    <n v="722.06"/>
    <n v="7.0000000000000007E-2"/>
    <x v="0"/>
    <x v="1771"/>
  </r>
  <r>
    <s v="SALE1772"/>
    <d v="2024-12-26T00:00:00"/>
    <s v="CUST1425"/>
    <s v="Bryce Hawkins"/>
    <s v="PROD75"/>
    <x v="4"/>
    <s v="STORE15"/>
    <n v="1"/>
    <n v="384.57"/>
    <n v="0.06"/>
    <x v="1"/>
    <x v="1772"/>
  </r>
  <r>
    <s v="SALE1773"/>
    <d v="2025-03-19T00:00:00"/>
    <s v="CUST1210"/>
    <s v="Antonio Jones"/>
    <s v="PROD60"/>
    <x v="2"/>
    <s v="STORE13"/>
    <n v="2"/>
    <n v="194.09"/>
    <n v="0.18"/>
    <x v="1"/>
    <x v="1773"/>
  </r>
  <r>
    <s v="SALE1774"/>
    <d v="2024-10-14T00:00:00"/>
    <s v="CUST1172"/>
    <s v="Thomas Rhodes"/>
    <s v="PROD79"/>
    <x v="3"/>
    <s v="STORE3"/>
    <n v="2"/>
    <n v="403.91"/>
    <n v="7.0000000000000007E-2"/>
    <x v="0"/>
    <x v="1774"/>
  </r>
  <r>
    <s v="SALE1775"/>
    <d v="2025-03-05T00:00:00"/>
    <s v="CUST1076"/>
    <s v="Nathan Campbell"/>
    <s v="PROD32"/>
    <x v="2"/>
    <s v="STORE14"/>
    <n v="1"/>
    <n v="878.69"/>
    <n v="0.3"/>
    <x v="1"/>
    <x v="1775"/>
  </r>
  <r>
    <s v="SALE1776"/>
    <d v="2024-06-03T00:00:00"/>
    <s v="CUST1381"/>
    <s v="Erika Padilla"/>
    <s v="PROD5"/>
    <x v="4"/>
    <s v="STORE15"/>
    <n v="1"/>
    <n v="161.16999999999999"/>
    <n v="0.05"/>
    <x v="0"/>
    <x v="1776"/>
  </r>
  <r>
    <s v="SALE1777"/>
    <d v="2024-04-05T00:00:00"/>
    <s v="CUST1214"/>
    <s v="Eric Todd"/>
    <s v="PROD91"/>
    <x v="4"/>
    <s v="STORE14"/>
    <n v="2"/>
    <n v="720.15"/>
    <n v="0.22"/>
    <x v="2"/>
    <x v="1777"/>
  </r>
  <r>
    <s v="SALE1778"/>
    <d v="2023-10-23T00:00:00"/>
    <s v="CUST1347"/>
    <s v="Justin Mason Dds"/>
    <s v="PROD37"/>
    <x v="4"/>
    <s v="STORE8"/>
    <n v="1"/>
    <n v="361.8"/>
    <n v="0.02"/>
    <x v="2"/>
    <x v="1778"/>
  </r>
  <r>
    <s v="SALE1779"/>
    <d v="2024-04-20T00:00:00"/>
    <s v="CUST1230"/>
    <s v="Timothy Sanders"/>
    <s v="PROD68"/>
    <x v="3"/>
    <s v="STORE6"/>
    <n v="1"/>
    <n v="779.84"/>
    <n v="0.28999999999999998"/>
    <x v="1"/>
    <x v="1779"/>
  </r>
  <r>
    <s v="SALE1780"/>
    <d v="2024-06-12T00:00:00"/>
    <s v="CUST1004"/>
    <s v="Caroline Collins"/>
    <s v="PROD47"/>
    <x v="2"/>
    <s v="STORE4"/>
    <n v="2"/>
    <n v="649.89"/>
    <n v="0.17"/>
    <x v="2"/>
    <x v="1780"/>
  </r>
  <r>
    <s v="SALE1781"/>
    <d v="2025-08-08T00:00:00"/>
    <s v="CUST1204"/>
    <s v="Tiffany Herrera"/>
    <s v="PROD44"/>
    <x v="0"/>
    <s v="STORE6"/>
    <n v="1"/>
    <n v="952.73"/>
    <n v="0.17"/>
    <x v="0"/>
    <x v="1781"/>
  </r>
  <r>
    <s v="SALE1782"/>
    <d v="2025-08-06T00:00:00"/>
    <s v="CUST1084"/>
    <s v="Christy Hoffman"/>
    <s v="PROD25"/>
    <x v="4"/>
    <s v="STORE16"/>
    <n v="4"/>
    <n v="820.78"/>
    <n v="0.25"/>
    <x v="0"/>
    <x v="1782"/>
  </r>
  <r>
    <s v="SALE1783"/>
    <d v="2024-10-27T00:00:00"/>
    <s v="CUST1342"/>
    <s v="Michelle Cunningham"/>
    <s v="PROD61"/>
    <x v="0"/>
    <s v="STORE3"/>
    <n v="4"/>
    <n v="247.55"/>
    <n v="0.05"/>
    <x v="0"/>
    <x v="1783"/>
  </r>
  <r>
    <s v="SALE1784"/>
    <d v="2024-03-18T00:00:00"/>
    <s v="CUST1227"/>
    <s v="Gregory Pham"/>
    <s v="PROD93"/>
    <x v="1"/>
    <s v="STORE8"/>
    <n v="3"/>
    <n v="561.44000000000005"/>
    <n v="0.2"/>
    <x v="2"/>
    <x v="1784"/>
  </r>
  <r>
    <s v="SALE1785"/>
    <d v="2023-11-19T00:00:00"/>
    <s v="CUST1281"/>
    <s v="Brittany Watson"/>
    <s v="PROD55"/>
    <x v="3"/>
    <s v="STORE8"/>
    <n v="4"/>
    <n v="214.37"/>
    <n v="0.11"/>
    <x v="2"/>
    <x v="1785"/>
  </r>
  <r>
    <s v="SALE1786"/>
    <d v="2025-03-25T00:00:00"/>
    <s v="CUST1417"/>
    <s v="Karen King"/>
    <s v="PROD97"/>
    <x v="0"/>
    <s v="STORE16"/>
    <n v="3"/>
    <n v="123.74"/>
    <n v="0.23"/>
    <x v="1"/>
    <x v="1786"/>
  </r>
  <r>
    <s v="SALE1787"/>
    <d v="2024-05-15T00:00:00"/>
    <s v="CUST1013"/>
    <s v="Nathan Hernandez"/>
    <s v="PROD24"/>
    <x v="0"/>
    <s v="STORE11"/>
    <n v="4"/>
    <n v="645.71"/>
    <n v="0.1"/>
    <x v="1"/>
    <x v="1787"/>
  </r>
  <r>
    <s v="SALE1788"/>
    <d v="2025-03-20T00:00:00"/>
    <s v="CUST1033"/>
    <s v="Robert Jones Dds"/>
    <s v="PROD46"/>
    <x v="4"/>
    <s v="STORE12"/>
    <n v="3"/>
    <n v="587.12"/>
    <n v="0.3"/>
    <x v="0"/>
    <x v="1788"/>
  </r>
  <r>
    <s v="SALE1789"/>
    <d v="2025-10-11T00:00:00"/>
    <s v="CUST1241"/>
    <s v="Mr. William Horton"/>
    <s v="PROD15"/>
    <x v="1"/>
    <s v="STORE18"/>
    <n v="1"/>
    <n v="401.18"/>
    <n v="0.15"/>
    <x v="2"/>
    <x v="1789"/>
  </r>
  <r>
    <s v="SALE1790"/>
    <d v="2024-07-13T00:00:00"/>
    <s v="CUST1366"/>
    <s v="Mallory Allen"/>
    <s v="PROD73"/>
    <x v="0"/>
    <s v="STORE18"/>
    <n v="3"/>
    <n v="658.33"/>
    <n v="0.12"/>
    <x v="2"/>
    <x v="1790"/>
  </r>
  <r>
    <s v="SALE1791"/>
    <d v="2024-07-01T00:00:00"/>
    <s v="CUST1201"/>
    <s v="Mary Boyd"/>
    <s v="PROD87"/>
    <x v="3"/>
    <s v="STORE11"/>
    <n v="4"/>
    <n v="450.3"/>
    <n v="0.02"/>
    <x v="0"/>
    <x v="1791"/>
  </r>
  <r>
    <s v="SALE1792"/>
    <d v="2025-04-10T00:00:00"/>
    <s v="CUST1145"/>
    <s v="Cameron Simpson"/>
    <s v="PROD69"/>
    <x v="4"/>
    <s v="STORE10"/>
    <n v="4"/>
    <n v="33.630000000000003"/>
    <n v="0.05"/>
    <x v="0"/>
    <x v="1792"/>
  </r>
  <r>
    <s v="SALE1793"/>
    <d v="2024-07-02T00:00:00"/>
    <s v="CUST1035"/>
    <s v="Rachel Myers"/>
    <s v="PROD97"/>
    <x v="0"/>
    <s v="STORE0"/>
    <n v="3"/>
    <n v="168.89"/>
    <n v="0.03"/>
    <x v="2"/>
    <x v="1793"/>
  </r>
  <r>
    <s v="SALE1794"/>
    <d v="2024-09-11T00:00:00"/>
    <s v="CUST1095"/>
    <s v="Amy Fowler"/>
    <s v="PROD40"/>
    <x v="1"/>
    <s v="STORE11"/>
    <n v="1"/>
    <n v="141.85"/>
    <n v="0.06"/>
    <x v="1"/>
    <x v="1794"/>
  </r>
  <r>
    <s v="SALE1795"/>
    <d v="2024-08-16T00:00:00"/>
    <s v="CUST1306"/>
    <s v="Angela Robinson"/>
    <s v="PROD5"/>
    <x v="4"/>
    <s v="STORE7"/>
    <n v="1"/>
    <n v="617.4"/>
    <n v="0.21"/>
    <x v="0"/>
    <x v="1795"/>
  </r>
  <r>
    <s v="SALE1796"/>
    <d v="2024-08-30T00:00:00"/>
    <s v="CUST1147"/>
    <s v="Rhonda Young"/>
    <s v="PROD52"/>
    <x v="0"/>
    <s v="STORE1"/>
    <n v="3"/>
    <n v="841.47"/>
    <n v="0.15"/>
    <x v="2"/>
    <x v="1796"/>
  </r>
  <r>
    <s v="SALE1797"/>
    <d v="2024-02-12T00:00:00"/>
    <s v="CUST1059"/>
    <s v="Alyssa Vargas"/>
    <s v="PROD94"/>
    <x v="2"/>
    <s v="STORE13"/>
    <n v="2"/>
    <n v="960.41"/>
    <n v="0.18"/>
    <x v="0"/>
    <x v="1797"/>
  </r>
  <r>
    <s v="SALE1798"/>
    <d v="2023-12-29T00:00:00"/>
    <s v="CUST1451"/>
    <s v="Ashley Roberts"/>
    <s v="PROD90"/>
    <x v="1"/>
    <s v="STORE18"/>
    <n v="3"/>
    <n v="717.22"/>
    <n v="0.24"/>
    <x v="1"/>
    <x v="1798"/>
  </r>
  <r>
    <s v="SALE1799"/>
    <d v="2025-06-24T00:00:00"/>
    <s v="CUST1115"/>
    <s v="Tyler Conrad"/>
    <s v="PROD21"/>
    <x v="3"/>
    <s v="STORE0"/>
    <n v="1"/>
    <n v="281.83"/>
    <n v="0.16"/>
    <x v="2"/>
    <x v="1799"/>
  </r>
  <r>
    <s v="SALE1800"/>
    <d v="2024-04-18T00:00:00"/>
    <s v="CUST1204"/>
    <s v="Tiffany Herrera"/>
    <s v="PROD44"/>
    <x v="0"/>
    <s v="STORE14"/>
    <n v="1"/>
    <n v="509.08"/>
    <n v="0.04"/>
    <x v="1"/>
    <x v="1800"/>
  </r>
  <r>
    <s v="SALE1801"/>
    <d v="2025-09-30T00:00:00"/>
    <s v="CUST1400"/>
    <s v="Mark Rogers"/>
    <s v="PROD39"/>
    <x v="1"/>
    <s v="STORE2"/>
    <n v="4"/>
    <n v="827.09"/>
    <n v="0.3"/>
    <x v="0"/>
    <x v="1801"/>
  </r>
  <r>
    <s v="SALE1802"/>
    <d v="2025-10-05T00:00:00"/>
    <s v="CUST1210"/>
    <s v="Antonio Jones"/>
    <s v="PROD60"/>
    <x v="2"/>
    <s v="STORE4"/>
    <n v="2"/>
    <n v="823.36"/>
    <n v="0.23"/>
    <x v="0"/>
    <x v="1802"/>
  </r>
  <r>
    <s v="SALE1803"/>
    <d v="2025-06-06T00:00:00"/>
    <s v="CUST1137"/>
    <s v="Rick Dominguez"/>
    <s v="PROD26"/>
    <x v="1"/>
    <s v="STORE5"/>
    <n v="4"/>
    <n v="282.18"/>
    <n v="0.13"/>
    <x v="2"/>
    <x v="1803"/>
  </r>
  <r>
    <s v="SALE1804"/>
    <d v="2024-02-01T00:00:00"/>
    <s v="CUST1172"/>
    <s v="Thomas Rhodes"/>
    <s v="PROD79"/>
    <x v="3"/>
    <s v="STORE1"/>
    <n v="1"/>
    <n v="486.39"/>
    <n v="0.09"/>
    <x v="2"/>
    <x v="1804"/>
  </r>
  <r>
    <s v="SALE1805"/>
    <d v="2024-01-21T00:00:00"/>
    <s v="CUST1044"/>
    <s v="Denise Williams"/>
    <s v="PROD1"/>
    <x v="4"/>
    <s v="STORE3"/>
    <n v="2"/>
    <n v="603.62"/>
    <n v="0.18"/>
    <x v="2"/>
    <x v="1805"/>
  </r>
  <r>
    <s v="SALE1806"/>
    <d v="2024-09-19T00:00:00"/>
    <s v="CUST1147"/>
    <s v="Rhonda Young"/>
    <s v="PROD52"/>
    <x v="0"/>
    <s v="STORE8"/>
    <n v="3"/>
    <n v="204.17"/>
    <n v="0.1"/>
    <x v="1"/>
    <x v="1806"/>
  </r>
  <r>
    <s v="SALE1807"/>
    <d v="2024-01-19T00:00:00"/>
    <s v="CUST1137"/>
    <s v="Rick Dominguez"/>
    <s v="PROD26"/>
    <x v="1"/>
    <s v="STORE15"/>
    <n v="1"/>
    <n v="43.58"/>
    <n v="0.01"/>
    <x v="2"/>
    <x v="1807"/>
  </r>
  <r>
    <s v="SALE1808"/>
    <d v="2024-10-29T00:00:00"/>
    <s v="CUST1332"/>
    <s v="Dr. Lindsay Hanna"/>
    <s v="PROD32"/>
    <x v="2"/>
    <s v="STORE2"/>
    <n v="3"/>
    <n v="469.33"/>
    <n v="0.14000000000000001"/>
    <x v="1"/>
    <x v="1808"/>
  </r>
  <r>
    <s v="SALE1809"/>
    <d v="2025-07-02T00:00:00"/>
    <s v="CUST1209"/>
    <s v="Joan Johnson"/>
    <s v="PROD42"/>
    <x v="1"/>
    <s v="STORE8"/>
    <n v="4"/>
    <n v="836.23"/>
    <n v="0.12"/>
    <x v="0"/>
    <x v="1809"/>
  </r>
  <r>
    <s v="SALE1810"/>
    <d v="2024-09-14T00:00:00"/>
    <s v="CUST1178"/>
    <s v="Michelle Myers"/>
    <s v="PROD97"/>
    <x v="0"/>
    <s v="STORE19"/>
    <n v="2"/>
    <n v="661.53"/>
    <n v="0.2"/>
    <x v="1"/>
    <x v="1810"/>
  </r>
  <r>
    <s v="SALE1811"/>
    <d v="2025-09-03T00:00:00"/>
    <s v="CUST1118"/>
    <s v="Earl Allen"/>
    <s v="PROD83"/>
    <x v="2"/>
    <s v="STORE16"/>
    <n v="3"/>
    <n v="753.47"/>
    <n v="0.25"/>
    <x v="1"/>
    <x v="1811"/>
  </r>
  <r>
    <s v="SALE1812"/>
    <d v="2025-01-16T00:00:00"/>
    <s v="CUST1156"/>
    <s v="Maria Sanchez"/>
    <s v="PROD49"/>
    <x v="2"/>
    <s v="STORE0"/>
    <n v="3"/>
    <n v="713.95"/>
    <n v="0"/>
    <x v="0"/>
    <x v="1812"/>
  </r>
  <r>
    <s v="SALE1813"/>
    <d v="2024-04-13T00:00:00"/>
    <s v="CUST1099"/>
    <s v="Sheila Wilson"/>
    <s v="PROD26"/>
    <x v="1"/>
    <s v="STORE5"/>
    <n v="3"/>
    <n v="596"/>
    <n v="0.28000000000000003"/>
    <x v="2"/>
    <x v="1813"/>
  </r>
  <r>
    <s v="SALE1814"/>
    <d v="2024-03-28T00:00:00"/>
    <s v="CUST1334"/>
    <s v="Mr. Christopher Sims"/>
    <s v="PROD71"/>
    <x v="2"/>
    <s v="STORE9"/>
    <n v="2"/>
    <n v="169.46"/>
    <n v="0.03"/>
    <x v="1"/>
    <x v="1814"/>
  </r>
  <r>
    <s v="SALE1815"/>
    <d v="2025-07-22T00:00:00"/>
    <s v="CUST1300"/>
    <s v="Matthew Avery"/>
    <s v="PROD36"/>
    <x v="4"/>
    <s v="STORE14"/>
    <n v="4"/>
    <n v="611.91999999999996"/>
    <n v="0.2"/>
    <x v="1"/>
    <x v="1815"/>
  </r>
  <r>
    <s v="SALE1816"/>
    <d v="2025-02-16T00:00:00"/>
    <s v="CUST1003"/>
    <s v="Jeremy Harris"/>
    <s v="PROD0"/>
    <x v="1"/>
    <s v="STORE15"/>
    <n v="2"/>
    <n v="25.3"/>
    <n v="0.21"/>
    <x v="0"/>
    <x v="1816"/>
  </r>
  <r>
    <s v="SALE1817"/>
    <d v="2024-02-05T00:00:00"/>
    <s v="CUST1433"/>
    <s v="Thomas Moore"/>
    <s v="PROD64"/>
    <x v="2"/>
    <s v="STORE10"/>
    <n v="4"/>
    <n v="166.93"/>
    <n v="0.02"/>
    <x v="1"/>
    <x v="1817"/>
  </r>
  <r>
    <s v="SALE1818"/>
    <d v="2025-03-05T00:00:00"/>
    <s v="CUST1280"/>
    <s v="Antonio Leon"/>
    <s v="PROD91"/>
    <x v="4"/>
    <s v="STORE11"/>
    <n v="4"/>
    <n v="861.55"/>
    <n v="0.12"/>
    <x v="0"/>
    <x v="1818"/>
  </r>
  <r>
    <s v="SALE1819"/>
    <d v="2025-07-04T00:00:00"/>
    <s v="CUST1360"/>
    <s v="Denise Tate"/>
    <s v="PROD73"/>
    <x v="0"/>
    <s v="STORE5"/>
    <n v="3"/>
    <n v="56.17"/>
    <n v="0.01"/>
    <x v="2"/>
    <x v="1819"/>
  </r>
  <r>
    <s v="SALE1820"/>
    <d v="2025-07-24T00:00:00"/>
    <s v="CUST1266"/>
    <s v="Cynthia Payne"/>
    <s v="PROD15"/>
    <x v="1"/>
    <s v="STORE19"/>
    <n v="1"/>
    <n v="582.29"/>
    <n v="0.2"/>
    <x v="0"/>
    <x v="1820"/>
  </r>
  <r>
    <s v="SALE1821"/>
    <d v="2025-01-24T00:00:00"/>
    <s v="CUST1261"/>
    <s v="Carol Bishop"/>
    <s v="PROD42"/>
    <x v="1"/>
    <s v="STORE0"/>
    <n v="3"/>
    <n v="63.96"/>
    <n v="0.02"/>
    <x v="0"/>
    <x v="1821"/>
  </r>
  <r>
    <s v="SALE1822"/>
    <d v="2024-04-10T00:00:00"/>
    <s v="CUST1065"/>
    <s v="Michael Thomas"/>
    <s v="PROD24"/>
    <x v="0"/>
    <s v="STORE12"/>
    <n v="1"/>
    <n v="829.83"/>
    <n v="0.26"/>
    <x v="2"/>
    <x v="1822"/>
  </r>
  <r>
    <s v="SALE1823"/>
    <d v="2024-10-21T00:00:00"/>
    <s v="CUST1370"/>
    <s v="James Holloway Jr."/>
    <s v="PROD37"/>
    <x v="4"/>
    <s v="STORE16"/>
    <n v="2"/>
    <n v="858.15"/>
    <n v="0.03"/>
    <x v="0"/>
    <x v="1823"/>
  </r>
  <r>
    <s v="SALE1824"/>
    <d v="2024-02-18T00:00:00"/>
    <s v="CUST1359"/>
    <s v="Melanie Lam"/>
    <s v="PROD59"/>
    <x v="2"/>
    <s v="STORE13"/>
    <n v="3"/>
    <n v="717.32"/>
    <n v="0.23"/>
    <x v="2"/>
    <x v="1824"/>
  </r>
  <r>
    <s v="SALE1825"/>
    <d v="2025-07-15T00:00:00"/>
    <s v="CUST1428"/>
    <s v="Samuel Mullins"/>
    <s v="PROD63"/>
    <x v="2"/>
    <s v="STORE12"/>
    <n v="1"/>
    <n v="163.19999999999999"/>
    <n v="0.22"/>
    <x v="1"/>
    <x v="1825"/>
  </r>
  <r>
    <s v="SALE1826"/>
    <d v="2024-07-16T00:00:00"/>
    <s v="CUST1126"/>
    <s v="James Wolfe"/>
    <s v="PROD89"/>
    <x v="2"/>
    <s v="STORE12"/>
    <n v="2"/>
    <n v="966.71"/>
    <n v="0.11"/>
    <x v="0"/>
    <x v="1826"/>
  </r>
  <r>
    <s v="SALE1827"/>
    <d v="2025-04-14T00:00:00"/>
    <s v="CUST1348"/>
    <s v="Sherry Cabrera"/>
    <s v="PROD24"/>
    <x v="0"/>
    <s v="STORE13"/>
    <n v="2"/>
    <n v="873.94"/>
    <n v="0.14000000000000001"/>
    <x v="2"/>
    <x v="1827"/>
  </r>
  <r>
    <s v="SALE1828"/>
    <d v="2024-03-28T00:00:00"/>
    <s v="CUST1149"/>
    <s v="Denise Griffin"/>
    <s v="PROD90"/>
    <x v="1"/>
    <s v="STORE3"/>
    <n v="1"/>
    <n v="140.24"/>
    <n v="0.27"/>
    <x v="0"/>
    <x v="1828"/>
  </r>
  <r>
    <s v="SALE1829"/>
    <d v="2025-02-28T00:00:00"/>
    <s v="CUST1201"/>
    <s v="Mary Boyd"/>
    <s v="PROD87"/>
    <x v="3"/>
    <s v="STORE5"/>
    <n v="2"/>
    <n v="549.91999999999996"/>
    <n v="0.28000000000000003"/>
    <x v="0"/>
    <x v="1829"/>
  </r>
  <r>
    <s v="SALE1830"/>
    <d v="2024-03-13T00:00:00"/>
    <s v="CUST1111"/>
    <s v="Julie Farmer"/>
    <s v="PROD17"/>
    <x v="0"/>
    <s v="STORE5"/>
    <n v="4"/>
    <n v="715.88"/>
    <n v="0.19"/>
    <x v="1"/>
    <x v="1830"/>
  </r>
  <r>
    <s v="SALE1831"/>
    <d v="2025-04-05T00:00:00"/>
    <s v="CUST1371"/>
    <s v="Michael Garner"/>
    <s v="PROD67"/>
    <x v="1"/>
    <s v="STORE8"/>
    <n v="3"/>
    <n v="591.9"/>
    <n v="0.27"/>
    <x v="0"/>
    <x v="1831"/>
  </r>
  <r>
    <s v="SALE1832"/>
    <d v="2025-08-14T00:00:00"/>
    <s v="CUST1375"/>
    <s v="Joshua Bell"/>
    <s v="PROD28"/>
    <x v="0"/>
    <s v="STORE10"/>
    <n v="2"/>
    <n v="523.14"/>
    <n v="0.13"/>
    <x v="1"/>
    <x v="1832"/>
  </r>
  <r>
    <s v="SALE1833"/>
    <d v="2024-07-04T00:00:00"/>
    <s v="CUST1226"/>
    <s v="Alexis Castaneda"/>
    <s v="PROD49"/>
    <x v="2"/>
    <s v="STORE14"/>
    <n v="2"/>
    <n v="478.62"/>
    <n v="0.17"/>
    <x v="2"/>
    <x v="1833"/>
  </r>
  <r>
    <s v="SALE1834"/>
    <d v="2024-09-21T00:00:00"/>
    <s v="CUST1299"/>
    <s v="Stephanie Jacobs"/>
    <s v="PROD23"/>
    <x v="4"/>
    <s v="STORE1"/>
    <n v="4"/>
    <n v="740.5"/>
    <n v="0.17"/>
    <x v="1"/>
    <x v="1834"/>
  </r>
  <r>
    <s v="SALE1835"/>
    <d v="2024-06-22T00:00:00"/>
    <s v="CUST1112"/>
    <s v="David Cole"/>
    <s v="PROD40"/>
    <x v="1"/>
    <s v="STORE2"/>
    <n v="1"/>
    <n v="780.24"/>
    <n v="0.04"/>
    <x v="2"/>
    <x v="1835"/>
  </r>
  <r>
    <s v="SALE1836"/>
    <d v="2024-09-17T00:00:00"/>
    <s v="CUST1107"/>
    <s v="Erica Carney"/>
    <s v="PROD75"/>
    <x v="4"/>
    <s v="STORE16"/>
    <n v="4"/>
    <n v="579.24"/>
    <n v="0.04"/>
    <x v="2"/>
    <x v="1836"/>
  </r>
  <r>
    <s v="SALE1837"/>
    <d v="2024-12-09T00:00:00"/>
    <s v="CUST1371"/>
    <s v="Michael Garner"/>
    <s v="PROD67"/>
    <x v="1"/>
    <s v="STORE2"/>
    <n v="3"/>
    <n v="268.95"/>
    <n v="0.04"/>
    <x v="1"/>
    <x v="1837"/>
  </r>
  <r>
    <s v="SALE1838"/>
    <d v="2025-03-24T00:00:00"/>
    <s v="CUST1305"/>
    <s v="Roberta Green"/>
    <s v="PROD28"/>
    <x v="0"/>
    <s v="STORE4"/>
    <n v="1"/>
    <n v="47.47"/>
    <n v="0.28000000000000003"/>
    <x v="0"/>
    <x v="1838"/>
  </r>
  <r>
    <s v="SALE1839"/>
    <d v="2025-05-19T00:00:00"/>
    <s v="CUST1257"/>
    <s v="Christopher David"/>
    <s v="PROD85"/>
    <x v="4"/>
    <s v="STORE17"/>
    <n v="3"/>
    <n v="858.81"/>
    <n v="7.0000000000000007E-2"/>
    <x v="0"/>
    <x v="1839"/>
  </r>
  <r>
    <s v="SALE1840"/>
    <d v="2025-02-22T00:00:00"/>
    <s v="CUST1310"/>
    <s v="Kara Dodson"/>
    <s v="PROD17"/>
    <x v="0"/>
    <s v="STORE10"/>
    <n v="3"/>
    <n v="569.98"/>
    <n v="0.05"/>
    <x v="0"/>
    <x v="1840"/>
  </r>
  <r>
    <s v="SALE1841"/>
    <d v="2024-10-31T00:00:00"/>
    <s v="CUST1327"/>
    <s v="Reginald Willis"/>
    <s v="PROD1"/>
    <x v="4"/>
    <s v="STORE12"/>
    <n v="3"/>
    <n v="306.52"/>
    <n v="0.01"/>
    <x v="2"/>
    <x v="1841"/>
  </r>
  <r>
    <s v="SALE1842"/>
    <d v="2024-03-03T00:00:00"/>
    <s v="CUST1064"/>
    <s v="Mr. Mason Butler"/>
    <s v="PROD47"/>
    <x v="2"/>
    <s v="STORE13"/>
    <n v="3"/>
    <n v="184.67"/>
    <n v="0.03"/>
    <x v="2"/>
    <x v="1842"/>
  </r>
  <r>
    <s v="SALE1843"/>
    <d v="2024-05-16T00:00:00"/>
    <s v="CUST1482"/>
    <s v="Sheri Joyce"/>
    <s v="PROD68"/>
    <x v="3"/>
    <s v="STORE5"/>
    <n v="4"/>
    <n v="189.56"/>
    <n v="0"/>
    <x v="2"/>
    <x v="1843"/>
  </r>
  <r>
    <s v="SALE1844"/>
    <d v="2024-08-07T00:00:00"/>
    <s v="CUST1208"/>
    <s v="John Perez"/>
    <s v="PROD34"/>
    <x v="1"/>
    <s v="STORE5"/>
    <n v="1"/>
    <n v="805.24"/>
    <n v="0.04"/>
    <x v="1"/>
    <x v="1844"/>
  </r>
  <r>
    <s v="SALE1845"/>
    <d v="2024-09-14T00:00:00"/>
    <s v="CUST1188"/>
    <s v="Kimberly Brooks"/>
    <s v="PROD30"/>
    <x v="3"/>
    <s v="STORE17"/>
    <n v="3"/>
    <n v="683.74"/>
    <n v="0.24"/>
    <x v="0"/>
    <x v="1845"/>
  </r>
  <r>
    <s v="SALE1846"/>
    <d v="2024-10-08T00:00:00"/>
    <s v="CUST1210"/>
    <s v="Antonio Jones"/>
    <s v="PROD60"/>
    <x v="2"/>
    <s v="STORE18"/>
    <n v="3"/>
    <n v="439.21"/>
    <n v="0.28000000000000003"/>
    <x v="2"/>
    <x v="1846"/>
  </r>
  <r>
    <s v="SALE1847"/>
    <d v="2025-09-04T00:00:00"/>
    <s v="CUST1119"/>
    <s v="Michael Jones"/>
    <s v="PROD90"/>
    <x v="1"/>
    <s v="STORE6"/>
    <n v="1"/>
    <n v="126.92"/>
    <n v="0.24"/>
    <x v="2"/>
    <x v="1847"/>
  </r>
  <r>
    <s v="SALE1848"/>
    <d v="2024-07-16T00:00:00"/>
    <s v="CUST1004"/>
    <s v="Caroline Collins"/>
    <s v="PROD47"/>
    <x v="2"/>
    <s v="STORE4"/>
    <n v="4"/>
    <n v="834.7"/>
    <n v="0.14000000000000001"/>
    <x v="0"/>
    <x v="1848"/>
  </r>
  <r>
    <s v="SALE1849"/>
    <d v="2025-09-09T00:00:00"/>
    <s v="CUST1341"/>
    <s v="Angela Williams"/>
    <s v="PROD41"/>
    <x v="0"/>
    <s v="STORE11"/>
    <n v="2"/>
    <n v="271.88"/>
    <n v="0.11"/>
    <x v="2"/>
    <x v="1849"/>
  </r>
  <r>
    <s v="SALE1850"/>
    <d v="2025-03-04T00:00:00"/>
    <s v="CUST1480"/>
    <s v="Jordan Medina"/>
    <s v="PROD65"/>
    <x v="0"/>
    <s v="STORE1"/>
    <n v="4"/>
    <n v="972.14"/>
    <n v="0.25"/>
    <x v="0"/>
    <x v="1850"/>
  </r>
  <r>
    <s v="SALE1851"/>
    <d v="2025-06-23T00:00:00"/>
    <s v="CUST1093"/>
    <s v="Christy Vasquez"/>
    <s v="PROD5"/>
    <x v="4"/>
    <s v="STORE4"/>
    <n v="3"/>
    <n v="523.66"/>
    <n v="0.27"/>
    <x v="1"/>
    <x v="1851"/>
  </r>
  <r>
    <s v="SALE1852"/>
    <d v="2024-11-06T00:00:00"/>
    <s v="CUST1148"/>
    <s v="Theresa Campbell"/>
    <s v="PROD13"/>
    <x v="1"/>
    <s v="STORE2"/>
    <n v="4"/>
    <n v="838.99"/>
    <n v="0.16"/>
    <x v="0"/>
    <x v="1852"/>
  </r>
  <r>
    <s v="SALE1853"/>
    <d v="2025-03-06T00:00:00"/>
    <s v="CUST1135"/>
    <s v="Matthew Hanna"/>
    <s v="PROD44"/>
    <x v="0"/>
    <s v="STORE17"/>
    <n v="4"/>
    <n v="838.7"/>
    <n v="0.21"/>
    <x v="2"/>
    <x v="1853"/>
  </r>
  <r>
    <s v="SALE1854"/>
    <d v="2025-05-17T00:00:00"/>
    <s v="CUST1420"/>
    <s v="Dr. Tamara White Md"/>
    <s v="PROD21"/>
    <x v="3"/>
    <s v="STORE8"/>
    <n v="3"/>
    <n v="943.24"/>
    <n v="0.21"/>
    <x v="0"/>
    <x v="1854"/>
  </r>
  <r>
    <s v="SALE1855"/>
    <d v="2025-01-02T00:00:00"/>
    <s v="CUST1299"/>
    <s v="Stephanie Jacobs"/>
    <s v="PROD23"/>
    <x v="4"/>
    <s v="STORE17"/>
    <n v="2"/>
    <n v="310.33"/>
    <n v="0.26"/>
    <x v="0"/>
    <x v="1855"/>
  </r>
  <r>
    <s v="SALE1856"/>
    <d v="2024-07-28T00:00:00"/>
    <s v="CUST1346"/>
    <s v="John Jordan"/>
    <s v="PROD76"/>
    <x v="1"/>
    <s v="STORE0"/>
    <n v="3"/>
    <n v="201.05"/>
    <n v="0.23"/>
    <x v="1"/>
    <x v="1856"/>
  </r>
  <r>
    <s v="SALE1857"/>
    <d v="2024-04-26T00:00:00"/>
    <s v="CUST1252"/>
    <s v="John Mccoy"/>
    <s v="PROD13"/>
    <x v="1"/>
    <s v="STORE17"/>
    <n v="1"/>
    <n v="803.37"/>
    <n v="0.3"/>
    <x v="1"/>
    <x v="1857"/>
  </r>
  <r>
    <s v="SALE1858"/>
    <d v="2025-08-17T00:00:00"/>
    <s v="CUST1036"/>
    <s v="Thomas Phillips"/>
    <s v="PROD90"/>
    <x v="1"/>
    <s v="STORE15"/>
    <n v="3"/>
    <n v="259.98"/>
    <n v="7.0000000000000007E-2"/>
    <x v="2"/>
    <x v="1858"/>
  </r>
  <r>
    <s v="SALE1859"/>
    <d v="2024-05-14T00:00:00"/>
    <s v="CUST1124"/>
    <s v="Donald Lee"/>
    <s v="PROD22"/>
    <x v="0"/>
    <s v="STORE3"/>
    <n v="4"/>
    <n v="591.9"/>
    <n v="0.2"/>
    <x v="1"/>
    <x v="1859"/>
  </r>
  <r>
    <s v="SALE1860"/>
    <d v="2025-03-14T00:00:00"/>
    <s v="CUST1031"/>
    <s v="Sarah Vance"/>
    <s v="PROD62"/>
    <x v="1"/>
    <s v="STORE12"/>
    <n v="2"/>
    <n v="396.9"/>
    <n v="0.18"/>
    <x v="1"/>
    <x v="1860"/>
  </r>
  <r>
    <s v="SALE1861"/>
    <d v="2025-03-15T00:00:00"/>
    <s v="CUST1453"/>
    <s v="April Phillips"/>
    <s v="PROD12"/>
    <x v="2"/>
    <s v="STORE2"/>
    <n v="1"/>
    <n v="176.84"/>
    <n v="0.19"/>
    <x v="0"/>
    <x v="1861"/>
  </r>
  <r>
    <s v="SALE1862"/>
    <d v="2023-12-12T00:00:00"/>
    <s v="CUST1254"/>
    <s v="Linda Kline"/>
    <s v="PROD23"/>
    <x v="4"/>
    <s v="STORE0"/>
    <n v="2"/>
    <n v="614.21"/>
    <n v="0.11"/>
    <x v="1"/>
    <x v="1862"/>
  </r>
  <r>
    <s v="SALE1863"/>
    <d v="2024-10-19T00:00:00"/>
    <s v="CUST1108"/>
    <s v="Travis Holland"/>
    <s v="PROD30"/>
    <x v="3"/>
    <s v="STORE7"/>
    <n v="3"/>
    <n v="604.66"/>
    <n v="0.18"/>
    <x v="2"/>
    <x v="1863"/>
  </r>
  <r>
    <s v="SALE1864"/>
    <d v="2024-08-30T00:00:00"/>
    <s v="CUST1498"/>
    <s v="Traci Gonzalez"/>
    <s v="PROD8"/>
    <x v="1"/>
    <s v="STORE12"/>
    <n v="3"/>
    <n v="24.29"/>
    <n v="0.12"/>
    <x v="1"/>
    <x v="1864"/>
  </r>
  <r>
    <s v="SALE1865"/>
    <d v="2024-07-09T00:00:00"/>
    <s v="CUST1121"/>
    <s v="Joel Robinson"/>
    <s v="PROD33"/>
    <x v="3"/>
    <s v="STORE11"/>
    <n v="1"/>
    <n v="503.95"/>
    <n v="0.24"/>
    <x v="1"/>
    <x v="1865"/>
  </r>
  <r>
    <s v="SALE1866"/>
    <d v="2024-07-02T00:00:00"/>
    <s v="CUST1319"/>
    <s v="Casey Simpson"/>
    <s v="PROD49"/>
    <x v="2"/>
    <s v="STORE14"/>
    <n v="4"/>
    <n v="860.78"/>
    <n v="0.03"/>
    <x v="0"/>
    <x v="1866"/>
  </r>
  <r>
    <s v="SALE1867"/>
    <d v="2023-11-04T00:00:00"/>
    <s v="CUST1197"/>
    <s v="Andrea Jacobs"/>
    <s v="PROD37"/>
    <x v="4"/>
    <s v="STORE3"/>
    <n v="3"/>
    <n v="41.97"/>
    <n v="0.03"/>
    <x v="2"/>
    <x v="1867"/>
  </r>
  <r>
    <s v="SALE1868"/>
    <d v="2024-04-15T00:00:00"/>
    <s v="CUST1033"/>
    <s v="Robert Jones Dds"/>
    <s v="PROD46"/>
    <x v="4"/>
    <s v="STORE5"/>
    <n v="1"/>
    <n v="649.59"/>
    <n v="0.12"/>
    <x v="2"/>
    <x v="1868"/>
  </r>
  <r>
    <s v="SALE1869"/>
    <d v="2024-07-29T00:00:00"/>
    <s v="CUST1053"/>
    <s v="Sharon Brown"/>
    <s v="PROD37"/>
    <x v="4"/>
    <s v="STORE9"/>
    <n v="2"/>
    <n v="386.09"/>
    <n v="0.19"/>
    <x v="1"/>
    <x v="1869"/>
  </r>
  <r>
    <s v="SALE1870"/>
    <d v="2024-12-18T00:00:00"/>
    <s v="CUST1099"/>
    <s v="Sheila Wilson"/>
    <s v="PROD26"/>
    <x v="1"/>
    <s v="STORE12"/>
    <n v="1"/>
    <n v="891.62"/>
    <n v="0.06"/>
    <x v="1"/>
    <x v="1870"/>
  </r>
  <r>
    <s v="SALE1871"/>
    <d v="2024-11-21T00:00:00"/>
    <s v="CUST1381"/>
    <s v="Erika Padilla"/>
    <s v="PROD5"/>
    <x v="4"/>
    <s v="STORE15"/>
    <n v="2"/>
    <n v="558.9"/>
    <n v="0.05"/>
    <x v="2"/>
    <x v="1871"/>
  </r>
  <r>
    <s v="SALE1872"/>
    <d v="2025-05-20T00:00:00"/>
    <s v="CUST1352"/>
    <s v="Michael Greene"/>
    <s v="PROD43"/>
    <x v="1"/>
    <s v="STORE3"/>
    <n v="2"/>
    <n v="99.04"/>
    <n v="0.26"/>
    <x v="2"/>
    <x v="1872"/>
  </r>
  <r>
    <s v="SALE1873"/>
    <d v="2025-03-24T00:00:00"/>
    <s v="CUST1291"/>
    <s v="James Powell"/>
    <s v="PROD93"/>
    <x v="1"/>
    <s v="STORE8"/>
    <n v="4"/>
    <n v="625.13"/>
    <n v="0.06"/>
    <x v="0"/>
    <x v="1873"/>
  </r>
  <r>
    <s v="SALE1874"/>
    <d v="2025-06-16T00:00:00"/>
    <s v="CUST1036"/>
    <s v="Thomas Phillips"/>
    <s v="PROD90"/>
    <x v="1"/>
    <s v="STORE18"/>
    <n v="4"/>
    <n v="38.380000000000003"/>
    <n v="0.16"/>
    <x v="2"/>
    <x v="1874"/>
  </r>
  <r>
    <s v="SALE1875"/>
    <d v="2024-04-22T00:00:00"/>
    <s v="CUST1492"/>
    <s v="Darrell Miller"/>
    <s v="PROD10"/>
    <x v="3"/>
    <s v="STORE10"/>
    <n v="4"/>
    <n v="731.72"/>
    <n v="0.22"/>
    <x v="2"/>
    <x v="1875"/>
  </r>
  <r>
    <s v="SALE1876"/>
    <d v="2025-09-16T00:00:00"/>
    <s v="CUST1457"/>
    <s v="Christina Robertson"/>
    <s v="PROD43"/>
    <x v="1"/>
    <s v="STORE19"/>
    <n v="3"/>
    <n v="825.33"/>
    <n v="0.21"/>
    <x v="0"/>
    <x v="1876"/>
  </r>
  <r>
    <s v="SALE1877"/>
    <d v="2023-12-09T00:00:00"/>
    <s v="CUST1059"/>
    <s v="Alyssa Vargas"/>
    <s v="PROD94"/>
    <x v="2"/>
    <s v="STORE14"/>
    <n v="2"/>
    <n v="47.3"/>
    <n v="0.01"/>
    <x v="1"/>
    <x v="1877"/>
  </r>
  <r>
    <s v="SALE1878"/>
    <d v="2024-07-20T00:00:00"/>
    <s v="CUST1171"/>
    <s v="Amy Wilson"/>
    <s v="PROD90"/>
    <x v="1"/>
    <s v="STORE17"/>
    <n v="1"/>
    <n v="389.12"/>
    <n v="0.18"/>
    <x v="1"/>
    <x v="1878"/>
  </r>
  <r>
    <s v="SALE1879"/>
    <d v="2024-09-23T00:00:00"/>
    <s v="CUST1458"/>
    <s v="Kelly Garrett"/>
    <s v="PROD2"/>
    <x v="4"/>
    <s v="STORE18"/>
    <n v="3"/>
    <n v="543.83000000000004"/>
    <n v="0.05"/>
    <x v="0"/>
    <x v="1879"/>
  </r>
  <r>
    <s v="SALE1880"/>
    <d v="2024-05-11T00:00:00"/>
    <s v="CUST1024"/>
    <s v="Heather Collins"/>
    <s v="PROD3"/>
    <x v="4"/>
    <s v="STORE1"/>
    <n v="2"/>
    <n v="660.27"/>
    <n v="0.01"/>
    <x v="1"/>
    <x v="1880"/>
  </r>
  <r>
    <s v="SALE1881"/>
    <d v="2025-05-03T00:00:00"/>
    <s v="CUST1434"/>
    <s v="Monique Castro"/>
    <s v="PROD13"/>
    <x v="1"/>
    <s v="STORE8"/>
    <n v="4"/>
    <n v="729.31"/>
    <n v="0.03"/>
    <x v="0"/>
    <x v="1881"/>
  </r>
  <r>
    <s v="SALE1882"/>
    <d v="2024-02-23T00:00:00"/>
    <s v="CUST1421"/>
    <s v="Holly Robinson"/>
    <s v="PROD81"/>
    <x v="0"/>
    <s v="STORE6"/>
    <n v="2"/>
    <n v="152.91"/>
    <n v="0.24"/>
    <x v="1"/>
    <x v="1882"/>
  </r>
  <r>
    <s v="SALE1883"/>
    <d v="2024-02-22T00:00:00"/>
    <s v="CUST1461"/>
    <s v="Paul Cox"/>
    <s v="PROD65"/>
    <x v="0"/>
    <s v="STORE15"/>
    <n v="4"/>
    <n v="592.14"/>
    <n v="0.12"/>
    <x v="2"/>
    <x v="1883"/>
  </r>
  <r>
    <s v="SALE1884"/>
    <d v="2024-08-21T00:00:00"/>
    <s v="CUST1062"/>
    <s v="James Bean"/>
    <s v="PROD84"/>
    <x v="3"/>
    <s v="STORE12"/>
    <n v="1"/>
    <n v="984.37"/>
    <n v="0"/>
    <x v="1"/>
    <x v="1884"/>
  </r>
  <r>
    <s v="SALE1885"/>
    <d v="2024-02-07T00:00:00"/>
    <s v="CUST1292"/>
    <s v="Ricardo Jones"/>
    <s v="PROD99"/>
    <x v="3"/>
    <s v="STORE12"/>
    <n v="2"/>
    <n v="237.59"/>
    <n v="0.12"/>
    <x v="0"/>
    <x v="1885"/>
  </r>
  <r>
    <s v="SALE1886"/>
    <d v="2023-11-20T00:00:00"/>
    <s v="CUST1431"/>
    <s v="John Smith"/>
    <s v="PROD94"/>
    <x v="2"/>
    <s v="STORE8"/>
    <n v="1"/>
    <n v="52.06"/>
    <n v="0.27"/>
    <x v="2"/>
    <x v="1886"/>
  </r>
  <r>
    <s v="SALE1887"/>
    <d v="2025-02-03T00:00:00"/>
    <s v="CUST1455"/>
    <s v="Tyler Weber"/>
    <s v="PROD83"/>
    <x v="2"/>
    <s v="STORE1"/>
    <n v="2"/>
    <n v="594.63"/>
    <n v="0.12"/>
    <x v="0"/>
    <x v="1887"/>
  </r>
  <r>
    <s v="SALE1888"/>
    <d v="2024-12-18T00:00:00"/>
    <s v="CUST1167"/>
    <s v="Antonio Wade"/>
    <s v="PROD47"/>
    <x v="2"/>
    <s v="STORE0"/>
    <n v="3"/>
    <n v="476.1"/>
    <n v="0.05"/>
    <x v="2"/>
    <x v="1888"/>
  </r>
  <r>
    <s v="SALE1889"/>
    <d v="2024-08-10T00:00:00"/>
    <s v="CUST1061"/>
    <s v="Kristin Stein"/>
    <s v="PROD51"/>
    <x v="1"/>
    <s v="STORE6"/>
    <n v="1"/>
    <n v="546.47"/>
    <n v="0.08"/>
    <x v="2"/>
    <x v="1889"/>
  </r>
  <r>
    <s v="SALE1890"/>
    <d v="2025-04-13T00:00:00"/>
    <s v="CUST1176"/>
    <s v="John Bradford"/>
    <s v="PROD52"/>
    <x v="0"/>
    <s v="STORE12"/>
    <n v="1"/>
    <n v="979.49"/>
    <n v="0.19"/>
    <x v="2"/>
    <x v="1890"/>
  </r>
  <r>
    <s v="SALE1891"/>
    <d v="2023-12-29T00:00:00"/>
    <s v="CUST1193"/>
    <s v="David Roberts"/>
    <s v="PROD64"/>
    <x v="2"/>
    <s v="STORE2"/>
    <n v="3"/>
    <n v="988.53"/>
    <n v="0.3"/>
    <x v="2"/>
    <x v="1891"/>
  </r>
  <r>
    <s v="SALE1892"/>
    <d v="2025-02-16T00:00:00"/>
    <s v="CUST1255"/>
    <s v="Damon Perez"/>
    <s v="PROD72"/>
    <x v="0"/>
    <s v="STORE3"/>
    <n v="4"/>
    <n v="849.29"/>
    <n v="0.26"/>
    <x v="0"/>
    <x v="1892"/>
  </r>
  <r>
    <s v="SALE1893"/>
    <d v="2024-01-27T00:00:00"/>
    <s v="CUST1343"/>
    <s v="Ryan Moore"/>
    <s v="PROD17"/>
    <x v="0"/>
    <s v="STORE14"/>
    <n v="2"/>
    <n v="452.29"/>
    <n v="0.01"/>
    <x v="2"/>
    <x v="1893"/>
  </r>
  <r>
    <s v="SALE1894"/>
    <d v="2024-07-22T00:00:00"/>
    <s v="CUST1445"/>
    <s v="Gene Lee"/>
    <s v="PROD2"/>
    <x v="4"/>
    <s v="STORE18"/>
    <n v="2"/>
    <n v="810.81"/>
    <n v="0.11"/>
    <x v="2"/>
    <x v="1894"/>
  </r>
  <r>
    <s v="SALE1895"/>
    <d v="2024-09-25T00:00:00"/>
    <s v="CUST1031"/>
    <s v="Sarah Vance"/>
    <s v="PROD62"/>
    <x v="1"/>
    <s v="STORE8"/>
    <n v="1"/>
    <n v="846.67"/>
    <n v="0.1"/>
    <x v="2"/>
    <x v="1895"/>
  </r>
  <r>
    <s v="SALE1896"/>
    <d v="2024-03-16T00:00:00"/>
    <s v="CUST1017"/>
    <s v="Adam Cruz"/>
    <s v="PROD41"/>
    <x v="0"/>
    <s v="STORE6"/>
    <n v="4"/>
    <n v="73.55"/>
    <n v="0.24"/>
    <x v="2"/>
    <x v="1896"/>
  </r>
  <r>
    <s v="SALE1897"/>
    <d v="2025-07-23T00:00:00"/>
    <s v="CUST1278"/>
    <s v="Stephen Fowler"/>
    <s v="PROD88"/>
    <x v="0"/>
    <s v="STORE6"/>
    <n v="1"/>
    <n v="882.03"/>
    <n v="0.04"/>
    <x v="2"/>
    <x v="1897"/>
  </r>
  <r>
    <s v="SALE1898"/>
    <d v="2024-10-24T00:00:00"/>
    <s v="CUST1008"/>
    <s v="Melissa Howard"/>
    <s v="PROD30"/>
    <x v="3"/>
    <s v="STORE14"/>
    <n v="1"/>
    <n v="958.44"/>
    <n v="0.21"/>
    <x v="0"/>
    <x v="1898"/>
  </r>
  <r>
    <s v="SALE1899"/>
    <d v="2024-09-25T00:00:00"/>
    <s v="CUST1008"/>
    <s v="Melissa Howard"/>
    <s v="PROD30"/>
    <x v="3"/>
    <s v="STORE2"/>
    <n v="1"/>
    <n v="716.29"/>
    <n v="0.01"/>
    <x v="1"/>
    <x v="1899"/>
  </r>
  <r>
    <s v="SALE1900"/>
    <d v="2024-04-26T00:00:00"/>
    <s v="CUST1323"/>
    <s v="Kristy Dunlap"/>
    <s v="PROD49"/>
    <x v="2"/>
    <s v="STORE16"/>
    <n v="2"/>
    <n v="409.14"/>
    <n v="0.01"/>
    <x v="1"/>
    <x v="1900"/>
  </r>
  <r>
    <s v="SALE1901"/>
    <d v="2025-02-26T00:00:00"/>
    <s v="CUST1084"/>
    <s v="Christy Hoffman"/>
    <s v="PROD25"/>
    <x v="4"/>
    <s v="STORE9"/>
    <n v="4"/>
    <n v="261.73"/>
    <n v="0.1"/>
    <x v="1"/>
    <x v="1901"/>
  </r>
  <r>
    <s v="SALE1902"/>
    <d v="2025-01-04T00:00:00"/>
    <s v="CUST1466"/>
    <s v="Cynthia Parrish"/>
    <s v="PROD48"/>
    <x v="1"/>
    <s v="STORE0"/>
    <n v="2"/>
    <n v="687.35"/>
    <n v="0.2"/>
    <x v="2"/>
    <x v="1902"/>
  </r>
  <r>
    <s v="SALE1903"/>
    <d v="2025-09-21T00:00:00"/>
    <s v="CUST1207"/>
    <s v="Jacqueline Pacheco"/>
    <s v="PROD96"/>
    <x v="4"/>
    <s v="STORE8"/>
    <n v="2"/>
    <n v="30.14"/>
    <n v="0.21"/>
    <x v="0"/>
    <x v="1903"/>
  </r>
  <r>
    <s v="SALE1904"/>
    <d v="2024-12-25T00:00:00"/>
    <s v="CUST1099"/>
    <s v="Sheila Wilson"/>
    <s v="PROD26"/>
    <x v="1"/>
    <s v="STORE8"/>
    <n v="3"/>
    <n v="570.12"/>
    <n v="0.12"/>
    <x v="1"/>
    <x v="1904"/>
  </r>
  <r>
    <s v="SALE1905"/>
    <d v="2025-08-14T00:00:00"/>
    <s v="CUST1281"/>
    <s v="Brittany Watson"/>
    <s v="PROD55"/>
    <x v="3"/>
    <s v="STORE19"/>
    <n v="3"/>
    <n v="401.87"/>
    <n v="0.28999999999999998"/>
    <x v="2"/>
    <x v="1905"/>
  </r>
  <r>
    <s v="SALE1906"/>
    <d v="2024-11-28T00:00:00"/>
    <s v="CUST1496"/>
    <s v="Christopher Ford"/>
    <s v="PROD51"/>
    <x v="1"/>
    <s v="STORE12"/>
    <n v="4"/>
    <n v="619.35"/>
    <n v="0.3"/>
    <x v="0"/>
    <x v="1906"/>
  </r>
  <r>
    <s v="SALE1907"/>
    <d v="2023-12-16T00:00:00"/>
    <s v="CUST1247"/>
    <s v="Douglas Rhodes"/>
    <s v="PROD10"/>
    <x v="3"/>
    <s v="STORE17"/>
    <n v="4"/>
    <n v="569.36"/>
    <n v="0.27"/>
    <x v="1"/>
    <x v="1907"/>
  </r>
  <r>
    <s v="SALE1908"/>
    <d v="2024-02-22T00:00:00"/>
    <s v="CUST1476"/>
    <s v="Elizabeth Foster"/>
    <s v="PROD69"/>
    <x v="4"/>
    <s v="STORE4"/>
    <n v="2"/>
    <n v="846.35"/>
    <n v="0.3"/>
    <x v="2"/>
    <x v="1908"/>
  </r>
  <r>
    <s v="SALE1909"/>
    <d v="2025-07-11T00:00:00"/>
    <s v="CUST1434"/>
    <s v="Monique Castro"/>
    <s v="PROD13"/>
    <x v="1"/>
    <s v="STORE2"/>
    <n v="1"/>
    <n v="788.45"/>
    <n v="0.28999999999999998"/>
    <x v="1"/>
    <x v="1909"/>
  </r>
  <r>
    <s v="SALE1910"/>
    <d v="2025-08-11T00:00:00"/>
    <s v="CUST1360"/>
    <s v="Denise Tate"/>
    <s v="PROD73"/>
    <x v="0"/>
    <s v="STORE12"/>
    <n v="2"/>
    <n v="338.81"/>
    <n v="7.0000000000000007E-2"/>
    <x v="2"/>
    <x v="1910"/>
  </r>
  <r>
    <s v="SALE1911"/>
    <d v="2025-09-07T00:00:00"/>
    <s v="CUST1026"/>
    <s v="Amber Carlson"/>
    <s v="PROD1"/>
    <x v="4"/>
    <s v="STORE5"/>
    <n v="4"/>
    <n v="94.48"/>
    <n v="0.06"/>
    <x v="2"/>
    <x v="1911"/>
  </r>
  <r>
    <s v="SALE1912"/>
    <d v="2024-09-10T00:00:00"/>
    <s v="CUST1477"/>
    <s v="Andrea Harris"/>
    <s v="PROD76"/>
    <x v="1"/>
    <s v="STORE13"/>
    <n v="3"/>
    <n v="941.85"/>
    <n v="0.16"/>
    <x v="1"/>
    <x v="1912"/>
  </r>
  <r>
    <s v="SALE1913"/>
    <d v="2023-11-27T00:00:00"/>
    <s v="CUST1161"/>
    <s v="Cynthia Morris"/>
    <s v="PROD97"/>
    <x v="0"/>
    <s v="STORE5"/>
    <n v="2"/>
    <n v="336.97"/>
    <n v="0.14000000000000001"/>
    <x v="1"/>
    <x v="1913"/>
  </r>
  <r>
    <s v="SALE1914"/>
    <d v="2024-06-23T00:00:00"/>
    <s v="CUST1310"/>
    <s v="Kara Dodson"/>
    <s v="PROD17"/>
    <x v="0"/>
    <s v="STORE5"/>
    <n v="2"/>
    <n v="344.16"/>
    <n v="0.09"/>
    <x v="1"/>
    <x v="1914"/>
  </r>
  <r>
    <s v="SALE1915"/>
    <d v="2025-07-09T00:00:00"/>
    <s v="CUST1300"/>
    <s v="Matthew Avery"/>
    <s v="PROD36"/>
    <x v="4"/>
    <s v="STORE9"/>
    <n v="1"/>
    <n v="841.53"/>
    <n v="0.15"/>
    <x v="0"/>
    <x v="1915"/>
  </r>
  <r>
    <s v="SALE1916"/>
    <d v="2025-06-17T00:00:00"/>
    <s v="CUST1424"/>
    <s v="Edwin Barnes"/>
    <s v="PROD92"/>
    <x v="3"/>
    <s v="STORE17"/>
    <n v="3"/>
    <n v="63.36"/>
    <n v="0.28999999999999998"/>
    <x v="2"/>
    <x v="1916"/>
  </r>
  <r>
    <s v="SALE1917"/>
    <d v="2025-07-01T00:00:00"/>
    <s v="CUST1496"/>
    <s v="Christopher Ford"/>
    <s v="PROD51"/>
    <x v="1"/>
    <s v="STORE8"/>
    <n v="2"/>
    <n v="552.49"/>
    <n v="0.1"/>
    <x v="0"/>
    <x v="1917"/>
  </r>
  <r>
    <s v="SALE1918"/>
    <d v="2025-03-04T00:00:00"/>
    <s v="CUST1236"/>
    <s v="Joshua Wilson"/>
    <s v="PROD16"/>
    <x v="2"/>
    <s v="STORE6"/>
    <n v="3"/>
    <n v="447.38"/>
    <n v="0.03"/>
    <x v="0"/>
    <x v="1918"/>
  </r>
  <r>
    <s v="SALE1919"/>
    <d v="2023-11-20T00:00:00"/>
    <s v="CUST1450"/>
    <s v="Shane Mills"/>
    <s v="PROD63"/>
    <x v="2"/>
    <s v="STORE19"/>
    <n v="1"/>
    <n v="727.7"/>
    <n v="0.21"/>
    <x v="2"/>
    <x v="1919"/>
  </r>
  <r>
    <s v="SALE1920"/>
    <d v="2023-11-28T00:00:00"/>
    <s v="CUST1436"/>
    <s v="Sharon Simpson"/>
    <s v="PROD52"/>
    <x v="0"/>
    <s v="STORE7"/>
    <n v="4"/>
    <n v="581.34"/>
    <n v="0.08"/>
    <x v="0"/>
    <x v="1920"/>
  </r>
  <r>
    <s v="SALE1921"/>
    <d v="2025-05-16T00:00:00"/>
    <s v="CUST1096"/>
    <s v="Samantha Walker"/>
    <s v="PROD65"/>
    <x v="0"/>
    <s v="STORE1"/>
    <n v="1"/>
    <n v="338.83"/>
    <n v="0.19"/>
    <x v="1"/>
    <x v="1921"/>
  </r>
  <r>
    <s v="SALE1922"/>
    <d v="2023-12-05T00:00:00"/>
    <s v="CUST1285"/>
    <s v="Donna Guerra"/>
    <s v="PROD6"/>
    <x v="2"/>
    <s v="STORE13"/>
    <n v="4"/>
    <n v="568.80999999999995"/>
    <n v="0.25"/>
    <x v="0"/>
    <x v="1922"/>
  </r>
  <r>
    <s v="SALE1923"/>
    <d v="2024-11-11T00:00:00"/>
    <s v="CUST1375"/>
    <s v="Joshua Bell"/>
    <s v="PROD28"/>
    <x v="0"/>
    <s v="STORE17"/>
    <n v="2"/>
    <n v="352.63"/>
    <n v="0.15"/>
    <x v="1"/>
    <x v="1923"/>
  </r>
  <r>
    <s v="SALE1924"/>
    <d v="2024-03-31T00:00:00"/>
    <s v="CUST1156"/>
    <s v="Maria Sanchez"/>
    <s v="PROD49"/>
    <x v="2"/>
    <s v="STORE13"/>
    <n v="2"/>
    <n v="629.86"/>
    <n v="0.15"/>
    <x v="1"/>
    <x v="1924"/>
  </r>
  <r>
    <s v="SALE1925"/>
    <d v="2025-05-16T00:00:00"/>
    <s v="CUST1493"/>
    <s v="Amanda Powell"/>
    <s v="PROD59"/>
    <x v="2"/>
    <s v="STORE3"/>
    <n v="3"/>
    <n v="212.08"/>
    <n v="7.0000000000000007E-2"/>
    <x v="0"/>
    <x v="1925"/>
  </r>
  <r>
    <s v="SALE1926"/>
    <d v="2024-10-25T00:00:00"/>
    <s v="CUST1161"/>
    <s v="Cynthia Morris"/>
    <s v="PROD97"/>
    <x v="0"/>
    <s v="STORE2"/>
    <n v="3"/>
    <n v="878.62"/>
    <n v="0.05"/>
    <x v="1"/>
    <x v="1926"/>
  </r>
  <r>
    <s v="SALE1927"/>
    <d v="2025-01-22T00:00:00"/>
    <s v="CUST1261"/>
    <s v="Carol Bishop"/>
    <s v="PROD42"/>
    <x v="1"/>
    <s v="STORE10"/>
    <n v="4"/>
    <n v="87.83"/>
    <n v="0.23"/>
    <x v="1"/>
    <x v="1927"/>
  </r>
  <r>
    <s v="SALE1928"/>
    <d v="2025-06-06T00:00:00"/>
    <s v="CUST1275"/>
    <s v="Shannon Miller"/>
    <s v="PROD69"/>
    <x v="4"/>
    <s v="STORE9"/>
    <n v="3"/>
    <n v="442.64"/>
    <n v="0.15"/>
    <x v="2"/>
    <x v="1928"/>
  </r>
  <r>
    <s v="SALE1929"/>
    <d v="2025-05-18T00:00:00"/>
    <s v="CUST1093"/>
    <s v="Christy Vasquez"/>
    <s v="PROD5"/>
    <x v="4"/>
    <s v="STORE2"/>
    <n v="3"/>
    <n v="410.04"/>
    <n v="0.09"/>
    <x v="2"/>
    <x v="1929"/>
  </r>
  <r>
    <s v="SALE1930"/>
    <d v="2025-05-20T00:00:00"/>
    <s v="CUST1133"/>
    <s v="Hayley Pope"/>
    <s v="PROD36"/>
    <x v="4"/>
    <s v="STORE17"/>
    <n v="1"/>
    <n v="355.31"/>
    <n v="0.27"/>
    <x v="0"/>
    <x v="1930"/>
  </r>
  <r>
    <s v="SALE1931"/>
    <d v="2024-11-11T00:00:00"/>
    <s v="CUST1376"/>
    <s v="Michele Burke"/>
    <s v="PROD85"/>
    <x v="4"/>
    <s v="STORE13"/>
    <n v="4"/>
    <n v="243.13"/>
    <n v="0.25"/>
    <x v="2"/>
    <x v="1931"/>
  </r>
  <r>
    <s v="SALE1932"/>
    <d v="2024-11-18T00:00:00"/>
    <s v="CUST1229"/>
    <s v="Tanner Thompson"/>
    <s v="PROD52"/>
    <x v="0"/>
    <s v="STORE11"/>
    <n v="2"/>
    <n v="410.63"/>
    <n v="0.28000000000000003"/>
    <x v="2"/>
    <x v="1932"/>
  </r>
  <r>
    <s v="SALE1933"/>
    <d v="2024-01-02T00:00:00"/>
    <s v="CUST1425"/>
    <s v="Bryce Hawkins"/>
    <s v="PROD75"/>
    <x v="4"/>
    <s v="STORE10"/>
    <n v="4"/>
    <n v="101.25"/>
    <n v="0.16"/>
    <x v="1"/>
    <x v="1933"/>
  </r>
  <r>
    <s v="SALE1934"/>
    <d v="2024-01-10T00:00:00"/>
    <s v="CUST1226"/>
    <s v="Alexis Castaneda"/>
    <s v="PROD49"/>
    <x v="2"/>
    <s v="STORE17"/>
    <n v="4"/>
    <n v="716.39"/>
    <n v="0.03"/>
    <x v="1"/>
    <x v="1934"/>
  </r>
  <r>
    <s v="SALE1935"/>
    <d v="2024-01-20T00:00:00"/>
    <s v="CUST1094"/>
    <s v="David Patterson"/>
    <s v="PROD39"/>
    <x v="1"/>
    <s v="STORE1"/>
    <n v="1"/>
    <n v="721.74"/>
    <n v="0.24"/>
    <x v="1"/>
    <x v="1935"/>
  </r>
  <r>
    <s v="SALE1936"/>
    <d v="2025-02-14T00:00:00"/>
    <s v="CUST1054"/>
    <s v="Katherine Dorsey"/>
    <s v="PROD88"/>
    <x v="0"/>
    <s v="STORE11"/>
    <n v="2"/>
    <n v="527.91"/>
    <n v="0.02"/>
    <x v="0"/>
    <x v="1936"/>
  </r>
  <r>
    <s v="SALE1937"/>
    <d v="2024-08-21T00:00:00"/>
    <s v="CUST1319"/>
    <s v="Casey Simpson"/>
    <s v="PROD49"/>
    <x v="2"/>
    <s v="STORE13"/>
    <n v="2"/>
    <n v="945.92"/>
    <n v="0.19"/>
    <x v="2"/>
    <x v="1937"/>
  </r>
  <r>
    <s v="SALE1938"/>
    <d v="2025-05-03T00:00:00"/>
    <s v="CUST1081"/>
    <s v="Krystal Ford"/>
    <s v="PROD45"/>
    <x v="0"/>
    <s v="STORE17"/>
    <n v="2"/>
    <n v="981.35"/>
    <n v="0.16"/>
    <x v="1"/>
    <x v="1938"/>
  </r>
  <r>
    <s v="SALE1939"/>
    <d v="2025-06-11T00:00:00"/>
    <s v="CUST1223"/>
    <s v="Robert Harris"/>
    <s v="PROD72"/>
    <x v="0"/>
    <s v="STORE3"/>
    <n v="1"/>
    <n v="913.99"/>
    <n v="0.14000000000000001"/>
    <x v="0"/>
    <x v="1939"/>
  </r>
  <r>
    <s v="SALE1940"/>
    <d v="2025-07-25T00:00:00"/>
    <s v="CUST1011"/>
    <s v="Brian Lopez"/>
    <s v="PROD31"/>
    <x v="0"/>
    <s v="STORE8"/>
    <n v="4"/>
    <n v="270.69"/>
    <n v="0.18"/>
    <x v="1"/>
    <x v="1940"/>
  </r>
  <r>
    <s v="SALE1941"/>
    <d v="2025-01-30T00:00:00"/>
    <s v="CUST1161"/>
    <s v="Cynthia Morris"/>
    <s v="PROD97"/>
    <x v="0"/>
    <s v="STORE6"/>
    <n v="3"/>
    <n v="998.58"/>
    <n v="0.02"/>
    <x v="0"/>
    <x v="1941"/>
  </r>
  <r>
    <s v="SALE1942"/>
    <d v="2025-05-29T00:00:00"/>
    <s v="CUST1456"/>
    <s v="Julie Powell"/>
    <s v="PROD88"/>
    <x v="0"/>
    <s v="STORE9"/>
    <n v="3"/>
    <n v="765.12"/>
    <n v="0.18"/>
    <x v="0"/>
    <x v="1942"/>
  </r>
  <r>
    <s v="SALE1943"/>
    <d v="2023-10-17T00:00:00"/>
    <s v="CUST1072"/>
    <s v="Tonya Burch"/>
    <s v="PROD26"/>
    <x v="1"/>
    <s v="STORE19"/>
    <n v="3"/>
    <n v="449.99"/>
    <n v="0.17"/>
    <x v="2"/>
    <x v="1943"/>
  </r>
  <r>
    <s v="SALE1944"/>
    <d v="2024-12-13T00:00:00"/>
    <s v="CUST1252"/>
    <s v="John Mccoy"/>
    <s v="PROD13"/>
    <x v="1"/>
    <s v="STORE11"/>
    <n v="2"/>
    <n v="249.02"/>
    <n v="0.01"/>
    <x v="2"/>
    <x v="1944"/>
  </r>
  <r>
    <s v="SALE1945"/>
    <d v="2024-06-11T00:00:00"/>
    <s v="CUST1137"/>
    <s v="Rick Dominguez"/>
    <s v="PROD26"/>
    <x v="1"/>
    <s v="STORE19"/>
    <n v="3"/>
    <n v="223.64"/>
    <n v="0.05"/>
    <x v="0"/>
    <x v="1945"/>
  </r>
  <r>
    <s v="SALE1946"/>
    <d v="2025-10-04T00:00:00"/>
    <s v="CUST1106"/>
    <s v="Howard Summers"/>
    <s v="PROD65"/>
    <x v="0"/>
    <s v="STORE4"/>
    <n v="2"/>
    <n v="92.94"/>
    <n v="0.12"/>
    <x v="0"/>
    <x v="1946"/>
  </r>
  <r>
    <s v="SALE1947"/>
    <d v="2024-04-19T00:00:00"/>
    <s v="CUST1361"/>
    <s v="Natalie Johnson"/>
    <s v="PROD76"/>
    <x v="1"/>
    <s v="STORE2"/>
    <n v="4"/>
    <n v="268.3"/>
    <n v="0.02"/>
    <x v="2"/>
    <x v="1947"/>
  </r>
  <r>
    <s v="SALE1948"/>
    <d v="2025-04-23T00:00:00"/>
    <s v="CUST1442"/>
    <s v="Kelli Smith"/>
    <s v="PROD56"/>
    <x v="3"/>
    <s v="STORE19"/>
    <n v="4"/>
    <n v="835.61"/>
    <n v="0.03"/>
    <x v="0"/>
    <x v="1948"/>
  </r>
  <r>
    <s v="SALE1949"/>
    <d v="2024-04-23T00:00:00"/>
    <s v="CUST1382"/>
    <s v="Martha Brown"/>
    <s v="PROD4"/>
    <x v="4"/>
    <s v="STORE5"/>
    <n v="3"/>
    <n v="120.97"/>
    <n v="0.11"/>
    <x v="0"/>
    <x v="1949"/>
  </r>
  <r>
    <s v="SALE1950"/>
    <d v="2024-05-12T00:00:00"/>
    <s v="CUST1030"/>
    <s v="Jessica Acevedo"/>
    <s v="PROD35"/>
    <x v="3"/>
    <s v="STORE9"/>
    <n v="2"/>
    <n v="26.36"/>
    <n v="0.03"/>
    <x v="2"/>
    <x v="1950"/>
  </r>
  <r>
    <s v="SALE1951"/>
    <d v="2025-08-12T00:00:00"/>
    <s v="CUST1033"/>
    <s v="Robert Jones Dds"/>
    <s v="PROD46"/>
    <x v="4"/>
    <s v="STORE6"/>
    <n v="1"/>
    <n v="918.87"/>
    <n v="0.11"/>
    <x v="1"/>
    <x v="1951"/>
  </r>
  <r>
    <s v="SALE1952"/>
    <d v="2025-05-17T00:00:00"/>
    <s v="CUST1031"/>
    <s v="Sarah Vance"/>
    <s v="PROD62"/>
    <x v="1"/>
    <s v="STORE11"/>
    <n v="2"/>
    <n v="924.73"/>
    <n v="0.28999999999999998"/>
    <x v="1"/>
    <x v="1952"/>
  </r>
  <r>
    <s v="SALE1953"/>
    <d v="2025-01-08T00:00:00"/>
    <s v="CUST1021"/>
    <s v="Jeff Martinez"/>
    <s v="PROD26"/>
    <x v="1"/>
    <s v="STORE10"/>
    <n v="3"/>
    <n v="195.31"/>
    <n v="0.13"/>
    <x v="2"/>
    <x v="1953"/>
  </r>
  <r>
    <s v="SALE1954"/>
    <d v="2025-05-16T00:00:00"/>
    <s v="CUST1142"/>
    <s v="Maria Ramirez"/>
    <s v="PROD69"/>
    <x v="4"/>
    <s v="STORE8"/>
    <n v="1"/>
    <n v="91.38"/>
    <n v="0.14000000000000001"/>
    <x v="0"/>
    <x v="1954"/>
  </r>
  <r>
    <s v="SALE1955"/>
    <d v="2024-09-28T00:00:00"/>
    <s v="CUST1483"/>
    <s v="Sarah Smith"/>
    <s v="PROD12"/>
    <x v="2"/>
    <s v="STORE11"/>
    <n v="2"/>
    <n v="494.35"/>
    <n v="0.1"/>
    <x v="0"/>
    <x v="1955"/>
  </r>
  <r>
    <s v="SALE1956"/>
    <d v="2024-10-12T00:00:00"/>
    <s v="CUST1255"/>
    <s v="Damon Perez"/>
    <s v="PROD72"/>
    <x v="0"/>
    <s v="STORE10"/>
    <n v="1"/>
    <n v="412.2"/>
    <n v="0.11"/>
    <x v="0"/>
    <x v="1956"/>
  </r>
  <r>
    <s v="SALE1957"/>
    <d v="2024-06-23T00:00:00"/>
    <s v="CUST1394"/>
    <s v="Alejandro Evans"/>
    <s v="PROD89"/>
    <x v="2"/>
    <s v="STORE16"/>
    <n v="1"/>
    <n v="650.47"/>
    <n v="0.13"/>
    <x v="1"/>
    <x v="1957"/>
  </r>
  <r>
    <s v="SALE1958"/>
    <d v="2023-11-26T00:00:00"/>
    <s v="CUST1155"/>
    <s v="Curtis Haynes"/>
    <s v="PROD72"/>
    <x v="0"/>
    <s v="STORE12"/>
    <n v="1"/>
    <n v="68.209999999999994"/>
    <n v="0.05"/>
    <x v="1"/>
    <x v="1958"/>
  </r>
  <r>
    <s v="SALE1959"/>
    <d v="2025-08-17T00:00:00"/>
    <s v="CUST1135"/>
    <s v="Matthew Hanna"/>
    <s v="PROD44"/>
    <x v="0"/>
    <s v="STORE7"/>
    <n v="2"/>
    <n v="842.89"/>
    <n v="0.25"/>
    <x v="2"/>
    <x v="1959"/>
  </r>
  <r>
    <s v="SALE1960"/>
    <d v="2024-04-08T00:00:00"/>
    <s v="CUST1300"/>
    <s v="Matthew Avery"/>
    <s v="PROD36"/>
    <x v="4"/>
    <s v="STORE4"/>
    <n v="2"/>
    <n v="227.95"/>
    <n v="0.24"/>
    <x v="2"/>
    <x v="1960"/>
  </r>
  <r>
    <s v="SALE1961"/>
    <d v="2024-04-06T00:00:00"/>
    <s v="CUST1192"/>
    <s v="Jacob Wood"/>
    <s v="PROD46"/>
    <x v="4"/>
    <s v="STORE12"/>
    <n v="3"/>
    <n v="685.97"/>
    <n v="0.24"/>
    <x v="1"/>
    <x v="1961"/>
  </r>
  <r>
    <s v="SALE1962"/>
    <d v="2025-05-16T00:00:00"/>
    <s v="CUST1365"/>
    <s v="Brandon Mcbride"/>
    <s v="PROD45"/>
    <x v="0"/>
    <s v="STORE2"/>
    <n v="1"/>
    <n v="722.57"/>
    <n v="0.18"/>
    <x v="0"/>
    <x v="1962"/>
  </r>
  <r>
    <s v="SALE1963"/>
    <d v="2024-11-19T00:00:00"/>
    <s v="CUST1140"/>
    <s v="Patty Francis"/>
    <s v="PROD35"/>
    <x v="3"/>
    <s v="STORE5"/>
    <n v="3"/>
    <n v="585.54999999999995"/>
    <n v="0.14000000000000001"/>
    <x v="2"/>
    <x v="1963"/>
  </r>
  <r>
    <s v="SALE1964"/>
    <d v="2025-01-09T00:00:00"/>
    <s v="CUST1309"/>
    <s v="Stacy Collins"/>
    <s v="PROD61"/>
    <x v="0"/>
    <s v="STORE13"/>
    <n v="2"/>
    <n v="635.80999999999995"/>
    <n v="0.13"/>
    <x v="1"/>
    <x v="1964"/>
  </r>
  <r>
    <s v="SALE1965"/>
    <d v="2024-12-18T00:00:00"/>
    <s v="CUST1277"/>
    <s v="Jeffrey Gomez"/>
    <s v="PROD93"/>
    <x v="1"/>
    <s v="STORE4"/>
    <n v="2"/>
    <n v="353.74"/>
    <n v="0.01"/>
    <x v="0"/>
    <x v="1965"/>
  </r>
  <r>
    <s v="SALE1966"/>
    <d v="2024-12-22T00:00:00"/>
    <s v="CUST1264"/>
    <s v="Matthew Payne"/>
    <s v="PROD22"/>
    <x v="0"/>
    <s v="STORE7"/>
    <n v="1"/>
    <n v="377.52"/>
    <n v="0.15"/>
    <x v="0"/>
    <x v="1966"/>
  </r>
  <r>
    <s v="SALE1967"/>
    <d v="2024-07-27T00:00:00"/>
    <s v="CUST1205"/>
    <s v="Michelle Carpenter"/>
    <s v="PROD84"/>
    <x v="3"/>
    <s v="STORE2"/>
    <n v="3"/>
    <n v="901.49"/>
    <n v="0"/>
    <x v="0"/>
    <x v="1967"/>
  </r>
  <r>
    <s v="SALE1968"/>
    <d v="2025-05-29T00:00:00"/>
    <s v="CUST1200"/>
    <s v="Anna Perez"/>
    <s v="PROD77"/>
    <x v="1"/>
    <s v="STORE5"/>
    <n v="1"/>
    <n v="563.01"/>
    <n v="0.1"/>
    <x v="0"/>
    <x v="1968"/>
  </r>
  <r>
    <s v="SALE1969"/>
    <d v="2024-03-14T00:00:00"/>
    <s v="CUST1052"/>
    <s v="Debra Liu"/>
    <s v="PROD51"/>
    <x v="1"/>
    <s v="STORE6"/>
    <n v="4"/>
    <n v="167.25"/>
    <n v="0.11"/>
    <x v="0"/>
    <x v="1969"/>
  </r>
  <r>
    <s v="SALE1970"/>
    <d v="2023-10-30T00:00:00"/>
    <s v="CUST1454"/>
    <s v="John Berg"/>
    <s v="PROD60"/>
    <x v="2"/>
    <s v="STORE18"/>
    <n v="3"/>
    <n v="345.43"/>
    <n v="0.08"/>
    <x v="2"/>
    <x v="1970"/>
  </r>
  <r>
    <s v="SALE1971"/>
    <d v="2024-02-27T00:00:00"/>
    <s v="CUST1308"/>
    <s v="Jennifer Zamora"/>
    <s v="PROD14"/>
    <x v="3"/>
    <s v="STORE9"/>
    <n v="4"/>
    <n v="752.48"/>
    <n v="0.23"/>
    <x v="0"/>
    <x v="1971"/>
  </r>
  <r>
    <s v="SALE1972"/>
    <d v="2025-08-17T00:00:00"/>
    <s v="CUST1449"/>
    <s v="William Cortez"/>
    <s v="PROD98"/>
    <x v="1"/>
    <s v="STORE19"/>
    <n v="1"/>
    <n v="120.02"/>
    <n v="0.26"/>
    <x v="0"/>
    <x v="1972"/>
  </r>
  <r>
    <s v="SALE1973"/>
    <d v="2024-03-08T00:00:00"/>
    <s v="CUST1323"/>
    <s v="Kristy Dunlap"/>
    <s v="PROD49"/>
    <x v="2"/>
    <s v="STORE8"/>
    <n v="3"/>
    <n v="146.71"/>
    <n v="0.28000000000000003"/>
    <x v="0"/>
    <x v="1973"/>
  </r>
  <r>
    <s v="SALE1974"/>
    <d v="2025-03-14T00:00:00"/>
    <s v="CUST1082"/>
    <s v="George Rosario"/>
    <s v="PROD92"/>
    <x v="3"/>
    <s v="STORE0"/>
    <n v="2"/>
    <n v="358.87"/>
    <n v="0.24"/>
    <x v="0"/>
    <x v="1974"/>
  </r>
  <r>
    <s v="SALE1975"/>
    <d v="2024-06-13T00:00:00"/>
    <s v="CUST1241"/>
    <s v="Mr. William Horton"/>
    <s v="PROD15"/>
    <x v="1"/>
    <s v="STORE3"/>
    <n v="4"/>
    <n v="212.75"/>
    <n v="0.11"/>
    <x v="2"/>
    <x v="1975"/>
  </r>
  <r>
    <s v="SALE1976"/>
    <d v="2024-06-07T00:00:00"/>
    <s v="CUST1327"/>
    <s v="Reginald Willis"/>
    <s v="PROD1"/>
    <x v="4"/>
    <s v="STORE11"/>
    <n v="1"/>
    <n v="183.47"/>
    <n v="0.17"/>
    <x v="1"/>
    <x v="1976"/>
  </r>
  <r>
    <s v="SALE1977"/>
    <d v="2024-07-20T00:00:00"/>
    <s v="CUST1068"/>
    <s v="Mr. Mark Beasley"/>
    <s v="PROD52"/>
    <x v="0"/>
    <s v="STORE15"/>
    <n v="4"/>
    <n v="569.98"/>
    <n v="0.23"/>
    <x v="0"/>
    <x v="1977"/>
  </r>
  <r>
    <s v="SALE1978"/>
    <d v="2023-12-14T00:00:00"/>
    <s v="CUST1472"/>
    <s v="Philip Mendoza"/>
    <s v="PROD34"/>
    <x v="1"/>
    <s v="STORE12"/>
    <n v="3"/>
    <n v="984.12"/>
    <n v="0.27"/>
    <x v="0"/>
    <x v="1978"/>
  </r>
  <r>
    <s v="SALE1979"/>
    <d v="2025-07-06T00:00:00"/>
    <s v="CUST1473"/>
    <s v="Laura Mathews"/>
    <s v="PROD50"/>
    <x v="0"/>
    <s v="STORE8"/>
    <n v="1"/>
    <n v="905.23"/>
    <n v="0"/>
    <x v="0"/>
    <x v="1979"/>
  </r>
  <r>
    <s v="SALE1980"/>
    <d v="2023-12-04T00:00:00"/>
    <s v="CUST1186"/>
    <s v="Jennifer Pruitt"/>
    <s v="PROD67"/>
    <x v="1"/>
    <s v="STORE19"/>
    <n v="3"/>
    <n v="112.77"/>
    <n v="0.19"/>
    <x v="0"/>
    <x v="1980"/>
  </r>
  <r>
    <s v="SALE1981"/>
    <d v="2025-04-26T00:00:00"/>
    <s v="CUST1161"/>
    <s v="Cynthia Morris"/>
    <s v="PROD97"/>
    <x v="0"/>
    <s v="STORE8"/>
    <n v="3"/>
    <n v="875.99"/>
    <n v="0.09"/>
    <x v="1"/>
    <x v="1981"/>
  </r>
  <r>
    <s v="SALE1982"/>
    <d v="2024-06-17T00:00:00"/>
    <s v="CUST1128"/>
    <s v="Susan Mcdonald"/>
    <s v="PROD25"/>
    <x v="4"/>
    <s v="STORE10"/>
    <n v="2"/>
    <n v="685.31"/>
    <n v="0.26"/>
    <x v="1"/>
    <x v="1982"/>
  </r>
  <r>
    <s v="SALE1983"/>
    <d v="2024-11-11T00:00:00"/>
    <s v="CUST1052"/>
    <s v="Debra Liu"/>
    <s v="PROD51"/>
    <x v="1"/>
    <s v="STORE11"/>
    <n v="3"/>
    <n v="945.37"/>
    <n v="0.05"/>
    <x v="0"/>
    <x v="1983"/>
  </r>
  <r>
    <s v="SALE1984"/>
    <d v="2023-12-07T00:00:00"/>
    <s v="CUST1023"/>
    <s v="Jonathan Steele"/>
    <s v="PROD68"/>
    <x v="3"/>
    <s v="STORE19"/>
    <n v="3"/>
    <n v="68.45"/>
    <n v="0.17"/>
    <x v="1"/>
    <x v="1984"/>
  </r>
  <r>
    <m/>
    <m/>
    <m/>
    <m/>
    <m/>
    <x v="5"/>
    <m/>
    <m/>
    <m/>
    <m/>
    <x v="3"/>
    <x v="19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s v="Sheena Bonilla  "/>
    <n v="55"/>
    <x v="0"/>
    <x v="0"/>
    <x v="0"/>
    <x v="0"/>
    <s v="USA"/>
    <x v="0"/>
  </r>
  <r>
    <s v="CUST1001"/>
    <s v="Eugene Nelson"/>
    <n v="26"/>
    <x v="1"/>
    <x v="1"/>
    <x v="1"/>
    <x v="1"/>
    <s v="USA"/>
    <x v="1"/>
  </r>
  <r>
    <s v="CUST1002"/>
    <s v="Dr. Benjamin Price"/>
    <n v="29"/>
    <x v="1"/>
    <x v="1"/>
    <x v="2"/>
    <x v="2"/>
    <s v="USA"/>
    <x v="1"/>
  </r>
  <r>
    <s v="CUST1003"/>
    <s v="Jeremy Harris"/>
    <n v="59"/>
    <x v="0"/>
    <x v="1"/>
    <x v="3"/>
    <x v="3"/>
    <s v="USA"/>
    <x v="2"/>
  </r>
  <r>
    <s v="CUST1004"/>
    <s v="Caroline Collins"/>
    <n v="64"/>
    <x v="0"/>
    <x v="1"/>
    <x v="4"/>
    <x v="4"/>
    <s v="USA"/>
    <x v="3"/>
  </r>
  <r>
    <s v="CUST1005"/>
    <s v="Christine Vaughn"/>
    <n v="24"/>
    <x v="1"/>
    <x v="0"/>
    <x v="5"/>
    <x v="5"/>
    <s v="USA"/>
    <x v="2"/>
  </r>
  <r>
    <s v="CUST1006"/>
    <s v="Amber Jackson"/>
    <n v="29"/>
    <x v="1"/>
    <x v="1"/>
    <x v="6"/>
    <x v="6"/>
    <s v="USA"/>
    <x v="1"/>
  </r>
  <r>
    <s v="CUST1007"/>
    <s v="Daniel Boyd"/>
    <n v="29"/>
    <x v="1"/>
    <x v="1"/>
    <x v="7"/>
    <x v="7"/>
    <s v="USA"/>
    <x v="2"/>
  </r>
  <r>
    <s v="CUST1008"/>
    <s v="Melissa Howard"/>
    <n v="53"/>
    <x v="0"/>
    <x v="1"/>
    <x v="8"/>
    <x v="8"/>
    <s v="USA"/>
    <x v="4"/>
  </r>
  <r>
    <s v="CUST1009"/>
    <s v="Ms. Maria Leach"/>
    <n v="64"/>
    <x v="0"/>
    <x v="0"/>
    <x v="9"/>
    <x v="9"/>
    <s v="USA"/>
    <x v="1"/>
  </r>
  <r>
    <s v="CUST1010"/>
    <s v="Dominic Page"/>
    <n v="53"/>
    <x v="0"/>
    <x v="0"/>
    <x v="10"/>
    <x v="9"/>
    <s v="USA"/>
    <x v="2"/>
  </r>
  <r>
    <s v="CUST1011"/>
    <s v="Brian Lopez"/>
    <n v="28"/>
    <x v="1"/>
    <x v="1"/>
    <x v="11"/>
    <x v="10"/>
    <s v="USA"/>
    <x v="4"/>
  </r>
  <r>
    <s v="CUST1012"/>
    <s v="Kenneth Lambert"/>
    <n v="55"/>
    <x v="0"/>
    <x v="1"/>
    <x v="12"/>
    <x v="11"/>
    <s v="USA"/>
    <x v="1"/>
  </r>
  <r>
    <s v="CUST1013"/>
    <s v="Nathan Hernandez"/>
    <n v="32"/>
    <x v="2"/>
    <x v="1"/>
    <x v="13"/>
    <x v="12"/>
    <s v="USA"/>
    <x v="3"/>
  </r>
  <r>
    <s v="CUST1014"/>
    <s v="Ashley Cohen"/>
    <n v="53"/>
    <x v="0"/>
    <x v="1"/>
    <x v="14"/>
    <x v="13"/>
    <s v="USA"/>
    <x v="3"/>
  </r>
  <r>
    <s v="CUST1015"/>
    <s v="Laura Alvarez"/>
    <n v="49"/>
    <x v="2"/>
    <x v="1"/>
    <x v="15"/>
    <x v="14"/>
    <s v="USA"/>
    <x v="1"/>
  </r>
  <r>
    <s v="CUST1016"/>
    <s v="John Scott"/>
    <n v="24"/>
    <x v="1"/>
    <x v="1"/>
    <x v="16"/>
    <x v="9"/>
    <s v="USA"/>
    <x v="2"/>
  </r>
  <r>
    <s v="CUST1017"/>
    <s v="Adam Cruz"/>
    <n v="60"/>
    <x v="0"/>
    <x v="1"/>
    <x v="17"/>
    <x v="15"/>
    <s v="USA"/>
    <x v="1"/>
  </r>
  <r>
    <s v="CUST1018"/>
    <s v="Rhonda Moss"/>
    <n v="43"/>
    <x v="2"/>
    <x v="0"/>
    <x v="18"/>
    <x v="11"/>
    <s v="USA"/>
    <x v="0"/>
  </r>
  <r>
    <s v="CUST1019"/>
    <s v="Michael Torres"/>
    <n v="46"/>
    <x v="2"/>
    <x v="1"/>
    <x v="19"/>
    <x v="16"/>
    <s v="USA"/>
    <x v="1"/>
  </r>
  <r>
    <s v="CUST1020"/>
    <s v="Bridget Allen"/>
    <n v="59"/>
    <x v="0"/>
    <x v="0"/>
    <x v="20"/>
    <x v="17"/>
    <s v="USA"/>
    <x v="3"/>
  </r>
  <r>
    <s v="CUST1021"/>
    <s v="Jeff Martinez"/>
    <n v="36"/>
    <x v="2"/>
    <x v="1"/>
    <x v="21"/>
    <x v="18"/>
    <s v="USA"/>
    <x v="4"/>
  </r>
  <r>
    <s v="CUST1022"/>
    <s v="Paul Fox"/>
    <n v="33"/>
    <x v="2"/>
    <x v="1"/>
    <x v="22"/>
    <x v="19"/>
    <s v="USA"/>
    <x v="3"/>
  </r>
  <r>
    <s v="CUST1023"/>
    <s v="Jonathan Steele"/>
    <n v="52"/>
    <x v="0"/>
    <x v="1"/>
    <x v="23"/>
    <x v="5"/>
    <s v="USA"/>
    <x v="3"/>
  </r>
  <r>
    <s v="CUST1024"/>
    <s v="Heather Collins"/>
    <n v="40"/>
    <x v="2"/>
    <x v="0"/>
    <x v="24"/>
    <x v="20"/>
    <s v="USA"/>
    <x v="1"/>
  </r>
  <r>
    <s v="CUST1025"/>
    <s v="Diana Taylor"/>
    <n v="59"/>
    <x v="0"/>
    <x v="1"/>
    <x v="25"/>
    <x v="4"/>
    <s v="USA"/>
    <x v="2"/>
  </r>
  <r>
    <s v="CUST1026"/>
    <s v="Amber Carlson"/>
    <n v="18"/>
    <x v="1"/>
    <x v="1"/>
    <x v="26"/>
    <x v="21"/>
    <s v="USA"/>
    <x v="4"/>
  </r>
  <r>
    <s v="CUST1027"/>
    <s v="Leslie Johnson"/>
    <n v="31"/>
    <x v="2"/>
    <x v="0"/>
    <x v="27"/>
    <x v="22"/>
    <s v="USA"/>
    <x v="0"/>
  </r>
  <r>
    <s v="CUST1028"/>
    <s v="Joshua Ryan"/>
    <n v="27"/>
    <x v="1"/>
    <x v="1"/>
    <x v="28"/>
    <x v="16"/>
    <s v="USA"/>
    <x v="1"/>
  </r>
  <r>
    <s v="CUST1029"/>
    <s v="David Arnold"/>
    <n v="54"/>
    <x v="0"/>
    <x v="1"/>
    <x v="29"/>
    <x v="4"/>
    <s v="USA"/>
    <x v="3"/>
  </r>
  <r>
    <s v="CUST1030"/>
    <s v="Jessica Acevedo"/>
    <n v="64"/>
    <x v="0"/>
    <x v="1"/>
    <x v="30"/>
    <x v="9"/>
    <s v="USA"/>
    <x v="2"/>
  </r>
  <r>
    <s v="CUST1031"/>
    <s v="Sarah Vance"/>
    <n v="41"/>
    <x v="2"/>
    <x v="0"/>
    <x v="31"/>
    <x v="5"/>
    <s v="USA"/>
    <x v="3"/>
  </r>
  <r>
    <s v="CUST1032"/>
    <s v="Mike Jennings"/>
    <n v="48"/>
    <x v="2"/>
    <x v="1"/>
    <x v="32"/>
    <x v="23"/>
    <s v="USA"/>
    <x v="4"/>
  </r>
  <r>
    <s v="CUST1033"/>
    <s v="Robert Jones Dds"/>
    <n v="25"/>
    <x v="1"/>
    <x v="0"/>
    <x v="33"/>
    <x v="18"/>
    <s v="USA"/>
    <x v="1"/>
  </r>
  <r>
    <s v="CUST1034"/>
    <s v="Christopher Olson"/>
    <n v="27"/>
    <x v="1"/>
    <x v="1"/>
    <x v="34"/>
    <x v="24"/>
    <s v="USA"/>
    <x v="1"/>
  </r>
  <r>
    <s v="CUST1035"/>
    <s v="Rachel Myers"/>
    <n v="52"/>
    <x v="0"/>
    <x v="0"/>
    <x v="35"/>
    <x v="1"/>
    <s v="USA"/>
    <x v="3"/>
  </r>
  <r>
    <s v="CUST1036"/>
    <s v="Thomas Phillips"/>
    <n v="20"/>
    <x v="1"/>
    <x v="1"/>
    <x v="36"/>
    <x v="15"/>
    <s v="USA"/>
    <x v="4"/>
  </r>
  <r>
    <s v="CUST1037"/>
    <s v="Christopher Carter"/>
    <n v="27"/>
    <x v="1"/>
    <x v="1"/>
    <x v="37"/>
    <x v="6"/>
    <s v="USA"/>
    <x v="0"/>
  </r>
  <r>
    <s v="CUST1038"/>
    <s v="Deanna Simpson"/>
    <n v="35"/>
    <x v="2"/>
    <x v="1"/>
    <x v="38"/>
    <x v="1"/>
    <s v="USA"/>
    <x v="2"/>
  </r>
  <r>
    <s v="CUST1039"/>
    <s v="Tonya Reynolds"/>
    <n v="55"/>
    <x v="0"/>
    <x v="1"/>
    <x v="39"/>
    <x v="25"/>
    <s v="USA"/>
    <x v="4"/>
  </r>
  <r>
    <s v="CUST1040"/>
    <s v="Eric Vega"/>
    <n v="50"/>
    <x v="2"/>
    <x v="0"/>
    <x v="40"/>
    <x v="11"/>
    <s v="USA"/>
    <x v="4"/>
  </r>
  <r>
    <s v="CUST1041"/>
    <s v="James Gibbs"/>
    <n v="21"/>
    <x v="1"/>
    <x v="0"/>
    <x v="41"/>
    <x v="26"/>
    <s v="USA"/>
    <x v="1"/>
  </r>
  <r>
    <s v="CUST1042"/>
    <s v="William Martin"/>
    <n v="19"/>
    <x v="1"/>
    <x v="0"/>
    <x v="42"/>
    <x v="27"/>
    <s v="USA"/>
    <x v="1"/>
  </r>
  <r>
    <s v="CUST1043"/>
    <s v="Joseph Snow"/>
    <n v="45"/>
    <x v="2"/>
    <x v="0"/>
    <x v="43"/>
    <x v="28"/>
    <s v="USA"/>
    <x v="4"/>
  </r>
  <r>
    <s v="CUST1044"/>
    <s v="Denise Williams"/>
    <n v="34"/>
    <x v="2"/>
    <x v="0"/>
    <x v="44"/>
    <x v="19"/>
    <s v="USA"/>
    <x v="2"/>
  </r>
  <r>
    <s v="CUST1045"/>
    <s v="Jordan Jackson Dds"/>
    <n v="54"/>
    <x v="0"/>
    <x v="0"/>
    <x v="45"/>
    <x v="23"/>
    <s v="USA"/>
    <x v="4"/>
  </r>
  <r>
    <s v="CUST1046"/>
    <s v="Michelle Garcia Dds"/>
    <n v="55"/>
    <x v="0"/>
    <x v="1"/>
    <x v="46"/>
    <x v="3"/>
    <s v="USA"/>
    <x v="1"/>
  </r>
  <r>
    <s v="CUST1047"/>
    <s v="Gina Knight"/>
    <n v="54"/>
    <x v="0"/>
    <x v="1"/>
    <x v="47"/>
    <x v="29"/>
    <s v="USA"/>
    <x v="3"/>
  </r>
  <r>
    <s v="CUST1048"/>
    <s v="April Mullins"/>
    <n v="54"/>
    <x v="0"/>
    <x v="0"/>
    <x v="48"/>
    <x v="0"/>
    <s v="USA"/>
    <x v="1"/>
  </r>
  <r>
    <s v="CUST1049"/>
    <s v="Timothy Weaver"/>
    <n v="45"/>
    <x v="2"/>
    <x v="1"/>
    <x v="49"/>
    <x v="3"/>
    <s v="USA"/>
    <x v="4"/>
  </r>
  <r>
    <s v="CUST1050"/>
    <s v="Matthew Hunter Jr."/>
    <n v="61"/>
    <x v="0"/>
    <x v="1"/>
    <x v="50"/>
    <x v="30"/>
    <s v="USA"/>
    <x v="4"/>
  </r>
  <r>
    <s v="CUST1051"/>
    <s v="Sarah Rodgers"/>
    <n v="23"/>
    <x v="1"/>
    <x v="1"/>
    <x v="51"/>
    <x v="7"/>
    <s v="USA"/>
    <x v="4"/>
  </r>
  <r>
    <s v="CUST1052"/>
    <s v="Debra Liu"/>
    <n v="55"/>
    <x v="0"/>
    <x v="0"/>
    <x v="52"/>
    <x v="31"/>
    <s v="USA"/>
    <x v="2"/>
  </r>
  <r>
    <s v="CUST1053"/>
    <s v="Sharon Brown"/>
    <n v="37"/>
    <x v="2"/>
    <x v="1"/>
    <x v="53"/>
    <x v="25"/>
    <s v="USA"/>
    <x v="4"/>
  </r>
  <r>
    <s v="CUST1054"/>
    <s v="Katherine Dorsey"/>
    <n v="24"/>
    <x v="1"/>
    <x v="0"/>
    <x v="54"/>
    <x v="18"/>
    <s v="USA"/>
    <x v="1"/>
  </r>
  <r>
    <s v="CUST1055"/>
    <s v="Wayne Mcpherson"/>
    <n v="56"/>
    <x v="0"/>
    <x v="1"/>
    <x v="55"/>
    <x v="31"/>
    <s v="USA"/>
    <x v="2"/>
  </r>
  <r>
    <s v="CUST1056"/>
    <s v="Christopher Sutton"/>
    <n v="49"/>
    <x v="2"/>
    <x v="1"/>
    <x v="56"/>
    <x v="9"/>
    <s v="USA"/>
    <x v="4"/>
  </r>
  <r>
    <s v="CUST1057"/>
    <s v="Jay Patel"/>
    <n v="43"/>
    <x v="2"/>
    <x v="1"/>
    <x v="57"/>
    <x v="32"/>
    <s v="USA"/>
    <x v="1"/>
  </r>
  <r>
    <s v="CUST1058"/>
    <s v="Cheryl Copeland"/>
    <n v="51"/>
    <x v="0"/>
    <x v="0"/>
    <x v="58"/>
    <x v="24"/>
    <s v="USA"/>
    <x v="1"/>
  </r>
  <r>
    <s v="CUST1059"/>
    <s v="Alyssa Vargas"/>
    <n v="53"/>
    <x v="0"/>
    <x v="0"/>
    <x v="59"/>
    <x v="12"/>
    <s v="USA"/>
    <x v="1"/>
  </r>
  <r>
    <s v="CUST1060"/>
    <s v="Dr. David Smith"/>
    <n v="22"/>
    <x v="1"/>
    <x v="1"/>
    <x v="60"/>
    <x v="26"/>
    <s v="USA"/>
    <x v="3"/>
  </r>
  <r>
    <s v="CUST1061"/>
    <s v="Kristin Stein"/>
    <n v="23"/>
    <x v="1"/>
    <x v="0"/>
    <x v="61"/>
    <x v="21"/>
    <s v="USA"/>
    <x v="3"/>
  </r>
  <r>
    <s v="CUST1062"/>
    <s v="James Bean"/>
    <n v="50"/>
    <x v="2"/>
    <x v="0"/>
    <x v="62"/>
    <x v="33"/>
    <s v="USA"/>
    <x v="2"/>
  </r>
  <r>
    <s v="CUST1063"/>
    <s v="Michael Daniel"/>
    <n v="51"/>
    <x v="0"/>
    <x v="0"/>
    <x v="63"/>
    <x v="34"/>
    <s v="USA"/>
    <x v="1"/>
  </r>
  <r>
    <s v="CUST1064"/>
    <s v="Mr. Mason Butler"/>
    <n v="33"/>
    <x v="2"/>
    <x v="0"/>
    <x v="64"/>
    <x v="23"/>
    <s v="USA"/>
    <x v="4"/>
  </r>
  <r>
    <s v="CUST1065"/>
    <s v="Michael Thomas"/>
    <n v="21"/>
    <x v="1"/>
    <x v="1"/>
    <x v="65"/>
    <x v="29"/>
    <s v="USA"/>
    <x v="3"/>
  </r>
  <r>
    <s v="CUST1066"/>
    <s v="Cody Diaz"/>
    <n v="27"/>
    <x v="1"/>
    <x v="1"/>
    <x v="66"/>
    <x v="8"/>
    <s v="USA"/>
    <x v="3"/>
  </r>
  <r>
    <s v="CUST1067"/>
    <s v="Amber Mcclain"/>
    <n v="58"/>
    <x v="0"/>
    <x v="0"/>
    <x v="67"/>
    <x v="35"/>
    <s v="USA"/>
    <x v="3"/>
  </r>
  <r>
    <s v="CUST1068"/>
    <s v="Mr. Mark Beasley"/>
    <n v="24"/>
    <x v="1"/>
    <x v="1"/>
    <x v="68"/>
    <x v="36"/>
    <s v="USA"/>
    <x v="3"/>
  </r>
  <r>
    <s v="CUST1069"/>
    <s v="Roy Cole"/>
    <n v="24"/>
    <x v="1"/>
    <x v="1"/>
    <x v="69"/>
    <x v="16"/>
    <s v="USA"/>
    <x v="1"/>
  </r>
  <r>
    <s v="CUST1070"/>
    <s v="Eric Singh"/>
    <n v="29"/>
    <x v="1"/>
    <x v="1"/>
    <x v="70"/>
    <x v="33"/>
    <s v="USA"/>
    <x v="4"/>
  </r>
  <r>
    <s v="CUST1071"/>
    <s v="Andrea Perez"/>
    <n v="61"/>
    <x v="0"/>
    <x v="1"/>
    <x v="71"/>
    <x v="33"/>
    <s v="USA"/>
    <x v="4"/>
  </r>
  <r>
    <s v="CUST1072"/>
    <s v="Tonya Burch"/>
    <n v="39"/>
    <x v="2"/>
    <x v="1"/>
    <x v="72"/>
    <x v="37"/>
    <s v="USA"/>
    <x v="4"/>
  </r>
  <r>
    <s v="CUST1073"/>
    <s v="Christopher Brown"/>
    <n v="56"/>
    <x v="0"/>
    <x v="1"/>
    <x v="73"/>
    <x v="7"/>
    <s v="USA"/>
    <x v="3"/>
  </r>
  <r>
    <s v="CUST1074"/>
    <s v="John Mayer"/>
    <n v="58"/>
    <x v="0"/>
    <x v="0"/>
    <x v="74"/>
    <x v="38"/>
    <s v="USA"/>
    <x v="2"/>
  </r>
  <r>
    <s v="CUST1075"/>
    <s v="Rhonda Morales"/>
    <n v="61"/>
    <x v="0"/>
    <x v="1"/>
    <x v="75"/>
    <x v="4"/>
    <s v="USA"/>
    <x v="4"/>
  </r>
  <r>
    <s v="CUST1076"/>
    <s v="Nathan Campbell"/>
    <n v="37"/>
    <x v="2"/>
    <x v="0"/>
    <x v="76"/>
    <x v="18"/>
    <s v="USA"/>
    <x v="4"/>
  </r>
  <r>
    <s v="CUST1077"/>
    <s v="Katherine Young"/>
    <n v="29"/>
    <x v="1"/>
    <x v="0"/>
    <x v="77"/>
    <x v="28"/>
    <s v="USA"/>
    <x v="4"/>
  </r>
  <r>
    <s v="CUST1078"/>
    <s v="Cody Blake"/>
    <n v="21"/>
    <x v="1"/>
    <x v="0"/>
    <x v="78"/>
    <x v="39"/>
    <s v="USA"/>
    <x v="4"/>
  </r>
  <r>
    <s v="CUST1079"/>
    <s v="Molly Gardner"/>
    <n v="22"/>
    <x v="1"/>
    <x v="1"/>
    <x v="79"/>
    <x v="40"/>
    <s v="USA"/>
    <x v="1"/>
  </r>
  <r>
    <s v="CUST1080"/>
    <s v="Jennifer Garcia"/>
    <n v="61"/>
    <x v="0"/>
    <x v="1"/>
    <x v="80"/>
    <x v="33"/>
    <s v="USA"/>
    <x v="2"/>
  </r>
  <r>
    <s v="CUST1081"/>
    <s v="Krystal Ford"/>
    <n v="34"/>
    <x v="2"/>
    <x v="1"/>
    <x v="81"/>
    <x v="23"/>
    <s v="USA"/>
    <x v="1"/>
  </r>
  <r>
    <s v="CUST1082"/>
    <s v="George Rosario"/>
    <n v="53"/>
    <x v="0"/>
    <x v="0"/>
    <x v="82"/>
    <x v="35"/>
    <s v="USA"/>
    <x v="2"/>
  </r>
  <r>
    <s v="CUST1083"/>
    <s v="Thomas Robinson"/>
    <n v="48"/>
    <x v="2"/>
    <x v="1"/>
    <x v="83"/>
    <x v="15"/>
    <s v="USA"/>
    <x v="2"/>
  </r>
  <r>
    <s v="CUST1084"/>
    <s v="Christy Hoffman"/>
    <n v="26"/>
    <x v="1"/>
    <x v="1"/>
    <x v="84"/>
    <x v="36"/>
    <s v="USA"/>
    <x v="1"/>
  </r>
  <r>
    <s v="CUST1085"/>
    <s v="Richard Delgado"/>
    <n v="36"/>
    <x v="2"/>
    <x v="0"/>
    <x v="85"/>
    <x v="9"/>
    <s v="USA"/>
    <x v="3"/>
  </r>
  <r>
    <s v="CUST1086"/>
    <s v="Tammy Miller Md"/>
    <n v="19"/>
    <x v="1"/>
    <x v="1"/>
    <x v="86"/>
    <x v="41"/>
    <s v="USA"/>
    <x v="4"/>
  </r>
  <r>
    <s v="CUST1087"/>
    <s v="Melissa Duffy Md"/>
    <n v="58"/>
    <x v="0"/>
    <x v="1"/>
    <x v="87"/>
    <x v="42"/>
    <s v="USA"/>
    <x v="2"/>
  </r>
  <r>
    <s v="CUST1088"/>
    <s v="Timothy Wright"/>
    <n v="58"/>
    <x v="0"/>
    <x v="0"/>
    <x v="88"/>
    <x v="40"/>
    <s v="USA"/>
    <x v="3"/>
  </r>
  <r>
    <s v="CUST1089"/>
    <s v="Jamie Yoder"/>
    <n v="43"/>
    <x v="2"/>
    <x v="0"/>
    <x v="89"/>
    <x v="43"/>
    <s v="USA"/>
    <x v="1"/>
  </r>
  <r>
    <s v="CUST1090"/>
    <s v="Oscar Moon"/>
    <n v="58"/>
    <x v="0"/>
    <x v="1"/>
    <x v="90"/>
    <x v="44"/>
    <s v="USA"/>
    <x v="1"/>
  </r>
  <r>
    <s v="CUST1091"/>
    <s v="Donna Gregory"/>
    <n v="29"/>
    <x v="1"/>
    <x v="1"/>
    <x v="91"/>
    <x v="23"/>
    <s v="USA"/>
    <x v="3"/>
  </r>
  <r>
    <s v="CUST1092"/>
    <s v="Robert Jackson"/>
    <n v="44"/>
    <x v="2"/>
    <x v="1"/>
    <x v="92"/>
    <x v="34"/>
    <s v="USA"/>
    <x v="1"/>
  </r>
  <r>
    <s v="CUST1093"/>
    <s v="Christy Vasquez"/>
    <n v="28"/>
    <x v="1"/>
    <x v="1"/>
    <x v="93"/>
    <x v="42"/>
    <s v="USA"/>
    <x v="4"/>
  </r>
  <r>
    <s v="CUST1094"/>
    <s v="David Patterson"/>
    <n v="43"/>
    <x v="2"/>
    <x v="1"/>
    <x v="94"/>
    <x v="29"/>
    <s v="USA"/>
    <x v="4"/>
  </r>
  <r>
    <s v="CUST1095"/>
    <s v="Amy Fowler"/>
    <n v="62"/>
    <x v="0"/>
    <x v="1"/>
    <x v="95"/>
    <x v="10"/>
    <s v="USA"/>
    <x v="1"/>
  </r>
  <r>
    <s v="CUST1096"/>
    <s v="Samantha Walker"/>
    <n v="30"/>
    <x v="2"/>
    <x v="1"/>
    <x v="96"/>
    <x v="44"/>
    <s v="USA"/>
    <x v="1"/>
  </r>
  <r>
    <s v="CUST1097"/>
    <s v="David Cobb"/>
    <n v="36"/>
    <x v="2"/>
    <x v="0"/>
    <x v="97"/>
    <x v="6"/>
    <s v="USA"/>
    <x v="3"/>
  </r>
  <r>
    <s v="CUST1098"/>
    <s v="Brittney Morgan"/>
    <n v="24"/>
    <x v="1"/>
    <x v="0"/>
    <x v="98"/>
    <x v="26"/>
    <s v="USA"/>
    <x v="4"/>
  </r>
  <r>
    <s v="CUST1099"/>
    <s v="Sheila Wilson"/>
    <n v="35"/>
    <x v="2"/>
    <x v="0"/>
    <x v="99"/>
    <x v="34"/>
    <s v="USA"/>
    <x v="3"/>
  </r>
  <r>
    <s v="CUST1100"/>
    <s v="Diane Watson"/>
    <n v="53"/>
    <x v="0"/>
    <x v="1"/>
    <x v="100"/>
    <x v="45"/>
    <s v="USA"/>
    <x v="1"/>
  </r>
  <r>
    <s v="CUST1101"/>
    <s v="Colleen Maynard"/>
    <n v="29"/>
    <x v="1"/>
    <x v="0"/>
    <x v="101"/>
    <x v="22"/>
    <s v="USA"/>
    <x v="4"/>
  </r>
  <r>
    <s v="CUST1102"/>
    <s v="Sarah Schneider"/>
    <n v="34"/>
    <x v="2"/>
    <x v="1"/>
    <x v="102"/>
    <x v="9"/>
    <s v="USA"/>
    <x v="2"/>
  </r>
  <r>
    <s v="CUST1103"/>
    <s v="Steven Stein"/>
    <n v="21"/>
    <x v="1"/>
    <x v="0"/>
    <x v="103"/>
    <x v="27"/>
    <s v="USA"/>
    <x v="2"/>
  </r>
  <r>
    <s v="CUST1104"/>
    <s v="Christopher Lester"/>
    <n v="64"/>
    <x v="0"/>
    <x v="0"/>
    <x v="104"/>
    <x v="15"/>
    <s v="USA"/>
    <x v="3"/>
  </r>
  <r>
    <s v="CUST1105"/>
    <s v="Lance Baker"/>
    <n v="50"/>
    <x v="2"/>
    <x v="1"/>
    <x v="105"/>
    <x v="35"/>
    <s v="USA"/>
    <x v="4"/>
  </r>
  <r>
    <s v="CUST1106"/>
    <s v="Howard Summers"/>
    <n v="53"/>
    <x v="0"/>
    <x v="1"/>
    <x v="106"/>
    <x v="32"/>
    <s v="USA"/>
    <x v="2"/>
  </r>
  <r>
    <s v="CUST1107"/>
    <s v="Erica Carney"/>
    <n v="62"/>
    <x v="0"/>
    <x v="1"/>
    <x v="107"/>
    <x v="1"/>
    <s v="USA"/>
    <x v="1"/>
  </r>
  <r>
    <s v="CUST1108"/>
    <s v="Travis Holland"/>
    <n v="38"/>
    <x v="2"/>
    <x v="0"/>
    <x v="108"/>
    <x v="8"/>
    <s v="USA"/>
    <x v="2"/>
  </r>
  <r>
    <s v="CUST1109"/>
    <s v="Amy Walker"/>
    <n v="27"/>
    <x v="1"/>
    <x v="0"/>
    <x v="109"/>
    <x v="7"/>
    <s v="USA"/>
    <x v="3"/>
  </r>
  <r>
    <s v="CUST1110"/>
    <s v="Ashley Griffin"/>
    <n v="40"/>
    <x v="2"/>
    <x v="1"/>
    <x v="110"/>
    <x v="24"/>
    <s v="USA"/>
    <x v="4"/>
  </r>
  <r>
    <s v="CUST1111"/>
    <s v="Julie Farmer"/>
    <n v="18"/>
    <x v="1"/>
    <x v="1"/>
    <x v="111"/>
    <x v="23"/>
    <s v="USA"/>
    <x v="1"/>
  </r>
  <r>
    <s v="CUST1112"/>
    <s v="David Cole"/>
    <n v="27"/>
    <x v="1"/>
    <x v="1"/>
    <x v="112"/>
    <x v="25"/>
    <s v="USA"/>
    <x v="3"/>
  </r>
  <r>
    <s v="CUST1113"/>
    <s v="Edward Hall"/>
    <n v="51"/>
    <x v="0"/>
    <x v="0"/>
    <x v="113"/>
    <x v="33"/>
    <s v="USA"/>
    <x v="4"/>
  </r>
  <r>
    <s v="CUST1114"/>
    <s v="Ryan Hernandez"/>
    <n v="30"/>
    <x v="2"/>
    <x v="0"/>
    <x v="114"/>
    <x v="29"/>
    <s v="USA"/>
    <x v="2"/>
  </r>
  <r>
    <s v="CUST1115"/>
    <s v="Tyler Conrad"/>
    <n v="53"/>
    <x v="0"/>
    <x v="1"/>
    <x v="115"/>
    <x v="1"/>
    <s v="USA"/>
    <x v="1"/>
  </r>
  <r>
    <s v="CUST1116"/>
    <s v="Anthony Phillips"/>
    <n v="18"/>
    <x v="1"/>
    <x v="1"/>
    <x v="116"/>
    <x v="32"/>
    <s v="USA"/>
    <x v="1"/>
  </r>
  <r>
    <s v="CUST1117"/>
    <s v="Colleen Mccarthy"/>
    <n v="21"/>
    <x v="1"/>
    <x v="1"/>
    <x v="117"/>
    <x v="14"/>
    <s v="USA"/>
    <x v="1"/>
  </r>
  <r>
    <s v="CUST1118"/>
    <s v="Earl Allen"/>
    <n v="36"/>
    <x v="2"/>
    <x v="0"/>
    <x v="118"/>
    <x v="13"/>
    <s v="USA"/>
    <x v="1"/>
  </r>
  <r>
    <s v="CUST1119"/>
    <s v="Michael Jones"/>
    <n v="40"/>
    <x v="2"/>
    <x v="0"/>
    <x v="119"/>
    <x v="34"/>
    <s v="USA"/>
    <x v="2"/>
  </r>
  <r>
    <s v="CUST1120"/>
    <s v="Jacob Hopkins"/>
    <n v="44"/>
    <x v="2"/>
    <x v="1"/>
    <x v="120"/>
    <x v="9"/>
    <s v="USA"/>
    <x v="1"/>
  </r>
  <r>
    <s v="CUST1121"/>
    <s v="Joel Robinson"/>
    <n v="62"/>
    <x v="0"/>
    <x v="0"/>
    <x v="121"/>
    <x v="19"/>
    <s v="USA"/>
    <x v="1"/>
  </r>
  <r>
    <s v="CUST1122"/>
    <s v="Michael Chang"/>
    <n v="50"/>
    <x v="2"/>
    <x v="0"/>
    <x v="122"/>
    <x v="0"/>
    <s v="USA"/>
    <x v="1"/>
  </r>
  <r>
    <s v="CUST1123"/>
    <s v="Erin Hopkins"/>
    <n v="40"/>
    <x v="2"/>
    <x v="0"/>
    <x v="123"/>
    <x v="37"/>
    <s v="USA"/>
    <x v="3"/>
  </r>
  <r>
    <s v="CUST1124"/>
    <s v="Donald Lee"/>
    <n v="26"/>
    <x v="1"/>
    <x v="0"/>
    <x v="124"/>
    <x v="30"/>
    <s v="USA"/>
    <x v="2"/>
  </r>
  <r>
    <s v="CUST1125"/>
    <s v="Keith Miller"/>
    <n v="64"/>
    <x v="0"/>
    <x v="1"/>
    <x v="125"/>
    <x v="46"/>
    <s v="USA"/>
    <x v="1"/>
  </r>
  <r>
    <s v="CUST1126"/>
    <s v="James Wolfe"/>
    <n v="62"/>
    <x v="0"/>
    <x v="1"/>
    <x v="126"/>
    <x v="23"/>
    <s v="USA"/>
    <x v="4"/>
  </r>
  <r>
    <s v="CUST1127"/>
    <s v="John Mcknight"/>
    <n v="39"/>
    <x v="2"/>
    <x v="0"/>
    <x v="127"/>
    <x v="28"/>
    <s v="USA"/>
    <x v="1"/>
  </r>
  <r>
    <s v="CUST1128"/>
    <s v="Susan Mcdonald"/>
    <n v="45"/>
    <x v="2"/>
    <x v="0"/>
    <x v="128"/>
    <x v="40"/>
    <s v="USA"/>
    <x v="3"/>
  </r>
  <r>
    <s v="CUST1129"/>
    <s v="Jessica Mitchell"/>
    <n v="43"/>
    <x v="2"/>
    <x v="1"/>
    <x v="129"/>
    <x v="6"/>
    <s v="USA"/>
    <x v="3"/>
  </r>
  <r>
    <s v="CUST1130"/>
    <s v="Jamie Reyes"/>
    <n v="29"/>
    <x v="1"/>
    <x v="0"/>
    <x v="130"/>
    <x v="27"/>
    <b v="0"/>
    <x v="1"/>
  </r>
  <r>
    <s v="CUST1131"/>
    <s v="Joseph Richards"/>
    <n v="34"/>
    <x v="2"/>
    <x v="1"/>
    <x v="131"/>
    <x v="2"/>
    <s v="USA"/>
    <x v="2"/>
  </r>
  <r>
    <s v="CUST1132"/>
    <s v="Miguel Reynolds"/>
    <n v="57"/>
    <x v="0"/>
    <x v="1"/>
    <x v="132"/>
    <x v="3"/>
    <s v="USA"/>
    <x v="4"/>
  </r>
  <r>
    <s v="CUST1133"/>
    <s v="Hayley Pope"/>
    <n v="62"/>
    <x v="0"/>
    <x v="1"/>
    <x v="133"/>
    <x v="35"/>
    <s v="USA"/>
    <x v="2"/>
  </r>
  <r>
    <s v="CUST1134"/>
    <s v="Morgan Bowen"/>
    <n v="54"/>
    <x v="0"/>
    <x v="0"/>
    <x v="134"/>
    <x v="14"/>
    <s v="USA"/>
    <x v="4"/>
  </r>
  <r>
    <s v="CUST1135"/>
    <s v="Matthew Hanna"/>
    <n v="33"/>
    <x v="2"/>
    <x v="1"/>
    <x v="135"/>
    <x v="25"/>
    <s v="USA"/>
    <x v="1"/>
  </r>
  <r>
    <s v="CUST1136"/>
    <s v="Patrick Coleman"/>
    <n v="29"/>
    <x v="1"/>
    <x v="0"/>
    <x v="136"/>
    <x v="13"/>
    <s v="USA"/>
    <x v="3"/>
  </r>
  <r>
    <s v="CUST1137"/>
    <s v="Rick Dominguez"/>
    <n v="55"/>
    <x v="0"/>
    <x v="1"/>
    <x v="137"/>
    <x v="3"/>
    <s v="USA"/>
    <x v="1"/>
  </r>
  <r>
    <s v="CUST1138"/>
    <s v="Sean Roth"/>
    <n v="43"/>
    <x v="2"/>
    <x v="0"/>
    <x v="112"/>
    <x v="39"/>
    <s v="USA"/>
    <x v="4"/>
  </r>
  <r>
    <s v="CUST1139"/>
    <s v="Brian Holder"/>
    <n v="32"/>
    <x v="2"/>
    <x v="0"/>
    <x v="138"/>
    <x v="22"/>
    <s v="USA"/>
    <x v="2"/>
  </r>
  <r>
    <s v="CUST1140"/>
    <s v="Patty Francis"/>
    <n v="63"/>
    <x v="0"/>
    <x v="1"/>
    <x v="139"/>
    <x v="9"/>
    <s v="USA"/>
    <x v="4"/>
  </r>
  <r>
    <s v="CUST1141"/>
    <s v="Cristian Wright"/>
    <n v="30"/>
    <x v="2"/>
    <x v="0"/>
    <x v="140"/>
    <x v="4"/>
    <b v="0"/>
    <x v="2"/>
  </r>
  <r>
    <s v="CUST1142"/>
    <s v="Maria Ramirez"/>
    <n v="37"/>
    <x v="2"/>
    <x v="0"/>
    <x v="141"/>
    <x v="12"/>
    <s v="USA"/>
    <x v="2"/>
  </r>
  <r>
    <s v="CUST1143"/>
    <s v="Carlos Skinner"/>
    <n v="46"/>
    <x v="2"/>
    <x v="0"/>
    <x v="142"/>
    <x v="2"/>
    <s v="USA"/>
    <x v="2"/>
  </r>
  <r>
    <s v="CUST1144"/>
    <s v="Justin Cross"/>
    <n v="62"/>
    <x v="0"/>
    <x v="1"/>
    <x v="143"/>
    <x v="29"/>
    <s v="USA"/>
    <x v="2"/>
  </r>
  <r>
    <s v="CUST1145"/>
    <s v="Cameron Simpson"/>
    <n v="46"/>
    <x v="2"/>
    <x v="0"/>
    <x v="144"/>
    <x v="36"/>
    <s v="USA"/>
    <x v="1"/>
  </r>
  <r>
    <s v="CUST1146"/>
    <s v="Edward Rivera"/>
    <n v="32"/>
    <x v="2"/>
    <x v="1"/>
    <x v="145"/>
    <x v="42"/>
    <s v="USA"/>
    <x v="4"/>
  </r>
  <r>
    <s v="CUST1147"/>
    <s v="Rhonda Young"/>
    <n v="49"/>
    <x v="2"/>
    <x v="1"/>
    <x v="146"/>
    <x v="26"/>
    <s v="USA"/>
    <x v="1"/>
  </r>
  <r>
    <s v="CUST1148"/>
    <s v="Theresa Campbell"/>
    <n v="42"/>
    <x v="2"/>
    <x v="1"/>
    <x v="147"/>
    <x v="43"/>
    <s v="USA"/>
    <x v="2"/>
  </r>
  <r>
    <s v="CUST1149"/>
    <s v="Denise Griffin"/>
    <n v="33"/>
    <x v="2"/>
    <x v="0"/>
    <x v="148"/>
    <x v="35"/>
    <s v="USA"/>
    <x v="1"/>
  </r>
  <r>
    <s v="CUST1150"/>
    <s v="Stephanie Conway"/>
    <n v="24"/>
    <x v="1"/>
    <x v="0"/>
    <x v="149"/>
    <x v="41"/>
    <s v="USA"/>
    <x v="4"/>
  </r>
  <r>
    <s v="CUST1151"/>
    <s v="Michael Davies"/>
    <n v="25"/>
    <x v="1"/>
    <x v="1"/>
    <x v="150"/>
    <x v="5"/>
    <s v="USA"/>
    <x v="4"/>
  </r>
  <r>
    <s v="CUST1152"/>
    <s v="Patrick Roberts"/>
    <n v="41"/>
    <x v="2"/>
    <x v="1"/>
    <x v="151"/>
    <x v="21"/>
    <s v="USA"/>
    <x v="1"/>
  </r>
  <r>
    <s v="CUST1153"/>
    <s v="Joseph Faulkner"/>
    <n v="31"/>
    <x v="2"/>
    <x v="0"/>
    <x v="152"/>
    <x v="1"/>
    <s v="USA"/>
    <x v="2"/>
  </r>
  <r>
    <s v="CUST1154"/>
    <s v="Julie Hale"/>
    <n v="35"/>
    <x v="2"/>
    <x v="1"/>
    <x v="153"/>
    <x v="28"/>
    <s v="USA"/>
    <x v="4"/>
  </r>
  <r>
    <s v="CUST1155"/>
    <s v="Curtis Haynes"/>
    <n v="60"/>
    <x v="0"/>
    <x v="1"/>
    <x v="154"/>
    <x v="37"/>
    <s v="USA"/>
    <x v="4"/>
  </r>
  <r>
    <s v="CUST1156"/>
    <s v="Maria Sanchez"/>
    <n v="46"/>
    <x v="2"/>
    <x v="0"/>
    <x v="155"/>
    <x v="1"/>
    <s v="USA"/>
    <x v="2"/>
  </r>
  <r>
    <s v="CUST1157"/>
    <s v="Paul Zamora"/>
    <n v="59"/>
    <x v="0"/>
    <x v="0"/>
    <x v="156"/>
    <x v="1"/>
    <s v="USA"/>
    <x v="1"/>
  </r>
  <r>
    <s v="CUST1158"/>
    <s v="Sean Powell"/>
    <n v="43"/>
    <x v="2"/>
    <x v="0"/>
    <x v="157"/>
    <x v="28"/>
    <s v="USA"/>
    <x v="2"/>
  </r>
  <r>
    <s v="CUST1159"/>
    <s v="Brian Choi"/>
    <n v="46"/>
    <x v="2"/>
    <x v="1"/>
    <x v="158"/>
    <x v="16"/>
    <s v="USA"/>
    <x v="4"/>
  </r>
  <r>
    <s v="CUST1160"/>
    <s v="John Lawson"/>
    <n v="41"/>
    <x v="2"/>
    <x v="1"/>
    <x v="159"/>
    <x v="0"/>
    <s v="USA"/>
    <x v="1"/>
  </r>
  <r>
    <s v="CUST1161"/>
    <s v="Cynthia Morris"/>
    <n v="18"/>
    <x v="1"/>
    <x v="1"/>
    <x v="160"/>
    <x v="23"/>
    <s v="USA"/>
    <x v="3"/>
  </r>
  <r>
    <s v="CUST1162"/>
    <s v="Mariah Brown"/>
    <n v="37"/>
    <x v="2"/>
    <x v="0"/>
    <x v="161"/>
    <x v="34"/>
    <b v="0"/>
    <x v="3"/>
  </r>
  <r>
    <s v="CUST1163"/>
    <s v="Joseph Jones"/>
    <n v="21"/>
    <x v="1"/>
    <x v="0"/>
    <x v="162"/>
    <x v="30"/>
    <s v="USA"/>
    <x v="2"/>
  </r>
  <r>
    <s v="CUST1164"/>
    <s v="Daniel Rivas"/>
    <n v="39"/>
    <x v="2"/>
    <x v="1"/>
    <x v="163"/>
    <x v="15"/>
    <s v="USA"/>
    <x v="3"/>
  </r>
  <r>
    <s v="CUST1165"/>
    <s v="Jason Wheeler"/>
    <n v="47"/>
    <x v="2"/>
    <x v="1"/>
    <x v="164"/>
    <x v="30"/>
    <s v="USA"/>
    <x v="1"/>
  </r>
  <r>
    <s v="CUST1166"/>
    <s v="Patricia Gardner"/>
    <n v="25"/>
    <x v="1"/>
    <x v="1"/>
    <x v="165"/>
    <x v="25"/>
    <s v="USA"/>
    <x v="3"/>
  </r>
  <r>
    <s v="CUST1167"/>
    <s v="Antonio Wade"/>
    <n v="36"/>
    <x v="2"/>
    <x v="1"/>
    <x v="166"/>
    <x v="34"/>
    <s v="USA"/>
    <x v="4"/>
  </r>
  <r>
    <s v="CUST1168"/>
    <s v="Daniel Contreras"/>
    <n v="36"/>
    <x v="2"/>
    <x v="1"/>
    <x v="167"/>
    <x v="35"/>
    <s v="USA"/>
    <x v="1"/>
  </r>
  <r>
    <s v="CUST1169"/>
    <s v="Steve Mclaughlin"/>
    <n v="64"/>
    <x v="0"/>
    <x v="0"/>
    <x v="168"/>
    <x v="8"/>
    <s v="USA"/>
    <x v="2"/>
  </r>
  <r>
    <s v="CUST1170"/>
    <s v="Christopher Garcia Dds"/>
    <n v="18"/>
    <x v="1"/>
    <x v="0"/>
    <x v="169"/>
    <x v="21"/>
    <s v="USA"/>
    <x v="4"/>
  </r>
  <r>
    <s v="CUST1171"/>
    <s v="Amy Wilson"/>
    <n v="44"/>
    <x v="2"/>
    <x v="1"/>
    <x v="170"/>
    <x v="36"/>
    <s v="USA"/>
    <x v="1"/>
  </r>
  <r>
    <s v="CUST1172"/>
    <s v="Thomas Rhodes"/>
    <n v="41"/>
    <x v="2"/>
    <x v="1"/>
    <x v="171"/>
    <x v="7"/>
    <s v="USA"/>
    <x v="2"/>
  </r>
  <r>
    <s v="CUST1173"/>
    <s v="Teresa Stokes"/>
    <n v="41"/>
    <x v="2"/>
    <x v="1"/>
    <x v="113"/>
    <x v="37"/>
    <s v="USA"/>
    <x v="1"/>
  </r>
  <r>
    <s v="CUST1174"/>
    <s v="Maria Davis"/>
    <n v="26"/>
    <x v="1"/>
    <x v="1"/>
    <x v="172"/>
    <x v="28"/>
    <s v="USA"/>
    <x v="4"/>
  </r>
  <r>
    <s v="CUST1175"/>
    <s v="Michelle Rogers"/>
    <n v="56"/>
    <x v="0"/>
    <x v="0"/>
    <x v="173"/>
    <x v="19"/>
    <s v="USA"/>
    <x v="1"/>
  </r>
  <r>
    <s v="CUST1176"/>
    <s v="John Bradford"/>
    <n v="48"/>
    <x v="2"/>
    <x v="0"/>
    <x v="174"/>
    <x v="28"/>
    <s v="USA"/>
    <x v="3"/>
  </r>
  <r>
    <s v="CUST1177"/>
    <s v="Curtis Lam"/>
    <n v="55"/>
    <x v="0"/>
    <x v="0"/>
    <x v="175"/>
    <x v="47"/>
    <s v="USA"/>
    <x v="1"/>
  </r>
  <r>
    <s v="CUST1178"/>
    <s v="Michelle Myers"/>
    <n v="33"/>
    <x v="2"/>
    <x v="1"/>
    <x v="176"/>
    <x v="42"/>
    <s v="USA"/>
    <x v="2"/>
  </r>
  <r>
    <s v="CUST1179"/>
    <s v="Nicholas Bradshaw"/>
    <n v="43"/>
    <x v="2"/>
    <x v="1"/>
    <x v="177"/>
    <x v="22"/>
    <s v="USA"/>
    <x v="3"/>
  </r>
  <r>
    <s v="CUST1180"/>
    <s v="Wesley Thompson"/>
    <n v="38"/>
    <x v="2"/>
    <x v="0"/>
    <x v="178"/>
    <x v="46"/>
    <s v="USA"/>
    <x v="2"/>
  </r>
  <r>
    <s v="CUST1181"/>
    <s v="Erin Ward"/>
    <n v="60"/>
    <x v="0"/>
    <x v="0"/>
    <x v="179"/>
    <x v="10"/>
    <s v="USA"/>
    <x v="2"/>
  </r>
  <r>
    <s v="CUST1182"/>
    <s v="Melissa Hamilton"/>
    <n v="23"/>
    <x v="1"/>
    <x v="1"/>
    <x v="180"/>
    <x v="18"/>
    <s v="USA"/>
    <x v="3"/>
  </r>
  <r>
    <s v="CUST1183"/>
    <s v="Mario Jacobs"/>
    <n v="18"/>
    <x v="1"/>
    <x v="0"/>
    <x v="181"/>
    <x v="10"/>
    <s v="USA"/>
    <x v="1"/>
  </r>
  <r>
    <s v="CUST1184"/>
    <s v="Leonard Cochran"/>
    <n v="46"/>
    <x v="2"/>
    <x v="1"/>
    <x v="182"/>
    <x v="1"/>
    <s v="USA"/>
    <x v="3"/>
  </r>
  <r>
    <s v="CUST1185"/>
    <s v="Brent Rivas"/>
    <n v="54"/>
    <x v="0"/>
    <x v="1"/>
    <x v="183"/>
    <x v="16"/>
    <s v="USA"/>
    <x v="1"/>
  </r>
  <r>
    <s v="CUST1186"/>
    <s v="Jennifer Pruitt"/>
    <n v="53"/>
    <x v="0"/>
    <x v="0"/>
    <x v="184"/>
    <x v="21"/>
    <s v="USA"/>
    <x v="3"/>
  </r>
  <r>
    <s v="CUST1187"/>
    <s v="Dr. Suzanne Bullock"/>
    <n v="60"/>
    <x v="0"/>
    <x v="1"/>
    <x v="185"/>
    <x v="2"/>
    <s v="USA"/>
    <x v="1"/>
  </r>
  <r>
    <s v="CUST1188"/>
    <s v="Kimberly Brooks"/>
    <n v="42"/>
    <x v="2"/>
    <x v="0"/>
    <x v="186"/>
    <x v="33"/>
    <s v="USA"/>
    <x v="3"/>
  </r>
  <r>
    <s v="CUST1189"/>
    <s v="Daniel Austin"/>
    <n v="29"/>
    <x v="1"/>
    <x v="0"/>
    <x v="187"/>
    <x v="47"/>
    <s v="USA"/>
    <x v="4"/>
  </r>
  <r>
    <s v="CUST1190"/>
    <s v="Christopher Stewart"/>
    <n v="21"/>
    <x v="1"/>
    <x v="0"/>
    <x v="188"/>
    <x v="10"/>
    <s v="USA"/>
    <x v="2"/>
  </r>
  <r>
    <s v="CUST1191"/>
    <s v="Todd Poole"/>
    <n v="29"/>
    <x v="1"/>
    <x v="1"/>
    <x v="189"/>
    <x v="3"/>
    <s v="USA"/>
    <x v="2"/>
  </r>
  <r>
    <s v="CUST1192"/>
    <s v="Jacob Wood"/>
    <n v="26"/>
    <x v="1"/>
    <x v="0"/>
    <x v="190"/>
    <x v="20"/>
    <s v="USA"/>
    <x v="4"/>
  </r>
  <r>
    <s v="CUST1193"/>
    <s v="David Roberts"/>
    <n v="38"/>
    <x v="2"/>
    <x v="0"/>
    <x v="191"/>
    <x v="15"/>
    <s v="USA"/>
    <x v="4"/>
  </r>
  <r>
    <s v="CUST1194"/>
    <s v="Ashley Ferguson"/>
    <n v="46"/>
    <x v="2"/>
    <x v="0"/>
    <x v="192"/>
    <x v="9"/>
    <s v="USA"/>
    <x v="4"/>
  </r>
  <r>
    <s v="CUST1195"/>
    <s v="Anthony Garcia"/>
    <n v="60"/>
    <x v="0"/>
    <x v="0"/>
    <x v="193"/>
    <x v="23"/>
    <s v="USA"/>
    <x v="3"/>
  </r>
  <r>
    <s v="CUST1196"/>
    <s v="Megan Greer"/>
    <n v="18"/>
    <x v="1"/>
    <x v="1"/>
    <x v="194"/>
    <x v="26"/>
    <s v="USA"/>
    <x v="1"/>
  </r>
  <r>
    <s v="CUST1197"/>
    <s v="Andrea Jacobs"/>
    <n v="45"/>
    <x v="2"/>
    <x v="1"/>
    <x v="54"/>
    <x v="31"/>
    <s v="USA"/>
    <x v="1"/>
  </r>
  <r>
    <s v="CUST1198"/>
    <s v="Wanda Snyder"/>
    <n v="54"/>
    <x v="0"/>
    <x v="0"/>
    <x v="195"/>
    <x v="28"/>
    <s v="USA"/>
    <x v="2"/>
  </r>
  <r>
    <s v="CUST1199"/>
    <s v="Carmen Price"/>
    <n v="46"/>
    <x v="2"/>
    <x v="0"/>
    <x v="196"/>
    <x v="34"/>
    <s v="USA"/>
    <x v="2"/>
  </r>
  <r>
    <s v="CUST1200"/>
    <s v="Anna Perez"/>
    <n v="30"/>
    <x v="2"/>
    <x v="0"/>
    <x v="197"/>
    <x v="46"/>
    <s v="USA"/>
    <x v="1"/>
  </r>
  <r>
    <s v="CUST1201"/>
    <s v="Mary Boyd"/>
    <n v="25"/>
    <x v="1"/>
    <x v="1"/>
    <x v="198"/>
    <x v="25"/>
    <s v="USA"/>
    <x v="2"/>
  </r>
  <r>
    <s v="CUST1202"/>
    <s v="Christina Garcia"/>
    <n v="37"/>
    <x v="2"/>
    <x v="1"/>
    <x v="199"/>
    <x v="11"/>
    <s v="USA"/>
    <x v="1"/>
  </r>
  <r>
    <s v="CUST1203"/>
    <s v="Sarah Brady"/>
    <n v="47"/>
    <x v="2"/>
    <x v="0"/>
    <x v="200"/>
    <x v="37"/>
    <s v="USA"/>
    <x v="1"/>
  </r>
  <r>
    <s v="CUST1204"/>
    <s v="Tiffany Herrera"/>
    <n v="52"/>
    <x v="0"/>
    <x v="0"/>
    <x v="201"/>
    <x v="39"/>
    <s v="USA"/>
    <x v="1"/>
  </r>
  <r>
    <s v="CUST1205"/>
    <s v="Michelle Carpenter"/>
    <n v="44"/>
    <x v="2"/>
    <x v="1"/>
    <x v="202"/>
    <x v="16"/>
    <s v="USA"/>
    <x v="4"/>
  </r>
  <r>
    <s v="CUST1206"/>
    <s v="Ronald Jones"/>
    <n v="26"/>
    <x v="1"/>
    <x v="1"/>
    <x v="203"/>
    <x v="34"/>
    <s v="USA"/>
    <x v="3"/>
  </r>
  <r>
    <s v="CUST1207"/>
    <s v="Jacqueline Pacheco"/>
    <n v="28"/>
    <x v="1"/>
    <x v="1"/>
    <x v="204"/>
    <x v="16"/>
    <s v="USA"/>
    <x v="2"/>
  </r>
  <r>
    <s v="CUST1208"/>
    <s v="John Perez"/>
    <n v="54"/>
    <x v="0"/>
    <x v="0"/>
    <x v="205"/>
    <x v="44"/>
    <s v="USA"/>
    <x v="1"/>
  </r>
  <r>
    <s v="CUST1209"/>
    <s v="Joan Johnson"/>
    <n v="50"/>
    <x v="2"/>
    <x v="1"/>
    <x v="206"/>
    <x v="46"/>
    <s v="USA"/>
    <x v="1"/>
  </r>
  <r>
    <s v="CUST1210"/>
    <s v="Antonio Jones"/>
    <n v="48"/>
    <x v="2"/>
    <x v="0"/>
    <x v="207"/>
    <x v="15"/>
    <s v="USA"/>
    <x v="3"/>
  </r>
  <r>
    <s v="CUST1211"/>
    <s v="Rodney Huffman"/>
    <n v="20"/>
    <x v="1"/>
    <x v="1"/>
    <x v="208"/>
    <x v="17"/>
    <s v="USA"/>
    <x v="3"/>
  </r>
  <r>
    <s v="CUST1212"/>
    <s v="Blake Harrison"/>
    <n v="63"/>
    <x v="0"/>
    <x v="1"/>
    <x v="209"/>
    <x v="14"/>
    <s v="USA"/>
    <x v="1"/>
  </r>
  <r>
    <s v="CUST1213"/>
    <s v="Stuart Johnson"/>
    <n v="42"/>
    <x v="2"/>
    <x v="1"/>
    <x v="210"/>
    <x v="1"/>
    <s v="USA"/>
    <x v="1"/>
  </r>
  <r>
    <s v="CUST1214"/>
    <s v="Eric Todd"/>
    <n v="61"/>
    <x v="0"/>
    <x v="0"/>
    <x v="211"/>
    <x v="12"/>
    <s v="USA"/>
    <x v="4"/>
  </r>
  <r>
    <s v="CUST1215"/>
    <s v="Steve Medina"/>
    <n v="50"/>
    <x v="2"/>
    <x v="1"/>
    <x v="212"/>
    <x v="5"/>
    <s v="USA"/>
    <x v="4"/>
  </r>
  <r>
    <s v="CUST1216"/>
    <s v="Kathryn Garcia"/>
    <n v="44"/>
    <x v="2"/>
    <x v="0"/>
    <x v="213"/>
    <x v="4"/>
    <s v="USA"/>
    <x v="1"/>
  </r>
  <r>
    <s v="CUST1217"/>
    <s v="Kathy Copeland"/>
    <n v="42"/>
    <x v="2"/>
    <x v="0"/>
    <x v="214"/>
    <x v="21"/>
    <s v="USA"/>
    <x v="3"/>
  </r>
  <r>
    <s v="CUST1218"/>
    <s v="Julia Jackson"/>
    <n v="46"/>
    <x v="2"/>
    <x v="0"/>
    <x v="215"/>
    <x v="4"/>
    <s v="USA"/>
    <x v="1"/>
  </r>
  <r>
    <s v="CUST1219"/>
    <s v="Jordan Wells"/>
    <n v="47"/>
    <x v="2"/>
    <x v="1"/>
    <x v="216"/>
    <x v="16"/>
    <s v="USA"/>
    <x v="4"/>
  </r>
  <r>
    <s v="CUST1220"/>
    <s v="George Davis"/>
    <n v="50"/>
    <x v="2"/>
    <x v="1"/>
    <x v="217"/>
    <x v="48"/>
    <s v="USA"/>
    <x v="2"/>
  </r>
  <r>
    <s v="CUST1221"/>
    <s v="Lisa Young"/>
    <n v="38"/>
    <x v="2"/>
    <x v="0"/>
    <x v="218"/>
    <x v="15"/>
    <s v="USA"/>
    <x v="1"/>
  </r>
  <r>
    <s v="CUST1222"/>
    <s v="Alejandro Doyle"/>
    <n v="35"/>
    <x v="2"/>
    <x v="0"/>
    <x v="219"/>
    <x v="33"/>
    <s v="USA"/>
    <x v="1"/>
  </r>
  <r>
    <s v="CUST1223"/>
    <s v="Robert Harris"/>
    <n v="50"/>
    <x v="2"/>
    <x v="0"/>
    <x v="220"/>
    <x v="37"/>
    <s v="USA"/>
    <x v="1"/>
  </r>
  <r>
    <s v="CUST1224"/>
    <s v="Anthony Morgan"/>
    <n v="29"/>
    <x v="1"/>
    <x v="0"/>
    <x v="221"/>
    <x v="21"/>
    <s v="USA"/>
    <x v="3"/>
  </r>
  <r>
    <s v="CUST1225"/>
    <s v="Elizabeth Stanley"/>
    <n v="46"/>
    <x v="2"/>
    <x v="1"/>
    <x v="222"/>
    <x v="22"/>
    <s v="USA"/>
    <x v="1"/>
  </r>
  <r>
    <s v="CUST1226"/>
    <s v="Alexis Castaneda"/>
    <n v="54"/>
    <x v="0"/>
    <x v="0"/>
    <x v="57"/>
    <x v="26"/>
    <s v="USA"/>
    <x v="4"/>
  </r>
  <r>
    <s v="CUST1227"/>
    <s v="Gregory Pham"/>
    <n v="63"/>
    <x v="0"/>
    <x v="1"/>
    <x v="223"/>
    <x v="11"/>
    <s v="USA"/>
    <x v="4"/>
  </r>
  <r>
    <s v="CUST1228"/>
    <s v="Casey Flores"/>
    <n v="52"/>
    <x v="0"/>
    <x v="1"/>
    <x v="112"/>
    <x v="22"/>
    <s v="USA"/>
    <x v="4"/>
  </r>
  <r>
    <s v="CUST1229"/>
    <s v="Tanner Thompson"/>
    <n v="32"/>
    <x v="2"/>
    <x v="1"/>
    <x v="224"/>
    <x v="24"/>
    <s v="USA"/>
    <x v="2"/>
  </r>
  <r>
    <s v="CUST1230"/>
    <s v="Timothy Sanders"/>
    <n v="29"/>
    <x v="1"/>
    <x v="0"/>
    <x v="225"/>
    <x v="35"/>
    <s v="USA"/>
    <x v="2"/>
  </r>
  <r>
    <s v="CUST1231"/>
    <s v="Timothy Juarez"/>
    <n v="22"/>
    <x v="1"/>
    <x v="1"/>
    <x v="226"/>
    <x v="42"/>
    <s v="USA"/>
    <x v="2"/>
  </r>
  <r>
    <s v="CUST1232"/>
    <s v="Christy Hill"/>
    <n v="27"/>
    <x v="1"/>
    <x v="1"/>
    <x v="227"/>
    <x v="16"/>
    <s v="USA"/>
    <x v="1"/>
  </r>
  <r>
    <s v="CUST1233"/>
    <s v="Michelle Gonzalez"/>
    <n v="59"/>
    <x v="0"/>
    <x v="0"/>
    <x v="228"/>
    <x v="7"/>
    <s v="USA"/>
    <x v="3"/>
  </r>
  <r>
    <s v="CUST1234"/>
    <s v="Nathaniel Hill"/>
    <n v="43"/>
    <x v="2"/>
    <x v="1"/>
    <x v="229"/>
    <x v="11"/>
    <s v="USA"/>
    <x v="4"/>
  </r>
  <r>
    <s v="CUST1235"/>
    <s v="Jon Ortiz"/>
    <n v="28"/>
    <x v="1"/>
    <x v="1"/>
    <x v="230"/>
    <x v="17"/>
    <s v="USA"/>
    <x v="2"/>
  </r>
  <r>
    <s v="CUST1236"/>
    <s v="Joshua Wilson"/>
    <n v="42"/>
    <x v="2"/>
    <x v="1"/>
    <x v="231"/>
    <x v="39"/>
    <s v="USA"/>
    <x v="2"/>
  </r>
  <r>
    <s v="CUST1237"/>
    <s v="Wesley Short"/>
    <n v="41"/>
    <x v="2"/>
    <x v="1"/>
    <x v="232"/>
    <x v="12"/>
    <s v="USA"/>
    <x v="4"/>
  </r>
  <r>
    <s v="CUST1238"/>
    <s v="Steven Smith"/>
    <n v="40"/>
    <x v="2"/>
    <x v="0"/>
    <x v="233"/>
    <x v="7"/>
    <s v="USA"/>
    <x v="1"/>
  </r>
  <r>
    <s v="CUST1239"/>
    <s v="Maria Hill"/>
    <n v="58"/>
    <x v="0"/>
    <x v="1"/>
    <x v="234"/>
    <x v="29"/>
    <s v="USA"/>
    <x v="1"/>
  </r>
  <r>
    <s v="CUST1240"/>
    <s v="William Hull"/>
    <n v="59"/>
    <x v="0"/>
    <x v="1"/>
    <x v="235"/>
    <x v="25"/>
    <s v="USA"/>
    <x v="1"/>
  </r>
  <r>
    <s v="CUST1241"/>
    <s v="Mr. William Horton"/>
    <n v="31"/>
    <x v="2"/>
    <x v="0"/>
    <x v="236"/>
    <x v="39"/>
    <s v="USA"/>
    <x v="1"/>
  </r>
  <r>
    <s v="CUST1242"/>
    <s v="William Jackson"/>
    <n v="58"/>
    <x v="0"/>
    <x v="1"/>
    <x v="237"/>
    <x v="27"/>
    <s v="USA"/>
    <x v="3"/>
  </r>
  <r>
    <s v="CUST1243"/>
    <s v="Brian Hammond"/>
    <n v="56"/>
    <x v="0"/>
    <x v="1"/>
    <x v="238"/>
    <x v="45"/>
    <s v="USA"/>
    <x v="4"/>
  </r>
  <r>
    <s v="CUST1244"/>
    <s v="Nancy Page"/>
    <n v="19"/>
    <x v="1"/>
    <x v="0"/>
    <x v="239"/>
    <x v="22"/>
    <s v="USA"/>
    <x v="2"/>
  </r>
  <r>
    <s v="CUST1245"/>
    <s v="Laura Soto"/>
    <n v="57"/>
    <x v="0"/>
    <x v="1"/>
    <x v="240"/>
    <x v="25"/>
    <s v="USA"/>
    <x v="1"/>
  </r>
  <r>
    <s v="CUST1246"/>
    <s v="Mary Russell"/>
    <n v="58"/>
    <x v="0"/>
    <x v="0"/>
    <x v="241"/>
    <x v="40"/>
    <s v="USA"/>
    <x v="2"/>
  </r>
  <r>
    <s v="CUST1247"/>
    <s v="Douglas Rhodes"/>
    <n v="32"/>
    <x v="2"/>
    <x v="0"/>
    <x v="242"/>
    <x v="8"/>
    <s v="USA"/>
    <x v="1"/>
  </r>
  <r>
    <s v="CUST1248"/>
    <s v="Nicholas Webb"/>
    <n v="19"/>
    <x v="1"/>
    <x v="0"/>
    <x v="243"/>
    <x v="29"/>
    <s v="USA"/>
    <x v="4"/>
  </r>
  <r>
    <s v="CUST1249"/>
    <s v="Lauren George"/>
    <n v="41"/>
    <x v="2"/>
    <x v="1"/>
    <x v="244"/>
    <x v="10"/>
    <s v="USA"/>
    <x v="4"/>
  </r>
  <r>
    <s v="CUST1250"/>
    <s v="Veronica Newman"/>
    <n v="48"/>
    <x v="2"/>
    <x v="0"/>
    <x v="245"/>
    <x v="17"/>
    <s v="USA"/>
    <x v="1"/>
  </r>
  <r>
    <s v="CUST1251"/>
    <s v="Tyler Garner"/>
    <n v="64"/>
    <x v="0"/>
    <x v="0"/>
    <x v="246"/>
    <x v="2"/>
    <s v="USA"/>
    <x v="3"/>
  </r>
  <r>
    <s v="CUST1252"/>
    <s v="John Mccoy"/>
    <n v="26"/>
    <x v="1"/>
    <x v="0"/>
    <x v="247"/>
    <x v="6"/>
    <s v="USA"/>
    <x v="3"/>
  </r>
  <r>
    <s v="CUST1253"/>
    <s v="Dr. Ashley Yates Md"/>
    <n v="32"/>
    <x v="2"/>
    <x v="0"/>
    <x v="248"/>
    <x v="43"/>
    <s v="USA"/>
    <x v="2"/>
  </r>
  <r>
    <s v="CUST1254"/>
    <s v="Linda Kline"/>
    <n v="34"/>
    <x v="2"/>
    <x v="0"/>
    <x v="249"/>
    <x v="26"/>
    <s v="USA"/>
    <x v="3"/>
  </r>
  <r>
    <s v="CUST1255"/>
    <s v="Damon Perez"/>
    <n v="21"/>
    <x v="1"/>
    <x v="0"/>
    <x v="250"/>
    <x v="3"/>
    <s v="USA"/>
    <x v="4"/>
  </r>
  <r>
    <s v="CUST1256"/>
    <s v="Kristen Fischer"/>
    <n v="57"/>
    <x v="0"/>
    <x v="0"/>
    <x v="251"/>
    <x v="40"/>
    <s v="USA"/>
    <x v="1"/>
  </r>
  <r>
    <s v="CUST1257"/>
    <s v="Christopher David"/>
    <n v="42"/>
    <x v="2"/>
    <x v="0"/>
    <x v="252"/>
    <x v="48"/>
    <s v="USA"/>
    <x v="3"/>
  </r>
  <r>
    <s v="CUST1258"/>
    <s v="Sarah Stewart"/>
    <n v="24"/>
    <x v="1"/>
    <x v="1"/>
    <x v="253"/>
    <x v="45"/>
    <s v="USA"/>
    <x v="1"/>
  </r>
  <r>
    <s v="CUST1259"/>
    <s v="Beth Allen"/>
    <n v="32"/>
    <x v="2"/>
    <x v="1"/>
    <x v="254"/>
    <x v="18"/>
    <s v="USA"/>
    <x v="3"/>
  </r>
  <r>
    <s v="CUST1260"/>
    <s v="Russell Lamb"/>
    <n v="63"/>
    <x v="0"/>
    <x v="1"/>
    <x v="255"/>
    <x v="23"/>
    <s v="USA"/>
    <x v="1"/>
  </r>
  <r>
    <s v="CUST1261"/>
    <s v="Carol Bishop"/>
    <n v="27"/>
    <x v="1"/>
    <x v="1"/>
    <x v="256"/>
    <x v="5"/>
    <s v="USA"/>
    <x v="3"/>
  </r>
  <r>
    <s v="CUST1262"/>
    <s v="Katherine Cowan"/>
    <n v="60"/>
    <x v="0"/>
    <x v="1"/>
    <x v="257"/>
    <x v="12"/>
    <s v="USA"/>
    <x v="3"/>
  </r>
  <r>
    <s v="CUST1263"/>
    <s v="Crystal Davis"/>
    <n v="50"/>
    <x v="2"/>
    <x v="0"/>
    <x v="258"/>
    <x v="44"/>
    <s v="USA"/>
    <x v="2"/>
  </r>
  <r>
    <s v="CUST1264"/>
    <s v="Matthew Payne"/>
    <n v="25"/>
    <x v="1"/>
    <x v="0"/>
    <x v="259"/>
    <x v="49"/>
    <s v="USA"/>
    <x v="4"/>
  </r>
  <r>
    <s v="CUST1265"/>
    <s v="Tracy Kelly"/>
    <n v="38"/>
    <x v="2"/>
    <x v="0"/>
    <x v="260"/>
    <x v="34"/>
    <s v="USA"/>
    <x v="3"/>
  </r>
  <r>
    <s v="CUST1266"/>
    <s v="Cynthia Payne"/>
    <n v="32"/>
    <x v="2"/>
    <x v="1"/>
    <x v="261"/>
    <x v="47"/>
    <s v="USA"/>
    <x v="2"/>
  </r>
  <r>
    <s v="CUST1267"/>
    <s v="Zachary Shelton"/>
    <n v="18"/>
    <x v="1"/>
    <x v="0"/>
    <x v="238"/>
    <x v="12"/>
    <s v="USA"/>
    <x v="2"/>
  </r>
  <r>
    <s v="CUST1268"/>
    <s v="Kevin Orr"/>
    <n v="53"/>
    <x v="0"/>
    <x v="1"/>
    <x v="262"/>
    <x v="31"/>
    <s v="USA"/>
    <x v="2"/>
  </r>
  <r>
    <s v="CUST1269"/>
    <s v="Tyrone Olson"/>
    <n v="45"/>
    <x v="2"/>
    <x v="1"/>
    <x v="263"/>
    <x v="4"/>
    <s v="USA"/>
    <x v="3"/>
  </r>
  <r>
    <s v="CUST1270"/>
    <s v="Brian Garcia"/>
    <n v="31"/>
    <x v="2"/>
    <x v="1"/>
    <x v="264"/>
    <x v="44"/>
    <s v="USA"/>
    <x v="4"/>
  </r>
  <r>
    <s v="CUST1271"/>
    <s v="Daisy Johnson Dds"/>
    <n v="64"/>
    <x v="0"/>
    <x v="0"/>
    <x v="265"/>
    <x v="13"/>
    <s v="USA"/>
    <x v="1"/>
  </r>
  <r>
    <s v="CUST1272"/>
    <s v="Adam Rowland"/>
    <n v="48"/>
    <x v="2"/>
    <x v="1"/>
    <x v="266"/>
    <x v="4"/>
    <s v="USA"/>
    <x v="4"/>
  </r>
  <r>
    <s v="CUST1273"/>
    <s v="Samantha Robinson"/>
    <n v="23"/>
    <x v="1"/>
    <x v="0"/>
    <x v="267"/>
    <x v="41"/>
    <s v="USA"/>
    <x v="2"/>
  </r>
  <r>
    <s v="CUST1274"/>
    <s v="Sarah Lane"/>
    <n v="38"/>
    <x v="2"/>
    <x v="0"/>
    <x v="268"/>
    <x v="28"/>
    <s v="USA"/>
    <x v="3"/>
  </r>
  <r>
    <s v="CUST1275"/>
    <s v="Shannon Miller"/>
    <n v="22"/>
    <x v="1"/>
    <x v="0"/>
    <x v="269"/>
    <x v="47"/>
    <s v="USA"/>
    <x v="4"/>
  </r>
  <r>
    <s v="CUST1276"/>
    <s v="Arthur Warren"/>
    <n v="38"/>
    <x v="2"/>
    <x v="0"/>
    <x v="270"/>
    <x v="29"/>
    <s v="USA"/>
    <x v="4"/>
  </r>
  <r>
    <s v="CUST1277"/>
    <s v="Jeffrey Gomez"/>
    <n v="22"/>
    <x v="1"/>
    <x v="1"/>
    <x v="271"/>
    <x v="38"/>
    <s v="USA"/>
    <x v="1"/>
  </r>
  <r>
    <s v="CUST1278"/>
    <s v="Stephen Fowler"/>
    <n v="42"/>
    <x v="2"/>
    <x v="1"/>
    <x v="272"/>
    <x v="32"/>
    <s v="USA"/>
    <x v="1"/>
  </r>
  <r>
    <s v="CUST1279"/>
    <s v="Aaron Luna"/>
    <n v="21"/>
    <x v="1"/>
    <x v="1"/>
    <x v="273"/>
    <x v="3"/>
    <s v="USA"/>
    <x v="2"/>
  </r>
  <r>
    <s v="CUST1280"/>
    <s v="Antonio Leon"/>
    <n v="48"/>
    <x v="2"/>
    <x v="0"/>
    <x v="274"/>
    <x v="19"/>
    <s v="USA"/>
    <x v="2"/>
  </r>
  <r>
    <s v="CUST1281"/>
    <s v="Brittany Watson"/>
    <n v="59"/>
    <x v="0"/>
    <x v="0"/>
    <x v="275"/>
    <x v="27"/>
    <s v="USA"/>
    <x v="1"/>
  </r>
  <r>
    <s v="CUST1282"/>
    <s v="Kristi Lopez"/>
    <n v="46"/>
    <x v="2"/>
    <x v="1"/>
    <x v="276"/>
    <x v="16"/>
    <s v="USA"/>
    <x v="4"/>
  </r>
  <r>
    <s v="CUST1283"/>
    <s v="Bryan Garcia"/>
    <n v="54"/>
    <x v="0"/>
    <x v="1"/>
    <x v="277"/>
    <x v="49"/>
    <s v="USA"/>
    <x v="3"/>
  </r>
  <r>
    <s v="CUST1284"/>
    <s v="Hunter Sutton"/>
    <n v="54"/>
    <x v="0"/>
    <x v="0"/>
    <x v="278"/>
    <x v="27"/>
    <s v="USA"/>
    <x v="4"/>
  </r>
  <r>
    <s v="CUST1285"/>
    <s v="Donna Guerra"/>
    <n v="46"/>
    <x v="2"/>
    <x v="1"/>
    <x v="279"/>
    <x v="48"/>
    <s v="USA"/>
    <x v="3"/>
  </r>
  <r>
    <s v="CUST1286"/>
    <s v="Tommy Roberts"/>
    <n v="22"/>
    <x v="1"/>
    <x v="0"/>
    <x v="280"/>
    <x v="6"/>
    <s v="USA"/>
    <x v="3"/>
  </r>
  <r>
    <s v="CUST1287"/>
    <s v="Cynthia Roberts"/>
    <n v="22"/>
    <x v="1"/>
    <x v="1"/>
    <x v="281"/>
    <x v="28"/>
    <s v="USA"/>
    <x v="4"/>
  </r>
  <r>
    <s v="CUST1288"/>
    <s v="Misty Ferguson"/>
    <n v="58"/>
    <x v="0"/>
    <x v="0"/>
    <x v="282"/>
    <x v="27"/>
    <s v="USA"/>
    <x v="4"/>
  </r>
  <r>
    <s v="CUST1289"/>
    <s v="Jennifer Figueroa"/>
    <n v="45"/>
    <x v="2"/>
    <x v="0"/>
    <x v="283"/>
    <x v="3"/>
    <s v="USA"/>
    <x v="2"/>
  </r>
  <r>
    <s v="CUST1290"/>
    <s v="Chase Williams Md"/>
    <n v="52"/>
    <x v="0"/>
    <x v="1"/>
    <x v="284"/>
    <x v="39"/>
    <s v="USA"/>
    <x v="3"/>
  </r>
  <r>
    <s v="CUST1291"/>
    <s v="James Powell"/>
    <n v="40"/>
    <x v="2"/>
    <x v="1"/>
    <x v="285"/>
    <x v="21"/>
    <s v="USA"/>
    <x v="2"/>
  </r>
  <r>
    <s v="CUST1292"/>
    <s v="Ricardo Jones"/>
    <n v="30"/>
    <x v="2"/>
    <x v="0"/>
    <x v="286"/>
    <x v="31"/>
    <s v="USA"/>
    <x v="3"/>
  </r>
  <r>
    <s v="CUST1293"/>
    <s v="Gloria Taylor"/>
    <n v="56"/>
    <x v="0"/>
    <x v="1"/>
    <x v="287"/>
    <x v="44"/>
    <s v="USA"/>
    <x v="1"/>
  </r>
  <r>
    <s v="CUST1294"/>
    <s v="Lisa Chandler"/>
    <n v="29"/>
    <x v="1"/>
    <x v="0"/>
    <x v="171"/>
    <x v="12"/>
    <s v="USA"/>
    <x v="1"/>
  </r>
  <r>
    <s v="CUST1295"/>
    <s v="Crystal Waters"/>
    <n v="19"/>
    <x v="1"/>
    <x v="1"/>
    <x v="288"/>
    <x v="11"/>
    <s v="USA"/>
    <x v="2"/>
  </r>
  <r>
    <s v="CUST1296"/>
    <s v="Jared Moran"/>
    <n v="28"/>
    <x v="1"/>
    <x v="1"/>
    <x v="81"/>
    <x v="7"/>
    <s v="USA"/>
    <x v="2"/>
  </r>
  <r>
    <s v="CUST1297"/>
    <s v="Jennifer Carr"/>
    <n v="47"/>
    <x v="2"/>
    <x v="1"/>
    <x v="289"/>
    <x v="21"/>
    <s v="USA"/>
    <x v="3"/>
  </r>
  <r>
    <s v="CUST1298"/>
    <s v="Tracy Stephens"/>
    <n v="64"/>
    <x v="0"/>
    <x v="0"/>
    <x v="290"/>
    <x v="46"/>
    <s v="USA"/>
    <x v="1"/>
  </r>
  <r>
    <s v="CUST1299"/>
    <s v="Stephanie Jacobs"/>
    <n v="48"/>
    <x v="2"/>
    <x v="1"/>
    <x v="291"/>
    <x v="44"/>
    <s v="USA"/>
    <x v="1"/>
  </r>
  <r>
    <s v="CUST1300"/>
    <s v="Matthew Avery"/>
    <n v="29"/>
    <x v="1"/>
    <x v="0"/>
    <x v="292"/>
    <x v="5"/>
    <s v="USA"/>
    <x v="3"/>
  </r>
  <r>
    <s v="CUST1301"/>
    <s v="Ryan Kane"/>
    <n v="50"/>
    <x v="2"/>
    <x v="0"/>
    <x v="293"/>
    <x v="39"/>
    <s v="USA"/>
    <x v="4"/>
  </r>
  <r>
    <s v="CUST1302"/>
    <s v="Edward Cole"/>
    <n v="36"/>
    <x v="2"/>
    <x v="0"/>
    <x v="294"/>
    <x v="23"/>
    <s v="USA"/>
    <x v="4"/>
  </r>
  <r>
    <s v="CUST1303"/>
    <s v="John Sloan"/>
    <n v="23"/>
    <x v="1"/>
    <x v="1"/>
    <x v="295"/>
    <x v="17"/>
    <s v="USA"/>
    <x v="1"/>
  </r>
  <r>
    <s v="CUST1304"/>
    <s v="Miss Alexandria Li Dvm"/>
    <n v="41"/>
    <x v="2"/>
    <x v="0"/>
    <x v="296"/>
    <x v="11"/>
    <s v="USA"/>
    <x v="3"/>
  </r>
  <r>
    <s v="CUST1305"/>
    <s v="Roberta Green"/>
    <n v="64"/>
    <x v="0"/>
    <x v="0"/>
    <x v="297"/>
    <x v="14"/>
    <s v="USA"/>
    <x v="1"/>
  </r>
  <r>
    <s v="CUST1306"/>
    <s v="Angela Robinson"/>
    <n v="44"/>
    <x v="2"/>
    <x v="0"/>
    <x v="298"/>
    <x v="34"/>
    <s v="USA"/>
    <x v="1"/>
  </r>
  <r>
    <s v="CUST1307"/>
    <s v="Brandy Thompson"/>
    <n v="56"/>
    <x v="0"/>
    <x v="1"/>
    <x v="299"/>
    <x v="2"/>
    <s v="USA"/>
    <x v="2"/>
  </r>
  <r>
    <s v="CUST1308"/>
    <s v="Jennifer Zamora"/>
    <n v="60"/>
    <x v="0"/>
    <x v="1"/>
    <x v="300"/>
    <x v="37"/>
    <s v="USA"/>
    <x v="4"/>
  </r>
  <r>
    <s v="CUST1309"/>
    <s v="Stacy Collins"/>
    <n v="41"/>
    <x v="2"/>
    <x v="1"/>
    <x v="301"/>
    <x v="4"/>
    <s v="USA"/>
    <x v="2"/>
  </r>
  <r>
    <s v="CUST1310"/>
    <s v="Kara Dodson"/>
    <n v="20"/>
    <x v="1"/>
    <x v="0"/>
    <x v="302"/>
    <x v="28"/>
    <s v="USA"/>
    <x v="3"/>
  </r>
  <r>
    <s v="CUST1311"/>
    <s v="Kevin Larson"/>
    <n v="35"/>
    <x v="2"/>
    <x v="0"/>
    <x v="303"/>
    <x v="5"/>
    <s v="USA"/>
    <x v="1"/>
  </r>
  <r>
    <s v="CUST1312"/>
    <s v="Jason Mullins"/>
    <n v="47"/>
    <x v="2"/>
    <x v="1"/>
    <x v="304"/>
    <x v="17"/>
    <s v="USA"/>
    <x v="3"/>
  </r>
  <r>
    <s v="CUST1313"/>
    <s v="Elizabeth Jones"/>
    <n v="62"/>
    <x v="0"/>
    <x v="0"/>
    <x v="305"/>
    <x v="24"/>
    <s v="USA"/>
    <x v="1"/>
  </r>
  <r>
    <s v="CUST1314"/>
    <s v="Elizabeth Johnson"/>
    <n v="53"/>
    <x v="0"/>
    <x v="1"/>
    <x v="306"/>
    <x v="14"/>
    <s v="USA"/>
    <x v="3"/>
  </r>
  <r>
    <s v="CUST1315"/>
    <s v="William Rodriguez"/>
    <n v="49"/>
    <x v="2"/>
    <x v="0"/>
    <x v="307"/>
    <x v="48"/>
    <s v="USA"/>
    <x v="3"/>
  </r>
  <r>
    <s v="CUST1316"/>
    <s v="Robert House"/>
    <n v="34"/>
    <x v="2"/>
    <x v="0"/>
    <x v="308"/>
    <x v="24"/>
    <s v="USA"/>
    <x v="4"/>
  </r>
  <r>
    <s v="CUST1317"/>
    <s v="Tiffany Williams"/>
    <n v="64"/>
    <x v="0"/>
    <x v="1"/>
    <x v="309"/>
    <x v="8"/>
    <s v="USA"/>
    <x v="4"/>
  </r>
  <r>
    <s v="CUST1318"/>
    <s v="Madison Wright"/>
    <n v="25"/>
    <x v="1"/>
    <x v="0"/>
    <x v="310"/>
    <x v="11"/>
    <s v="USA"/>
    <x v="1"/>
  </r>
  <r>
    <s v="CUST1319"/>
    <s v="Casey Simpson"/>
    <n v="54"/>
    <x v="0"/>
    <x v="0"/>
    <x v="311"/>
    <x v="41"/>
    <s v="USA"/>
    <x v="1"/>
  </r>
  <r>
    <s v="CUST1320"/>
    <s v="Jessica Gonzalez"/>
    <n v="34"/>
    <x v="2"/>
    <x v="1"/>
    <x v="312"/>
    <x v="37"/>
    <s v="USA"/>
    <x v="2"/>
  </r>
  <r>
    <s v="CUST1321"/>
    <s v="Darren Burton"/>
    <n v="21"/>
    <x v="1"/>
    <x v="1"/>
    <x v="313"/>
    <x v="34"/>
    <s v="USA"/>
    <x v="2"/>
  </r>
  <r>
    <s v="CUST1322"/>
    <s v="Samuel Arias"/>
    <n v="54"/>
    <x v="0"/>
    <x v="0"/>
    <x v="314"/>
    <x v="49"/>
    <s v="USA"/>
    <x v="2"/>
  </r>
  <r>
    <s v="CUST1323"/>
    <s v="Kristy Dunlap"/>
    <n v="64"/>
    <x v="0"/>
    <x v="1"/>
    <x v="315"/>
    <x v="0"/>
    <s v="USA"/>
    <x v="1"/>
  </r>
  <r>
    <s v="CUST1324"/>
    <s v="Alex Mann Ii"/>
    <n v="58"/>
    <x v="0"/>
    <x v="0"/>
    <x v="316"/>
    <x v="18"/>
    <s v="USA"/>
    <x v="2"/>
  </r>
  <r>
    <s v="CUST1325"/>
    <s v="Andrew Smith"/>
    <n v="60"/>
    <x v="0"/>
    <x v="0"/>
    <x v="317"/>
    <x v="43"/>
    <s v="USA"/>
    <x v="2"/>
  </r>
  <r>
    <s v="CUST1326"/>
    <s v="Robert King"/>
    <n v="58"/>
    <x v="0"/>
    <x v="1"/>
    <x v="318"/>
    <x v="32"/>
    <s v="USA"/>
    <x v="4"/>
  </r>
  <r>
    <s v="CUST1327"/>
    <s v="Reginald Willis"/>
    <n v="62"/>
    <x v="0"/>
    <x v="1"/>
    <x v="319"/>
    <x v="10"/>
    <s v="USA"/>
    <x v="2"/>
  </r>
  <r>
    <s v="CUST1328"/>
    <s v="Mario Harvey Jr."/>
    <n v="46"/>
    <x v="2"/>
    <x v="0"/>
    <x v="320"/>
    <x v="31"/>
    <s v="USA"/>
    <x v="1"/>
  </r>
  <r>
    <s v="CUST1329"/>
    <s v="Victor Mcintosh"/>
    <n v="62"/>
    <x v="0"/>
    <x v="1"/>
    <x v="321"/>
    <x v="31"/>
    <s v="USA"/>
    <x v="2"/>
  </r>
  <r>
    <s v="CUST1330"/>
    <s v="Pamela Mcguire"/>
    <n v="54"/>
    <x v="0"/>
    <x v="0"/>
    <x v="322"/>
    <x v="30"/>
    <s v="USA"/>
    <x v="1"/>
  </r>
  <r>
    <s v="CUST1331"/>
    <s v="Maria Phillips"/>
    <n v="38"/>
    <x v="2"/>
    <x v="1"/>
    <x v="323"/>
    <x v="12"/>
    <s v="USA"/>
    <x v="2"/>
  </r>
  <r>
    <s v="CUST1332"/>
    <s v="Dr. Lindsay Hanna"/>
    <n v="34"/>
    <x v="2"/>
    <x v="1"/>
    <x v="324"/>
    <x v="19"/>
    <s v="USA"/>
    <x v="2"/>
  </r>
  <r>
    <s v="CUST1333"/>
    <s v="Teresa Johnson"/>
    <n v="64"/>
    <x v="0"/>
    <x v="1"/>
    <x v="325"/>
    <x v="15"/>
    <s v="USA"/>
    <x v="4"/>
  </r>
  <r>
    <s v="CUST1334"/>
    <s v="Mr. Christopher Sims"/>
    <n v="50"/>
    <x v="2"/>
    <x v="1"/>
    <x v="326"/>
    <x v="27"/>
    <s v="USA"/>
    <x v="3"/>
  </r>
  <r>
    <s v="CUST1335"/>
    <s v="Jennifer Woods"/>
    <n v="37"/>
    <x v="2"/>
    <x v="0"/>
    <x v="327"/>
    <x v="0"/>
    <s v="USA"/>
    <x v="1"/>
  </r>
  <r>
    <s v="CUST1336"/>
    <s v="John Jones"/>
    <n v="58"/>
    <x v="0"/>
    <x v="1"/>
    <x v="328"/>
    <x v="5"/>
    <s v="USA"/>
    <x v="3"/>
  </r>
  <r>
    <s v="CUST1337"/>
    <s v="Carol Lewis"/>
    <n v="40"/>
    <x v="2"/>
    <x v="1"/>
    <x v="329"/>
    <x v="0"/>
    <s v="USA"/>
    <x v="2"/>
  </r>
  <r>
    <s v="CUST1338"/>
    <s v="Jasmine Snyder"/>
    <n v="46"/>
    <x v="2"/>
    <x v="1"/>
    <x v="330"/>
    <x v="27"/>
    <s v="USA"/>
    <x v="3"/>
  </r>
  <r>
    <s v="CUST1339"/>
    <s v="Mrs. Susan Buckley"/>
    <n v="52"/>
    <x v="0"/>
    <x v="1"/>
    <x v="331"/>
    <x v="23"/>
    <s v="USA"/>
    <x v="1"/>
  </r>
  <r>
    <s v="CUST1340"/>
    <s v="Eric Davis"/>
    <n v="27"/>
    <x v="1"/>
    <x v="0"/>
    <x v="332"/>
    <x v="38"/>
    <s v="USA"/>
    <x v="2"/>
  </r>
  <r>
    <s v="CUST1341"/>
    <s v="Angela Williams"/>
    <n v="56"/>
    <x v="0"/>
    <x v="1"/>
    <x v="333"/>
    <x v="30"/>
    <s v="USA"/>
    <x v="2"/>
  </r>
  <r>
    <s v="CUST1342"/>
    <s v="Michelle Cunningham"/>
    <n v="30"/>
    <x v="2"/>
    <x v="1"/>
    <x v="334"/>
    <x v="27"/>
    <s v="USA"/>
    <x v="2"/>
  </r>
  <r>
    <s v="CUST1343"/>
    <s v="Ryan Moore"/>
    <n v="38"/>
    <x v="2"/>
    <x v="0"/>
    <x v="335"/>
    <x v="39"/>
    <s v="USA"/>
    <x v="2"/>
  </r>
  <r>
    <s v="CUST1344"/>
    <s v="Evelyn Brown"/>
    <n v="39"/>
    <x v="2"/>
    <x v="0"/>
    <x v="336"/>
    <x v="33"/>
    <s v="USA"/>
    <x v="4"/>
  </r>
  <r>
    <s v="CUST1345"/>
    <s v="Daniel Nelson"/>
    <n v="33"/>
    <x v="2"/>
    <x v="0"/>
    <x v="337"/>
    <x v="18"/>
    <s v="USA"/>
    <x v="2"/>
  </r>
  <r>
    <s v="CUST1346"/>
    <s v="John Jordan"/>
    <n v="58"/>
    <x v="0"/>
    <x v="1"/>
    <x v="338"/>
    <x v="34"/>
    <s v="USA"/>
    <x v="1"/>
  </r>
  <r>
    <s v="CUST1347"/>
    <s v="Justin Mason Dds"/>
    <n v="39"/>
    <x v="2"/>
    <x v="1"/>
    <x v="339"/>
    <x v="27"/>
    <s v="USA"/>
    <x v="4"/>
  </r>
  <r>
    <s v="CUST1348"/>
    <s v="Sherry Cabrera"/>
    <n v="55"/>
    <x v="0"/>
    <x v="0"/>
    <x v="340"/>
    <x v="9"/>
    <s v="USA"/>
    <x v="3"/>
  </r>
  <r>
    <s v="CUST1349"/>
    <s v="Heather Valenzuela"/>
    <n v="31"/>
    <x v="2"/>
    <x v="0"/>
    <x v="341"/>
    <x v="26"/>
    <s v="USA"/>
    <x v="2"/>
  </r>
  <r>
    <s v="CUST1350"/>
    <s v="Charles Miller"/>
    <n v="26"/>
    <x v="1"/>
    <x v="0"/>
    <x v="342"/>
    <x v="37"/>
    <s v="USA"/>
    <x v="3"/>
  </r>
  <r>
    <s v="CUST1351"/>
    <s v="Jeffrey Mccarthy"/>
    <n v="25"/>
    <x v="1"/>
    <x v="1"/>
    <x v="343"/>
    <x v="13"/>
    <s v="USA"/>
    <x v="2"/>
  </r>
  <r>
    <s v="CUST1352"/>
    <s v="Michael Greene"/>
    <n v="52"/>
    <x v="0"/>
    <x v="1"/>
    <x v="344"/>
    <x v="43"/>
    <s v="USA"/>
    <x v="3"/>
  </r>
  <r>
    <s v="CUST1353"/>
    <s v="Laura Green"/>
    <n v="56"/>
    <x v="0"/>
    <x v="1"/>
    <x v="345"/>
    <x v="5"/>
    <s v="USA"/>
    <x v="1"/>
  </r>
  <r>
    <s v="CUST1354"/>
    <s v="Ryan Torres"/>
    <n v="38"/>
    <x v="2"/>
    <x v="0"/>
    <x v="346"/>
    <x v="27"/>
    <s v="USA"/>
    <x v="3"/>
  </r>
  <r>
    <s v="CUST1355"/>
    <s v="Carlos Flores"/>
    <n v="20"/>
    <x v="1"/>
    <x v="0"/>
    <x v="347"/>
    <x v="14"/>
    <s v="USA"/>
    <x v="4"/>
  </r>
  <r>
    <s v="CUST1356"/>
    <s v="Steve Hunt"/>
    <n v="54"/>
    <x v="0"/>
    <x v="0"/>
    <x v="348"/>
    <x v="39"/>
    <s v="USA"/>
    <x v="2"/>
  </r>
  <r>
    <s v="CUST1357"/>
    <s v="Manuel Castillo"/>
    <n v="41"/>
    <x v="2"/>
    <x v="0"/>
    <x v="349"/>
    <x v="34"/>
    <s v="USA"/>
    <x v="4"/>
  </r>
  <r>
    <s v="CUST1358"/>
    <s v="Ashley Anderson"/>
    <n v="60"/>
    <x v="0"/>
    <x v="1"/>
    <x v="350"/>
    <x v="41"/>
    <s v="USA"/>
    <x v="4"/>
  </r>
  <r>
    <s v="CUST1359"/>
    <s v="Melanie Lam"/>
    <n v="32"/>
    <x v="2"/>
    <x v="0"/>
    <x v="351"/>
    <x v="11"/>
    <s v="USA"/>
    <x v="3"/>
  </r>
  <r>
    <s v="CUST1360"/>
    <s v="Denise Tate"/>
    <n v="34"/>
    <x v="2"/>
    <x v="0"/>
    <x v="352"/>
    <x v="40"/>
    <s v="USA"/>
    <x v="1"/>
  </r>
  <r>
    <s v="CUST1361"/>
    <s v="Natalie Johnson"/>
    <n v="64"/>
    <x v="0"/>
    <x v="0"/>
    <x v="353"/>
    <x v="36"/>
    <s v="USA"/>
    <x v="1"/>
  </r>
  <r>
    <s v="CUST1362"/>
    <s v="Joshua Smith Dvm"/>
    <n v="60"/>
    <x v="0"/>
    <x v="0"/>
    <x v="354"/>
    <x v="26"/>
    <s v="USA"/>
    <x v="4"/>
  </r>
  <r>
    <s v="CUST1363"/>
    <s v="Elizabeth Smith"/>
    <n v="23"/>
    <x v="1"/>
    <x v="0"/>
    <x v="355"/>
    <x v="3"/>
    <s v="USA"/>
    <x v="2"/>
  </r>
  <r>
    <s v="CUST1364"/>
    <s v="Chloe Aguilar"/>
    <n v="58"/>
    <x v="0"/>
    <x v="0"/>
    <x v="356"/>
    <x v="23"/>
    <s v="USA"/>
    <x v="2"/>
  </r>
  <r>
    <s v="CUST1365"/>
    <s v="Brandon Mcbride"/>
    <n v="63"/>
    <x v="0"/>
    <x v="1"/>
    <x v="357"/>
    <x v="26"/>
    <s v="USA"/>
    <x v="1"/>
  </r>
  <r>
    <s v="CUST1366"/>
    <s v="Mallory Allen"/>
    <n v="40"/>
    <x v="2"/>
    <x v="1"/>
    <x v="358"/>
    <x v="2"/>
    <s v="USA"/>
    <x v="1"/>
  </r>
  <r>
    <s v="CUST1367"/>
    <s v="Melinda Johnson"/>
    <n v="51"/>
    <x v="0"/>
    <x v="0"/>
    <x v="359"/>
    <x v="3"/>
    <s v="USA"/>
    <x v="2"/>
  </r>
  <r>
    <s v="CUST1368"/>
    <s v="Miranda King"/>
    <n v="34"/>
    <x v="2"/>
    <x v="1"/>
    <x v="360"/>
    <x v="10"/>
    <s v="USA"/>
    <x v="1"/>
  </r>
  <r>
    <s v="CUST1369"/>
    <s v="Gregory Allen"/>
    <n v="20"/>
    <x v="1"/>
    <x v="1"/>
    <x v="361"/>
    <x v="28"/>
    <s v="USA"/>
    <x v="1"/>
  </r>
  <r>
    <s v="CUST1370"/>
    <s v="James Holloway Jr."/>
    <n v="45"/>
    <x v="2"/>
    <x v="0"/>
    <x v="362"/>
    <x v="36"/>
    <s v="USA"/>
    <x v="3"/>
  </r>
  <r>
    <s v="CUST1371"/>
    <s v="Michael Garner"/>
    <n v="21"/>
    <x v="1"/>
    <x v="1"/>
    <x v="363"/>
    <x v="8"/>
    <s v="USA"/>
    <x v="1"/>
  </r>
  <r>
    <s v="CUST1372"/>
    <s v="Jacqueline Anthony"/>
    <n v="28"/>
    <x v="1"/>
    <x v="0"/>
    <x v="364"/>
    <x v="3"/>
    <s v="USA"/>
    <x v="2"/>
  </r>
  <r>
    <s v="CUST1373"/>
    <s v="James Orozco"/>
    <n v="37"/>
    <x v="2"/>
    <x v="1"/>
    <x v="365"/>
    <x v="46"/>
    <s v="USA"/>
    <x v="4"/>
  </r>
  <r>
    <s v="CUST1374"/>
    <s v="Emma Wilson"/>
    <n v="60"/>
    <x v="0"/>
    <x v="0"/>
    <x v="366"/>
    <x v="19"/>
    <s v="USA"/>
    <x v="1"/>
  </r>
  <r>
    <s v="CUST1375"/>
    <s v="Joshua Bell"/>
    <n v="26"/>
    <x v="1"/>
    <x v="0"/>
    <x v="367"/>
    <x v="31"/>
    <s v="USA"/>
    <x v="1"/>
  </r>
  <r>
    <s v="CUST1376"/>
    <s v="Michele Burke"/>
    <n v="30"/>
    <x v="2"/>
    <x v="0"/>
    <x v="368"/>
    <x v="27"/>
    <s v="USA"/>
    <x v="2"/>
  </r>
  <r>
    <s v="CUST1377"/>
    <s v="Charles Conley"/>
    <n v="39"/>
    <x v="2"/>
    <x v="1"/>
    <x v="369"/>
    <x v="46"/>
    <s v="USA"/>
    <x v="4"/>
  </r>
  <r>
    <s v="CUST1378"/>
    <s v="Frank Stewart"/>
    <n v="44"/>
    <x v="2"/>
    <x v="1"/>
    <x v="370"/>
    <x v="17"/>
    <s v="USA"/>
    <x v="2"/>
  </r>
  <r>
    <s v="CUST1379"/>
    <s v="Tanya Lopez"/>
    <n v="34"/>
    <x v="2"/>
    <x v="1"/>
    <x v="371"/>
    <x v="37"/>
    <s v="USA"/>
    <x v="4"/>
  </r>
  <r>
    <s v="CUST1380"/>
    <s v="Shelley Ponce"/>
    <n v="23"/>
    <x v="1"/>
    <x v="0"/>
    <x v="372"/>
    <x v="32"/>
    <s v="USA"/>
    <x v="4"/>
  </r>
  <r>
    <s v="CUST1381"/>
    <s v="Erika Padilla"/>
    <n v="50"/>
    <x v="2"/>
    <x v="0"/>
    <x v="373"/>
    <x v="2"/>
    <s v="USA"/>
    <x v="3"/>
  </r>
  <r>
    <s v="CUST1382"/>
    <s v="Martha Brown"/>
    <n v="20"/>
    <x v="1"/>
    <x v="1"/>
    <x v="374"/>
    <x v="4"/>
    <s v="USA"/>
    <x v="4"/>
  </r>
  <r>
    <s v="CUST1383"/>
    <s v="Kristine Higgins"/>
    <n v="27"/>
    <x v="1"/>
    <x v="1"/>
    <x v="375"/>
    <x v="42"/>
    <s v="USA"/>
    <x v="3"/>
  </r>
  <r>
    <s v="CUST1384"/>
    <s v="Andrew Mason"/>
    <n v="52"/>
    <x v="0"/>
    <x v="1"/>
    <x v="376"/>
    <x v="37"/>
    <s v="USA"/>
    <x v="2"/>
  </r>
  <r>
    <s v="CUST1385"/>
    <s v="Tammy Brennan"/>
    <n v="60"/>
    <x v="0"/>
    <x v="0"/>
    <x v="377"/>
    <x v="42"/>
    <s v="USA"/>
    <x v="4"/>
  </r>
  <r>
    <s v="CUST1386"/>
    <s v="Melanie Mitchell"/>
    <n v="18"/>
    <x v="1"/>
    <x v="1"/>
    <x v="378"/>
    <x v="24"/>
    <s v="USA"/>
    <x v="2"/>
  </r>
  <r>
    <s v="CUST1387"/>
    <s v="Timothy Gardner"/>
    <n v="28"/>
    <x v="1"/>
    <x v="1"/>
    <x v="379"/>
    <x v="16"/>
    <s v="USA"/>
    <x v="3"/>
  </r>
  <r>
    <s v="CUST1388"/>
    <s v="Timothy Valenzuela"/>
    <n v="53"/>
    <x v="0"/>
    <x v="0"/>
    <x v="380"/>
    <x v="21"/>
    <s v="USA"/>
    <x v="1"/>
  </r>
  <r>
    <s v="CUST1389"/>
    <s v="Cynthia Lopez"/>
    <n v="50"/>
    <x v="2"/>
    <x v="0"/>
    <x v="381"/>
    <x v="13"/>
    <s v="USA"/>
    <x v="1"/>
  </r>
  <r>
    <s v="CUST1390"/>
    <s v="Daniel Bell"/>
    <n v="56"/>
    <x v="0"/>
    <x v="0"/>
    <x v="382"/>
    <x v="40"/>
    <s v="USA"/>
    <x v="3"/>
  </r>
  <r>
    <s v="CUST1391"/>
    <s v="Heidi Tyler"/>
    <n v="40"/>
    <x v="2"/>
    <x v="1"/>
    <x v="383"/>
    <x v="5"/>
    <s v="USA"/>
    <x v="2"/>
  </r>
  <r>
    <s v="CUST1392"/>
    <s v="Jacqueline Payne"/>
    <n v="46"/>
    <x v="2"/>
    <x v="0"/>
    <x v="384"/>
    <x v="21"/>
    <s v="USA"/>
    <x v="4"/>
  </r>
  <r>
    <s v="CUST1393"/>
    <s v="Michael Mcneil"/>
    <n v="46"/>
    <x v="2"/>
    <x v="0"/>
    <x v="385"/>
    <x v="22"/>
    <s v="USA"/>
    <x v="2"/>
  </r>
  <r>
    <s v="CUST1394"/>
    <s v="Alejandro Evans"/>
    <n v="43"/>
    <x v="2"/>
    <x v="1"/>
    <x v="386"/>
    <x v="27"/>
    <s v="USA"/>
    <x v="2"/>
  </r>
  <r>
    <s v="CUST1395"/>
    <s v="Brandon Mcguire"/>
    <n v="50"/>
    <x v="2"/>
    <x v="0"/>
    <x v="387"/>
    <x v="11"/>
    <s v="USA"/>
    <x v="4"/>
  </r>
  <r>
    <s v="CUST1396"/>
    <s v="Alexander Byrd"/>
    <n v="25"/>
    <x v="1"/>
    <x v="1"/>
    <x v="388"/>
    <x v="10"/>
    <s v="USA"/>
    <x v="3"/>
  </r>
  <r>
    <s v="CUST1397"/>
    <s v="Charles Norman Phd"/>
    <n v="62"/>
    <x v="0"/>
    <x v="1"/>
    <x v="29"/>
    <x v="11"/>
    <s v="USA"/>
    <x v="1"/>
  </r>
  <r>
    <s v="CUST1398"/>
    <s v="Jennifer Johnson"/>
    <n v="54"/>
    <x v="0"/>
    <x v="0"/>
    <x v="389"/>
    <x v="8"/>
    <s v="USA"/>
    <x v="2"/>
  </r>
  <r>
    <s v="CUST1399"/>
    <s v="John Donaldson"/>
    <n v="27"/>
    <x v="1"/>
    <x v="0"/>
    <x v="390"/>
    <x v="46"/>
    <s v="USA"/>
    <x v="2"/>
  </r>
  <r>
    <s v="CUST1400"/>
    <s v="Mark Rogers"/>
    <n v="57"/>
    <x v="0"/>
    <x v="1"/>
    <x v="391"/>
    <x v="18"/>
    <s v="USA"/>
    <x v="1"/>
  </r>
  <r>
    <s v="CUST1401"/>
    <s v="Terry Moses"/>
    <n v="51"/>
    <x v="0"/>
    <x v="1"/>
    <x v="392"/>
    <x v="29"/>
    <s v="USA"/>
    <x v="1"/>
  </r>
  <r>
    <s v="CUST1402"/>
    <s v="Cassandra Perez"/>
    <n v="31"/>
    <x v="2"/>
    <x v="0"/>
    <x v="17"/>
    <x v="41"/>
    <s v="USA"/>
    <x v="2"/>
  </r>
  <r>
    <s v="CUST1403"/>
    <s v="Justin Ingram"/>
    <n v="34"/>
    <x v="2"/>
    <x v="0"/>
    <x v="393"/>
    <x v="44"/>
    <s v="USA"/>
    <x v="2"/>
  </r>
  <r>
    <s v="CUST1404"/>
    <s v="David Ross"/>
    <n v="22"/>
    <x v="1"/>
    <x v="1"/>
    <x v="394"/>
    <x v="40"/>
    <s v="USA"/>
    <x v="3"/>
  </r>
  <r>
    <s v="CUST1405"/>
    <s v="Eric Wolfe"/>
    <n v="18"/>
    <x v="1"/>
    <x v="1"/>
    <x v="395"/>
    <x v="44"/>
    <s v="USA"/>
    <x v="4"/>
  </r>
  <r>
    <s v="CUST1406"/>
    <s v="David Lozano"/>
    <n v="23"/>
    <x v="1"/>
    <x v="1"/>
    <x v="396"/>
    <x v="43"/>
    <s v="USA"/>
    <x v="4"/>
  </r>
  <r>
    <s v="CUST1407"/>
    <s v="Joseph Mendoza"/>
    <n v="33"/>
    <x v="2"/>
    <x v="0"/>
    <x v="397"/>
    <x v="24"/>
    <s v="USA"/>
    <x v="4"/>
  </r>
  <r>
    <s v="CUST1408"/>
    <s v="Isabel Foster"/>
    <n v="36"/>
    <x v="2"/>
    <x v="0"/>
    <x v="398"/>
    <x v="16"/>
    <s v="USA"/>
    <x v="4"/>
  </r>
  <r>
    <s v="CUST1409"/>
    <s v="Sarah Smith"/>
    <n v="55"/>
    <x v="0"/>
    <x v="0"/>
    <x v="399"/>
    <x v="49"/>
    <s v="USA"/>
    <x v="4"/>
  </r>
  <r>
    <s v="CUST1410"/>
    <s v="Jackie Thompson"/>
    <n v="48"/>
    <x v="2"/>
    <x v="1"/>
    <x v="400"/>
    <x v="16"/>
    <s v="USA"/>
    <x v="2"/>
  </r>
  <r>
    <s v="CUST1411"/>
    <s v="Katrina Perez"/>
    <n v="63"/>
    <x v="0"/>
    <x v="0"/>
    <x v="401"/>
    <x v="3"/>
    <s v="USA"/>
    <x v="3"/>
  </r>
  <r>
    <s v="CUST1412"/>
    <s v="Shane Brown"/>
    <n v="23"/>
    <x v="1"/>
    <x v="1"/>
    <x v="53"/>
    <x v="25"/>
    <s v="USA"/>
    <x v="4"/>
  </r>
  <r>
    <s v="CUST1413"/>
    <s v="Megan Ryan"/>
    <n v="59"/>
    <x v="0"/>
    <x v="1"/>
    <x v="402"/>
    <x v="20"/>
    <s v="USA"/>
    <x v="2"/>
  </r>
  <r>
    <s v="CUST1414"/>
    <s v="Melissa Valentine"/>
    <n v="35"/>
    <x v="2"/>
    <x v="1"/>
    <x v="403"/>
    <x v="21"/>
    <s v="USA"/>
    <x v="4"/>
  </r>
  <r>
    <s v="CUST1415"/>
    <s v="Tyler Cook"/>
    <n v="26"/>
    <x v="1"/>
    <x v="1"/>
    <x v="404"/>
    <x v="26"/>
    <s v="USA"/>
    <x v="3"/>
  </r>
  <r>
    <s v="CUST1416"/>
    <s v="Jennifer Myers"/>
    <n v="46"/>
    <x v="2"/>
    <x v="0"/>
    <x v="405"/>
    <x v="43"/>
    <s v="USA"/>
    <x v="1"/>
  </r>
  <r>
    <s v="CUST1417"/>
    <s v="Karen King"/>
    <n v="64"/>
    <x v="0"/>
    <x v="1"/>
    <x v="406"/>
    <x v="0"/>
    <s v="USA"/>
    <x v="2"/>
  </r>
  <r>
    <s v="CUST1418"/>
    <s v="Luke Parks"/>
    <n v="60"/>
    <x v="0"/>
    <x v="1"/>
    <x v="407"/>
    <x v="8"/>
    <s v="USA"/>
    <x v="3"/>
  </r>
  <r>
    <s v="CUST1419"/>
    <s v="Monica Miller"/>
    <n v="33"/>
    <x v="2"/>
    <x v="0"/>
    <x v="408"/>
    <x v="41"/>
    <s v="USA"/>
    <x v="4"/>
  </r>
  <r>
    <s v="CUST1420"/>
    <s v="Dr. Tamara White Md"/>
    <n v="60"/>
    <x v="0"/>
    <x v="0"/>
    <x v="409"/>
    <x v="0"/>
    <s v="USA"/>
    <x v="2"/>
  </r>
  <r>
    <s v="CUST1421"/>
    <s v="Holly Robinson"/>
    <n v="45"/>
    <x v="2"/>
    <x v="1"/>
    <x v="410"/>
    <x v="14"/>
    <s v="USA"/>
    <x v="1"/>
  </r>
  <r>
    <s v="CUST1422"/>
    <s v="Brittany Edwards Dds"/>
    <n v="42"/>
    <x v="2"/>
    <x v="1"/>
    <x v="411"/>
    <x v="11"/>
    <s v="USA"/>
    <x v="1"/>
  </r>
  <r>
    <s v="CUST1423"/>
    <s v="Rebecca Baker"/>
    <n v="35"/>
    <x v="2"/>
    <x v="0"/>
    <x v="412"/>
    <x v="11"/>
    <s v="USA"/>
    <x v="3"/>
  </r>
  <r>
    <s v="CUST1424"/>
    <s v="Edwin Barnes"/>
    <n v="53"/>
    <x v="0"/>
    <x v="0"/>
    <x v="413"/>
    <x v="0"/>
    <s v="USA"/>
    <x v="2"/>
  </r>
  <r>
    <s v="CUST1425"/>
    <s v="Bryce Hawkins"/>
    <n v="40"/>
    <x v="2"/>
    <x v="0"/>
    <x v="414"/>
    <x v="22"/>
    <s v="USA"/>
    <x v="2"/>
  </r>
  <r>
    <s v="CUST1426"/>
    <s v="Jeanette Nichols"/>
    <n v="28"/>
    <x v="1"/>
    <x v="0"/>
    <x v="415"/>
    <x v="0"/>
    <s v="USA"/>
    <x v="1"/>
  </r>
  <r>
    <s v="CUST1427"/>
    <s v="Jose Stewart"/>
    <n v="18"/>
    <x v="1"/>
    <x v="1"/>
    <x v="416"/>
    <x v="46"/>
    <s v="USA"/>
    <x v="4"/>
  </r>
  <r>
    <s v="CUST1428"/>
    <s v="Samuel Mullins"/>
    <n v="27"/>
    <x v="1"/>
    <x v="1"/>
    <x v="417"/>
    <x v="44"/>
    <s v="USA"/>
    <x v="2"/>
  </r>
  <r>
    <s v="CUST1429"/>
    <s v="Sean Vang"/>
    <n v="43"/>
    <x v="2"/>
    <x v="0"/>
    <x v="418"/>
    <x v="20"/>
    <s v="USA"/>
    <x v="1"/>
  </r>
  <r>
    <s v="CUST1430"/>
    <s v="Kimberly Roberts"/>
    <n v="36"/>
    <x v="2"/>
    <x v="1"/>
    <x v="419"/>
    <x v="16"/>
    <s v="USA"/>
    <x v="4"/>
  </r>
  <r>
    <s v="CUST1431"/>
    <s v="John Smith"/>
    <n v="27"/>
    <x v="1"/>
    <x v="0"/>
    <x v="420"/>
    <x v="4"/>
    <s v="USA"/>
    <x v="1"/>
  </r>
  <r>
    <s v="CUST1432"/>
    <s v="Summer Weiss"/>
    <n v="37"/>
    <x v="2"/>
    <x v="0"/>
    <x v="421"/>
    <x v="16"/>
    <s v="USA"/>
    <x v="2"/>
  </r>
  <r>
    <s v="CUST1433"/>
    <s v="Thomas Moore"/>
    <n v="51"/>
    <x v="0"/>
    <x v="1"/>
    <x v="422"/>
    <x v="10"/>
    <s v="USA"/>
    <x v="3"/>
  </r>
  <r>
    <s v="CUST1434"/>
    <s v="Monique Castro"/>
    <n v="48"/>
    <x v="2"/>
    <x v="1"/>
    <x v="423"/>
    <x v="36"/>
    <s v="USA"/>
    <x v="4"/>
  </r>
  <r>
    <s v="CUST1435"/>
    <s v="Lindsay Beasley"/>
    <n v="37"/>
    <x v="2"/>
    <x v="1"/>
    <x v="424"/>
    <x v="20"/>
    <s v="USA"/>
    <x v="3"/>
  </r>
  <r>
    <s v="CUST1436"/>
    <s v="Sharon Simpson"/>
    <n v="61"/>
    <x v="0"/>
    <x v="0"/>
    <x v="425"/>
    <x v="6"/>
    <s v="USA"/>
    <x v="4"/>
  </r>
  <r>
    <s v="CUST1437"/>
    <s v="Melinda Rivera"/>
    <n v="47"/>
    <x v="2"/>
    <x v="1"/>
    <x v="178"/>
    <x v="8"/>
    <s v="USA"/>
    <x v="1"/>
  </r>
  <r>
    <s v="CUST1438"/>
    <s v="Monica Flynn"/>
    <n v="59"/>
    <x v="0"/>
    <x v="1"/>
    <x v="426"/>
    <x v="34"/>
    <s v="USA"/>
    <x v="1"/>
  </r>
  <r>
    <s v="CUST1439"/>
    <s v="John Compton"/>
    <n v="53"/>
    <x v="0"/>
    <x v="0"/>
    <x v="287"/>
    <x v="25"/>
    <s v="USA"/>
    <x v="3"/>
  </r>
  <r>
    <s v="CUST1440"/>
    <s v="Tammy Trevino"/>
    <n v="60"/>
    <x v="0"/>
    <x v="0"/>
    <x v="427"/>
    <x v="1"/>
    <s v="USA"/>
    <x v="3"/>
  </r>
  <r>
    <s v="CUST1441"/>
    <s v="Dalton Walters"/>
    <n v="31"/>
    <x v="2"/>
    <x v="0"/>
    <x v="428"/>
    <x v="43"/>
    <s v="USA"/>
    <x v="3"/>
  </r>
  <r>
    <s v="CUST1442"/>
    <s v="Kelli Smith"/>
    <n v="42"/>
    <x v="2"/>
    <x v="1"/>
    <x v="429"/>
    <x v="5"/>
    <s v="USA"/>
    <x v="2"/>
  </r>
  <r>
    <s v="CUST1443"/>
    <s v="Adam Castro"/>
    <n v="51"/>
    <x v="0"/>
    <x v="0"/>
    <x v="430"/>
    <x v="45"/>
    <s v="USA"/>
    <x v="3"/>
  </r>
  <r>
    <s v="CUST1444"/>
    <s v="Cheryl Carr"/>
    <n v="19"/>
    <x v="1"/>
    <x v="0"/>
    <x v="431"/>
    <x v="49"/>
    <s v="USA"/>
    <x v="4"/>
  </r>
  <r>
    <s v="CUST1445"/>
    <s v="Gene Lee"/>
    <n v="41"/>
    <x v="2"/>
    <x v="1"/>
    <x v="432"/>
    <x v="39"/>
    <s v="USA"/>
    <x v="1"/>
  </r>
  <r>
    <s v="CUST1446"/>
    <s v="Shannon Turner"/>
    <n v="35"/>
    <x v="2"/>
    <x v="0"/>
    <x v="433"/>
    <x v="18"/>
    <s v="USA"/>
    <x v="3"/>
  </r>
  <r>
    <s v="CUST1447"/>
    <s v="Monica Wright"/>
    <n v="45"/>
    <x v="2"/>
    <x v="0"/>
    <x v="434"/>
    <x v="0"/>
    <s v="USA"/>
    <x v="4"/>
  </r>
  <r>
    <s v="CUST1448"/>
    <s v="Eric Holmes"/>
    <n v="64"/>
    <x v="0"/>
    <x v="1"/>
    <x v="435"/>
    <x v="49"/>
    <s v="USA"/>
    <x v="2"/>
  </r>
  <r>
    <s v="CUST1449"/>
    <s v="William Cortez"/>
    <n v="29"/>
    <x v="1"/>
    <x v="0"/>
    <x v="436"/>
    <x v="3"/>
    <s v="USA"/>
    <x v="2"/>
  </r>
  <r>
    <s v="CUST1450"/>
    <s v="Shane Mills"/>
    <n v="59"/>
    <x v="0"/>
    <x v="0"/>
    <x v="437"/>
    <x v="13"/>
    <s v="USA"/>
    <x v="2"/>
  </r>
  <r>
    <s v="CUST1451"/>
    <s v="Ashley Roberts"/>
    <n v="46"/>
    <x v="2"/>
    <x v="0"/>
    <x v="168"/>
    <x v="33"/>
    <s v="USA"/>
    <x v="4"/>
  </r>
  <r>
    <s v="CUST1452"/>
    <s v="Jeffery Wolf"/>
    <n v="60"/>
    <x v="0"/>
    <x v="1"/>
    <x v="438"/>
    <x v="41"/>
    <s v="USA"/>
    <x v="2"/>
  </r>
  <r>
    <s v="CUST1453"/>
    <s v="April Phillips"/>
    <n v="62"/>
    <x v="0"/>
    <x v="1"/>
    <x v="439"/>
    <x v="19"/>
    <s v="USA"/>
    <x v="1"/>
  </r>
  <r>
    <s v="CUST1454"/>
    <s v="John Berg"/>
    <n v="60"/>
    <x v="0"/>
    <x v="0"/>
    <x v="31"/>
    <x v="18"/>
    <s v="USA"/>
    <x v="4"/>
  </r>
  <r>
    <s v="CUST1455"/>
    <s v="Tyler Weber"/>
    <n v="54"/>
    <x v="0"/>
    <x v="0"/>
    <x v="440"/>
    <x v="30"/>
    <s v="USA"/>
    <x v="4"/>
  </r>
  <r>
    <s v="CUST1456"/>
    <s v="Julie Powell"/>
    <n v="59"/>
    <x v="0"/>
    <x v="1"/>
    <x v="441"/>
    <x v="40"/>
    <s v="USA"/>
    <x v="4"/>
  </r>
  <r>
    <s v="CUST1457"/>
    <s v="Christina Robertson"/>
    <n v="59"/>
    <x v="0"/>
    <x v="0"/>
    <x v="442"/>
    <x v="47"/>
    <s v="USA"/>
    <x v="1"/>
  </r>
  <r>
    <s v="CUST1458"/>
    <s v="Kelly Garrett"/>
    <n v="62"/>
    <x v="0"/>
    <x v="1"/>
    <x v="443"/>
    <x v="9"/>
    <s v="USA"/>
    <x v="3"/>
  </r>
  <r>
    <s v="CUST1459"/>
    <s v="John Perez"/>
    <n v="54"/>
    <x v="0"/>
    <x v="1"/>
    <x v="444"/>
    <x v="42"/>
    <s v="USA"/>
    <x v="4"/>
  </r>
  <r>
    <s v="CUST1460"/>
    <s v="Justin Johnson"/>
    <n v="35"/>
    <x v="2"/>
    <x v="0"/>
    <x v="445"/>
    <x v="37"/>
    <s v="USA"/>
    <x v="4"/>
  </r>
  <r>
    <s v="CUST1461"/>
    <s v="Paul Cox"/>
    <n v="60"/>
    <x v="0"/>
    <x v="1"/>
    <x v="446"/>
    <x v="11"/>
    <s v="USA"/>
    <x v="3"/>
  </r>
  <r>
    <s v="CUST1462"/>
    <s v="Beth Martin"/>
    <n v="34"/>
    <x v="2"/>
    <x v="1"/>
    <x v="447"/>
    <x v="7"/>
    <s v="USA"/>
    <x v="3"/>
  </r>
  <r>
    <s v="CUST1463"/>
    <s v="Samantha Lee"/>
    <n v="36"/>
    <x v="2"/>
    <x v="1"/>
    <x v="448"/>
    <x v="27"/>
    <s v="USA"/>
    <x v="2"/>
  </r>
  <r>
    <s v="CUST1464"/>
    <s v="David Pierce"/>
    <n v="45"/>
    <x v="2"/>
    <x v="1"/>
    <x v="449"/>
    <x v="14"/>
    <s v="USA"/>
    <x v="1"/>
  </r>
  <r>
    <s v="CUST1465"/>
    <s v="Ronald Ross"/>
    <n v="28"/>
    <x v="1"/>
    <x v="1"/>
    <x v="450"/>
    <x v="0"/>
    <s v="USA"/>
    <x v="3"/>
  </r>
  <r>
    <s v="CUST1466"/>
    <s v="Cynthia Parrish"/>
    <n v="18"/>
    <x v="1"/>
    <x v="0"/>
    <x v="451"/>
    <x v="31"/>
    <s v="USA"/>
    <x v="3"/>
  </r>
  <r>
    <s v="CUST1467"/>
    <s v="Michael Foley"/>
    <n v="63"/>
    <x v="0"/>
    <x v="1"/>
    <x v="452"/>
    <x v="28"/>
    <s v="USA"/>
    <x v="4"/>
  </r>
  <r>
    <s v="CUST1468"/>
    <s v="Gregory Curtis"/>
    <n v="45"/>
    <x v="2"/>
    <x v="0"/>
    <x v="453"/>
    <x v="28"/>
    <s v="USA"/>
    <x v="2"/>
  </r>
  <r>
    <s v="CUST1469"/>
    <s v="James Foster"/>
    <n v="19"/>
    <x v="1"/>
    <x v="0"/>
    <x v="454"/>
    <x v="22"/>
    <s v="USA"/>
    <x v="4"/>
  </r>
  <r>
    <s v="CUST1470"/>
    <s v="Manuel Fisher"/>
    <n v="21"/>
    <x v="1"/>
    <x v="1"/>
    <x v="455"/>
    <x v="8"/>
    <s v="USA"/>
    <x v="4"/>
  </r>
  <r>
    <s v="CUST1471"/>
    <s v="Debra Mccullough"/>
    <n v="42"/>
    <x v="2"/>
    <x v="0"/>
    <x v="456"/>
    <x v="12"/>
    <s v="USA"/>
    <x v="1"/>
  </r>
  <r>
    <s v="CUST1472"/>
    <s v="Philip Mendoza"/>
    <n v="42"/>
    <x v="2"/>
    <x v="0"/>
    <x v="457"/>
    <x v="48"/>
    <s v="USA"/>
    <x v="3"/>
  </r>
  <r>
    <s v="CUST1473"/>
    <s v="Laura Mathews"/>
    <n v="53"/>
    <x v="0"/>
    <x v="0"/>
    <x v="458"/>
    <x v="43"/>
    <s v="USA"/>
    <x v="2"/>
  </r>
  <r>
    <s v="CUST1474"/>
    <s v="Joshua Howard"/>
    <n v="32"/>
    <x v="2"/>
    <x v="1"/>
    <x v="459"/>
    <x v="6"/>
    <s v="USA"/>
    <x v="1"/>
  </r>
  <r>
    <s v="CUST1475"/>
    <s v="Barbara Berry"/>
    <n v="18"/>
    <x v="1"/>
    <x v="1"/>
    <x v="112"/>
    <x v="28"/>
    <s v="USA"/>
    <x v="1"/>
  </r>
  <r>
    <s v="CUST1476"/>
    <s v="Elizabeth Foster"/>
    <n v="33"/>
    <x v="2"/>
    <x v="1"/>
    <x v="460"/>
    <x v="18"/>
    <s v="USA"/>
    <x v="4"/>
  </r>
  <r>
    <s v="CUST1477"/>
    <s v="Andrea Harris"/>
    <n v="41"/>
    <x v="2"/>
    <x v="1"/>
    <x v="461"/>
    <x v="11"/>
    <s v="USA"/>
    <x v="1"/>
  </r>
  <r>
    <s v="CUST1478"/>
    <s v="Earl Smith Dds"/>
    <n v="59"/>
    <x v="0"/>
    <x v="0"/>
    <x v="462"/>
    <x v="6"/>
    <s v="USA"/>
    <x v="4"/>
  </r>
  <r>
    <s v="CUST1479"/>
    <s v="Dylan Gutierrez"/>
    <n v="40"/>
    <x v="2"/>
    <x v="0"/>
    <x v="463"/>
    <x v="7"/>
    <s v="USA"/>
    <x v="2"/>
  </r>
  <r>
    <s v="CUST1480"/>
    <s v="Jordan Medina"/>
    <n v="33"/>
    <x v="2"/>
    <x v="0"/>
    <x v="464"/>
    <x v="35"/>
    <s v="USA"/>
    <x v="2"/>
  </r>
  <r>
    <s v="CUST1481"/>
    <s v="Bryan Tran"/>
    <n v="21"/>
    <x v="1"/>
    <x v="0"/>
    <x v="465"/>
    <x v="15"/>
    <s v="USA"/>
    <x v="4"/>
  </r>
  <r>
    <s v="CUST1482"/>
    <s v="Sheri Joyce"/>
    <n v="26"/>
    <x v="1"/>
    <x v="0"/>
    <x v="466"/>
    <x v="47"/>
    <s v="USA"/>
    <x v="1"/>
  </r>
  <r>
    <s v="CUST1483"/>
    <s v="Sarah Smith"/>
    <n v="55"/>
    <x v="0"/>
    <x v="0"/>
    <x v="467"/>
    <x v="29"/>
    <s v="USA"/>
    <x v="4"/>
  </r>
  <r>
    <s v="CUST1484"/>
    <s v="Jessica Castro"/>
    <n v="32"/>
    <x v="2"/>
    <x v="0"/>
    <x v="468"/>
    <x v="48"/>
    <s v="USA"/>
    <x v="2"/>
  </r>
  <r>
    <s v="CUST1485"/>
    <s v="Sara Ingram"/>
    <n v="46"/>
    <x v="2"/>
    <x v="1"/>
    <x v="469"/>
    <x v="39"/>
    <s v="USA"/>
    <x v="2"/>
  </r>
  <r>
    <s v="CUST1486"/>
    <s v="Eric Lee"/>
    <n v="22"/>
    <x v="1"/>
    <x v="1"/>
    <x v="470"/>
    <x v="28"/>
    <s v="USA"/>
    <x v="2"/>
  </r>
  <r>
    <s v="CUST1487"/>
    <s v="Amanda Medina"/>
    <n v="36"/>
    <x v="2"/>
    <x v="1"/>
    <x v="471"/>
    <x v="22"/>
    <s v="USA"/>
    <x v="1"/>
  </r>
  <r>
    <s v="CUST1488"/>
    <s v="Zachary Andrade"/>
    <n v="23"/>
    <x v="1"/>
    <x v="1"/>
    <x v="472"/>
    <x v="4"/>
    <s v="USA"/>
    <x v="1"/>
  </r>
  <r>
    <s v="CUST1489"/>
    <s v="Melinda Thomas"/>
    <n v="42"/>
    <x v="2"/>
    <x v="1"/>
    <x v="473"/>
    <x v="36"/>
    <s v="USA"/>
    <x v="3"/>
  </r>
  <r>
    <s v="CUST1490"/>
    <s v="Scott Harris"/>
    <n v="23"/>
    <x v="1"/>
    <x v="0"/>
    <x v="474"/>
    <x v="24"/>
    <s v="USA"/>
    <x v="1"/>
  </r>
  <r>
    <s v="CUST1491"/>
    <s v="Kaitlin Brown"/>
    <n v="52"/>
    <x v="0"/>
    <x v="1"/>
    <x v="475"/>
    <x v="6"/>
    <s v="USA"/>
    <x v="4"/>
  </r>
  <r>
    <s v="CUST1492"/>
    <s v="Darrell Miller"/>
    <n v="59"/>
    <x v="0"/>
    <x v="1"/>
    <x v="476"/>
    <x v="35"/>
    <s v="USA"/>
    <x v="1"/>
  </r>
  <r>
    <s v="CUST1493"/>
    <s v="Amanda Powell"/>
    <n v="28"/>
    <x v="1"/>
    <x v="0"/>
    <x v="18"/>
    <x v="2"/>
    <s v="USA"/>
    <x v="3"/>
  </r>
  <r>
    <s v="CUST1494"/>
    <s v="Justin Lopez"/>
    <n v="21"/>
    <x v="1"/>
    <x v="0"/>
    <x v="477"/>
    <x v="45"/>
    <s v="USA"/>
    <x v="4"/>
  </r>
  <r>
    <s v="CUST1495"/>
    <s v="James Berger"/>
    <n v="23"/>
    <x v="1"/>
    <x v="1"/>
    <x v="478"/>
    <x v="17"/>
    <s v="USA"/>
    <x v="2"/>
  </r>
  <r>
    <s v="CUST1496"/>
    <s v="Christopher Ford"/>
    <n v="56"/>
    <x v="0"/>
    <x v="0"/>
    <x v="479"/>
    <x v="3"/>
    <s v="USA"/>
    <x v="2"/>
  </r>
  <r>
    <s v="CUST1497"/>
    <s v="Sarah Marsh"/>
    <n v="47"/>
    <x v="2"/>
    <x v="1"/>
    <x v="480"/>
    <x v="10"/>
    <s v="USA"/>
    <x v="4"/>
  </r>
  <r>
    <s v="CUST1498"/>
    <s v="Traci Gonzalez"/>
    <n v="35"/>
    <x v="2"/>
    <x v="0"/>
    <x v="481"/>
    <x v="33"/>
    <s v="USA"/>
    <x v="3"/>
  </r>
  <r>
    <s v="CUST1499"/>
    <s v="Philip Pennington"/>
    <n v="27"/>
    <x v="1"/>
    <x v="1"/>
    <x v="482"/>
    <x v="5"/>
    <s v="USA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">
  <r>
    <s v="SALE0"/>
    <d v="2024-07-07T00:00:00"/>
    <s v="CUST1409"/>
    <s v="Sarah Smith"/>
    <s v="PROD97"/>
    <s v="Sports"/>
    <s v="STORE3"/>
    <n v="1"/>
    <n v="218.04"/>
    <n v="0.09"/>
    <x v="0"/>
    <n v="198.41640000000001"/>
  </r>
  <r>
    <s v="SALE1"/>
    <d v="2023-12-25T00:00:00"/>
    <s v="CUST1467"/>
    <s v="Michael Foley"/>
    <s v="PROD74"/>
    <s v="Electronics"/>
    <s v="STORE17"/>
    <n v="3"/>
    <n v="104.47"/>
    <n v="0.27"/>
    <x v="1"/>
    <n v="228.7893"/>
  </r>
  <r>
    <s v="SALE2"/>
    <d v="2024-06-03T00:00:00"/>
    <s v="CUST1056"/>
    <s v="Christopher Sutton"/>
    <s v="PROD49"/>
    <s v="Beauty"/>
    <s v="STORE8"/>
    <n v="4"/>
    <n v="914.05"/>
    <n v="0.25"/>
    <x v="0"/>
    <n v="2742.15"/>
  </r>
  <r>
    <s v="SALE3"/>
    <d v="2023-11-29T00:00:00"/>
    <s v="CUST1346"/>
    <s v="John Jordan"/>
    <s v="PROD76"/>
    <s v="Electronics"/>
    <s v="STORE8"/>
    <n v="1"/>
    <n v="921.51"/>
    <n v="0.16"/>
    <x v="2"/>
    <n v="774.0684"/>
  </r>
  <r>
    <s v="SALE4"/>
    <d v="2024-01-06T00:00:00"/>
    <s v="CUST1493"/>
    <s v="Amanda Powell"/>
    <s v="PROD59"/>
    <s v="Beauty"/>
    <s v="STORE5"/>
    <n v="3"/>
    <n v="745.3"/>
    <n v="0.18"/>
    <x v="0"/>
    <n v="1833.4380000000001"/>
  </r>
  <r>
    <s v="SALE5"/>
    <d v="2024-07-26T00:00:00"/>
    <s v="CUST1116"/>
    <s v="Anthony Phillips"/>
    <s v="PROD15"/>
    <s v="Electronics"/>
    <s v="STORE7"/>
    <n v="3"/>
    <n v="147.01"/>
    <n v="0.19"/>
    <x v="2"/>
    <n v="357.23430000000002"/>
  </r>
  <r>
    <s v="SALE6"/>
    <d v="2025-07-12T00:00:00"/>
    <s v="CUST1016"/>
    <s v="John Scott"/>
    <s v="PROD56"/>
    <s v="Home"/>
    <s v="STORE4"/>
    <n v="2"/>
    <n v="785.31"/>
    <n v="0.15"/>
    <x v="1"/>
    <n v="1335.027"/>
  </r>
  <r>
    <s v="SALE7"/>
    <d v="2023-11-18T00:00:00"/>
    <s v="CUST1152"/>
    <s v="Patrick Roberts"/>
    <s v="PROD70"/>
    <s v="Home"/>
    <s v="STORE8"/>
    <n v="4"/>
    <n v="342.39"/>
    <n v="0.23"/>
    <x v="1"/>
    <n v="1054.5612000000001"/>
  </r>
  <r>
    <s v="SALE8"/>
    <d v="2025-07-31T00:00:00"/>
    <s v="CUST1464"/>
    <s v="David Pierce"/>
    <s v="PROD33"/>
    <s v="Home"/>
    <s v="STORE0"/>
    <n v="2"/>
    <n v="873.17"/>
    <n v="0.23"/>
    <x v="1"/>
    <n v="1344.6818000000001"/>
  </r>
  <r>
    <s v="SALE9"/>
    <d v="2024-02-13T00:00:00"/>
    <s v="CUST1065"/>
    <s v="Michael Thomas"/>
    <s v="PROD24"/>
    <s v="Sports"/>
    <s v="STORE14"/>
    <n v="1"/>
    <n v="278.63"/>
    <n v="7.0000000000000007E-2"/>
    <x v="0"/>
    <n v="259.1259"/>
  </r>
  <r>
    <s v="SALE10"/>
    <d v="2025-05-24T00:00:00"/>
    <s v="CUST1320"/>
    <s v="Jessica Gonzalez"/>
    <s v="PROD39"/>
    <s v="Electronics"/>
    <s v="STORE1"/>
    <n v="4"/>
    <n v="286.92"/>
    <n v="0.17"/>
    <x v="0"/>
    <n v="952.57439999999997"/>
  </r>
  <r>
    <s v="SALE11"/>
    <d v="2024-08-24T00:00:00"/>
    <s v="CUST1237"/>
    <s v="Wesley Short"/>
    <s v="PROD88"/>
    <s v="Sports"/>
    <s v="STORE4"/>
    <n v="4"/>
    <n v="644.58000000000004"/>
    <n v="0.01"/>
    <x v="0"/>
    <n v="2552.5367999999999"/>
  </r>
  <r>
    <s v="SALE12"/>
    <d v="2025-08-06T00:00:00"/>
    <s v="CUST1443"/>
    <s v="Adam Castro"/>
    <s v="PROD34"/>
    <s v="Electronics"/>
    <s v="STORE16"/>
    <n v="2"/>
    <n v="316.89999999999998"/>
    <n v="0.3"/>
    <x v="1"/>
    <n v="443.66"/>
  </r>
  <r>
    <s v="SALE13"/>
    <d v="2025-06-21T00:00:00"/>
    <s v="CUST1348"/>
    <s v="Sherry Cabrera"/>
    <s v="PROD24"/>
    <s v="Sports"/>
    <s v="STORE15"/>
    <n v="4"/>
    <n v="403.47"/>
    <n v="0.28999999999999998"/>
    <x v="1"/>
    <n v="1145.8548000000001"/>
  </r>
  <r>
    <s v="SALE14"/>
    <d v="2025-09-13T00:00:00"/>
    <s v="CUST1276"/>
    <s v="Arthur Warren"/>
    <s v="PROD65"/>
    <s v="Sports"/>
    <s v="STORE19"/>
    <n v="2"/>
    <n v="451.98"/>
    <n v="0.25"/>
    <x v="0"/>
    <n v="677.97"/>
  </r>
  <r>
    <s v="SALE15"/>
    <d v="2024-12-11T00:00:00"/>
    <s v="CUST1079"/>
    <s v="Molly Gardner"/>
    <s v="PROD27"/>
    <s v="Home"/>
    <s v="STORE4"/>
    <n v="2"/>
    <n v="502.69"/>
    <n v="0.23"/>
    <x v="0"/>
    <n v="774.14260000000002"/>
  </r>
  <r>
    <s v="SALE16"/>
    <d v="2024-08-13T00:00:00"/>
    <s v="CUST1094"/>
    <s v="David Patterson"/>
    <s v="PROD39"/>
    <s v="Electronics"/>
    <s v="STORE4"/>
    <n v="2"/>
    <n v="559.23"/>
    <n v="0.25"/>
    <x v="2"/>
    <n v="838.84500000000003"/>
  </r>
  <r>
    <s v="SALE17"/>
    <d v="2025-07-05T00:00:00"/>
    <s v="CUST1144"/>
    <s v="Justin Cross"/>
    <s v="PROD72"/>
    <s v="Sports"/>
    <s v="STORE17"/>
    <n v="3"/>
    <n v="986.04"/>
    <n v="0.27"/>
    <x v="2"/>
    <n v="2159.4276"/>
  </r>
  <r>
    <s v="SALE18"/>
    <d v="2024-06-04T00:00:00"/>
    <s v="CUST1396"/>
    <s v="Alexander Byrd"/>
    <s v="PROD43"/>
    <s v="Electronics"/>
    <s v="STORE18"/>
    <n v="1"/>
    <n v="589.55999999999995"/>
    <n v="0.22"/>
    <x v="0"/>
    <n v="459.85680000000002"/>
  </r>
  <r>
    <s v="SALE19"/>
    <d v="2024-04-12T00:00:00"/>
    <s v="CUST1476"/>
    <s v="Elizabeth Foster"/>
    <s v="PROD69"/>
    <s v="Clothing"/>
    <s v="STORE10"/>
    <n v="3"/>
    <n v="979.42"/>
    <n v="0.03"/>
    <x v="1"/>
    <n v="2850.1122"/>
  </r>
  <r>
    <s v="SALE20"/>
    <d v="2024-06-23T00:00:00"/>
    <s v="CUST1368"/>
    <s v="Miranda King"/>
    <s v="PROD12"/>
    <s v="Beauty"/>
    <s v="STORE8"/>
    <n v="1"/>
    <n v="719.28"/>
    <n v="0.08"/>
    <x v="0"/>
    <n v="661.73760000000004"/>
  </r>
  <r>
    <s v="SALE21"/>
    <d v="2025-09-08T00:00:00"/>
    <s v="CUST1186"/>
    <s v="Jennifer Pruitt"/>
    <s v="PROD67"/>
    <s v="Electronics"/>
    <s v="STORE6"/>
    <n v="3"/>
    <n v="77.599999999999994"/>
    <n v="7.0000000000000007E-2"/>
    <x v="0"/>
    <n v="216.50399999999999"/>
  </r>
  <r>
    <s v="SALE22"/>
    <d v="2024-09-17T00:00:00"/>
    <s v="CUST1381"/>
    <s v="Erika Padilla"/>
    <s v="PROD5"/>
    <s v="Clothing"/>
    <s v="STORE3"/>
    <n v="4"/>
    <n v="852.71"/>
    <n v="0.14000000000000001"/>
    <x v="1"/>
    <n v="2933.3224"/>
  </r>
  <r>
    <s v="SALE23"/>
    <d v="2025-02-22T00:00:00"/>
    <s v="CUST1200"/>
    <s v="Anna Perez"/>
    <s v="PROD77"/>
    <s v="Electronics"/>
    <s v="STORE8"/>
    <n v="3"/>
    <n v="815.49"/>
    <n v="0.17"/>
    <x v="0"/>
    <n v="2030.5700999999999"/>
  </r>
  <r>
    <s v="SALE24"/>
    <d v="2025-09-23T00:00:00"/>
    <s v="CUST1148"/>
    <s v="Theresa Campbell"/>
    <s v="PROD13"/>
    <s v="Electronics"/>
    <s v="STORE2"/>
    <n v="2"/>
    <n v="74.209999999999994"/>
    <n v="0.11"/>
    <x v="1"/>
    <n v="132.09379999999999"/>
  </r>
  <r>
    <s v="SALE25"/>
    <d v="2023-10-18T00:00:00"/>
    <s v="CUST1028"/>
    <s v="Joshua Ryan"/>
    <s v="PROD5"/>
    <s v="Clothing"/>
    <s v="STORE19"/>
    <n v="1"/>
    <n v="429.38"/>
    <n v="0.13"/>
    <x v="1"/>
    <n v="373.56060000000002"/>
  </r>
  <r>
    <s v="SALE26"/>
    <d v="2024-10-28T00:00:00"/>
    <s v="CUST1412"/>
    <s v="Shane Brown"/>
    <s v="PROD53"/>
    <s v="Clothing"/>
    <s v="STORE12"/>
    <n v="2"/>
    <n v="148.96"/>
    <n v="0.03"/>
    <x v="2"/>
    <n v="288.98239999999998"/>
  </r>
  <r>
    <s v="SALE27"/>
    <d v="2024-11-01T00:00:00"/>
    <s v="CUST1398"/>
    <s v="Jennifer Johnson"/>
    <s v="PROD75"/>
    <s v="Clothing"/>
    <s v="STORE8"/>
    <n v="4"/>
    <n v="313.83"/>
    <n v="0.08"/>
    <x v="0"/>
    <n v="1154.8943999999999"/>
  </r>
  <r>
    <s v="SALE28"/>
    <d v="2024-11-24T00:00:00"/>
    <s v="CUST1453"/>
    <s v="April Phillips"/>
    <s v="PROD12"/>
    <s v="Beauty"/>
    <s v="STORE6"/>
    <n v="2"/>
    <n v="717.31"/>
    <n v="0.15"/>
    <x v="0"/>
    <n v="1219.4269999999999"/>
  </r>
  <r>
    <s v="SALE29"/>
    <d v="2025-08-09T00:00:00"/>
    <s v="CUST1218"/>
    <s v="Julia Jackson"/>
    <s v="PROD16"/>
    <s v="Beauty"/>
    <s v="STORE3"/>
    <n v="4"/>
    <n v="109.36"/>
    <n v="0.19"/>
    <x v="2"/>
    <n v="354.32639999999998"/>
  </r>
  <r>
    <s v="SALE30"/>
    <d v="2024-12-09T00:00:00"/>
    <s v="CUST1086"/>
    <s v="Tammy Miller Md"/>
    <s v="PROD5"/>
    <s v="Clothing"/>
    <s v="STORE7"/>
    <n v="3"/>
    <n v="559.52"/>
    <n v="0.16"/>
    <x v="1"/>
    <n v="1409.9903999999999"/>
  </r>
  <r>
    <s v="SALE31"/>
    <d v="2024-02-07T00:00:00"/>
    <s v="CUST1492"/>
    <s v="Darrell Miller"/>
    <s v="PROD10"/>
    <s v="Home"/>
    <s v="STORE17"/>
    <n v="3"/>
    <n v="121.76"/>
    <n v="0.27"/>
    <x v="1"/>
    <n v="266.65440000000001"/>
  </r>
  <r>
    <s v="SALE32"/>
    <d v="2024-03-27T00:00:00"/>
    <s v="CUST1189"/>
    <s v="Daniel Austin"/>
    <s v="PROD33"/>
    <s v="Home"/>
    <s v="STORE13"/>
    <n v="4"/>
    <n v="735.32"/>
    <n v="0.06"/>
    <x v="2"/>
    <n v="2764.8031999999998"/>
  </r>
  <r>
    <s v="SALE33"/>
    <d v="2023-12-04T00:00:00"/>
    <s v="CUST1431"/>
    <s v="John Smith"/>
    <s v="PROD94"/>
    <s v="Beauty"/>
    <s v="STORE3"/>
    <n v="2"/>
    <n v="600.73"/>
    <n v="0.08"/>
    <x v="0"/>
    <n v="1105.3432"/>
  </r>
  <r>
    <s v="SALE34"/>
    <d v="2024-07-13T00:00:00"/>
    <s v="CUST1072"/>
    <s v="Tonya Burch"/>
    <s v="PROD26"/>
    <s v="Electronics"/>
    <s v="STORE19"/>
    <n v="2"/>
    <n v="873.86"/>
    <n v="7.0000000000000007E-2"/>
    <x v="2"/>
    <n v="1625.3796"/>
  </r>
  <r>
    <s v="SALE35"/>
    <d v="2023-11-11T00:00:00"/>
    <s v="CUST1302"/>
    <s v="Edward Cole"/>
    <s v="PROD23"/>
    <s v="Clothing"/>
    <s v="STORE8"/>
    <n v="3"/>
    <n v="342.47"/>
    <n v="0.08"/>
    <x v="1"/>
    <n v="945.21720000000016"/>
  </r>
  <r>
    <s v="SALE36"/>
    <d v="2024-12-23T00:00:00"/>
    <s v="CUST1335"/>
    <s v="Jennifer Woods"/>
    <s v="PROD29"/>
    <s v="Home"/>
    <s v="STORE9"/>
    <n v="2"/>
    <n v="915.15"/>
    <n v="0.16"/>
    <x v="1"/>
    <n v="1537.452"/>
  </r>
  <r>
    <s v="SALE37"/>
    <d v="2024-09-03T00:00:00"/>
    <s v="CUST1203"/>
    <s v="Sarah Brady"/>
    <s v="PROD43"/>
    <s v="Electronics"/>
    <s v="STORE12"/>
    <n v="2"/>
    <n v="209.32"/>
    <n v="0.23"/>
    <x v="2"/>
    <n v="322.3528"/>
  </r>
  <r>
    <s v="SALE38"/>
    <d v="2024-11-10T00:00:00"/>
    <s v="CUST1470"/>
    <s v="Manuel Fisher"/>
    <s v="PROD59"/>
    <s v="Beauty"/>
    <s v="STORE8"/>
    <n v="4"/>
    <n v="288.60000000000002"/>
    <n v="0.09"/>
    <x v="1"/>
    <n v="1050.5039999999999"/>
  </r>
  <r>
    <s v="SALE39"/>
    <d v="2024-10-05T00:00:00"/>
    <s v="CUST1070"/>
    <s v="Eric Singh"/>
    <s v="PROD78"/>
    <s v="Home"/>
    <s v="STORE16"/>
    <n v="1"/>
    <n v="418.69"/>
    <n v="0.06"/>
    <x v="1"/>
    <n v="393.5686"/>
  </r>
  <r>
    <s v="SALE40"/>
    <d v="2024-06-23T00:00:00"/>
    <s v="CUST1008"/>
    <s v="Melissa Howard"/>
    <s v="PROD30"/>
    <s v="Home"/>
    <s v="STORE11"/>
    <n v="1"/>
    <n v="135.78"/>
    <n v="0.14000000000000001"/>
    <x v="1"/>
    <n v="116.77079999999999"/>
  </r>
  <r>
    <s v="SALE41"/>
    <d v="2023-10-19T00:00:00"/>
    <s v="CUST1203"/>
    <s v="Sarah Brady"/>
    <s v="PROD43"/>
    <s v="Electronics"/>
    <s v="STORE17"/>
    <n v="1"/>
    <n v="517.13"/>
    <n v="0.28000000000000003"/>
    <x v="0"/>
    <n v="372.33359999999999"/>
  </r>
  <r>
    <s v="SALE42"/>
    <d v="2024-11-11T00:00:00"/>
    <s v="CUST1420"/>
    <s v="Dr. Tamara White Md"/>
    <s v="PROD21"/>
    <s v="Home"/>
    <s v="STORE16"/>
    <n v="2"/>
    <n v="384.66"/>
    <n v="0.08"/>
    <x v="2"/>
    <n v="707.77440000000013"/>
  </r>
  <r>
    <s v="SALE43"/>
    <d v="2023-12-31T00:00:00"/>
    <s v="CUST1070"/>
    <s v="Eric Singh"/>
    <s v="PROD78"/>
    <s v="Home"/>
    <s v="STORE9"/>
    <n v="3"/>
    <n v="83.7"/>
    <n v="0.24"/>
    <x v="1"/>
    <n v="190.83600000000001"/>
  </r>
  <r>
    <s v="SALE44"/>
    <d v="2025-02-01T00:00:00"/>
    <s v="CUST1142"/>
    <s v="Maria Ramirez"/>
    <s v="PROD69"/>
    <s v="Clothing"/>
    <s v="STORE7"/>
    <n v="3"/>
    <n v="76.569999999999993"/>
    <n v="0.26"/>
    <x v="0"/>
    <n v="169.9854"/>
  </r>
  <r>
    <s v="SALE45"/>
    <d v="2025-01-20T00:00:00"/>
    <s v="CUST1324"/>
    <s v="Alex Mann Ii"/>
    <s v="PROD20"/>
    <s v="Sports"/>
    <s v="STORE8"/>
    <n v="1"/>
    <n v="900.35"/>
    <n v="0.13"/>
    <x v="2"/>
    <n v="783.30449999999996"/>
  </r>
  <r>
    <s v="SALE46"/>
    <d v="2025-02-18T00:00:00"/>
    <s v="CUST1095"/>
    <s v="Amy Fowler"/>
    <s v="PROD40"/>
    <s v="Electronics"/>
    <s v="STORE10"/>
    <n v="4"/>
    <n v="428.09"/>
    <n v="7.0000000000000007E-2"/>
    <x v="0"/>
    <n v="1592.4947999999999"/>
  </r>
  <r>
    <s v="SALE47"/>
    <d v="2024-10-24T00:00:00"/>
    <s v="CUST1416"/>
    <s v="Jennifer Myers"/>
    <s v="PROD49"/>
    <s v="Beauty"/>
    <s v="STORE11"/>
    <n v="2"/>
    <n v="559.71"/>
    <n v="0.3"/>
    <x v="2"/>
    <n v="783.59400000000005"/>
  </r>
  <r>
    <s v="SALE48"/>
    <d v="2023-12-22T00:00:00"/>
    <s v="CUST1080"/>
    <s v="Jennifer Garcia"/>
    <s v="PROD34"/>
    <s v="Electronics"/>
    <s v="STORE6"/>
    <n v="2"/>
    <n v="833.7"/>
    <n v="0.06"/>
    <x v="1"/>
    <n v="1567.356"/>
  </r>
  <r>
    <s v="SALE49"/>
    <d v="2024-06-19T00:00:00"/>
    <s v="CUST1467"/>
    <s v="Michael Foley"/>
    <s v="PROD74"/>
    <s v="Electronics"/>
    <s v="STORE14"/>
    <n v="2"/>
    <n v="680.16"/>
    <n v="0.28000000000000003"/>
    <x v="0"/>
    <n v="979.43039999999996"/>
  </r>
  <r>
    <s v="SALE50"/>
    <d v="2023-11-27T00:00:00"/>
    <s v="CUST1367"/>
    <s v="Melinda Johnson"/>
    <s v="PROD89"/>
    <s v="Beauty"/>
    <s v="STORE11"/>
    <n v="1"/>
    <n v="996.33"/>
    <n v="0.23"/>
    <x v="1"/>
    <n v="767.17410000000007"/>
  </r>
  <r>
    <s v="SALE51"/>
    <d v="2025-07-16T00:00:00"/>
    <s v="CUST1408"/>
    <s v="Isabel Foster"/>
    <s v="PROD31"/>
    <s v="Sports"/>
    <s v="STORE10"/>
    <n v="1"/>
    <n v="198.83"/>
    <n v="0.09"/>
    <x v="2"/>
    <n v="180.93530000000001"/>
  </r>
  <r>
    <s v="SALE52"/>
    <d v="2025-02-28T00:00:00"/>
    <s v="CUST1239"/>
    <s v="Maria Hill"/>
    <s v="PROD19"/>
    <s v="Sports"/>
    <s v="STORE7"/>
    <n v="1"/>
    <n v="374.92"/>
    <n v="0.18"/>
    <x v="1"/>
    <n v="307.43439999999998"/>
  </r>
  <r>
    <s v="SALE53"/>
    <d v="2024-08-11T00:00:00"/>
    <s v="CUST1464"/>
    <s v="David Pierce"/>
    <s v="PROD33"/>
    <s v="Home"/>
    <s v="STORE16"/>
    <n v="1"/>
    <n v="468.94"/>
    <n v="0.12"/>
    <x v="0"/>
    <n v="412.66719999999998"/>
  </r>
  <r>
    <s v="SALE54"/>
    <d v="2025-09-27T00:00:00"/>
    <s v="CUST1126"/>
    <s v="James Wolfe"/>
    <s v="PROD89"/>
    <s v="Beauty"/>
    <s v="STORE12"/>
    <n v="2"/>
    <n v="121.37"/>
    <n v="0.05"/>
    <x v="0"/>
    <n v="230.60300000000001"/>
  </r>
  <r>
    <s v="SALE55"/>
    <d v="2023-12-30T00:00:00"/>
    <s v="CUST1162"/>
    <s v="Mariah Brown"/>
    <s v="PROD99"/>
    <s v="Home"/>
    <s v="STORE17"/>
    <n v="2"/>
    <n v="856.57"/>
    <n v="0.24"/>
    <x v="0"/>
    <n v="1301.9864"/>
  </r>
  <r>
    <s v="SALE56"/>
    <d v="2023-10-14T00:00:00"/>
    <s v="CUST1269"/>
    <s v="Tyrone Olson"/>
    <s v="PROD77"/>
    <s v="Electronics"/>
    <s v="STORE2"/>
    <n v="4"/>
    <n v="814.25"/>
    <n v="0.18"/>
    <x v="0"/>
    <n v="2670.74"/>
  </r>
  <r>
    <s v="SALE57"/>
    <d v="2023-11-25T00:00:00"/>
    <s v="CUST1483"/>
    <s v="Sarah Smith"/>
    <s v="PROD12"/>
    <s v="Beauty"/>
    <s v="STORE2"/>
    <n v="1"/>
    <n v="989.17"/>
    <n v="0.2"/>
    <x v="1"/>
    <n v="791.33600000000001"/>
  </r>
  <r>
    <s v="SALE58"/>
    <d v="2023-12-10T00:00:00"/>
    <s v="CUST1372"/>
    <s v="Jacqueline Anthony"/>
    <s v="PROD72"/>
    <s v="Sports"/>
    <s v="STORE10"/>
    <n v="4"/>
    <n v="62.48"/>
    <n v="0.18"/>
    <x v="0"/>
    <n v="204.93440000000001"/>
  </r>
  <r>
    <s v="SALE59"/>
    <d v="2025-08-28T00:00:00"/>
    <s v="CUST1423"/>
    <s v="Rebecca Baker"/>
    <s v="PROD13"/>
    <s v="Electronics"/>
    <s v="STORE16"/>
    <n v="4"/>
    <n v="561.24"/>
    <n v="0.24"/>
    <x v="0"/>
    <n v="1706.1695999999999"/>
  </r>
  <r>
    <s v="SALE60"/>
    <d v="2025-08-20T00:00:00"/>
    <s v="CUST1168"/>
    <s v="Daniel Contreras"/>
    <s v="PROD72"/>
    <s v="Sports"/>
    <s v="STORE1"/>
    <n v="2"/>
    <n v="668.3"/>
    <n v="7.0000000000000007E-2"/>
    <x v="0"/>
    <n v="1243.038"/>
  </r>
  <r>
    <s v="SALE61"/>
    <d v="2024-08-29T00:00:00"/>
    <s v="CUST1409"/>
    <s v="Sarah Smith"/>
    <s v="PROD97"/>
    <s v="Sports"/>
    <s v="STORE5"/>
    <n v="1"/>
    <n v="553.82000000000005"/>
    <n v="0.09"/>
    <x v="0"/>
    <n v="503.97620000000012"/>
  </r>
  <r>
    <s v="SALE62"/>
    <d v="2024-11-30T00:00:00"/>
    <s v="CUST1037"/>
    <s v="Christopher Carter"/>
    <s v="PROD45"/>
    <s v="Sports"/>
    <s v="STORE11"/>
    <n v="2"/>
    <n v="556.42999999999995"/>
    <n v="0.13"/>
    <x v="0"/>
    <n v="968.18819999999994"/>
  </r>
  <r>
    <s v="SALE63"/>
    <d v="2025-10-12T00:00:00"/>
    <s v="CUST1273"/>
    <s v="Samantha Robinson"/>
    <s v="PROD20"/>
    <s v="Sports"/>
    <s v="STORE8"/>
    <n v="1"/>
    <n v="184.98"/>
    <n v="0.1"/>
    <x v="2"/>
    <n v="166.482"/>
  </r>
  <r>
    <s v="SALE64"/>
    <d v="2024-07-27T00:00:00"/>
    <s v="CUST1035"/>
    <s v="Rachel Myers"/>
    <s v="PROD97"/>
    <s v="Sports"/>
    <s v="STORE12"/>
    <n v="4"/>
    <n v="700.18"/>
    <n v="0.23"/>
    <x v="0"/>
    <n v="2156.5544"/>
  </r>
  <r>
    <s v="SALE65"/>
    <d v="2023-12-25T00:00:00"/>
    <s v="CUST1019"/>
    <s v="Michael Torres"/>
    <s v="PROD76"/>
    <s v="Electronics"/>
    <s v="STORE10"/>
    <n v="2"/>
    <n v="686.31"/>
    <n v="0.25"/>
    <x v="0"/>
    <n v="1029.4649999999999"/>
  </r>
  <r>
    <s v="SALE66"/>
    <d v="2025-05-23T00:00:00"/>
    <s v="CUST1007"/>
    <s v="Daniel Boyd"/>
    <s v="PROD67"/>
    <s v="Electronics"/>
    <s v="STORE15"/>
    <n v="1"/>
    <n v="687.82"/>
    <n v="0.27"/>
    <x v="2"/>
    <n v="502.10860000000002"/>
  </r>
  <r>
    <s v="SALE67"/>
    <d v="2024-11-13T00:00:00"/>
    <s v="CUST1221"/>
    <s v="Lisa Young"/>
    <s v="PROD83"/>
    <s v="Beauty"/>
    <s v="STORE8"/>
    <n v="2"/>
    <n v="900.55"/>
    <n v="0.16"/>
    <x v="0"/>
    <n v="1512.924"/>
  </r>
  <r>
    <s v="SALE68"/>
    <d v="2023-12-08T00:00:00"/>
    <s v="CUST1115"/>
    <s v="Tyler Conrad"/>
    <s v="PROD21"/>
    <s v="Home"/>
    <s v="STORE2"/>
    <n v="1"/>
    <n v="341.17"/>
    <n v="0.15"/>
    <x v="0"/>
    <n v="289.99450000000002"/>
  </r>
  <r>
    <s v="SALE69"/>
    <d v="2025-08-16T00:00:00"/>
    <s v="CUST1176"/>
    <s v="John Bradford"/>
    <s v="PROD52"/>
    <s v="Sports"/>
    <s v="STORE8"/>
    <n v="1"/>
    <n v="442.27"/>
    <n v="0.06"/>
    <x v="2"/>
    <n v="415.73379999999997"/>
  </r>
  <r>
    <s v="SALE70"/>
    <d v="2024-11-20T00:00:00"/>
    <s v="CUST1253"/>
    <s v="Dr. Ashley Yates Md"/>
    <s v="PROD71"/>
    <s v="Beauty"/>
    <s v="STORE9"/>
    <n v="1"/>
    <n v="363.73"/>
    <n v="0.25"/>
    <x v="1"/>
    <n v="272.79750000000001"/>
  </r>
  <r>
    <s v="SALE71"/>
    <d v="2024-08-14T00:00:00"/>
    <s v="CUST1378"/>
    <s v="Frank Stewart"/>
    <s v="PROD91"/>
    <s v="Clothing"/>
    <s v="STORE17"/>
    <n v="2"/>
    <n v="601.33000000000004"/>
    <n v="0.16"/>
    <x v="1"/>
    <n v="1010.2344000000001"/>
  </r>
  <r>
    <s v="SALE72"/>
    <d v="2024-05-15T00:00:00"/>
    <s v="CUST1403"/>
    <s v="Justin Ingram"/>
    <s v="PROD17"/>
    <s v="Sports"/>
    <s v="STORE18"/>
    <n v="4"/>
    <n v="34.39"/>
    <n v="0.03"/>
    <x v="1"/>
    <n v="133.4332"/>
  </r>
  <r>
    <s v="SALE73"/>
    <d v="2023-12-22T00:00:00"/>
    <s v="CUST1054"/>
    <s v="Katherine Dorsey"/>
    <s v="PROD88"/>
    <s v="Sports"/>
    <s v="STORE7"/>
    <n v="4"/>
    <n v="127.1"/>
    <n v="0.24"/>
    <x v="2"/>
    <n v="386.38400000000001"/>
  </r>
  <r>
    <s v="SALE74"/>
    <d v="2024-09-10T00:00:00"/>
    <s v="CUST1303"/>
    <s v="John Sloan"/>
    <s v="PROD20"/>
    <s v="Sports"/>
    <s v="STORE3"/>
    <n v="3"/>
    <n v="899.58"/>
    <n v="0.28000000000000003"/>
    <x v="1"/>
    <n v="1943.0927999999999"/>
  </r>
  <r>
    <s v="SALE75"/>
    <d v="2025-04-08T00:00:00"/>
    <s v="CUST1327"/>
    <s v="Reginald Willis"/>
    <s v="PROD1"/>
    <s v="Clothing"/>
    <s v="STORE10"/>
    <n v="3"/>
    <n v="964.39"/>
    <n v="0.04"/>
    <x v="0"/>
    <n v="2777.4432000000002"/>
  </r>
  <r>
    <s v="SALE76"/>
    <d v="2024-10-23T00:00:00"/>
    <s v="CUST1183"/>
    <s v="Mario Jacobs"/>
    <s v="PROD38"/>
    <s v="Sports"/>
    <s v="STORE0"/>
    <n v="2"/>
    <n v="217.83"/>
    <n v="0.14000000000000001"/>
    <x v="1"/>
    <n v="374.66759999999999"/>
  </r>
  <r>
    <s v="SALE77"/>
    <d v="2025-07-10T00:00:00"/>
    <s v="CUST1143"/>
    <s v="Carlos Skinner"/>
    <s v="PROD17"/>
    <s v="Sports"/>
    <s v="STORE1"/>
    <n v="4"/>
    <n v="187.71"/>
    <n v="0.06"/>
    <x v="2"/>
    <n v="705.78959999999995"/>
  </r>
  <r>
    <s v="SALE78"/>
    <d v="2024-10-12T00:00:00"/>
    <s v="CUST1010"/>
    <s v="Dominic Page"/>
    <s v="PROD33"/>
    <s v="Home"/>
    <s v="STORE18"/>
    <n v="2"/>
    <n v="350.12"/>
    <n v="0.12"/>
    <x v="2"/>
    <n v="616.21119999999996"/>
  </r>
  <r>
    <s v="SALE79"/>
    <d v="2024-01-21T00:00:00"/>
    <s v="CUST1406"/>
    <s v="David Lozano"/>
    <s v="PROD16"/>
    <s v="Beauty"/>
    <s v="STORE1"/>
    <n v="4"/>
    <n v="102.19"/>
    <n v="0.17"/>
    <x v="1"/>
    <n v="339.27080000000001"/>
  </r>
  <r>
    <s v="SALE80"/>
    <d v="2024-02-28T00:00:00"/>
    <s v="CUST1007"/>
    <s v="Daniel Boyd"/>
    <s v="PROD67"/>
    <s v="Electronics"/>
    <s v="STORE4"/>
    <n v="1"/>
    <n v="696.53"/>
    <n v="0.17"/>
    <x v="0"/>
    <n v="578.11989999999992"/>
  </r>
  <r>
    <s v="SALE81"/>
    <d v="2024-12-31T00:00:00"/>
    <s v="CUST1065"/>
    <s v="Michael Thomas"/>
    <s v="PROD24"/>
    <s v="Sports"/>
    <s v="STORE4"/>
    <n v="2"/>
    <n v="327.52"/>
    <n v="0.15"/>
    <x v="1"/>
    <n v="556.78399999999999"/>
  </r>
  <r>
    <s v="SALE82"/>
    <d v="2024-09-21T00:00:00"/>
    <s v="CUST1321"/>
    <s v="Darren Burton"/>
    <s v="PROD99"/>
    <s v="Home"/>
    <s v="STORE6"/>
    <n v="2"/>
    <n v="68.290000000000006"/>
    <n v="0.14000000000000001"/>
    <x v="2"/>
    <n v="117.4588"/>
  </r>
  <r>
    <s v="SALE83"/>
    <d v="2024-08-19T00:00:00"/>
    <s v="CUST1244"/>
    <s v="Nancy Page"/>
    <s v="PROD50"/>
    <s v="Sports"/>
    <s v="STORE10"/>
    <n v="1"/>
    <n v="842.9"/>
    <n v="0.06"/>
    <x v="2"/>
    <n v="792.32599999999991"/>
  </r>
  <r>
    <s v="SALE84"/>
    <d v="2024-10-22T00:00:00"/>
    <s v="CUST1287"/>
    <s v="Cynthia Roberts"/>
    <s v="PROD3"/>
    <s v="Clothing"/>
    <s v="STORE3"/>
    <n v="3"/>
    <n v="751.94"/>
    <n v="0.26"/>
    <x v="1"/>
    <n v="1669.3068000000001"/>
  </r>
  <r>
    <s v="SALE85"/>
    <d v="2024-10-15T00:00:00"/>
    <s v="CUST1131"/>
    <s v="Joseph Richards"/>
    <s v="PROD56"/>
    <s v="Home"/>
    <s v="STORE7"/>
    <n v="4"/>
    <n v="476.28"/>
    <n v="0.17"/>
    <x v="0"/>
    <n v="1581.2496000000001"/>
  </r>
  <r>
    <s v="SALE86"/>
    <d v="2024-07-06T00:00:00"/>
    <s v="CUST1325"/>
    <s v="Andrew Smith"/>
    <s v="PROD54"/>
    <s v="Sports"/>
    <s v="STORE3"/>
    <n v="3"/>
    <n v="541.99"/>
    <n v="0.24"/>
    <x v="2"/>
    <n v="1235.7372"/>
  </r>
  <r>
    <s v="SALE87"/>
    <d v="2025-01-20T00:00:00"/>
    <s v="CUST1369"/>
    <s v="Gregory Allen"/>
    <s v="PROD33"/>
    <s v="Home"/>
    <s v="STORE5"/>
    <n v="2"/>
    <n v="401.5"/>
    <n v="0.18"/>
    <x v="0"/>
    <n v="658.46"/>
  </r>
  <r>
    <s v="SALE88"/>
    <d v="2024-06-10T00:00:00"/>
    <s v="CUST1084"/>
    <s v="Christy Hoffman"/>
    <s v="PROD25"/>
    <s v="Clothing"/>
    <s v="STORE13"/>
    <n v="3"/>
    <n v="359.56"/>
    <n v="0.17"/>
    <x v="1"/>
    <n v="895.30439999999999"/>
  </r>
  <r>
    <s v="SALE89"/>
    <d v="2024-09-17T00:00:00"/>
    <s v="CUST1097"/>
    <s v="David Cobb"/>
    <s v="PROD80"/>
    <s v="Home"/>
    <s v="STORE12"/>
    <n v="2"/>
    <n v="471.88"/>
    <n v="0.24"/>
    <x v="1"/>
    <n v="717.25760000000002"/>
  </r>
  <r>
    <s v="SALE90"/>
    <d v="2025-09-07T00:00:00"/>
    <s v="CUST1182"/>
    <s v="Melissa Hamilton"/>
    <s v="PROD34"/>
    <s v="Electronics"/>
    <s v="STORE4"/>
    <n v="4"/>
    <n v="925.19"/>
    <n v="0.19"/>
    <x v="1"/>
    <n v="2997.615600000001"/>
  </r>
  <r>
    <s v="SALE91"/>
    <d v="2024-02-08T00:00:00"/>
    <s v="CUST1029"/>
    <s v="David Arnold"/>
    <s v="PROD86"/>
    <s v="Home"/>
    <s v="STORE11"/>
    <n v="2"/>
    <n v="879.63"/>
    <n v="7.0000000000000007E-2"/>
    <x v="2"/>
    <n v="1636.1117999999999"/>
  </r>
  <r>
    <s v="SALE92"/>
    <d v="2023-10-15T00:00:00"/>
    <s v="CUST1002"/>
    <s v="Dr. Benjamin Price"/>
    <s v="PROD79"/>
    <s v="Home"/>
    <s v="STORE17"/>
    <n v="2"/>
    <n v="418.23"/>
    <n v="0.28000000000000003"/>
    <x v="0"/>
    <n v="602.25120000000004"/>
  </r>
  <r>
    <s v="SALE93"/>
    <d v="2025-08-22T00:00:00"/>
    <s v="CUST1269"/>
    <s v="Tyrone Olson"/>
    <s v="PROD77"/>
    <s v="Electronics"/>
    <s v="STORE18"/>
    <n v="3"/>
    <n v="551.72"/>
    <n v="0.03"/>
    <x v="2"/>
    <n v="1605.5052000000001"/>
  </r>
  <r>
    <s v="SALE94"/>
    <d v="2024-02-01T00:00:00"/>
    <s v="CUST1338"/>
    <s v="Jasmine Snyder"/>
    <s v="PROD86"/>
    <s v="Home"/>
    <s v="STORE7"/>
    <n v="4"/>
    <n v="525.61"/>
    <n v="0.02"/>
    <x v="1"/>
    <n v="2060.3912"/>
  </r>
  <r>
    <s v="SALE95"/>
    <d v="2025-05-08T00:00:00"/>
    <s v="CUST1041"/>
    <s v="James Gibbs"/>
    <s v="PROD22"/>
    <s v="Sports"/>
    <s v="STORE13"/>
    <n v="3"/>
    <n v="815.3"/>
    <n v="0.03"/>
    <x v="0"/>
    <n v="2372.5230000000001"/>
  </r>
  <r>
    <s v="SALE96"/>
    <d v="2025-03-22T00:00:00"/>
    <s v="CUST1214"/>
    <s v="Eric Todd"/>
    <s v="PROD91"/>
    <s v="Clothing"/>
    <s v="STORE0"/>
    <n v="3"/>
    <n v="376.46"/>
    <n v="0.09"/>
    <x v="2"/>
    <n v="1027.7357999999999"/>
  </r>
  <r>
    <s v="SALE97"/>
    <d v="2025-07-13T00:00:00"/>
    <s v="CUST1007"/>
    <s v="Daniel Boyd"/>
    <s v="PROD67"/>
    <s v="Electronics"/>
    <s v="STORE8"/>
    <n v="4"/>
    <n v="239.83"/>
    <n v="0.08"/>
    <x v="0"/>
    <n v="882.57440000000008"/>
  </r>
  <r>
    <s v="SALE98"/>
    <d v="2025-05-21T00:00:00"/>
    <s v="CUST1119"/>
    <s v="Michael Jones"/>
    <s v="PROD90"/>
    <s v="Electronics"/>
    <s v="STORE3"/>
    <n v="2"/>
    <n v="845.71"/>
    <n v="0.01"/>
    <x v="1"/>
    <n v="1674.5057999999999"/>
  </r>
  <r>
    <s v="SALE99"/>
    <d v="2025-02-17T00:00:00"/>
    <s v="CUST1087"/>
    <s v="Melissa Duffy Md"/>
    <s v="PROD76"/>
    <s v="Electronics"/>
    <s v="STORE13"/>
    <n v="3"/>
    <n v="948.69"/>
    <n v="0.28999999999999998"/>
    <x v="0"/>
    <n v="2020.7097000000001"/>
  </r>
  <r>
    <s v="SALE100"/>
    <d v="2024-05-01T00:00:00"/>
    <s v="CUST1467"/>
    <s v="Michael Foley"/>
    <s v="PROD74"/>
    <s v="Electronics"/>
    <s v="STORE10"/>
    <n v="1"/>
    <n v="281.97000000000003"/>
    <n v="0.2"/>
    <x v="1"/>
    <n v="225.57599999999999"/>
  </r>
  <r>
    <s v="SALE101"/>
    <d v="2024-07-09T00:00:00"/>
    <s v="CUST1152"/>
    <s v="Patrick Roberts"/>
    <s v="PROD70"/>
    <s v="Home"/>
    <s v="STORE4"/>
    <n v="2"/>
    <n v="731.01"/>
    <n v="0.05"/>
    <x v="1"/>
    <n v="1388.9190000000001"/>
  </r>
  <r>
    <s v="SALE102"/>
    <d v="2025-09-25T00:00:00"/>
    <s v="CUST1257"/>
    <s v="Christopher David"/>
    <s v="PROD85"/>
    <s v="Clothing"/>
    <s v="STORE7"/>
    <n v="4"/>
    <n v="930.85"/>
    <n v="0.13"/>
    <x v="1"/>
    <n v="3239.3580000000002"/>
  </r>
  <r>
    <s v="SALE103"/>
    <d v="2024-05-08T00:00:00"/>
    <s v="CUST1419"/>
    <s v="Monica Miller"/>
    <s v="PROD3"/>
    <s v="Clothing"/>
    <s v="STORE8"/>
    <n v="4"/>
    <n v="770.77"/>
    <n v="0.22"/>
    <x v="0"/>
    <n v="2404.8024"/>
  </r>
  <r>
    <s v="SALE104"/>
    <d v="2024-09-19T00:00:00"/>
    <s v="CUST1067"/>
    <s v="Amber Mcclain"/>
    <s v="PROD46"/>
    <s v="Clothing"/>
    <s v="STORE4"/>
    <n v="3"/>
    <n v="479.63"/>
    <n v="0.3"/>
    <x v="1"/>
    <n v="1007.223"/>
  </r>
  <r>
    <s v="SALE105"/>
    <d v="2024-04-23T00:00:00"/>
    <s v="CUST1105"/>
    <s v="Lance Baker"/>
    <s v="PROD39"/>
    <s v="Electronics"/>
    <s v="STORE11"/>
    <n v="1"/>
    <n v="165"/>
    <n v="0.3"/>
    <x v="2"/>
    <n v="115.5"/>
  </r>
  <r>
    <s v="SALE106"/>
    <d v="2024-07-30T00:00:00"/>
    <s v="CUST1158"/>
    <s v="Sean Powell"/>
    <s v="PROD19"/>
    <s v="Sports"/>
    <s v="STORE8"/>
    <n v="2"/>
    <n v="151.51"/>
    <n v="0.28999999999999998"/>
    <x v="2"/>
    <n v="215.14420000000001"/>
  </r>
  <r>
    <s v="SALE107"/>
    <d v="2023-12-14T00:00:00"/>
    <s v="CUST1231"/>
    <s v="Timothy Juarez"/>
    <s v="PROD31"/>
    <s v="Sports"/>
    <s v="STORE17"/>
    <n v="2"/>
    <n v="872.93"/>
    <n v="0.28999999999999998"/>
    <x v="2"/>
    <n v="1239.5606"/>
  </r>
  <r>
    <s v="SALE108"/>
    <d v="2024-09-23T00:00:00"/>
    <s v="CUST1264"/>
    <s v="Matthew Payne"/>
    <s v="PROD22"/>
    <s v="Sports"/>
    <s v="STORE10"/>
    <n v="3"/>
    <n v="432.4"/>
    <n v="0.04"/>
    <x v="0"/>
    <n v="1245.3119999999999"/>
  </r>
  <r>
    <s v="SALE109"/>
    <d v="2025-08-17T00:00:00"/>
    <s v="CUST1338"/>
    <s v="Jasmine Snyder"/>
    <s v="PROD86"/>
    <s v="Home"/>
    <s v="STORE7"/>
    <n v="2"/>
    <n v="197.76"/>
    <n v="0.04"/>
    <x v="0"/>
    <n v="379.69920000000002"/>
  </r>
  <r>
    <s v="SALE110"/>
    <d v="2025-01-17T00:00:00"/>
    <s v="CUST1476"/>
    <s v="Elizabeth Foster"/>
    <s v="PROD69"/>
    <s v="Clothing"/>
    <s v="STORE2"/>
    <n v="3"/>
    <n v="334.6"/>
    <n v="0.11"/>
    <x v="1"/>
    <n v="893.38200000000006"/>
  </r>
  <r>
    <s v="SALE111"/>
    <d v="2025-04-30T00:00:00"/>
    <s v="CUST1087"/>
    <s v="Melissa Duffy Md"/>
    <s v="PROD76"/>
    <s v="Electronics"/>
    <s v="STORE3"/>
    <n v="2"/>
    <n v="44.35"/>
    <n v="0.2"/>
    <x v="2"/>
    <n v="70.960000000000008"/>
  </r>
  <r>
    <s v="SALE112"/>
    <d v="2024-11-02T00:00:00"/>
    <s v="CUST1498"/>
    <s v="Traci Gonzalez"/>
    <s v="PROD8"/>
    <s v="Electronics"/>
    <s v="STORE6"/>
    <n v="1"/>
    <n v="846.31"/>
    <n v="0.05"/>
    <x v="1"/>
    <n v="803.9944999999999"/>
  </r>
  <r>
    <s v="SALE113"/>
    <d v="2025-08-15T00:00:00"/>
    <s v="CUST1131"/>
    <s v="Joseph Richards"/>
    <s v="PROD56"/>
    <s v="Home"/>
    <s v="STORE12"/>
    <n v="1"/>
    <n v="996.48"/>
    <n v="7.0000000000000007E-2"/>
    <x v="2"/>
    <n v="926.7263999999999"/>
  </r>
  <r>
    <s v="SALE114"/>
    <d v="2025-09-16T00:00:00"/>
    <s v="CUST1277"/>
    <s v="Jeffrey Gomez"/>
    <s v="PROD93"/>
    <s v="Electronics"/>
    <s v="STORE6"/>
    <n v="3"/>
    <n v="949.19"/>
    <n v="0.03"/>
    <x v="2"/>
    <n v="2762.1428999999998"/>
  </r>
  <r>
    <s v="SALE115"/>
    <d v="2024-02-25T00:00:00"/>
    <s v="CUST1397"/>
    <s v="Charles Norman Phd"/>
    <s v="PROD94"/>
    <s v="Beauty"/>
    <s v="STORE9"/>
    <n v="2"/>
    <n v="724.97"/>
    <n v="0.1"/>
    <x v="0"/>
    <n v="1304.9459999999999"/>
  </r>
  <r>
    <s v="SALE116"/>
    <d v="2025-03-07T00:00:00"/>
    <s v="CUST1315"/>
    <s v="William Rodriguez"/>
    <s v="PROD1"/>
    <s v="Clothing"/>
    <s v="STORE16"/>
    <n v="1"/>
    <n v="783.25"/>
    <n v="0.3"/>
    <x v="0"/>
    <n v="548.27499999999998"/>
  </r>
  <r>
    <s v="SALE117"/>
    <d v="2024-07-22T00:00:00"/>
    <s v="CUST1343"/>
    <s v="Ryan Moore"/>
    <s v="PROD17"/>
    <s v="Sports"/>
    <s v="STORE3"/>
    <n v="1"/>
    <n v="942.38"/>
    <n v="0.17"/>
    <x v="0"/>
    <n v="782.17539999999997"/>
  </r>
  <r>
    <s v="SALE118"/>
    <d v="2024-06-01T00:00:00"/>
    <s v="CUST1496"/>
    <s v="Christopher Ford"/>
    <s v="PROD51"/>
    <s v="Electronics"/>
    <s v="STORE11"/>
    <n v="3"/>
    <n v="298.35000000000002"/>
    <n v="0.05"/>
    <x v="2"/>
    <n v="850.29750000000001"/>
  </r>
  <r>
    <s v="SALE119"/>
    <d v="2025-01-05T00:00:00"/>
    <s v="CUST1164"/>
    <s v="Daniel Rivas"/>
    <s v="PROD48"/>
    <s v="Electronics"/>
    <s v="STORE12"/>
    <n v="4"/>
    <n v="950.04"/>
    <n v="0.13"/>
    <x v="1"/>
    <n v="3306.1392000000001"/>
  </r>
  <r>
    <s v="SALE120"/>
    <d v="2025-09-10T00:00:00"/>
    <s v="CUST1329"/>
    <s v="Victor Mcintosh"/>
    <s v="PROD57"/>
    <s v="Sports"/>
    <s v="STORE4"/>
    <n v="2"/>
    <n v="267.19"/>
    <n v="7.0000000000000007E-2"/>
    <x v="0"/>
    <n v="496.97340000000003"/>
  </r>
  <r>
    <s v="SALE121"/>
    <d v="2025-06-19T00:00:00"/>
    <s v="CUST1201"/>
    <s v="Mary Boyd"/>
    <s v="PROD87"/>
    <s v="Home"/>
    <s v="STORE15"/>
    <n v="4"/>
    <n v="72.63"/>
    <n v="0.06"/>
    <x v="1"/>
    <n v="273.08879999999999"/>
  </r>
  <r>
    <s v="SALE122"/>
    <d v="2024-09-09T00:00:00"/>
    <s v="CUST1427"/>
    <s v="Jose Stewart"/>
    <s v="PROD53"/>
    <s v="Clothing"/>
    <s v="STORE5"/>
    <n v="3"/>
    <n v="576.52"/>
    <n v="0.22"/>
    <x v="2"/>
    <n v="1349.0568000000001"/>
  </r>
  <r>
    <s v="SALE123"/>
    <d v="2025-04-04T00:00:00"/>
    <s v="CUST1349"/>
    <s v="Heather Valenzuela"/>
    <s v="PROD71"/>
    <s v="Beauty"/>
    <s v="STORE9"/>
    <n v="3"/>
    <n v="849.36"/>
    <n v="0.03"/>
    <x v="0"/>
    <n v="2471.6376"/>
  </r>
  <r>
    <s v="SALE124"/>
    <d v="2024-04-10T00:00:00"/>
    <s v="CUST1473"/>
    <s v="Laura Mathews"/>
    <s v="PROD50"/>
    <s v="Sports"/>
    <s v="STORE6"/>
    <n v="1"/>
    <n v="245.85"/>
    <n v="0.18"/>
    <x v="2"/>
    <n v="201.59700000000001"/>
  </r>
  <r>
    <s v="SALE125"/>
    <d v="2024-10-24T00:00:00"/>
    <s v="CUST1178"/>
    <s v="Michelle Myers"/>
    <s v="PROD97"/>
    <s v="Sports"/>
    <s v="STORE10"/>
    <n v="3"/>
    <n v="237.68"/>
    <n v="0.1"/>
    <x v="2"/>
    <n v="641.73599999999999"/>
  </r>
  <r>
    <s v="SALE126"/>
    <d v="2025-04-09T00:00:00"/>
    <s v="CUST1337"/>
    <s v="Carol Lewis"/>
    <s v="PROD71"/>
    <s v="Beauty"/>
    <s v="STORE14"/>
    <n v="4"/>
    <n v="715.85"/>
    <n v="0.25"/>
    <x v="1"/>
    <n v="2147.5500000000002"/>
  </r>
  <r>
    <s v="SALE127"/>
    <d v="2023-11-25T00:00:00"/>
    <s v="CUST1171"/>
    <s v="Amy Wilson"/>
    <s v="PROD90"/>
    <s v="Electronics"/>
    <s v="STORE5"/>
    <n v="2"/>
    <n v="478.85"/>
    <n v="0.01"/>
    <x v="2"/>
    <n v="948.12300000000005"/>
  </r>
  <r>
    <s v="SALE128"/>
    <d v="2025-03-02T00:00:00"/>
    <s v="CUST1113"/>
    <s v="Edward Hall"/>
    <s v="PROD47"/>
    <s v="Beauty"/>
    <s v="STORE0"/>
    <n v="1"/>
    <n v="503.95"/>
    <n v="0.26"/>
    <x v="2"/>
    <n v="372.923"/>
  </r>
  <r>
    <s v="SALE129"/>
    <d v="2024-10-08T00:00:00"/>
    <s v="CUST1399"/>
    <s v="John Donaldson"/>
    <s v="PROD66"/>
    <s v="Beauty"/>
    <s v="STORE12"/>
    <n v="2"/>
    <n v="975.48"/>
    <n v="0.26"/>
    <x v="2"/>
    <n v="1443.7103999999999"/>
  </r>
  <r>
    <s v="SALE130"/>
    <d v="2025-08-15T00:00:00"/>
    <s v="CUST1401"/>
    <s v="Terry Moses"/>
    <s v="PROD34"/>
    <s v="Electronics"/>
    <s v="STORE16"/>
    <n v="4"/>
    <n v="450.12"/>
    <n v="0.28999999999999998"/>
    <x v="2"/>
    <n v="1278.3407999999999"/>
  </r>
  <r>
    <s v="SALE131"/>
    <d v="2024-06-05T00:00:00"/>
    <s v="CUST1435"/>
    <s v="Lindsay Beasley"/>
    <s v="PROD36"/>
    <s v="Clothing"/>
    <s v="STORE8"/>
    <n v="3"/>
    <n v="237.24"/>
    <n v="0.24"/>
    <x v="1"/>
    <n v="540.90719999999999"/>
  </r>
  <r>
    <s v="SALE132"/>
    <d v="2024-08-18T00:00:00"/>
    <s v="CUST1459"/>
    <s v="John Perez"/>
    <s v="PROD54"/>
    <s v="Sports"/>
    <s v="STORE15"/>
    <n v="2"/>
    <n v="536.84"/>
    <n v="0.09"/>
    <x v="2"/>
    <n v="977.04880000000014"/>
  </r>
  <r>
    <s v="SALE133"/>
    <d v="2024-11-30T00:00:00"/>
    <s v="CUST1443"/>
    <s v="Adam Castro"/>
    <s v="PROD34"/>
    <s v="Electronics"/>
    <s v="STORE19"/>
    <n v="3"/>
    <n v="584.41"/>
    <n v="0"/>
    <x v="2"/>
    <n v="1753.23"/>
  </r>
  <r>
    <s v="SALE134"/>
    <d v="2024-11-21T00:00:00"/>
    <s v="CUST1294"/>
    <s v="Lisa Chandler"/>
    <s v="PROD82"/>
    <s v="Sports"/>
    <s v="STORE19"/>
    <n v="1"/>
    <n v="653.87"/>
    <n v="0.14000000000000001"/>
    <x v="1"/>
    <n v="562.32820000000004"/>
  </r>
  <r>
    <s v="SALE135"/>
    <d v="2025-08-09T00:00:00"/>
    <s v="CUST1493"/>
    <s v="Amanda Powell"/>
    <s v="PROD59"/>
    <s v="Beauty"/>
    <s v="STORE0"/>
    <n v="1"/>
    <n v="652.03"/>
    <n v="0.27"/>
    <x v="0"/>
    <n v="475.9819"/>
  </r>
  <r>
    <s v="SALE136"/>
    <d v="2024-07-29T00:00:00"/>
    <s v="CUST1093"/>
    <s v="Christy Vasquez"/>
    <s v="PROD5"/>
    <s v="Clothing"/>
    <s v="STORE12"/>
    <n v="3"/>
    <n v="513.36"/>
    <n v="7.0000000000000007E-2"/>
    <x v="2"/>
    <n v="1432.2744"/>
  </r>
  <r>
    <s v="SALE137"/>
    <d v="2024-05-21T00:00:00"/>
    <s v="CUST1068"/>
    <s v="Mr. Mark Beasley"/>
    <s v="PROD52"/>
    <s v="Sports"/>
    <s v="STORE5"/>
    <n v="4"/>
    <n v="355.64"/>
    <n v="0.16"/>
    <x v="2"/>
    <n v="1194.9503999999999"/>
  </r>
  <r>
    <s v="SALE138"/>
    <d v="2024-10-29T00:00:00"/>
    <s v="CUST1022"/>
    <s v="Paul Fox"/>
    <s v="PROD13"/>
    <s v="Electronics"/>
    <s v="STORE8"/>
    <n v="4"/>
    <n v="535.4"/>
    <n v="0.26"/>
    <x v="1"/>
    <n v="1584.7840000000001"/>
  </r>
  <r>
    <s v="SALE139"/>
    <d v="2025-05-21T00:00:00"/>
    <s v="CUST1243"/>
    <s v="Brian Hammond"/>
    <s v="PROD69"/>
    <s v="Clothing"/>
    <s v="STORE19"/>
    <n v="2"/>
    <n v="108.74"/>
    <n v="0.11"/>
    <x v="1"/>
    <n v="193.55719999999999"/>
  </r>
  <r>
    <s v="SALE140"/>
    <d v="2024-10-14T00:00:00"/>
    <s v="CUST1314"/>
    <s v="Elizabeth Johnson"/>
    <s v="PROD11"/>
    <s v="Electronics"/>
    <s v="STORE19"/>
    <n v="3"/>
    <n v="591.98"/>
    <n v="0.16"/>
    <x v="0"/>
    <n v="1491.7896000000001"/>
  </r>
  <r>
    <s v="SALE141"/>
    <d v="2024-11-17T00:00:00"/>
    <s v="CUST1405"/>
    <s v="Eric Wolfe"/>
    <s v="PROD48"/>
    <s v="Electronics"/>
    <s v="STORE2"/>
    <n v="1"/>
    <n v="345.06"/>
    <n v="0.13"/>
    <x v="2"/>
    <n v="300.2022"/>
  </r>
  <r>
    <s v="SALE142"/>
    <d v="2025-03-29T00:00:00"/>
    <s v="CUST1307"/>
    <s v="Brandy Thompson"/>
    <s v="PROD93"/>
    <s v="Electronics"/>
    <s v="STORE12"/>
    <n v="4"/>
    <n v="986.41"/>
    <n v="0.22"/>
    <x v="0"/>
    <n v="3077.5992000000001"/>
  </r>
  <r>
    <s v="SALE143"/>
    <d v="2024-07-21T00:00:00"/>
    <s v="CUST1319"/>
    <s v="Casey Simpson"/>
    <s v="PROD49"/>
    <s v="Beauty"/>
    <s v="STORE0"/>
    <n v="2"/>
    <n v="921.52"/>
    <n v="0"/>
    <x v="1"/>
    <n v="1843.04"/>
  </r>
  <r>
    <s v="SALE144"/>
    <d v="2025-08-14T00:00:00"/>
    <s v="CUST1097"/>
    <s v="David Cobb"/>
    <s v="PROD80"/>
    <s v="Home"/>
    <s v="STORE5"/>
    <n v="1"/>
    <n v="83.1"/>
    <n v="0.04"/>
    <x v="1"/>
    <n v="79.775999999999996"/>
  </r>
  <r>
    <s v="SALE145"/>
    <d v="2024-11-05T00:00:00"/>
    <s v="CUST1369"/>
    <s v="Gregory Allen"/>
    <s v="PROD33"/>
    <s v="Home"/>
    <s v="STORE11"/>
    <n v="2"/>
    <n v="60.98"/>
    <n v="0.23"/>
    <x v="1"/>
    <n v="93.909199999999998"/>
  </r>
  <r>
    <s v="SALE146"/>
    <d v="2024-06-11T00:00:00"/>
    <s v="CUST1394"/>
    <s v="Alejandro Evans"/>
    <s v="PROD89"/>
    <s v="Beauty"/>
    <s v="STORE16"/>
    <n v="2"/>
    <n v="122.23"/>
    <n v="0.21"/>
    <x v="2"/>
    <n v="193.1234"/>
  </r>
  <r>
    <s v="SALE147"/>
    <d v="2025-09-18T00:00:00"/>
    <s v="CUST1020"/>
    <s v="Bridget Allen"/>
    <s v="PROD70"/>
    <s v="Home"/>
    <s v="STORE18"/>
    <n v="2"/>
    <n v="623.38"/>
    <n v="0.13"/>
    <x v="0"/>
    <n v="1084.6812"/>
  </r>
  <r>
    <s v="SALE148"/>
    <d v="2025-03-13T00:00:00"/>
    <s v="CUST1058"/>
    <s v="Cheryl Copeland"/>
    <s v="PROD70"/>
    <s v="Home"/>
    <s v="STORE0"/>
    <n v="1"/>
    <n v="479.58"/>
    <n v="0.05"/>
    <x v="1"/>
    <n v="455.60099999999989"/>
  </r>
  <r>
    <s v="SALE149"/>
    <d v="2023-12-16T00:00:00"/>
    <s v="CUST1298"/>
    <s v="Tracy Stephens"/>
    <s v="PROD73"/>
    <s v="Sports"/>
    <s v="STORE6"/>
    <n v="3"/>
    <n v="369.32"/>
    <n v="0.14000000000000001"/>
    <x v="1"/>
    <n v="952.84559999999999"/>
  </r>
  <r>
    <s v="SALE150"/>
    <d v="2025-07-13T00:00:00"/>
    <s v="CUST1076"/>
    <s v="Nathan Campbell"/>
    <s v="PROD32"/>
    <s v="Beauty"/>
    <s v="STORE1"/>
    <n v="1"/>
    <n v="488.31"/>
    <n v="0.03"/>
    <x v="1"/>
    <n v="473.66070000000002"/>
  </r>
  <r>
    <s v="SALE151"/>
    <d v="2024-05-06T00:00:00"/>
    <s v="CUST1276"/>
    <s v="Arthur Warren"/>
    <s v="PROD65"/>
    <s v="Sports"/>
    <s v="STORE12"/>
    <n v="4"/>
    <n v="164.04"/>
    <n v="0.26"/>
    <x v="0"/>
    <n v="485.55839999999989"/>
  </r>
  <r>
    <s v="SALE152"/>
    <d v="2024-08-04T00:00:00"/>
    <s v="CUST1073"/>
    <s v="Christopher Brown"/>
    <s v="PROD10"/>
    <s v="Home"/>
    <s v="STORE17"/>
    <n v="3"/>
    <n v="707.95"/>
    <n v="0.18"/>
    <x v="1"/>
    <n v="1741.557"/>
  </r>
  <r>
    <s v="SALE153"/>
    <d v="2023-12-09T00:00:00"/>
    <s v="CUST1295"/>
    <s v="Crystal Waters"/>
    <s v="PROD69"/>
    <s v="Clothing"/>
    <s v="STORE8"/>
    <n v="4"/>
    <n v="714.47"/>
    <n v="0.18"/>
    <x v="2"/>
    <n v="2343.4616000000001"/>
  </r>
  <r>
    <s v="SALE154"/>
    <d v="2025-07-28T00:00:00"/>
    <s v="CUST1415"/>
    <s v="Tyler Cook"/>
    <s v="PROD79"/>
    <s v="Home"/>
    <s v="STORE7"/>
    <n v="4"/>
    <n v="422.09"/>
    <n v="0.04"/>
    <x v="0"/>
    <n v="1620.8255999999999"/>
  </r>
  <r>
    <s v="SALE155"/>
    <d v="2024-06-19T00:00:00"/>
    <s v="CUST1108"/>
    <s v="Travis Holland"/>
    <s v="PROD30"/>
    <s v="Home"/>
    <s v="STORE9"/>
    <n v="1"/>
    <n v="998.19"/>
    <n v="0.2"/>
    <x v="0"/>
    <n v="798.55200000000013"/>
  </r>
  <r>
    <s v="SALE156"/>
    <d v="2024-01-22T00:00:00"/>
    <s v="CUST1373"/>
    <s v="James Orozco"/>
    <s v="PROD72"/>
    <s v="Sports"/>
    <s v="STORE7"/>
    <n v="2"/>
    <n v="343.42"/>
    <n v="0.12"/>
    <x v="2"/>
    <n v="604.41920000000005"/>
  </r>
  <r>
    <s v="SALE157"/>
    <d v="2024-04-08T00:00:00"/>
    <s v="CUST1256"/>
    <s v="Kristen Fischer"/>
    <s v="PROD34"/>
    <s v="Electronics"/>
    <s v="STORE6"/>
    <n v="1"/>
    <n v="152.16999999999999"/>
    <n v="0.28000000000000003"/>
    <x v="2"/>
    <n v="109.5624"/>
  </r>
  <r>
    <s v="SALE158"/>
    <d v="2025-05-18T00:00:00"/>
    <s v="CUST1175"/>
    <s v="Michelle Rogers"/>
    <s v="PROD49"/>
    <s v="Beauty"/>
    <s v="STORE11"/>
    <n v="1"/>
    <n v="325.08"/>
    <n v="0.26"/>
    <x v="1"/>
    <n v="240.5592"/>
  </r>
  <r>
    <s v="SALE159"/>
    <d v="2023-12-07T00:00:00"/>
    <s v="CUST1344"/>
    <s v="Evelyn Brown"/>
    <s v="PROD89"/>
    <s v="Beauty"/>
    <s v="STORE10"/>
    <n v="2"/>
    <n v="827.92"/>
    <n v="0.25"/>
    <x v="2"/>
    <n v="1241.8800000000001"/>
  </r>
  <r>
    <s v="SALE160"/>
    <d v="2024-01-23T00:00:00"/>
    <s v="CUST1485"/>
    <s v="Sara Ingram"/>
    <s v="PROD26"/>
    <s v="Electronics"/>
    <s v="STORE2"/>
    <n v="2"/>
    <n v="593.47"/>
    <n v="0.1"/>
    <x v="2"/>
    <n v="1068.2460000000001"/>
  </r>
  <r>
    <s v="SALE161"/>
    <d v="2023-12-07T00:00:00"/>
    <s v="CUST1293"/>
    <s v="Gloria Taylor"/>
    <s v="PROD20"/>
    <s v="Sports"/>
    <s v="STORE7"/>
    <n v="4"/>
    <n v="756.28"/>
    <n v="0.05"/>
    <x v="2"/>
    <n v="2873.864"/>
  </r>
  <r>
    <s v="SALE162"/>
    <d v="2024-12-15T00:00:00"/>
    <s v="CUST1377"/>
    <s v="Charles Conley"/>
    <s v="PROD92"/>
    <s v="Home"/>
    <s v="STORE1"/>
    <n v="2"/>
    <n v="707.65"/>
    <n v="0.14000000000000001"/>
    <x v="0"/>
    <n v="1217.1579999999999"/>
  </r>
  <r>
    <s v="SALE163"/>
    <d v="2024-03-20T00:00:00"/>
    <s v="CUST1128"/>
    <s v="Susan Mcdonald"/>
    <s v="PROD25"/>
    <s v="Clothing"/>
    <s v="STORE15"/>
    <n v="1"/>
    <n v="857.35"/>
    <n v="0.28000000000000003"/>
    <x v="1"/>
    <n v="617.29200000000003"/>
  </r>
  <r>
    <s v="SALE164"/>
    <d v="2025-01-13T00:00:00"/>
    <s v="CUST1499"/>
    <s v="Philip Pennington"/>
    <s v="PROD55"/>
    <s v="Home"/>
    <s v="STORE8"/>
    <n v="1"/>
    <n v="79"/>
    <n v="0.04"/>
    <x v="1"/>
    <n v="75.84"/>
  </r>
  <r>
    <s v="SALE165"/>
    <d v="2025-08-16T00:00:00"/>
    <s v="CUST1066"/>
    <s v="Cody Diaz"/>
    <s v="PROD94"/>
    <s v="Beauty"/>
    <s v="STORE5"/>
    <n v="4"/>
    <n v="638.91"/>
    <n v="0"/>
    <x v="2"/>
    <n v="2555.64"/>
  </r>
  <r>
    <s v="SALE166"/>
    <d v="2025-06-04T00:00:00"/>
    <s v="CUST1081"/>
    <s v="Krystal Ford"/>
    <s v="PROD45"/>
    <s v="Sports"/>
    <s v="STORE0"/>
    <n v="2"/>
    <n v="522.16999999999996"/>
    <n v="0.27"/>
    <x v="0"/>
    <n v="762.36819999999989"/>
  </r>
  <r>
    <s v="SALE167"/>
    <d v="2023-11-05T00:00:00"/>
    <s v="CUST1478"/>
    <s v="Earl Smith Dds"/>
    <s v="PROD39"/>
    <s v="Electronics"/>
    <s v="STORE12"/>
    <n v="3"/>
    <n v="954.29"/>
    <n v="0.27"/>
    <x v="0"/>
    <n v="2089.8951000000002"/>
  </r>
  <r>
    <s v="SALE168"/>
    <d v="2025-02-22T00:00:00"/>
    <s v="CUST1462"/>
    <s v="Beth Martin"/>
    <s v="PROD33"/>
    <s v="Home"/>
    <s v="STORE13"/>
    <n v="3"/>
    <n v="53.92"/>
    <n v="0.15"/>
    <x v="1"/>
    <n v="137.49600000000001"/>
  </r>
  <r>
    <s v="SALE169"/>
    <d v="2025-04-06T00:00:00"/>
    <s v="CUST1396"/>
    <s v="Alexander Byrd"/>
    <s v="PROD43"/>
    <s v="Electronics"/>
    <s v="STORE0"/>
    <n v="4"/>
    <n v="741.88"/>
    <n v="0.02"/>
    <x v="2"/>
    <n v="2908.1696000000002"/>
  </r>
  <r>
    <s v="SALE170"/>
    <d v="2024-10-29T00:00:00"/>
    <s v="CUST1033"/>
    <s v="Robert Jones Dds"/>
    <s v="PROD46"/>
    <s v="Clothing"/>
    <s v="STORE3"/>
    <n v="1"/>
    <n v="547.09"/>
    <n v="0.01"/>
    <x v="1"/>
    <n v="541.6191"/>
  </r>
  <r>
    <s v="SALE171"/>
    <d v="2025-01-29T00:00:00"/>
    <s v="CUST1489"/>
    <s v="Melinda Thomas"/>
    <s v="PROD89"/>
    <s v="Beauty"/>
    <s v="STORE3"/>
    <n v="1"/>
    <n v="789.35"/>
    <n v="0.14000000000000001"/>
    <x v="1"/>
    <n v="678.84100000000001"/>
  </r>
  <r>
    <s v="SALE172"/>
    <d v="2024-03-03T00:00:00"/>
    <s v="CUST1428"/>
    <s v="Samuel Mullins"/>
    <s v="PROD63"/>
    <s v="Beauty"/>
    <s v="STORE3"/>
    <n v="3"/>
    <n v="476.78"/>
    <n v="0.09"/>
    <x v="2"/>
    <n v="1301.6094000000001"/>
  </r>
  <r>
    <s v="SALE173"/>
    <d v="2024-11-04T00:00:00"/>
    <s v="CUST1453"/>
    <s v="April Phillips"/>
    <s v="PROD12"/>
    <s v="Beauty"/>
    <s v="STORE18"/>
    <n v="2"/>
    <n v="504.26"/>
    <n v="0.04"/>
    <x v="1"/>
    <n v="968.17919999999992"/>
  </r>
  <r>
    <s v="SALE174"/>
    <d v="2024-09-03T00:00:00"/>
    <s v="CUST1272"/>
    <s v="Adam Rowland"/>
    <s v="PROD81"/>
    <s v="Sports"/>
    <s v="STORE6"/>
    <n v="2"/>
    <n v="549.33000000000004"/>
    <n v="0.01"/>
    <x v="2"/>
    <n v="1087.6733999999999"/>
  </r>
  <r>
    <s v="SALE175"/>
    <d v="2024-04-29T00:00:00"/>
    <s v="CUST1382"/>
    <s v="Martha Brown"/>
    <s v="PROD4"/>
    <s v="Clothing"/>
    <s v="STORE3"/>
    <n v="3"/>
    <n v="620.22"/>
    <n v="0.04"/>
    <x v="0"/>
    <n v="1786.2336"/>
  </r>
  <r>
    <s v="SALE176"/>
    <d v="2024-04-29T00:00:00"/>
    <s v="CUST1091"/>
    <s v="Donna Gregory"/>
    <s v="PROD46"/>
    <s v="Clothing"/>
    <s v="STORE3"/>
    <n v="1"/>
    <n v="580.76"/>
    <n v="0.1"/>
    <x v="2"/>
    <n v="522.68399999999997"/>
  </r>
  <r>
    <s v="SALE177"/>
    <d v="2025-04-28T00:00:00"/>
    <s v="CUST1334"/>
    <s v="Mr. Christopher Sims"/>
    <s v="PROD71"/>
    <s v="Beauty"/>
    <s v="STORE9"/>
    <n v="3"/>
    <n v="444.55"/>
    <n v="0.14000000000000001"/>
    <x v="1"/>
    <n v="1146.9390000000001"/>
  </r>
  <r>
    <s v="SALE178"/>
    <d v="2024-06-16T00:00:00"/>
    <s v="CUST1138"/>
    <s v="Sean Roth"/>
    <s v="PROD46"/>
    <s v="Clothing"/>
    <s v="STORE18"/>
    <n v="1"/>
    <n v="804.9"/>
    <n v="0.03"/>
    <x v="1"/>
    <n v="780.75299999999993"/>
  </r>
  <r>
    <s v="SALE179"/>
    <d v="2024-11-21T00:00:00"/>
    <s v="CUST1424"/>
    <s v="Edwin Barnes"/>
    <s v="PROD92"/>
    <s v="Home"/>
    <s v="STORE14"/>
    <n v="3"/>
    <n v="361.65"/>
    <n v="0.15"/>
    <x v="2"/>
    <n v="922.20749999999987"/>
  </r>
  <r>
    <s v="SALE180"/>
    <d v="2025-04-16T00:00:00"/>
    <s v="CUST1162"/>
    <s v="Mariah Brown"/>
    <s v="PROD99"/>
    <s v="Home"/>
    <s v="STORE4"/>
    <n v="1"/>
    <n v="271.76"/>
    <n v="0.03"/>
    <x v="0"/>
    <n v="263.60719999999998"/>
  </r>
  <r>
    <s v="SALE181"/>
    <d v="2024-11-22T00:00:00"/>
    <s v="CUST1323"/>
    <s v="Kristy Dunlap"/>
    <s v="PROD49"/>
    <s v="Beauty"/>
    <s v="STORE10"/>
    <n v="3"/>
    <n v="958.15"/>
    <n v="0.24"/>
    <x v="2"/>
    <n v="2184.5819999999999"/>
  </r>
  <r>
    <s v="SALE182"/>
    <d v="2023-12-30T00:00:00"/>
    <s v="CUST1427"/>
    <s v="Jose Stewart"/>
    <s v="PROD53"/>
    <s v="Clothing"/>
    <s v="STORE17"/>
    <n v="1"/>
    <n v="889.19"/>
    <n v="0.03"/>
    <x v="0"/>
    <n v="862.51430000000005"/>
  </r>
  <r>
    <s v="SALE183"/>
    <d v="2025-09-04T00:00:00"/>
    <s v="CUST1464"/>
    <s v="David Pierce"/>
    <s v="PROD33"/>
    <s v="Home"/>
    <s v="STORE16"/>
    <n v="4"/>
    <n v="689.67"/>
    <n v="0.05"/>
    <x v="2"/>
    <n v="2620.7460000000001"/>
  </r>
  <r>
    <s v="SALE184"/>
    <d v="2023-10-28T00:00:00"/>
    <s v="CUST1135"/>
    <s v="Matthew Hanna"/>
    <s v="PROD44"/>
    <s v="Sports"/>
    <s v="STORE11"/>
    <n v="1"/>
    <n v="541.24"/>
    <n v="0.03"/>
    <x v="1"/>
    <n v="525.00279999999998"/>
  </r>
  <r>
    <s v="SALE185"/>
    <d v="2024-11-04T00:00:00"/>
    <s v="CUST1448"/>
    <s v="Eric Holmes"/>
    <s v="PROD81"/>
    <s v="Sports"/>
    <s v="STORE6"/>
    <n v="1"/>
    <n v="454.71"/>
    <n v="0.16"/>
    <x v="1"/>
    <n v="381.95639999999997"/>
  </r>
  <r>
    <s v="SALE186"/>
    <d v="2024-12-20T00:00:00"/>
    <s v="CUST1038"/>
    <s v="Deanna Simpson"/>
    <s v="PROD66"/>
    <s v="Beauty"/>
    <s v="STORE5"/>
    <n v="2"/>
    <n v="397.63"/>
    <n v="0.26"/>
    <x v="0"/>
    <n v="588.49239999999998"/>
  </r>
  <r>
    <s v="SALE187"/>
    <d v="2025-03-09T00:00:00"/>
    <s v="CUST1170"/>
    <s v="Christopher Garcia Dds"/>
    <s v="PROD83"/>
    <s v="Beauty"/>
    <s v="STORE6"/>
    <n v="3"/>
    <n v="748.56"/>
    <n v="0.26"/>
    <x v="1"/>
    <n v="1661.8032000000001"/>
  </r>
  <r>
    <s v="SALE188"/>
    <d v="2025-03-26T00:00:00"/>
    <s v="CUST1144"/>
    <s v="Justin Cross"/>
    <s v="PROD72"/>
    <s v="Sports"/>
    <s v="STORE4"/>
    <n v="1"/>
    <n v="885.72"/>
    <n v="0.15"/>
    <x v="0"/>
    <n v="752.86199999999997"/>
  </r>
  <r>
    <s v="SALE189"/>
    <d v="2025-04-03T00:00:00"/>
    <s v="CUST1108"/>
    <s v="Travis Holland"/>
    <s v="PROD30"/>
    <s v="Home"/>
    <s v="STORE1"/>
    <n v="4"/>
    <n v="408.07"/>
    <n v="0.28000000000000003"/>
    <x v="2"/>
    <n v="1175.2416000000001"/>
  </r>
  <r>
    <s v="SALE190"/>
    <d v="2024-02-05T00:00:00"/>
    <s v="CUST1472"/>
    <s v="Philip Mendoza"/>
    <s v="PROD34"/>
    <s v="Electronics"/>
    <s v="STORE9"/>
    <n v="2"/>
    <n v="597.07000000000005"/>
    <n v="0.28000000000000003"/>
    <x v="1"/>
    <n v="859.7808"/>
  </r>
  <r>
    <s v="SALE191"/>
    <d v="2024-06-22T00:00:00"/>
    <s v="CUST1022"/>
    <s v="Paul Fox"/>
    <s v="PROD13"/>
    <s v="Electronics"/>
    <s v="STORE9"/>
    <n v="3"/>
    <n v="723.47"/>
    <n v="0.12"/>
    <x v="2"/>
    <n v="1909.9608000000001"/>
  </r>
  <r>
    <s v="SALE192"/>
    <d v="2025-08-14T00:00:00"/>
    <s v="CUST1437"/>
    <s v="Melinda Rivera"/>
    <s v="PROD88"/>
    <s v="Sports"/>
    <s v="STORE5"/>
    <n v="1"/>
    <n v="479.93"/>
    <n v="0.22"/>
    <x v="0"/>
    <n v="374.34539999999998"/>
  </r>
  <r>
    <s v="SALE193"/>
    <d v="2024-06-02T00:00:00"/>
    <s v="CUST1243"/>
    <s v="Brian Hammond"/>
    <s v="PROD69"/>
    <s v="Clothing"/>
    <s v="STORE16"/>
    <n v="4"/>
    <n v="362.81"/>
    <n v="0.21"/>
    <x v="2"/>
    <n v="1146.4795999999999"/>
  </r>
  <r>
    <s v="SALE194"/>
    <d v="2024-12-14T00:00:00"/>
    <s v="CUST1185"/>
    <s v="Brent Rivas"/>
    <s v="PROD79"/>
    <s v="Home"/>
    <s v="STORE3"/>
    <n v="1"/>
    <n v="127.11"/>
    <n v="0.01"/>
    <x v="1"/>
    <n v="125.8389"/>
  </r>
  <r>
    <s v="SALE195"/>
    <d v="2024-04-29T00:00:00"/>
    <s v="CUST1184"/>
    <s v="Leonard Cochran"/>
    <s v="PROD34"/>
    <s v="Electronics"/>
    <s v="STORE17"/>
    <n v="4"/>
    <n v="931.26"/>
    <n v="0.04"/>
    <x v="0"/>
    <n v="3576.0383999999999"/>
  </r>
  <r>
    <s v="SALE196"/>
    <d v="2023-10-25T00:00:00"/>
    <s v="CUST1371"/>
    <s v="Michael Garner"/>
    <s v="PROD67"/>
    <s v="Electronics"/>
    <s v="STORE8"/>
    <n v="1"/>
    <n v="620.80999999999995"/>
    <n v="0.04"/>
    <x v="1"/>
    <n v="595.97759999999994"/>
  </r>
  <r>
    <s v="SALE197"/>
    <d v="2024-07-24T00:00:00"/>
    <s v="CUST1094"/>
    <s v="David Patterson"/>
    <s v="PROD39"/>
    <s v="Electronics"/>
    <s v="STORE2"/>
    <n v="1"/>
    <n v="823.26"/>
    <n v="0.27"/>
    <x v="2"/>
    <n v="600.97979999999995"/>
  </r>
  <r>
    <s v="SALE198"/>
    <d v="2025-05-30T00:00:00"/>
    <s v="CUST1012"/>
    <s v="Kenneth Lambert"/>
    <s v="PROD27"/>
    <s v="Home"/>
    <s v="STORE8"/>
    <n v="3"/>
    <n v="681.01"/>
    <n v="0.27"/>
    <x v="2"/>
    <n v="1491.4119000000001"/>
  </r>
  <r>
    <s v="SALE199"/>
    <d v="2025-10-12T00:00:00"/>
    <s v="CUST1442"/>
    <s v="Kelli Smith"/>
    <s v="PROD56"/>
    <s v="Home"/>
    <s v="STORE19"/>
    <n v="4"/>
    <n v="119.83"/>
    <n v="0.13"/>
    <x v="0"/>
    <n v="417.00839999999999"/>
  </r>
  <r>
    <s v="SALE200"/>
    <d v="2024-01-23T00:00:00"/>
    <s v="CUST1307"/>
    <s v="Brandy Thompson"/>
    <s v="PROD93"/>
    <s v="Electronics"/>
    <s v="STORE2"/>
    <n v="1"/>
    <n v="575.66"/>
    <n v="0.03"/>
    <x v="1"/>
    <n v="558.39019999999994"/>
  </r>
  <r>
    <s v="SALE201"/>
    <d v="2025-10-13T00:00:00"/>
    <s v="CUST1199"/>
    <s v="Carmen Price"/>
    <s v="PROD48"/>
    <s v="Electronics"/>
    <s v="STORE16"/>
    <n v="1"/>
    <n v="775.84"/>
    <n v="0.26"/>
    <x v="0"/>
    <n v="574.12160000000006"/>
  </r>
  <r>
    <s v="SALE202"/>
    <d v="2024-03-05T00:00:00"/>
    <s v="CUST1443"/>
    <s v="Adam Castro"/>
    <s v="PROD34"/>
    <s v="Electronics"/>
    <s v="STORE9"/>
    <n v="3"/>
    <n v="318.43"/>
    <n v="0.05"/>
    <x v="0"/>
    <n v="907.52549999999997"/>
  </r>
  <r>
    <s v="SALE203"/>
    <d v="2025-07-16T00:00:00"/>
    <s v="CUST1153"/>
    <s v="Joseph Faulkner"/>
    <s v="PROD72"/>
    <s v="Sports"/>
    <s v="STORE8"/>
    <n v="3"/>
    <n v="141.6"/>
    <n v="0.08"/>
    <x v="2"/>
    <n v="390.81599999999997"/>
  </r>
  <r>
    <s v="SALE204"/>
    <d v="2023-10-20T00:00:00"/>
    <s v="CUST1266"/>
    <s v="Cynthia Payne"/>
    <s v="PROD15"/>
    <s v="Electronics"/>
    <s v="STORE19"/>
    <n v="1"/>
    <n v="332.82"/>
    <n v="0.14000000000000001"/>
    <x v="1"/>
    <n v="286.22519999999997"/>
  </r>
  <r>
    <s v="SALE205"/>
    <d v="2024-06-04T00:00:00"/>
    <s v="CUST1246"/>
    <s v="Mary Russell"/>
    <s v="PROD72"/>
    <s v="Sports"/>
    <s v="STORE1"/>
    <n v="4"/>
    <n v="640.97"/>
    <n v="0.11"/>
    <x v="2"/>
    <n v="2281.8532"/>
  </r>
  <r>
    <s v="SALE206"/>
    <d v="2023-10-26T00:00:00"/>
    <s v="CUST1203"/>
    <s v="Sarah Brady"/>
    <s v="PROD43"/>
    <s v="Electronics"/>
    <s v="STORE15"/>
    <n v="4"/>
    <n v="75.37"/>
    <n v="0.02"/>
    <x v="2"/>
    <n v="295.4504"/>
  </r>
  <r>
    <s v="SALE207"/>
    <d v="2025-04-07T00:00:00"/>
    <s v="CUST1075"/>
    <s v="Rhonda Morales"/>
    <s v="PROD16"/>
    <s v="Beauty"/>
    <s v="STORE18"/>
    <n v="3"/>
    <n v="434.55"/>
    <n v="0.08"/>
    <x v="2"/>
    <n v="1199.3579999999999"/>
  </r>
  <r>
    <s v="SALE208"/>
    <d v="2025-03-13T00:00:00"/>
    <s v="CUST1099"/>
    <s v="Sheila Wilson"/>
    <s v="PROD26"/>
    <s v="Electronics"/>
    <s v="STORE14"/>
    <n v="4"/>
    <n v="652.28"/>
    <n v="0.15"/>
    <x v="0"/>
    <n v="2217.752"/>
  </r>
  <r>
    <s v="SALE209"/>
    <d v="2024-07-07T00:00:00"/>
    <s v="CUST1269"/>
    <s v="Tyrone Olson"/>
    <s v="PROD77"/>
    <s v="Electronics"/>
    <s v="STORE17"/>
    <n v="3"/>
    <n v="207.8"/>
    <n v="0.15"/>
    <x v="0"/>
    <n v="529.8900000000001"/>
  </r>
  <r>
    <s v="SALE210"/>
    <d v="2024-03-10T00:00:00"/>
    <s v="CUST1495"/>
    <s v="James Berger"/>
    <s v="PROD61"/>
    <s v="Sports"/>
    <s v="STORE15"/>
    <n v="4"/>
    <n v="385.5"/>
    <n v="0.03"/>
    <x v="1"/>
    <n v="1495.74"/>
  </r>
  <r>
    <s v="SALE211"/>
    <d v="2025-09-15T00:00:00"/>
    <s v="CUST1096"/>
    <s v="Samantha Walker"/>
    <s v="PROD65"/>
    <s v="Sports"/>
    <s v="STORE6"/>
    <n v="3"/>
    <n v="548.19000000000005"/>
    <n v="0.12"/>
    <x v="0"/>
    <n v="1447.2216000000001"/>
  </r>
  <r>
    <s v="SALE212"/>
    <d v="2024-11-11T00:00:00"/>
    <s v="CUST1069"/>
    <s v="Roy Cole"/>
    <s v="PROD73"/>
    <s v="Sports"/>
    <s v="STORE9"/>
    <n v="3"/>
    <n v="927.6"/>
    <n v="0.09"/>
    <x v="0"/>
    <n v="2532.348"/>
  </r>
  <r>
    <s v="SALE213"/>
    <d v="2025-01-09T00:00:00"/>
    <s v="CUST1266"/>
    <s v="Cynthia Payne"/>
    <s v="PROD15"/>
    <s v="Electronics"/>
    <s v="STORE3"/>
    <n v="4"/>
    <n v="585.04"/>
    <n v="0.22"/>
    <x v="1"/>
    <n v="1825.3248000000001"/>
  </r>
  <r>
    <s v="SALE214"/>
    <d v="2024-04-24T00:00:00"/>
    <s v="CUST1499"/>
    <s v="Philip Pennington"/>
    <s v="PROD55"/>
    <s v="Home"/>
    <s v="STORE2"/>
    <n v="2"/>
    <n v="999.89"/>
    <n v="0.09"/>
    <x v="0"/>
    <n v="1819.7998"/>
  </r>
  <r>
    <s v="SALE215"/>
    <d v="2023-12-24T00:00:00"/>
    <s v="CUST1107"/>
    <s v="Erica Carney"/>
    <s v="PROD75"/>
    <s v="Clothing"/>
    <s v="STORE3"/>
    <n v="2"/>
    <n v="848.98"/>
    <n v="0.04"/>
    <x v="1"/>
    <n v="1630.0416"/>
  </r>
  <r>
    <s v="SALE216"/>
    <d v="2024-02-26T00:00:00"/>
    <s v="CUST1142"/>
    <s v="Maria Ramirez"/>
    <s v="PROD69"/>
    <s v="Clothing"/>
    <s v="STORE14"/>
    <n v="3"/>
    <n v="769.56"/>
    <n v="0.08"/>
    <x v="0"/>
    <n v="2123.9856"/>
  </r>
  <r>
    <s v="SALE217"/>
    <d v="2025-01-19T00:00:00"/>
    <s v="CUST1049"/>
    <s v="Timothy Weaver"/>
    <s v="PROD48"/>
    <s v="Electronics"/>
    <s v="STORE13"/>
    <n v="3"/>
    <n v="449.88"/>
    <n v="0.1"/>
    <x v="1"/>
    <n v="1214.6759999999999"/>
  </r>
  <r>
    <s v="SALE218"/>
    <d v="2025-07-25T00:00:00"/>
    <s v="CUST1275"/>
    <s v="Shannon Miller"/>
    <s v="PROD69"/>
    <s v="Clothing"/>
    <s v="STORE12"/>
    <n v="4"/>
    <n v="383.74"/>
    <n v="0.01"/>
    <x v="0"/>
    <n v="1519.6104"/>
  </r>
  <r>
    <s v="SALE219"/>
    <d v="2024-04-27T00:00:00"/>
    <s v="CUST1148"/>
    <s v="Theresa Campbell"/>
    <s v="PROD13"/>
    <s v="Electronics"/>
    <s v="STORE10"/>
    <n v="4"/>
    <n v="794.97"/>
    <n v="0.24"/>
    <x v="1"/>
    <n v="2416.7087999999999"/>
  </r>
  <r>
    <s v="SALE220"/>
    <d v="2025-08-11T00:00:00"/>
    <s v="CUST1010"/>
    <s v="Dominic Page"/>
    <s v="PROD33"/>
    <s v="Home"/>
    <s v="STORE5"/>
    <n v="1"/>
    <n v="989.63"/>
    <n v="0.05"/>
    <x v="1"/>
    <n v="940.1484999999999"/>
  </r>
  <r>
    <s v="SALE221"/>
    <d v="2025-03-15T00:00:00"/>
    <s v="CUST1335"/>
    <s v="Jennifer Woods"/>
    <s v="PROD29"/>
    <s v="Home"/>
    <s v="STORE0"/>
    <n v="1"/>
    <n v="447.16"/>
    <n v="0.22"/>
    <x v="2"/>
    <n v="348.78480000000002"/>
  </r>
  <r>
    <s v="SALE222"/>
    <d v="2025-01-14T00:00:00"/>
    <s v="CUST1008"/>
    <s v="Melissa Howard"/>
    <s v="PROD30"/>
    <s v="Home"/>
    <s v="STORE6"/>
    <n v="1"/>
    <n v="946.9"/>
    <n v="0.28999999999999998"/>
    <x v="2"/>
    <n v="672.29899999999998"/>
  </r>
  <r>
    <s v="SALE223"/>
    <d v="2025-06-01T00:00:00"/>
    <s v="CUST1169"/>
    <s v="Steve Mclaughlin"/>
    <s v="PROD17"/>
    <s v="Sports"/>
    <s v="STORE0"/>
    <n v="4"/>
    <n v="469.68"/>
    <n v="0.19"/>
    <x v="0"/>
    <n v="1521.7632000000001"/>
  </r>
  <r>
    <s v="SALE224"/>
    <d v="2024-09-24T00:00:00"/>
    <s v="CUST1494"/>
    <s v="Justin Lopez"/>
    <s v="PROD28"/>
    <s v="Sports"/>
    <s v="STORE17"/>
    <n v="4"/>
    <n v="320.64"/>
    <n v="0.2"/>
    <x v="2"/>
    <n v="1026.048"/>
  </r>
  <r>
    <s v="SALE225"/>
    <d v="2023-11-23T00:00:00"/>
    <s v="CUST1135"/>
    <s v="Matthew Hanna"/>
    <s v="PROD44"/>
    <s v="Sports"/>
    <s v="STORE5"/>
    <n v="1"/>
    <n v="594.44000000000005"/>
    <n v="0.21"/>
    <x v="0"/>
    <n v="469.60759999999999"/>
  </r>
  <r>
    <s v="SALE226"/>
    <d v="2025-07-23T00:00:00"/>
    <s v="CUST1216"/>
    <s v="Kathryn Garcia"/>
    <s v="PROD86"/>
    <s v="Home"/>
    <s v="STORE8"/>
    <n v="3"/>
    <n v="91.7"/>
    <n v="0.08"/>
    <x v="2"/>
    <n v="253.09200000000001"/>
  </r>
  <r>
    <s v="SALE227"/>
    <d v="2025-09-17T00:00:00"/>
    <s v="CUST1031"/>
    <s v="Sarah Vance"/>
    <s v="PROD62"/>
    <s v="Electronics"/>
    <s v="STORE12"/>
    <n v="3"/>
    <n v="741.33"/>
    <n v="0.03"/>
    <x v="0"/>
    <n v="2157.2703000000001"/>
  </r>
  <r>
    <s v="SALE228"/>
    <d v="2025-04-07T00:00:00"/>
    <s v="CUST1476"/>
    <s v="Elizabeth Foster"/>
    <s v="PROD69"/>
    <s v="Clothing"/>
    <s v="STORE19"/>
    <n v="1"/>
    <n v="922.78"/>
    <n v="0.28999999999999998"/>
    <x v="2"/>
    <n v="655.17379999999991"/>
  </r>
  <r>
    <s v="SALE229"/>
    <d v="2024-01-21T00:00:00"/>
    <s v="CUST1325"/>
    <s v="Andrew Smith"/>
    <s v="PROD54"/>
    <s v="Sports"/>
    <s v="STORE16"/>
    <n v="1"/>
    <n v="394.35"/>
    <n v="0.09"/>
    <x v="1"/>
    <n v="358.85849999999999"/>
  </r>
  <r>
    <s v="SALE230"/>
    <d v="2024-07-07T00:00:00"/>
    <s v="CUST1364"/>
    <s v="Chloe Aguilar"/>
    <s v="PROD65"/>
    <s v="Sports"/>
    <s v="STORE11"/>
    <n v="2"/>
    <n v="703.95"/>
    <n v="0.03"/>
    <x v="0"/>
    <n v="1365.663"/>
  </r>
  <r>
    <s v="SALE231"/>
    <d v="2025-05-03T00:00:00"/>
    <s v="CUST1200"/>
    <s v="Anna Perez"/>
    <s v="PROD77"/>
    <s v="Electronics"/>
    <s v="STORE0"/>
    <n v="4"/>
    <n v="452.67"/>
    <n v="0.28000000000000003"/>
    <x v="1"/>
    <n v="1303.6895999999999"/>
  </r>
  <r>
    <s v="SALE232"/>
    <d v="2024-02-27T00:00:00"/>
    <s v="CUST1463"/>
    <s v="Samantha Lee"/>
    <s v="PROD8"/>
    <s v="Electronics"/>
    <s v="STORE7"/>
    <n v="2"/>
    <n v="377.3"/>
    <n v="0.15"/>
    <x v="1"/>
    <n v="641.41"/>
  </r>
  <r>
    <s v="SALE233"/>
    <d v="2025-07-08T00:00:00"/>
    <s v="CUST1344"/>
    <s v="Evelyn Brown"/>
    <s v="PROD89"/>
    <s v="Beauty"/>
    <s v="STORE7"/>
    <n v="2"/>
    <n v="130.47999999999999"/>
    <n v="0.23"/>
    <x v="1"/>
    <n v="200.9392"/>
  </r>
  <r>
    <s v="SALE234"/>
    <d v="2025-03-13T00:00:00"/>
    <s v="CUST1435"/>
    <s v="Lindsay Beasley"/>
    <s v="PROD36"/>
    <s v="Clothing"/>
    <s v="STORE12"/>
    <n v="1"/>
    <n v="809.45"/>
    <n v="0.09"/>
    <x v="2"/>
    <n v="736.59950000000003"/>
  </r>
  <r>
    <s v="SALE235"/>
    <d v="2025-04-21T00:00:00"/>
    <s v="CUST1083"/>
    <s v="Thomas Robinson"/>
    <s v="PROD45"/>
    <s v="Sports"/>
    <s v="STORE9"/>
    <n v="3"/>
    <n v="499.12"/>
    <n v="0.05"/>
    <x v="1"/>
    <n v="1422.492"/>
  </r>
  <r>
    <s v="SALE236"/>
    <d v="2024-11-10T00:00:00"/>
    <s v="CUST1023"/>
    <s v="Jonathan Steele"/>
    <s v="PROD68"/>
    <s v="Home"/>
    <s v="STORE3"/>
    <n v="2"/>
    <n v="894.58"/>
    <n v="0.25"/>
    <x v="0"/>
    <n v="1341.87"/>
  </r>
  <r>
    <s v="SALE237"/>
    <d v="2024-08-09T00:00:00"/>
    <s v="CUST1131"/>
    <s v="Joseph Richards"/>
    <s v="PROD56"/>
    <s v="Home"/>
    <s v="STORE9"/>
    <n v="4"/>
    <n v="578.39"/>
    <n v="0.01"/>
    <x v="0"/>
    <n v="2290.4243999999999"/>
  </r>
  <r>
    <s v="SALE238"/>
    <d v="2024-03-05T00:00:00"/>
    <s v="CUST1485"/>
    <s v="Sara Ingram"/>
    <s v="PROD26"/>
    <s v="Electronics"/>
    <s v="STORE17"/>
    <n v="4"/>
    <n v="982.45"/>
    <n v="0.2"/>
    <x v="1"/>
    <n v="3143.84"/>
  </r>
  <r>
    <s v="SALE239"/>
    <d v="2025-09-25T00:00:00"/>
    <s v="CUST1449"/>
    <s v="William Cortez"/>
    <s v="PROD98"/>
    <s v="Electronics"/>
    <s v="STORE19"/>
    <n v="1"/>
    <n v="549.52"/>
    <n v="0.1"/>
    <x v="1"/>
    <n v="494.56799999999998"/>
  </r>
  <r>
    <s v="SALE240"/>
    <d v="2025-08-07T00:00:00"/>
    <s v="CUST1240"/>
    <s v="William Hull"/>
    <s v="PROD92"/>
    <s v="Home"/>
    <s v="STORE18"/>
    <n v="2"/>
    <n v="239.92"/>
    <n v="0.16"/>
    <x v="0"/>
    <n v="403.06560000000002"/>
  </r>
  <r>
    <s v="SALE241"/>
    <d v="2024-02-16T00:00:00"/>
    <s v="CUST1082"/>
    <s v="George Rosario"/>
    <s v="PROD92"/>
    <s v="Home"/>
    <s v="STORE6"/>
    <n v="2"/>
    <n v="878.05"/>
    <n v="0.11"/>
    <x v="1"/>
    <n v="1562.9290000000001"/>
  </r>
  <r>
    <s v="SALE242"/>
    <d v="2025-03-30T00:00:00"/>
    <s v="CUST1044"/>
    <s v="Denise Williams"/>
    <s v="PROD1"/>
    <s v="Clothing"/>
    <s v="STORE9"/>
    <n v="3"/>
    <n v="546.96"/>
    <n v="0.19"/>
    <x v="0"/>
    <n v="1329.1128000000001"/>
  </r>
  <r>
    <s v="SALE243"/>
    <d v="2025-02-18T00:00:00"/>
    <s v="CUST1471"/>
    <s v="Debra Mccullough"/>
    <s v="PROD17"/>
    <s v="Sports"/>
    <s v="STORE10"/>
    <n v="2"/>
    <n v="71.77"/>
    <n v="0.22"/>
    <x v="0"/>
    <n v="111.96120000000001"/>
  </r>
  <r>
    <s v="SALE244"/>
    <d v="2025-03-01T00:00:00"/>
    <s v="CUST1013"/>
    <s v="Nathan Hernandez"/>
    <s v="PROD24"/>
    <s v="Sports"/>
    <s v="STORE1"/>
    <n v="2"/>
    <n v="679.86"/>
    <n v="0.22"/>
    <x v="2"/>
    <n v="1060.5816"/>
  </r>
  <r>
    <s v="SALE245"/>
    <d v="2024-01-09T00:00:00"/>
    <s v="CUST1136"/>
    <s v="Patrick Coleman"/>
    <s v="PROD35"/>
    <s v="Home"/>
    <s v="STORE17"/>
    <n v="1"/>
    <n v="222.94"/>
    <n v="0.19"/>
    <x v="0"/>
    <n v="180.5814"/>
  </r>
  <r>
    <s v="SALE246"/>
    <d v="2024-07-24T00:00:00"/>
    <s v="CUST1103"/>
    <s v="Steven Stein"/>
    <s v="PROD89"/>
    <s v="Beauty"/>
    <s v="STORE19"/>
    <n v="4"/>
    <n v="611.29999999999995"/>
    <n v="0.11"/>
    <x v="1"/>
    <n v="2176.2280000000001"/>
  </r>
  <r>
    <s v="SALE247"/>
    <d v="2025-03-26T00:00:00"/>
    <s v="CUST1333"/>
    <s v="Teresa Johnson"/>
    <s v="PROD0"/>
    <s v="Electronics"/>
    <s v="STORE8"/>
    <n v="4"/>
    <n v="849.21"/>
    <n v="7.0000000000000007E-2"/>
    <x v="0"/>
    <n v="3159.0612000000001"/>
  </r>
  <r>
    <s v="SALE248"/>
    <d v="2025-02-25T00:00:00"/>
    <s v="CUST1209"/>
    <s v="Joan Johnson"/>
    <s v="PROD42"/>
    <s v="Electronics"/>
    <s v="STORE7"/>
    <n v="3"/>
    <n v="553.12"/>
    <n v="0.28000000000000003"/>
    <x v="2"/>
    <n v="1194.7392"/>
  </r>
  <r>
    <s v="SALE249"/>
    <d v="2025-06-18T00:00:00"/>
    <s v="CUST1282"/>
    <s v="Kristi Lopez"/>
    <s v="PROD91"/>
    <s v="Clothing"/>
    <s v="STORE9"/>
    <n v="2"/>
    <n v="903.08"/>
    <n v="0.18"/>
    <x v="2"/>
    <n v="1481.0512000000001"/>
  </r>
  <r>
    <s v="SALE250"/>
    <d v="2024-12-22T00:00:00"/>
    <s v="CUST1478"/>
    <s v="Earl Smith Dds"/>
    <s v="PROD39"/>
    <s v="Electronics"/>
    <s v="STORE11"/>
    <n v="4"/>
    <n v="640.23"/>
    <n v="0.06"/>
    <x v="2"/>
    <n v="2407.2647999999999"/>
  </r>
  <r>
    <s v="SALE251"/>
    <d v="2025-06-28T00:00:00"/>
    <s v="CUST1141"/>
    <s v="Cristian Wright"/>
    <s v="PROD21"/>
    <s v="Home"/>
    <s v="STORE6"/>
    <n v="1"/>
    <n v="518"/>
    <n v="0.25"/>
    <x v="0"/>
    <n v="388.5"/>
  </r>
  <r>
    <s v="SALE252"/>
    <d v="2024-05-25T00:00:00"/>
    <s v="CUST1433"/>
    <s v="Thomas Moore"/>
    <s v="PROD64"/>
    <s v="Beauty"/>
    <s v="STORE4"/>
    <n v="4"/>
    <n v="779.25"/>
    <n v="0.25"/>
    <x v="0"/>
    <n v="2337.75"/>
  </r>
  <r>
    <s v="SALE253"/>
    <d v="2025-05-30T00:00:00"/>
    <s v="CUST1118"/>
    <s v="Earl Allen"/>
    <s v="PROD83"/>
    <s v="Beauty"/>
    <s v="STORE7"/>
    <n v="2"/>
    <n v="467.75"/>
    <n v="0.26"/>
    <x v="0"/>
    <n v="692.27"/>
  </r>
  <r>
    <s v="SALE254"/>
    <d v="2025-05-26T00:00:00"/>
    <s v="CUST1219"/>
    <s v="Jordan Wells"/>
    <s v="PROD37"/>
    <s v="Clothing"/>
    <s v="STORE0"/>
    <n v="4"/>
    <n v="747.01"/>
    <n v="0.13"/>
    <x v="1"/>
    <n v="2599.5947999999999"/>
  </r>
  <r>
    <s v="SALE255"/>
    <d v="2025-03-19T00:00:00"/>
    <s v="CUST1101"/>
    <s v="Colleen Maynard"/>
    <s v="PROD89"/>
    <s v="Beauty"/>
    <s v="STORE12"/>
    <n v="4"/>
    <n v="461.83"/>
    <n v="0.28000000000000003"/>
    <x v="1"/>
    <n v="1330.0704000000001"/>
  </r>
  <r>
    <s v="SALE256"/>
    <d v="2025-04-03T00:00:00"/>
    <s v="CUST1134"/>
    <s v="Morgan Bowen"/>
    <s v="PROD70"/>
    <s v="Home"/>
    <s v="STORE8"/>
    <n v="2"/>
    <n v="105.15"/>
    <n v="0.06"/>
    <x v="0"/>
    <n v="197.68199999999999"/>
  </r>
  <r>
    <s v="SALE257"/>
    <d v="2025-02-05T00:00:00"/>
    <s v="CUST1033"/>
    <s v="Robert Jones Dds"/>
    <s v="PROD46"/>
    <s v="Clothing"/>
    <s v="STORE3"/>
    <n v="3"/>
    <n v="610.24"/>
    <n v="0.17"/>
    <x v="2"/>
    <n v="1519.4975999999999"/>
  </r>
  <r>
    <s v="SALE258"/>
    <d v="2025-01-10T00:00:00"/>
    <s v="CUST1312"/>
    <s v="Jason Mullins"/>
    <s v="PROD74"/>
    <s v="Electronics"/>
    <s v="STORE8"/>
    <n v="1"/>
    <n v="872.12"/>
    <n v="7.0000000000000007E-2"/>
    <x v="1"/>
    <n v="811.07159999999999"/>
  </r>
  <r>
    <s v="SALE259"/>
    <d v="2024-01-25T00:00:00"/>
    <s v="CUST1433"/>
    <s v="Thomas Moore"/>
    <s v="PROD64"/>
    <s v="Beauty"/>
    <s v="STORE1"/>
    <n v="1"/>
    <n v="406.79"/>
    <n v="0.03"/>
    <x v="2"/>
    <n v="394.58629999999999"/>
  </r>
  <r>
    <s v="SALE260"/>
    <d v="2025-10-02T00:00:00"/>
    <s v="CUST1372"/>
    <s v="Jacqueline Anthony"/>
    <s v="PROD72"/>
    <s v="Sports"/>
    <s v="STORE14"/>
    <n v="1"/>
    <n v="606.01"/>
    <n v="0.04"/>
    <x v="1"/>
    <n v="581.76959999999997"/>
  </r>
  <r>
    <s v="SALE261"/>
    <d v="2024-07-10T00:00:00"/>
    <s v="CUST1349"/>
    <s v="Heather Valenzuela"/>
    <s v="PROD71"/>
    <s v="Beauty"/>
    <s v="STORE5"/>
    <n v="4"/>
    <n v="322.58"/>
    <n v="0.06"/>
    <x v="0"/>
    <n v="1212.9007999999999"/>
  </r>
  <r>
    <s v="SALE262"/>
    <d v="2025-01-04T00:00:00"/>
    <s v="CUST1484"/>
    <s v="Jessica Castro"/>
    <s v="PROD77"/>
    <s v="Electronics"/>
    <s v="STORE18"/>
    <n v="4"/>
    <n v="463.17"/>
    <n v="0.06"/>
    <x v="1"/>
    <n v="1741.5192"/>
  </r>
  <r>
    <s v="SALE263"/>
    <d v="2025-05-21T00:00:00"/>
    <s v="CUST1316"/>
    <s v="Robert House"/>
    <s v="PROD25"/>
    <s v="Clothing"/>
    <s v="STORE7"/>
    <n v="4"/>
    <n v="285.82"/>
    <n v="0.18"/>
    <x v="1"/>
    <n v="937.4896"/>
  </r>
  <r>
    <s v="SALE264"/>
    <d v="2025-07-30T00:00:00"/>
    <s v="CUST1326"/>
    <s v="Robert King"/>
    <s v="PROD37"/>
    <s v="Clothing"/>
    <s v="STORE11"/>
    <n v="3"/>
    <n v="995.38"/>
    <n v="0.1"/>
    <x v="1"/>
    <n v="2687.5259999999998"/>
  </r>
  <r>
    <s v="SALE265"/>
    <d v="2025-04-10T00:00:00"/>
    <s v="CUST1119"/>
    <s v="Michael Jones"/>
    <s v="PROD90"/>
    <s v="Electronics"/>
    <s v="STORE8"/>
    <n v="1"/>
    <n v="329.31"/>
    <n v="0.09"/>
    <x v="0"/>
    <n v="299.6721"/>
  </r>
  <r>
    <s v="SALE266"/>
    <d v="2024-07-02T00:00:00"/>
    <s v="CUST1490"/>
    <s v="Scott Harris"/>
    <s v="PROD47"/>
    <s v="Beauty"/>
    <s v="STORE16"/>
    <n v="3"/>
    <n v="64.2"/>
    <n v="0.08"/>
    <x v="2"/>
    <n v="177.19200000000001"/>
  </r>
  <r>
    <s v="SALE267"/>
    <d v="2025-06-21T00:00:00"/>
    <s v="CUST1262"/>
    <s v="Katherine Cowan"/>
    <s v="PROD11"/>
    <s v="Electronics"/>
    <s v="STORE13"/>
    <n v="3"/>
    <n v="697.13"/>
    <n v="0.25"/>
    <x v="2"/>
    <n v="1568.5425"/>
  </r>
  <r>
    <s v="SALE268"/>
    <d v="2024-12-13T00:00:00"/>
    <s v="CUST1022"/>
    <s v="Paul Fox"/>
    <s v="PROD13"/>
    <s v="Electronics"/>
    <s v="STORE5"/>
    <n v="3"/>
    <n v="134.30000000000001"/>
    <n v="0.14000000000000001"/>
    <x v="0"/>
    <n v="346.49400000000003"/>
  </r>
  <r>
    <s v="SALE269"/>
    <d v="2024-08-14T00:00:00"/>
    <s v="CUST1260"/>
    <s v="Russell Lamb"/>
    <s v="PROD84"/>
    <s v="Home"/>
    <s v="STORE13"/>
    <n v="1"/>
    <n v="520.92999999999995"/>
    <n v="0.15"/>
    <x v="0"/>
    <n v="442.79050000000001"/>
  </r>
  <r>
    <s v="SALE270"/>
    <d v="2025-03-05T00:00:00"/>
    <s v="CUST1225"/>
    <s v="Elizabeth Stanley"/>
    <s v="PROD19"/>
    <s v="Sports"/>
    <s v="STORE7"/>
    <n v="2"/>
    <n v="350.12"/>
    <n v="0.21"/>
    <x v="2"/>
    <n v="553.18960000000004"/>
  </r>
  <r>
    <s v="SALE271"/>
    <d v="2024-01-17T00:00:00"/>
    <s v="CUST1466"/>
    <s v="Cynthia Parrish"/>
    <s v="PROD48"/>
    <s v="Electronics"/>
    <s v="STORE19"/>
    <n v="3"/>
    <n v="807.95"/>
    <n v="0.1"/>
    <x v="1"/>
    <n v="2181.4650000000011"/>
  </r>
  <r>
    <s v="SALE272"/>
    <d v="2025-08-20T00:00:00"/>
    <s v="CUST1335"/>
    <s v="Jennifer Woods"/>
    <s v="PROD29"/>
    <s v="Home"/>
    <s v="STORE6"/>
    <n v="4"/>
    <n v="766.03"/>
    <n v="0.28999999999999998"/>
    <x v="1"/>
    <n v="2175.5252"/>
  </r>
  <r>
    <s v="SALE273"/>
    <d v="2024-04-04T00:00:00"/>
    <s v="CUST1182"/>
    <s v="Melissa Hamilton"/>
    <s v="PROD34"/>
    <s v="Electronics"/>
    <s v="STORE8"/>
    <n v="3"/>
    <n v="545.1"/>
    <n v="0.08"/>
    <x v="2"/>
    <n v="1504.4760000000001"/>
  </r>
  <r>
    <s v="SALE274"/>
    <d v="2024-05-26T00:00:00"/>
    <s v="CUST1263"/>
    <s v="Crystal Davis"/>
    <s v="PROD65"/>
    <s v="Sports"/>
    <s v="STORE7"/>
    <n v="1"/>
    <n v="203.61"/>
    <n v="0.24"/>
    <x v="2"/>
    <n v="154.74359999999999"/>
  </r>
  <r>
    <s v="SALE275"/>
    <d v="2025-07-18T00:00:00"/>
    <s v="CUST1417"/>
    <s v="Karen King"/>
    <s v="PROD97"/>
    <s v="Sports"/>
    <s v="STORE15"/>
    <n v="4"/>
    <n v="493.8"/>
    <n v="0.24"/>
    <x v="2"/>
    <n v="1501.152"/>
  </r>
  <r>
    <s v="SALE276"/>
    <d v="2024-07-12T00:00:00"/>
    <s v="CUST1017"/>
    <s v="Adam Cruz"/>
    <s v="PROD41"/>
    <s v="Sports"/>
    <s v="STORE17"/>
    <n v="1"/>
    <n v="640.54999999999995"/>
    <n v="0.25"/>
    <x v="0"/>
    <n v="480.41250000000002"/>
  </r>
  <r>
    <s v="SALE277"/>
    <d v="2024-09-10T00:00:00"/>
    <s v="CUST1119"/>
    <s v="Michael Jones"/>
    <s v="PROD90"/>
    <s v="Electronics"/>
    <s v="STORE4"/>
    <n v="1"/>
    <n v="702.53"/>
    <n v="0.3"/>
    <x v="0"/>
    <n v="491.77100000000002"/>
  </r>
  <r>
    <s v="SALE278"/>
    <d v="2025-06-18T00:00:00"/>
    <s v="CUST1224"/>
    <s v="Anthony Morgan"/>
    <s v="PROD39"/>
    <s v="Electronics"/>
    <s v="STORE8"/>
    <n v="4"/>
    <n v="139.94"/>
    <n v="0.24"/>
    <x v="0"/>
    <n v="425.41759999999999"/>
  </r>
  <r>
    <s v="SALE279"/>
    <d v="2024-12-28T00:00:00"/>
    <s v="CUST1277"/>
    <s v="Jeffrey Gomez"/>
    <s v="PROD93"/>
    <s v="Electronics"/>
    <s v="STORE8"/>
    <n v="2"/>
    <n v="230.85"/>
    <n v="0.18"/>
    <x v="0"/>
    <n v="378.59399999999999"/>
  </r>
  <r>
    <s v="SALE280"/>
    <d v="2024-09-21T00:00:00"/>
    <s v="CUST1211"/>
    <s v="Rodney Huffman"/>
    <s v="PROD85"/>
    <s v="Clothing"/>
    <s v="STORE17"/>
    <n v="4"/>
    <n v="626.35"/>
    <n v="0.25"/>
    <x v="2"/>
    <n v="1879.05"/>
  </r>
  <r>
    <s v="SALE281"/>
    <d v="2024-05-22T00:00:00"/>
    <s v="CUST1082"/>
    <s v="George Rosario"/>
    <s v="PROD92"/>
    <s v="Home"/>
    <s v="STORE14"/>
    <n v="4"/>
    <n v="108.55"/>
    <n v="0.18"/>
    <x v="1"/>
    <n v="356.04399999999998"/>
  </r>
  <r>
    <s v="SALE282"/>
    <d v="2025-08-02T00:00:00"/>
    <s v="CUST1191"/>
    <s v="Todd Poole"/>
    <s v="PROD17"/>
    <s v="Sports"/>
    <s v="STORE1"/>
    <n v="4"/>
    <n v="353.67"/>
    <n v="0.03"/>
    <x v="2"/>
    <n v="1372.2396000000001"/>
  </r>
  <r>
    <s v="SALE283"/>
    <d v="2024-10-18T00:00:00"/>
    <s v="CUST1065"/>
    <s v="Michael Thomas"/>
    <s v="PROD24"/>
    <s v="Sports"/>
    <s v="STORE1"/>
    <n v="4"/>
    <n v="61.98"/>
    <n v="0.16"/>
    <x v="0"/>
    <n v="208.25280000000001"/>
  </r>
  <r>
    <s v="SALE284"/>
    <d v="2024-02-26T00:00:00"/>
    <s v="CUST1216"/>
    <s v="Kathryn Garcia"/>
    <s v="PROD86"/>
    <s v="Home"/>
    <s v="STORE19"/>
    <n v="2"/>
    <n v="873.1"/>
    <n v="0.12"/>
    <x v="1"/>
    <n v="1536.6559999999999"/>
  </r>
  <r>
    <s v="SALE285"/>
    <d v="2023-12-08T00:00:00"/>
    <s v="CUST1198"/>
    <s v="Wanda Snyder"/>
    <s v="PROD12"/>
    <s v="Beauty"/>
    <s v="STORE15"/>
    <n v="4"/>
    <n v="889.47"/>
    <n v="0.24"/>
    <x v="0"/>
    <n v="2703.9888000000001"/>
  </r>
  <r>
    <s v="SALE286"/>
    <d v="2024-10-31T00:00:00"/>
    <s v="CUST1028"/>
    <s v="Joshua Ryan"/>
    <s v="PROD5"/>
    <s v="Clothing"/>
    <s v="STORE11"/>
    <n v="3"/>
    <n v="803.76"/>
    <n v="0.19"/>
    <x v="2"/>
    <n v="1953.1368"/>
  </r>
  <r>
    <s v="SALE287"/>
    <d v="2024-11-28T00:00:00"/>
    <s v="CUST1468"/>
    <s v="Gregory Curtis"/>
    <s v="PROD75"/>
    <s v="Clothing"/>
    <s v="STORE5"/>
    <n v="2"/>
    <n v="865.14"/>
    <n v="0.2"/>
    <x v="1"/>
    <n v="1384.2239999999999"/>
  </r>
  <r>
    <s v="SALE288"/>
    <d v="2025-06-05T00:00:00"/>
    <s v="CUST1097"/>
    <s v="David Cobb"/>
    <s v="PROD80"/>
    <s v="Home"/>
    <s v="STORE9"/>
    <n v="2"/>
    <n v="916.49"/>
    <n v="0.3"/>
    <x v="2"/>
    <n v="1283.086"/>
  </r>
  <r>
    <s v="SALE289"/>
    <d v="2024-11-19T00:00:00"/>
    <s v="CUST1042"/>
    <s v="William Martin"/>
    <s v="PROD51"/>
    <s v="Electronics"/>
    <s v="STORE12"/>
    <n v="3"/>
    <n v="781.39"/>
    <n v="0.12"/>
    <x v="0"/>
    <n v="2062.8696"/>
  </r>
  <r>
    <s v="SALE290"/>
    <d v="2024-05-19T00:00:00"/>
    <s v="CUST1211"/>
    <s v="Rodney Huffman"/>
    <s v="PROD85"/>
    <s v="Clothing"/>
    <s v="STORE12"/>
    <n v="4"/>
    <n v="619.74"/>
    <n v="0.13"/>
    <x v="2"/>
    <n v="2156.6952000000001"/>
  </r>
  <r>
    <s v="SALE291"/>
    <d v="2025-01-22T00:00:00"/>
    <s v="CUST1481"/>
    <s v="Bryan Tran"/>
    <s v="PROD62"/>
    <s v="Electronics"/>
    <s v="STORE14"/>
    <n v="2"/>
    <n v="837.76"/>
    <n v="0.03"/>
    <x v="2"/>
    <n v="1625.2544"/>
  </r>
  <r>
    <s v="SALE292"/>
    <d v="2025-07-04T00:00:00"/>
    <s v="CUST1451"/>
    <s v="Ashley Roberts"/>
    <s v="PROD90"/>
    <s v="Electronics"/>
    <s v="STORE1"/>
    <n v="3"/>
    <n v="135.94"/>
    <n v="0.2"/>
    <x v="0"/>
    <n v="326.25599999999997"/>
  </r>
  <r>
    <s v="SALE293"/>
    <d v="2025-05-19T00:00:00"/>
    <s v="CUST1479"/>
    <s v="Dylan Gutierrez"/>
    <s v="PROD74"/>
    <s v="Electronics"/>
    <s v="STORE1"/>
    <n v="4"/>
    <n v="396.53"/>
    <n v="7.0000000000000007E-2"/>
    <x v="1"/>
    <n v="1475.0916"/>
  </r>
  <r>
    <s v="SALE294"/>
    <d v="2023-12-04T00:00:00"/>
    <s v="CUST1220"/>
    <s v="George Davis"/>
    <s v="PROD29"/>
    <s v="Home"/>
    <s v="STORE14"/>
    <n v="2"/>
    <n v="722.45"/>
    <n v="0.22"/>
    <x v="1"/>
    <n v="1127.0219999999999"/>
  </r>
  <r>
    <s v="SALE295"/>
    <d v="2024-07-31T00:00:00"/>
    <s v="CUST1047"/>
    <s v="Gina Knight"/>
    <s v="PROD64"/>
    <s v="Beauty"/>
    <s v="STORE2"/>
    <n v="2"/>
    <n v="138.41"/>
    <n v="0.02"/>
    <x v="0"/>
    <n v="271.28359999999998"/>
  </r>
  <r>
    <s v="SALE296"/>
    <d v="2025-01-22T00:00:00"/>
    <s v="CUST1126"/>
    <s v="James Wolfe"/>
    <s v="PROD89"/>
    <s v="Beauty"/>
    <s v="STORE2"/>
    <n v="4"/>
    <n v="741.51"/>
    <n v="0.09"/>
    <x v="2"/>
    <n v="2699.0963999999999"/>
  </r>
  <r>
    <s v="SALE297"/>
    <d v="2024-11-15T00:00:00"/>
    <s v="CUST1023"/>
    <s v="Jonathan Steele"/>
    <s v="PROD68"/>
    <s v="Home"/>
    <s v="STORE17"/>
    <n v="2"/>
    <n v="588.9"/>
    <n v="0.19"/>
    <x v="1"/>
    <n v="954.01800000000003"/>
  </r>
  <r>
    <s v="SALE298"/>
    <d v="2024-04-07T00:00:00"/>
    <s v="CUST1304"/>
    <s v="Miss Alexandria Li Dvm"/>
    <s v="PROD50"/>
    <s v="Sports"/>
    <s v="STORE2"/>
    <n v="1"/>
    <n v="88.92"/>
    <n v="0.19"/>
    <x v="1"/>
    <n v="72.025200000000012"/>
  </r>
  <r>
    <s v="SALE299"/>
    <d v="2024-02-17T00:00:00"/>
    <s v="CUST1118"/>
    <s v="Earl Allen"/>
    <s v="PROD83"/>
    <s v="Beauty"/>
    <s v="STORE16"/>
    <n v="1"/>
    <n v="299.13"/>
    <n v="0.1"/>
    <x v="2"/>
    <n v="269.21699999999998"/>
  </r>
  <r>
    <s v="SALE300"/>
    <d v="2024-05-21T00:00:00"/>
    <s v="CUST1116"/>
    <s v="Anthony Phillips"/>
    <s v="PROD15"/>
    <s v="Electronics"/>
    <s v="STORE3"/>
    <n v="2"/>
    <n v="548.29999999999995"/>
    <n v="0.23"/>
    <x v="0"/>
    <n v="844.38199999999995"/>
  </r>
  <r>
    <s v="SALE301"/>
    <d v="2024-05-23T00:00:00"/>
    <s v="CUST1262"/>
    <s v="Katherine Cowan"/>
    <s v="PROD11"/>
    <s v="Electronics"/>
    <s v="STORE10"/>
    <n v="3"/>
    <n v="977.55"/>
    <n v="0.02"/>
    <x v="1"/>
    <n v="2873.9969999999989"/>
  </r>
  <r>
    <s v="SALE302"/>
    <d v="2025-06-15T00:00:00"/>
    <s v="CUST1346"/>
    <s v="John Jordan"/>
    <s v="PROD76"/>
    <s v="Electronics"/>
    <s v="STORE18"/>
    <n v="1"/>
    <n v="459.42"/>
    <n v="0.28000000000000003"/>
    <x v="2"/>
    <n v="330.7824"/>
  </r>
  <r>
    <s v="SALE303"/>
    <d v="2025-01-06T00:00:00"/>
    <s v="CUST1088"/>
    <s v="Timothy Wright"/>
    <s v="PROD2"/>
    <s v="Clothing"/>
    <s v="STORE4"/>
    <n v="2"/>
    <n v="123.19"/>
    <n v="0.19"/>
    <x v="0"/>
    <n v="199.56780000000001"/>
  </r>
  <r>
    <s v="SALE304"/>
    <d v="2025-08-10T00:00:00"/>
    <s v="CUST1358"/>
    <s v="Ashley Anderson"/>
    <s v="PROD55"/>
    <s v="Home"/>
    <s v="STORE19"/>
    <n v="1"/>
    <n v="222.95"/>
    <n v="0.02"/>
    <x v="1"/>
    <n v="218.49100000000001"/>
  </r>
  <r>
    <s v="SALE305"/>
    <d v="2025-07-02T00:00:00"/>
    <s v="CUST1332"/>
    <s v="Dr. Lindsay Hanna"/>
    <s v="PROD32"/>
    <s v="Beauty"/>
    <s v="STORE4"/>
    <n v="3"/>
    <n v="601.92999999999995"/>
    <n v="0.14000000000000001"/>
    <x v="0"/>
    <n v="1552.9793999999999"/>
  </r>
  <r>
    <s v="SALE306"/>
    <d v="2024-03-29T00:00:00"/>
    <s v="CUST1297"/>
    <s v="Jennifer Carr"/>
    <s v="PROD69"/>
    <s v="Clothing"/>
    <s v="STORE2"/>
    <n v="1"/>
    <n v="564.1"/>
    <n v="0.03"/>
    <x v="0"/>
    <n v="547.17700000000002"/>
  </r>
  <r>
    <s v="SALE307"/>
    <d v="2025-01-15T00:00:00"/>
    <s v="CUST1095"/>
    <s v="Amy Fowler"/>
    <s v="PROD40"/>
    <s v="Electronics"/>
    <s v="STORE5"/>
    <n v="1"/>
    <n v="516.62"/>
    <n v="0.18"/>
    <x v="0"/>
    <n v="423.62840000000011"/>
  </r>
  <r>
    <s v="SALE308"/>
    <d v="2024-07-24T00:00:00"/>
    <s v="CUST1438"/>
    <s v="Monica Flynn"/>
    <s v="PROD63"/>
    <s v="Beauty"/>
    <s v="STORE12"/>
    <n v="1"/>
    <n v="934.75"/>
    <n v="0.11"/>
    <x v="1"/>
    <n v="831.92750000000001"/>
  </r>
  <r>
    <s v="SALE309"/>
    <d v="2024-04-25T00:00:00"/>
    <s v="CUST1234"/>
    <s v="Nathaniel Hill"/>
    <s v="PROD98"/>
    <s v="Electronics"/>
    <s v="STORE7"/>
    <n v="4"/>
    <n v="548.44000000000005"/>
    <n v="0.05"/>
    <x v="1"/>
    <n v="2084.0720000000001"/>
  </r>
  <r>
    <s v="SALE310"/>
    <d v="2025-04-17T00:00:00"/>
    <s v="CUST1013"/>
    <s v="Nathan Hernandez"/>
    <s v="PROD24"/>
    <s v="Sports"/>
    <s v="STORE3"/>
    <n v="3"/>
    <n v="361.11"/>
    <n v="0.06"/>
    <x v="0"/>
    <n v="1018.3302"/>
  </r>
  <r>
    <s v="SALE311"/>
    <d v="2025-09-24T00:00:00"/>
    <s v="CUST1187"/>
    <s v="Dr. Suzanne Bullock"/>
    <s v="PROD13"/>
    <s v="Electronics"/>
    <s v="STORE1"/>
    <n v="2"/>
    <n v="610.37"/>
    <n v="0.1"/>
    <x v="1"/>
    <n v="1098.6659999999999"/>
  </r>
  <r>
    <s v="SALE312"/>
    <d v="2023-11-10T00:00:00"/>
    <s v="CUST1334"/>
    <s v="Mr. Christopher Sims"/>
    <s v="PROD71"/>
    <s v="Beauty"/>
    <s v="STORE16"/>
    <n v="1"/>
    <n v="272.2"/>
    <n v="0.3"/>
    <x v="0"/>
    <n v="190.54"/>
  </r>
  <r>
    <s v="SALE313"/>
    <d v="2024-02-27T00:00:00"/>
    <s v="CUST1438"/>
    <s v="Monica Flynn"/>
    <s v="PROD63"/>
    <s v="Beauty"/>
    <s v="STORE6"/>
    <n v="3"/>
    <n v="573.1"/>
    <n v="0.16"/>
    <x v="2"/>
    <n v="1444.212"/>
  </r>
  <r>
    <s v="SALE314"/>
    <d v="2025-04-09T00:00:00"/>
    <s v="CUST1322"/>
    <s v="Samuel Arias"/>
    <s v="PROD6"/>
    <s v="Beauty"/>
    <s v="STORE0"/>
    <n v="4"/>
    <n v="24.72"/>
    <n v="0.28000000000000003"/>
    <x v="0"/>
    <n v="71.193599999999989"/>
  </r>
  <r>
    <s v="SALE315"/>
    <d v="2024-07-05T00:00:00"/>
    <s v="CUST1251"/>
    <s v="Tyler Garner"/>
    <s v="PROD9"/>
    <s v="Sports"/>
    <s v="STORE9"/>
    <n v="3"/>
    <n v="268.89"/>
    <n v="7.0000000000000007E-2"/>
    <x v="2"/>
    <n v="750.20309999999995"/>
  </r>
  <r>
    <s v="SALE316"/>
    <d v="2025-08-21T00:00:00"/>
    <s v="CUST1257"/>
    <s v="Christopher David"/>
    <s v="PROD85"/>
    <s v="Clothing"/>
    <s v="STORE9"/>
    <n v="1"/>
    <n v="78.5"/>
    <n v="0.17"/>
    <x v="2"/>
    <n v="65.155000000000001"/>
  </r>
  <r>
    <s v="SALE317"/>
    <d v="2025-06-07T00:00:00"/>
    <s v="CUST1133"/>
    <s v="Hayley Pope"/>
    <s v="PROD36"/>
    <s v="Clothing"/>
    <s v="STORE4"/>
    <n v="3"/>
    <n v="399.42"/>
    <n v="0.02"/>
    <x v="0"/>
    <n v="1174.2947999999999"/>
  </r>
  <r>
    <s v="SALE318"/>
    <d v="2025-08-22T00:00:00"/>
    <s v="CUST1085"/>
    <s v="Richard Delgado"/>
    <s v="PROD31"/>
    <s v="Sports"/>
    <s v="STORE19"/>
    <n v="3"/>
    <n v="455.82"/>
    <n v="0.01"/>
    <x v="1"/>
    <n v="1353.7854"/>
  </r>
  <r>
    <s v="SALE319"/>
    <d v="2024-11-13T00:00:00"/>
    <s v="CUST1349"/>
    <s v="Heather Valenzuela"/>
    <s v="PROD71"/>
    <s v="Beauty"/>
    <s v="STORE5"/>
    <n v="2"/>
    <n v="613.23"/>
    <n v="0.15"/>
    <x v="1"/>
    <n v="1042.491"/>
  </r>
  <r>
    <s v="SALE320"/>
    <d v="2024-01-18T00:00:00"/>
    <s v="CUST1458"/>
    <s v="Kelly Garrett"/>
    <s v="PROD2"/>
    <s v="Clothing"/>
    <s v="STORE14"/>
    <n v="4"/>
    <n v="971.9"/>
    <n v="0.28000000000000003"/>
    <x v="1"/>
    <n v="2799.0720000000001"/>
  </r>
  <r>
    <s v="SALE321"/>
    <d v="2024-08-15T00:00:00"/>
    <s v="CUST1034"/>
    <s v="Christopher Olson"/>
    <s v="PROD28"/>
    <s v="Sports"/>
    <s v="STORE7"/>
    <n v="3"/>
    <n v="884.92"/>
    <n v="0.06"/>
    <x v="1"/>
    <n v="2495.4744000000001"/>
  </r>
  <r>
    <s v="SALE322"/>
    <d v="2025-09-21T00:00:00"/>
    <s v="CUST1087"/>
    <s v="Melissa Duffy Md"/>
    <s v="PROD76"/>
    <s v="Electronics"/>
    <s v="STORE9"/>
    <n v="1"/>
    <n v="125"/>
    <n v="0.23"/>
    <x v="0"/>
    <n v="96.25"/>
  </r>
  <r>
    <s v="SALE323"/>
    <d v="2024-06-22T00:00:00"/>
    <s v="CUST1128"/>
    <s v="Susan Mcdonald"/>
    <s v="PROD25"/>
    <s v="Clothing"/>
    <s v="STORE15"/>
    <n v="2"/>
    <n v="188.25"/>
    <n v="0.08"/>
    <x v="1"/>
    <n v="346.38"/>
  </r>
  <r>
    <s v="SALE324"/>
    <d v="2024-01-12T00:00:00"/>
    <s v="CUST1222"/>
    <s v="Alejandro Doyle"/>
    <s v="PROD46"/>
    <s v="Clothing"/>
    <s v="STORE6"/>
    <n v="4"/>
    <n v="344.12"/>
    <n v="0.25"/>
    <x v="1"/>
    <n v="1032.3599999999999"/>
  </r>
  <r>
    <s v="SALE325"/>
    <d v="2023-10-19T00:00:00"/>
    <s v="CUST1047"/>
    <s v="Gina Knight"/>
    <s v="PROD64"/>
    <s v="Beauty"/>
    <s v="STORE19"/>
    <n v="3"/>
    <n v="997.95"/>
    <n v="0.09"/>
    <x v="2"/>
    <n v="2724.4034999999999"/>
  </r>
  <r>
    <s v="SALE326"/>
    <d v="2025-03-11T00:00:00"/>
    <s v="CUST1150"/>
    <s v="Stephanie Conway"/>
    <s v="PROD11"/>
    <s v="Electronics"/>
    <s v="STORE15"/>
    <n v="3"/>
    <n v="121.64"/>
    <n v="7.0000000000000007E-2"/>
    <x v="1"/>
    <n v="339.37560000000002"/>
  </r>
  <r>
    <s v="SALE327"/>
    <d v="2024-09-22T00:00:00"/>
    <s v="CUST1221"/>
    <s v="Lisa Young"/>
    <s v="PROD83"/>
    <s v="Beauty"/>
    <s v="STORE10"/>
    <n v="2"/>
    <n v="692.72"/>
    <n v="0.13"/>
    <x v="1"/>
    <n v="1205.3327999999999"/>
  </r>
  <r>
    <s v="SALE328"/>
    <d v="2024-11-27T00:00:00"/>
    <s v="CUST1027"/>
    <s v="Leslie Johnson"/>
    <s v="PROD24"/>
    <s v="Sports"/>
    <s v="STORE19"/>
    <n v="3"/>
    <n v="794.59"/>
    <n v="0.03"/>
    <x v="1"/>
    <n v="2312.2568999999999"/>
  </r>
  <r>
    <s v="SALE329"/>
    <d v="2023-10-25T00:00:00"/>
    <s v="CUST1014"/>
    <s v="Ashley Cohen"/>
    <s v="PROD26"/>
    <s v="Electronics"/>
    <s v="STORE9"/>
    <n v="1"/>
    <n v="907.95"/>
    <n v="0.1"/>
    <x v="1"/>
    <n v="817.15500000000009"/>
  </r>
  <r>
    <s v="SALE330"/>
    <d v="2025-10-10T00:00:00"/>
    <s v="CUST1287"/>
    <s v="Cynthia Roberts"/>
    <s v="PROD3"/>
    <s v="Clothing"/>
    <s v="STORE0"/>
    <n v="2"/>
    <n v="660.81"/>
    <n v="0.18"/>
    <x v="0"/>
    <n v="1083.7284"/>
  </r>
  <r>
    <s v="SALE331"/>
    <d v="2025-09-15T00:00:00"/>
    <s v="CUST1061"/>
    <s v="Kristin Stein"/>
    <s v="PROD51"/>
    <s v="Electronics"/>
    <s v="STORE8"/>
    <n v="3"/>
    <n v="564.94000000000005"/>
    <n v="0.22"/>
    <x v="2"/>
    <n v="1321.9595999999999"/>
  </r>
  <r>
    <s v="SALE332"/>
    <d v="2024-09-06T00:00:00"/>
    <s v="CUST1054"/>
    <s v="Katherine Dorsey"/>
    <s v="PROD88"/>
    <s v="Sports"/>
    <s v="STORE15"/>
    <n v="2"/>
    <n v="280.37"/>
    <n v="0.22"/>
    <x v="2"/>
    <n v="437.37720000000002"/>
  </r>
  <r>
    <s v="SALE333"/>
    <d v="2024-07-16T00:00:00"/>
    <s v="CUST1372"/>
    <s v="Jacqueline Anthony"/>
    <s v="PROD72"/>
    <s v="Sports"/>
    <s v="STORE3"/>
    <n v="2"/>
    <n v="85.23"/>
    <n v="0.13"/>
    <x v="0"/>
    <n v="148.30019999999999"/>
  </r>
  <r>
    <s v="SALE334"/>
    <d v="2025-04-01T00:00:00"/>
    <s v="CUST1312"/>
    <s v="Jason Mullins"/>
    <s v="PROD74"/>
    <s v="Electronics"/>
    <s v="STORE13"/>
    <n v="2"/>
    <n v="563.29999999999995"/>
    <n v="0.26"/>
    <x v="0"/>
    <n v="833.68399999999997"/>
  </r>
  <r>
    <s v="SALE335"/>
    <d v="2024-01-18T00:00:00"/>
    <s v="CUST1033"/>
    <s v="Robert Jones Dds"/>
    <s v="PROD46"/>
    <s v="Clothing"/>
    <s v="STORE18"/>
    <n v="2"/>
    <n v="827.81"/>
    <n v="0.04"/>
    <x v="1"/>
    <n v="1589.3951999999999"/>
  </r>
  <r>
    <s v="SALE336"/>
    <d v="2024-11-25T00:00:00"/>
    <s v="CUST1214"/>
    <s v="Eric Todd"/>
    <s v="PROD91"/>
    <s v="Clothing"/>
    <s v="STORE18"/>
    <n v="3"/>
    <n v="877.71"/>
    <n v="0.12"/>
    <x v="1"/>
    <n v="2317.1543999999999"/>
  </r>
  <r>
    <s v="SALE337"/>
    <d v="2024-11-07T00:00:00"/>
    <s v="CUST1257"/>
    <s v="Christopher David"/>
    <s v="PROD85"/>
    <s v="Clothing"/>
    <s v="STORE9"/>
    <n v="4"/>
    <n v="488.56"/>
    <n v="0.26"/>
    <x v="2"/>
    <n v="1446.1376"/>
  </r>
  <r>
    <s v="SALE338"/>
    <d v="2024-07-28T00:00:00"/>
    <s v="CUST1104"/>
    <s v="Christopher Lester"/>
    <s v="PROD25"/>
    <s v="Clothing"/>
    <s v="STORE12"/>
    <n v="4"/>
    <n v="175.91"/>
    <n v="0.13"/>
    <x v="1"/>
    <n v="612.16679999999997"/>
  </r>
  <r>
    <s v="SALE339"/>
    <d v="2024-04-16T00:00:00"/>
    <s v="CUST1248"/>
    <s v="Nicholas Webb"/>
    <s v="PROD87"/>
    <s v="Home"/>
    <s v="STORE8"/>
    <n v="4"/>
    <n v="289.66000000000003"/>
    <n v="0.25"/>
    <x v="2"/>
    <n v="868.98"/>
  </r>
  <r>
    <s v="SALE340"/>
    <d v="2024-01-13T00:00:00"/>
    <s v="CUST1241"/>
    <s v="Mr. William Horton"/>
    <s v="PROD15"/>
    <s v="Electronics"/>
    <s v="STORE15"/>
    <n v="2"/>
    <n v="899.27"/>
    <n v="0.17"/>
    <x v="0"/>
    <n v="1492.7882"/>
  </r>
  <r>
    <s v="SALE341"/>
    <d v="2024-01-08T00:00:00"/>
    <s v="CUST1065"/>
    <s v="Michael Thomas"/>
    <s v="PROD24"/>
    <s v="Sports"/>
    <s v="STORE1"/>
    <n v="1"/>
    <n v="691.38"/>
    <n v="0.11"/>
    <x v="2"/>
    <n v="615.32820000000004"/>
  </r>
  <r>
    <s v="SALE342"/>
    <d v="2024-09-29T00:00:00"/>
    <s v="CUST1165"/>
    <s v="Jason Wheeler"/>
    <s v="PROD27"/>
    <s v="Home"/>
    <s v="STORE0"/>
    <n v="3"/>
    <n v="158.72"/>
    <n v="0.13"/>
    <x v="0"/>
    <n v="414.25920000000002"/>
  </r>
  <r>
    <s v="SALE343"/>
    <d v="2024-05-01T00:00:00"/>
    <s v="CUST1210"/>
    <s v="Antonio Jones"/>
    <s v="PROD60"/>
    <s v="Beauty"/>
    <s v="STORE16"/>
    <n v="4"/>
    <n v="537.15"/>
    <n v="0.06"/>
    <x v="2"/>
    <n v="2019.684"/>
  </r>
  <r>
    <s v="SALE344"/>
    <d v="2024-07-07T00:00:00"/>
    <s v="CUST1417"/>
    <s v="Karen King"/>
    <s v="PROD97"/>
    <s v="Sports"/>
    <s v="STORE9"/>
    <n v="3"/>
    <n v="771.7"/>
    <n v="0.05"/>
    <x v="2"/>
    <n v="2199.3449999999998"/>
  </r>
  <r>
    <s v="SALE345"/>
    <d v="2024-11-14T00:00:00"/>
    <s v="CUST1108"/>
    <s v="Travis Holland"/>
    <s v="PROD30"/>
    <s v="Home"/>
    <s v="STORE1"/>
    <n v="4"/>
    <n v="677.25"/>
    <n v="0.14000000000000001"/>
    <x v="1"/>
    <n v="2329.7399999999998"/>
  </r>
  <r>
    <s v="SALE346"/>
    <d v="2025-04-16T00:00:00"/>
    <s v="CUST1102"/>
    <s v="Sarah Schneider"/>
    <s v="PROD98"/>
    <s v="Electronics"/>
    <s v="STORE11"/>
    <n v="1"/>
    <n v="645.48"/>
    <n v="0.26"/>
    <x v="2"/>
    <n v="477.65519999999998"/>
  </r>
  <r>
    <s v="SALE347"/>
    <d v="2025-07-18T00:00:00"/>
    <s v="CUST1360"/>
    <s v="Denise Tate"/>
    <s v="PROD73"/>
    <s v="Sports"/>
    <s v="STORE2"/>
    <n v="2"/>
    <n v="934"/>
    <n v="0.3"/>
    <x v="2"/>
    <n v="1307.5999999999999"/>
  </r>
  <r>
    <s v="SALE348"/>
    <d v="2025-02-24T00:00:00"/>
    <s v="CUST1334"/>
    <s v="Mr. Christopher Sims"/>
    <s v="PROD71"/>
    <s v="Beauty"/>
    <s v="STORE2"/>
    <n v="1"/>
    <n v="669.53"/>
    <n v="0.2"/>
    <x v="0"/>
    <n v="535.62400000000002"/>
  </r>
  <r>
    <s v="SALE349"/>
    <d v="2025-03-07T00:00:00"/>
    <s v="CUST1216"/>
    <s v="Kathryn Garcia"/>
    <s v="PROD86"/>
    <s v="Home"/>
    <s v="STORE18"/>
    <n v="1"/>
    <n v="213.69"/>
    <n v="0.28000000000000003"/>
    <x v="2"/>
    <n v="153.85679999999999"/>
  </r>
  <r>
    <s v="SALE350"/>
    <d v="2025-02-18T00:00:00"/>
    <s v="CUST1077"/>
    <s v="Katherine Young"/>
    <s v="PROD21"/>
    <s v="Home"/>
    <s v="STORE19"/>
    <n v="2"/>
    <n v="99.1"/>
    <n v="0.2"/>
    <x v="1"/>
    <n v="158.56"/>
  </r>
  <r>
    <s v="SALE351"/>
    <d v="2024-06-26T00:00:00"/>
    <s v="CUST1370"/>
    <s v="James Holloway Jr."/>
    <s v="PROD37"/>
    <s v="Clothing"/>
    <s v="STORE16"/>
    <n v="1"/>
    <n v="628.98"/>
    <n v="0.03"/>
    <x v="2"/>
    <n v="610.11059999999998"/>
  </r>
  <r>
    <s v="SALE352"/>
    <d v="2025-02-23T00:00:00"/>
    <s v="CUST1085"/>
    <s v="Richard Delgado"/>
    <s v="PROD31"/>
    <s v="Sports"/>
    <s v="STORE4"/>
    <n v="3"/>
    <n v="944.64"/>
    <n v="0.26"/>
    <x v="0"/>
    <n v="2097.1008000000002"/>
  </r>
  <r>
    <s v="SALE353"/>
    <d v="2025-06-15T00:00:00"/>
    <s v="CUST1471"/>
    <s v="Debra Mccullough"/>
    <s v="PROD17"/>
    <s v="Sports"/>
    <s v="STORE12"/>
    <n v="2"/>
    <n v="121.7"/>
    <n v="0.06"/>
    <x v="2"/>
    <n v="228.79599999999999"/>
  </r>
  <r>
    <s v="SALE354"/>
    <d v="2023-10-18T00:00:00"/>
    <s v="CUST1448"/>
    <s v="Eric Holmes"/>
    <s v="PROD81"/>
    <s v="Sports"/>
    <s v="STORE3"/>
    <n v="4"/>
    <n v="269.49"/>
    <n v="7.0000000000000007E-2"/>
    <x v="1"/>
    <n v="1002.5028"/>
  </r>
  <r>
    <s v="SALE355"/>
    <d v="2025-03-17T00:00:00"/>
    <s v="CUST1099"/>
    <s v="Sheila Wilson"/>
    <s v="PROD26"/>
    <s v="Electronics"/>
    <s v="STORE18"/>
    <n v="1"/>
    <n v="678.2"/>
    <n v="0.14000000000000001"/>
    <x v="0"/>
    <n v="583.25200000000007"/>
  </r>
  <r>
    <s v="SALE356"/>
    <d v="2024-08-16T00:00:00"/>
    <s v="CUST1231"/>
    <s v="Timothy Juarez"/>
    <s v="PROD31"/>
    <s v="Sports"/>
    <s v="STORE13"/>
    <n v="1"/>
    <n v="752.45"/>
    <n v="0.21"/>
    <x v="2"/>
    <n v="594.43550000000005"/>
  </r>
  <r>
    <s v="SALE357"/>
    <d v="2024-03-22T00:00:00"/>
    <s v="CUST1037"/>
    <s v="Christopher Carter"/>
    <s v="PROD45"/>
    <s v="Sports"/>
    <s v="STORE13"/>
    <n v="2"/>
    <n v="209.66"/>
    <n v="0.21"/>
    <x v="0"/>
    <n v="331.26280000000003"/>
  </r>
  <r>
    <s v="SALE358"/>
    <d v="2025-01-31T00:00:00"/>
    <s v="CUST1161"/>
    <s v="Cynthia Morris"/>
    <s v="PROD97"/>
    <s v="Sports"/>
    <s v="STORE19"/>
    <n v="2"/>
    <n v="739.95"/>
    <n v="0.1"/>
    <x v="2"/>
    <n v="1331.91"/>
  </r>
  <r>
    <s v="SALE359"/>
    <d v="2023-12-16T00:00:00"/>
    <s v="CUST1469"/>
    <s v="James Foster"/>
    <s v="PROD45"/>
    <s v="Sports"/>
    <s v="STORE15"/>
    <n v="1"/>
    <n v="496.19"/>
    <n v="0.08"/>
    <x v="2"/>
    <n v="456.4948"/>
  </r>
  <r>
    <s v="SALE360"/>
    <d v="2025-04-09T00:00:00"/>
    <s v="CUST1044"/>
    <s v="Denise Williams"/>
    <s v="PROD1"/>
    <s v="Clothing"/>
    <s v="STORE12"/>
    <n v="1"/>
    <n v="306.36"/>
    <n v="0.01"/>
    <x v="1"/>
    <n v="303.29640000000001"/>
  </r>
  <r>
    <s v="SALE361"/>
    <d v="2024-01-18T00:00:00"/>
    <s v="CUST1120"/>
    <s v="Jacob Hopkins"/>
    <s v="PROD73"/>
    <s v="Sports"/>
    <s v="STORE4"/>
    <n v="4"/>
    <n v="693.16"/>
    <n v="0.05"/>
    <x v="1"/>
    <n v="2634.0079999999998"/>
  </r>
  <r>
    <s v="SALE362"/>
    <d v="2025-03-28T00:00:00"/>
    <s v="CUST1455"/>
    <s v="Tyler Weber"/>
    <s v="PROD83"/>
    <s v="Beauty"/>
    <s v="STORE10"/>
    <n v="1"/>
    <n v="995.52"/>
    <n v="0.22"/>
    <x v="1"/>
    <n v="776.50559999999996"/>
  </r>
  <r>
    <s v="SALE363"/>
    <d v="2024-08-31T00:00:00"/>
    <s v="CUST1125"/>
    <s v="Keith Miller"/>
    <s v="PROD7"/>
    <s v="Home"/>
    <s v="STORE18"/>
    <n v="4"/>
    <n v="241.32"/>
    <n v="0.28999999999999998"/>
    <x v="2"/>
    <n v="685.34879999999998"/>
  </r>
  <r>
    <s v="SALE364"/>
    <d v="2023-11-10T00:00:00"/>
    <s v="CUST1239"/>
    <s v="Maria Hill"/>
    <s v="PROD19"/>
    <s v="Sports"/>
    <s v="STORE1"/>
    <n v="3"/>
    <n v="636.03"/>
    <n v="0.06"/>
    <x v="2"/>
    <n v="1793.6045999999999"/>
  </r>
  <r>
    <s v="SALE365"/>
    <d v="2023-12-15T00:00:00"/>
    <s v="CUST1096"/>
    <s v="Samantha Walker"/>
    <s v="PROD65"/>
    <s v="Sports"/>
    <s v="STORE19"/>
    <n v="4"/>
    <n v="603.30999999999995"/>
    <n v="0.15"/>
    <x v="0"/>
    <n v="2051.2539999999999"/>
  </r>
  <r>
    <s v="SALE366"/>
    <d v="2024-05-15T00:00:00"/>
    <s v="CUST1075"/>
    <s v="Rhonda Morales"/>
    <s v="PROD16"/>
    <s v="Beauty"/>
    <s v="STORE10"/>
    <n v="3"/>
    <n v="437.96"/>
    <n v="0.27"/>
    <x v="2"/>
    <n v="959.13239999999985"/>
  </r>
  <r>
    <s v="SALE367"/>
    <d v="2024-01-31T00:00:00"/>
    <s v="CUST1208"/>
    <s v="John Perez"/>
    <s v="PROD34"/>
    <s v="Electronics"/>
    <s v="STORE4"/>
    <n v="2"/>
    <n v="56.91"/>
    <n v="0.08"/>
    <x v="2"/>
    <n v="104.7144"/>
  </r>
  <r>
    <s v="SALE368"/>
    <d v="2023-12-06T00:00:00"/>
    <s v="CUST1334"/>
    <s v="Mr. Christopher Sims"/>
    <s v="PROD71"/>
    <s v="Beauty"/>
    <s v="STORE6"/>
    <n v="1"/>
    <n v="141.79"/>
    <n v="0.1"/>
    <x v="0"/>
    <n v="127.611"/>
  </r>
  <r>
    <s v="SALE369"/>
    <d v="2024-01-11T00:00:00"/>
    <s v="CUST1483"/>
    <s v="Sarah Smith"/>
    <s v="PROD12"/>
    <s v="Beauty"/>
    <s v="STORE15"/>
    <n v="4"/>
    <n v="355.14"/>
    <n v="0.16"/>
    <x v="2"/>
    <n v="1193.2704000000001"/>
  </r>
  <r>
    <s v="SALE370"/>
    <d v="2025-09-07T00:00:00"/>
    <s v="CUST1211"/>
    <s v="Rodney Huffman"/>
    <s v="PROD85"/>
    <s v="Clothing"/>
    <s v="STORE6"/>
    <n v="4"/>
    <n v="960.38"/>
    <n v="0.15"/>
    <x v="2"/>
    <n v="3265.2919999999999"/>
  </r>
  <r>
    <s v="SALE371"/>
    <d v="2024-05-21T00:00:00"/>
    <s v="CUST1420"/>
    <s v="Dr. Tamara White Md"/>
    <s v="PROD21"/>
    <s v="Home"/>
    <s v="STORE16"/>
    <n v="3"/>
    <n v="847.21"/>
    <n v="0.06"/>
    <x v="1"/>
    <n v="2389.1322"/>
  </r>
  <r>
    <s v="SALE372"/>
    <d v="2025-08-23T00:00:00"/>
    <s v="CUST1066"/>
    <s v="Cody Diaz"/>
    <s v="PROD94"/>
    <s v="Beauty"/>
    <s v="STORE10"/>
    <n v="4"/>
    <n v="773.81"/>
    <n v="0.08"/>
    <x v="2"/>
    <n v="2847.6208000000001"/>
  </r>
  <r>
    <s v="SALE373"/>
    <d v="2025-05-03T00:00:00"/>
    <s v="CUST1000"/>
    <s v="Sheena Bonilla  "/>
    <s v="PROD63"/>
    <s v="Beauty"/>
    <s v="STORE16"/>
    <n v="1"/>
    <n v="664.71"/>
    <n v="0.1"/>
    <x v="1"/>
    <n v="598.23900000000003"/>
  </r>
  <r>
    <s v="SALE374"/>
    <d v="2023-11-03T00:00:00"/>
    <s v="CUST1347"/>
    <s v="Justin Mason Dds"/>
    <s v="PROD37"/>
    <s v="Clothing"/>
    <s v="STORE7"/>
    <n v="4"/>
    <n v="482.06"/>
    <n v="7.0000000000000007E-2"/>
    <x v="1"/>
    <n v="1793.2632000000001"/>
  </r>
  <r>
    <s v="SALE375"/>
    <d v="2025-03-26T00:00:00"/>
    <s v="CUST1089"/>
    <s v="Jamie Yoder"/>
    <s v="PROD57"/>
    <s v="Sports"/>
    <s v="STORE3"/>
    <n v="4"/>
    <n v="995.55"/>
    <n v="0.19"/>
    <x v="1"/>
    <n v="3225.5819999999999"/>
  </r>
  <r>
    <s v="SALE376"/>
    <d v="2024-07-05T00:00:00"/>
    <s v="CUST1141"/>
    <s v="Cristian Wright"/>
    <s v="PROD21"/>
    <s v="Home"/>
    <s v="STORE13"/>
    <n v="2"/>
    <n v="153.84"/>
    <n v="0.27"/>
    <x v="1"/>
    <n v="224.60640000000001"/>
  </r>
  <r>
    <s v="SALE377"/>
    <d v="2025-05-12T00:00:00"/>
    <s v="CUST1153"/>
    <s v="Joseph Faulkner"/>
    <s v="PROD72"/>
    <s v="Sports"/>
    <s v="STORE6"/>
    <n v="3"/>
    <n v="362.11"/>
    <n v="0.23"/>
    <x v="2"/>
    <n v="836.47409999999991"/>
  </r>
  <r>
    <s v="SALE378"/>
    <d v="2024-09-26T00:00:00"/>
    <s v="CUST1472"/>
    <s v="Philip Mendoza"/>
    <s v="PROD34"/>
    <s v="Electronics"/>
    <s v="STORE8"/>
    <n v="3"/>
    <n v="112.26"/>
    <n v="0.11"/>
    <x v="0"/>
    <n v="299.73419999999999"/>
  </r>
  <r>
    <s v="SALE379"/>
    <d v="2024-03-27T00:00:00"/>
    <s v="CUST1203"/>
    <s v="Sarah Brady"/>
    <s v="PROD43"/>
    <s v="Electronics"/>
    <s v="STORE19"/>
    <n v="2"/>
    <n v="962.81"/>
    <n v="0.06"/>
    <x v="2"/>
    <n v="1810.0827999999999"/>
  </r>
  <r>
    <s v="SALE380"/>
    <d v="2024-01-17T00:00:00"/>
    <s v="CUST1213"/>
    <s v="Stuart Johnson"/>
    <s v="PROD21"/>
    <s v="Home"/>
    <s v="STORE0"/>
    <n v="4"/>
    <n v="276.23"/>
    <n v="0.12"/>
    <x v="0"/>
    <n v="972.32960000000003"/>
  </r>
  <r>
    <s v="SALE381"/>
    <d v="2024-04-25T00:00:00"/>
    <s v="CUST1015"/>
    <s v="Laura Alvarez"/>
    <s v="PROD18"/>
    <s v="Clothing"/>
    <s v="STORE14"/>
    <n v="3"/>
    <n v="991.37"/>
    <n v="0.1"/>
    <x v="1"/>
    <n v="2676.6990000000001"/>
  </r>
  <r>
    <s v="SALE382"/>
    <d v="2025-09-29T00:00:00"/>
    <s v="CUST1168"/>
    <s v="Daniel Contreras"/>
    <s v="PROD72"/>
    <s v="Sports"/>
    <s v="STORE13"/>
    <n v="3"/>
    <n v="977.47"/>
    <n v="0.05"/>
    <x v="0"/>
    <n v="2785.7894999999999"/>
  </r>
  <r>
    <s v="SALE383"/>
    <d v="2025-07-06T00:00:00"/>
    <s v="CUST1206"/>
    <s v="Ronald Jones"/>
    <s v="PROD94"/>
    <s v="Beauty"/>
    <s v="STORE12"/>
    <n v="2"/>
    <n v="308.7"/>
    <n v="0.2"/>
    <x v="1"/>
    <n v="493.92"/>
  </r>
  <r>
    <s v="SALE384"/>
    <d v="2024-10-14T00:00:00"/>
    <s v="CUST1037"/>
    <s v="Christopher Carter"/>
    <s v="PROD45"/>
    <s v="Sports"/>
    <s v="STORE16"/>
    <n v="2"/>
    <n v="733.87"/>
    <n v="0.1"/>
    <x v="1"/>
    <n v="1320.9659999999999"/>
  </r>
  <r>
    <s v="SALE385"/>
    <d v="2023-10-28T00:00:00"/>
    <s v="CUST1095"/>
    <s v="Amy Fowler"/>
    <s v="PROD40"/>
    <s v="Electronics"/>
    <s v="STORE16"/>
    <n v="2"/>
    <n v="22.47"/>
    <n v="0.22"/>
    <x v="1"/>
    <n v="35.053199999999997"/>
  </r>
  <r>
    <s v="SALE386"/>
    <d v="2024-03-29T00:00:00"/>
    <s v="CUST1348"/>
    <s v="Sherry Cabrera"/>
    <s v="PROD24"/>
    <s v="Sports"/>
    <s v="STORE13"/>
    <n v="4"/>
    <n v="651.36"/>
    <n v="0.13"/>
    <x v="0"/>
    <n v="2266.7328000000002"/>
  </r>
  <r>
    <s v="SALE387"/>
    <d v="2025-06-09T00:00:00"/>
    <s v="CUST1296"/>
    <s v="Jared Moran"/>
    <s v="PROD14"/>
    <s v="Home"/>
    <s v="STORE10"/>
    <n v="1"/>
    <n v="753.39"/>
    <n v="0.04"/>
    <x v="2"/>
    <n v="723.25439999999992"/>
  </r>
  <r>
    <s v="SALE388"/>
    <d v="2024-10-11T00:00:00"/>
    <s v="CUST1201"/>
    <s v="Mary Boyd"/>
    <s v="PROD87"/>
    <s v="Home"/>
    <s v="STORE12"/>
    <n v="4"/>
    <n v="849.17"/>
    <n v="0.12"/>
    <x v="2"/>
    <n v="2989.0783999999999"/>
  </r>
  <r>
    <s v="SALE389"/>
    <d v="2024-07-22T00:00:00"/>
    <s v="CUST1379"/>
    <s v="Tanya Lopez"/>
    <s v="PROD20"/>
    <s v="Sports"/>
    <s v="STORE0"/>
    <n v="4"/>
    <n v="585.45000000000005"/>
    <n v="0.25"/>
    <x v="2"/>
    <n v="1756.35"/>
  </r>
  <r>
    <s v="SALE390"/>
    <d v="2024-12-02T00:00:00"/>
    <s v="CUST1476"/>
    <s v="Elizabeth Foster"/>
    <s v="PROD69"/>
    <s v="Clothing"/>
    <s v="STORE16"/>
    <n v="1"/>
    <n v="745.15"/>
    <n v="0.25"/>
    <x v="2"/>
    <n v="558.86249999999995"/>
  </r>
  <r>
    <s v="SALE391"/>
    <d v="2023-11-14T00:00:00"/>
    <s v="CUST1050"/>
    <s v="Matthew Hunter Jr."/>
    <s v="PROD99"/>
    <s v="Home"/>
    <s v="STORE2"/>
    <n v="1"/>
    <n v="848.69"/>
    <n v="0.04"/>
    <x v="2"/>
    <n v="814.74239999999998"/>
  </r>
  <r>
    <s v="SALE392"/>
    <d v="2024-02-14T00:00:00"/>
    <s v="CUST1413"/>
    <s v="Megan Ryan"/>
    <s v="PROD70"/>
    <s v="Home"/>
    <s v="STORE14"/>
    <n v="2"/>
    <n v="247.67"/>
    <n v="0.1"/>
    <x v="1"/>
    <n v="445.80599999999998"/>
  </r>
  <r>
    <s v="SALE393"/>
    <d v="2024-06-22T00:00:00"/>
    <s v="CUST1039"/>
    <s v="Tonya Reynolds"/>
    <s v="PROD74"/>
    <s v="Electronics"/>
    <s v="STORE3"/>
    <n v="3"/>
    <n v="220.51"/>
    <n v="0.02"/>
    <x v="1"/>
    <n v="648.29939999999999"/>
  </r>
  <r>
    <s v="SALE394"/>
    <d v="2025-06-29T00:00:00"/>
    <s v="CUST1327"/>
    <s v="Reginald Willis"/>
    <s v="PROD1"/>
    <s v="Clothing"/>
    <s v="STORE16"/>
    <n v="4"/>
    <n v="370.63"/>
    <n v="0.08"/>
    <x v="0"/>
    <n v="1363.9184"/>
  </r>
  <r>
    <s v="SALE395"/>
    <d v="2025-02-18T00:00:00"/>
    <s v="CUST1391"/>
    <s v="Heidi Tyler"/>
    <s v="PROD29"/>
    <s v="Home"/>
    <s v="STORE19"/>
    <n v="4"/>
    <n v="349.84"/>
    <n v="0.11"/>
    <x v="0"/>
    <n v="1245.4304"/>
  </r>
  <r>
    <s v="SALE396"/>
    <d v="2025-06-15T00:00:00"/>
    <s v="CUST1043"/>
    <s v="Joseph Snow"/>
    <s v="PROD39"/>
    <s v="Electronics"/>
    <s v="STORE12"/>
    <n v="1"/>
    <n v="770.87"/>
    <n v="0.1"/>
    <x v="2"/>
    <n v="693.78300000000002"/>
  </r>
  <r>
    <s v="SALE397"/>
    <d v="2024-08-14T00:00:00"/>
    <s v="CUST1479"/>
    <s v="Dylan Gutierrez"/>
    <s v="PROD74"/>
    <s v="Electronics"/>
    <s v="STORE17"/>
    <n v="3"/>
    <n v="507.33"/>
    <n v="0.06"/>
    <x v="1"/>
    <n v="1430.6705999999999"/>
  </r>
  <r>
    <s v="SALE398"/>
    <d v="2025-07-25T00:00:00"/>
    <s v="CUST1185"/>
    <s v="Brent Rivas"/>
    <s v="PROD79"/>
    <s v="Home"/>
    <s v="STORE9"/>
    <n v="1"/>
    <n v="87.78"/>
    <n v="0.06"/>
    <x v="0"/>
    <n v="82.513199999999998"/>
  </r>
  <r>
    <s v="SALE399"/>
    <d v="2025-01-09T00:00:00"/>
    <s v="CUST1006"/>
    <s v="Amber Jackson"/>
    <s v="PROD93"/>
    <s v="Electronics"/>
    <s v="STORE4"/>
    <n v="2"/>
    <n v="772.24"/>
    <n v="0.22"/>
    <x v="0"/>
    <n v="1204.6944000000001"/>
  </r>
  <r>
    <s v="SALE400"/>
    <d v="2025-06-05T00:00:00"/>
    <s v="CUST1047"/>
    <s v="Gina Knight"/>
    <s v="PROD64"/>
    <s v="Beauty"/>
    <s v="STORE14"/>
    <n v="1"/>
    <n v="108.27"/>
    <n v="0.1"/>
    <x v="2"/>
    <n v="97.442999999999998"/>
  </r>
  <r>
    <s v="SALE401"/>
    <d v="2024-12-07T00:00:00"/>
    <s v="CUST1347"/>
    <s v="Justin Mason Dds"/>
    <s v="PROD37"/>
    <s v="Clothing"/>
    <s v="STORE17"/>
    <n v="2"/>
    <n v="839.24"/>
    <n v="0.21"/>
    <x v="1"/>
    <n v="1325.9992"/>
  </r>
  <r>
    <s v="SALE402"/>
    <d v="2024-02-09T00:00:00"/>
    <s v="CUST1383"/>
    <s v="Kristine Higgins"/>
    <s v="PROD58"/>
    <s v="Clothing"/>
    <s v="STORE10"/>
    <n v="2"/>
    <n v="466.27"/>
    <n v="0.11"/>
    <x v="1"/>
    <n v="829.9606"/>
  </r>
  <r>
    <s v="SALE403"/>
    <d v="2025-10-12T00:00:00"/>
    <s v="CUST1398"/>
    <s v="Jennifer Johnson"/>
    <s v="PROD75"/>
    <s v="Clothing"/>
    <s v="STORE14"/>
    <n v="3"/>
    <n v="969.83"/>
    <n v="0.02"/>
    <x v="0"/>
    <n v="2851.3002000000001"/>
  </r>
  <r>
    <s v="SALE404"/>
    <d v="2025-06-16T00:00:00"/>
    <s v="CUST1417"/>
    <s v="Karen King"/>
    <s v="PROD97"/>
    <s v="Sports"/>
    <s v="STORE19"/>
    <n v="2"/>
    <n v="782.11"/>
    <n v="0.17"/>
    <x v="1"/>
    <n v="1298.3026"/>
  </r>
  <r>
    <s v="SALE405"/>
    <d v="2025-09-21T00:00:00"/>
    <s v="CUST1451"/>
    <s v="Ashley Roberts"/>
    <s v="PROD90"/>
    <s v="Electronics"/>
    <s v="STORE11"/>
    <n v="2"/>
    <n v="74.63"/>
    <n v="0.01"/>
    <x v="1"/>
    <n v="147.76740000000001"/>
  </r>
  <r>
    <s v="SALE406"/>
    <d v="2025-09-09T00:00:00"/>
    <s v="CUST1041"/>
    <s v="James Gibbs"/>
    <s v="PROD22"/>
    <s v="Sports"/>
    <s v="STORE6"/>
    <n v="3"/>
    <n v="522.78"/>
    <n v="0.25"/>
    <x v="1"/>
    <n v="1176.2550000000001"/>
  </r>
  <r>
    <s v="SALE407"/>
    <d v="2025-07-15T00:00:00"/>
    <s v="CUST1338"/>
    <s v="Jasmine Snyder"/>
    <s v="PROD86"/>
    <s v="Home"/>
    <s v="STORE15"/>
    <n v="1"/>
    <n v="206.45"/>
    <n v="0.15"/>
    <x v="1"/>
    <n v="175.48249999999999"/>
  </r>
  <r>
    <s v="SALE408"/>
    <d v="2024-10-15T00:00:00"/>
    <s v="CUST1145"/>
    <s v="Cameron Simpson"/>
    <s v="PROD69"/>
    <s v="Clothing"/>
    <s v="STORE5"/>
    <n v="1"/>
    <n v="815.53"/>
    <n v="0.3"/>
    <x v="1"/>
    <n v="570.87099999999998"/>
  </r>
  <r>
    <s v="SALE409"/>
    <d v="2023-10-21T00:00:00"/>
    <s v="CUST1037"/>
    <s v="Christopher Carter"/>
    <s v="PROD45"/>
    <s v="Sports"/>
    <s v="STORE13"/>
    <n v="1"/>
    <n v="823.61"/>
    <n v="0.28000000000000003"/>
    <x v="2"/>
    <n v="592.99919999999997"/>
  </r>
  <r>
    <s v="SALE410"/>
    <d v="2025-05-30T00:00:00"/>
    <s v="CUST1478"/>
    <s v="Earl Smith Dds"/>
    <s v="PROD39"/>
    <s v="Electronics"/>
    <s v="STORE9"/>
    <n v="2"/>
    <n v="209.96"/>
    <n v="0"/>
    <x v="0"/>
    <n v="419.92"/>
  </r>
  <r>
    <s v="SALE411"/>
    <d v="2024-06-19T00:00:00"/>
    <s v="CUST1175"/>
    <s v="Michelle Rogers"/>
    <s v="PROD49"/>
    <s v="Beauty"/>
    <s v="STORE16"/>
    <n v="4"/>
    <n v="897.93"/>
    <n v="0.05"/>
    <x v="2"/>
    <n v="3412.134"/>
  </r>
  <r>
    <s v="SALE412"/>
    <d v="2024-12-20T00:00:00"/>
    <s v="CUST1181"/>
    <s v="Erin Ward"/>
    <s v="PROD63"/>
    <s v="Beauty"/>
    <s v="STORE0"/>
    <n v="4"/>
    <n v="925.95"/>
    <n v="0.16"/>
    <x v="2"/>
    <n v="3111.192"/>
  </r>
  <r>
    <s v="SALE413"/>
    <d v="2024-08-16T00:00:00"/>
    <s v="CUST1084"/>
    <s v="Christy Hoffman"/>
    <s v="PROD25"/>
    <s v="Clothing"/>
    <s v="STORE6"/>
    <n v="2"/>
    <n v="573.09"/>
    <n v="0.03"/>
    <x v="2"/>
    <n v="1111.7945999999999"/>
  </r>
  <r>
    <s v="SALE414"/>
    <d v="2025-03-15T00:00:00"/>
    <s v="CUST1183"/>
    <s v="Mario Jacobs"/>
    <s v="PROD38"/>
    <s v="Sports"/>
    <s v="STORE4"/>
    <n v="4"/>
    <n v="149.83000000000001"/>
    <n v="0.02"/>
    <x v="0"/>
    <n v="587.33360000000005"/>
  </r>
  <r>
    <s v="SALE415"/>
    <d v="2024-06-02T00:00:00"/>
    <s v="CUST1001"/>
    <s v="Eugene Nelson"/>
    <s v="PROD51"/>
    <s v="Electronics"/>
    <s v="STORE14"/>
    <n v="3"/>
    <n v="287.70999999999998"/>
    <n v="0.03"/>
    <x v="2"/>
    <n v="837.23609999999985"/>
  </r>
  <r>
    <s v="SALE416"/>
    <d v="2025-07-22T00:00:00"/>
    <s v="CUST1094"/>
    <s v="David Patterson"/>
    <s v="PROD39"/>
    <s v="Electronics"/>
    <s v="STORE6"/>
    <n v="2"/>
    <n v="849.8"/>
    <n v="0.06"/>
    <x v="2"/>
    <n v="1597.624"/>
  </r>
  <r>
    <s v="SALE417"/>
    <d v="2025-03-09T00:00:00"/>
    <s v="CUST1016"/>
    <s v="John Scott"/>
    <s v="PROD56"/>
    <s v="Home"/>
    <s v="STORE3"/>
    <n v="3"/>
    <n v="482.58"/>
    <n v="0.28000000000000003"/>
    <x v="1"/>
    <n v="1042.3728000000001"/>
  </r>
  <r>
    <s v="SALE418"/>
    <d v="2025-02-11T00:00:00"/>
    <s v="CUST1114"/>
    <s v="Ryan Hernandez"/>
    <s v="PROD59"/>
    <s v="Beauty"/>
    <s v="STORE2"/>
    <n v="2"/>
    <n v="64.7"/>
    <n v="0"/>
    <x v="0"/>
    <n v="129.4"/>
  </r>
  <r>
    <s v="SALE419"/>
    <d v="2023-12-06T00:00:00"/>
    <s v="CUST1148"/>
    <s v="Theresa Campbell"/>
    <s v="PROD13"/>
    <s v="Electronics"/>
    <s v="STORE5"/>
    <n v="3"/>
    <n v="589.83000000000004"/>
    <n v="0.26"/>
    <x v="0"/>
    <n v="1309.4226000000001"/>
  </r>
  <r>
    <s v="SALE420"/>
    <d v="2025-08-20T00:00:00"/>
    <s v="CUST1288"/>
    <s v="Misty Ferguson"/>
    <s v="PROD3"/>
    <s v="Clothing"/>
    <s v="STORE9"/>
    <n v="4"/>
    <n v="758.49"/>
    <n v="0.16"/>
    <x v="2"/>
    <n v="2548.5264000000002"/>
  </r>
  <r>
    <s v="SALE421"/>
    <d v="2024-09-20T00:00:00"/>
    <s v="CUST1053"/>
    <s v="Sharon Brown"/>
    <s v="PROD37"/>
    <s v="Clothing"/>
    <s v="STORE12"/>
    <n v="4"/>
    <n v="747.56"/>
    <n v="0.09"/>
    <x v="2"/>
    <n v="2721.1183999999998"/>
  </r>
  <r>
    <s v="SALE422"/>
    <d v="2025-06-05T00:00:00"/>
    <s v="CUST1253"/>
    <s v="Dr. Ashley Yates Md"/>
    <s v="PROD71"/>
    <s v="Beauty"/>
    <s v="STORE17"/>
    <n v="3"/>
    <n v="551.22"/>
    <n v="0.12"/>
    <x v="1"/>
    <n v="1455.2208000000001"/>
  </r>
  <r>
    <s v="SALE423"/>
    <d v="2025-06-03T00:00:00"/>
    <s v="CUST1159"/>
    <s v="Brian Choi"/>
    <s v="PROD69"/>
    <s v="Clothing"/>
    <s v="STORE14"/>
    <n v="2"/>
    <n v="527.05999999999995"/>
    <n v="0.17"/>
    <x v="1"/>
    <n v="874.91959999999983"/>
  </r>
  <r>
    <s v="SALE424"/>
    <d v="2025-01-13T00:00:00"/>
    <s v="CUST1098"/>
    <s v="Brittney Morgan"/>
    <s v="PROD62"/>
    <s v="Electronics"/>
    <s v="STORE5"/>
    <n v="4"/>
    <n v="875.41"/>
    <n v="0.27"/>
    <x v="0"/>
    <n v="2556.1972000000001"/>
  </r>
  <r>
    <s v="SALE425"/>
    <d v="2025-03-20T00:00:00"/>
    <s v="CUST1007"/>
    <s v="Daniel Boyd"/>
    <s v="PROD67"/>
    <s v="Electronics"/>
    <s v="STORE0"/>
    <n v="2"/>
    <n v="226.43"/>
    <n v="0.03"/>
    <x v="0"/>
    <n v="439.27420000000001"/>
  </r>
  <r>
    <s v="SALE426"/>
    <d v="2024-07-07T00:00:00"/>
    <s v="CUST1035"/>
    <s v="Rachel Myers"/>
    <s v="PROD97"/>
    <s v="Sports"/>
    <s v="STORE5"/>
    <n v="2"/>
    <n v="285.39"/>
    <n v="0.1"/>
    <x v="0"/>
    <n v="513.702"/>
  </r>
  <r>
    <s v="SALE427"/>
    <d v="2025-09-29T00:00:00"/>
    <s v="CUST1334"/>
    <s v="Mr. Christopher Sims"/>
    <s v="PROD71"/>
    <s v="Beauty"/>
    <s v="STORE15"/>
    <n v="2"/>
    <n v="298.01"/>
    <n v="0.05"/>
    <x v="0"/>
    <n v="566.21899999999994"/>
  </r>
  <r>
    <s v="SALE428"/>
    <d v="2024-11-30T00:00:00"/>
    <s v="CUST1159"/>
    <s v="Brian Choi"/>
    <s v="PROD69"/>
    <s v="Clothing"/>
    <s v="STORE4"/>
    <n v="4"/>
    <n v="753.49"/>
    <n v="0.26"/>
    <x v="2"/>
    <n v="2230.3303999999998"/>
  </r>
  <r>
    <s v="SALE429"/>
    <d v="2024-06-17T00:00:00"/>
    <s v="CUST1488"/>
    <s v="Zachary Andrade"/>
    <s v="PROD78"/>
    <s v="Home"/>
    <s v="STORE12"/>
    <n v="2"/>
    <n v="130.38999999999999"/>
    <n v="0.17"/>
    <x v="1"/>
    <n v="216.44739999999999"/>
  </r>
  <r>
    <s v="SALE430"/>
    <d v="2025-02-21T00:00:00"/>
    <s v="CUST1345"/>
    <s v="Daniel Nelson"/>
    <s v="PROD22"/>
    <s v="Sports"/>
    <s v="STORE9"/>
    <n v="4"/>
    <n v="164.02"/>
    <n v="0.01"/>
    <x v="1"/>
    <n v="649.51920000000007"/>
  </r>
  <r>
    <s v="SALE431"/>
    <d v="2024-09-16T00:00:00"/>
    <s v="CUST1164"/>
    <s v="Daniel Rivas"/>
    <s v="PROD48"/>
    <s v="Electronics"/>
    <s v="STORE4"/>
    <n v="2"/>
    <n v="527.51"/>
    <n v="0.18"/>
    <x v="1"/>
    <n v="865.1164"/>
  </r>
  <r>
    <s v="SALE432"/>
    <d v="2025-10-09T00:00:00"/>
    <s v="CUST1253"/>
    <s v="Dr. Ashley Yates Md"/>
    <s v="PROD71"/>
    <s v="Beauty"/>
    <s v="STORE13"/>
    <n v="3"/>
    <n v="628.17999999999995"/>
    <n v="0.26"/>
    <x v="0"/>
    <n v="1394.5596"/>
  </r>
  <r>
    <s v="SALE433"/>
    <d v="2024-09-18T00:00:00"/>
    <s v="CUST1269"/>
    <s v="Tyrone Olson"/>
    <s v="PROD77"/>
    <s v="Electronics"/>
    <s v="STORE3"/>
    <n v="1"/>
    <n v="862.31"/>
    <n v="0.06"/>
    <x v="0"/>
    <n v="810.57139999999993"/>
  </r>
  <r>
    <s v="SALE434"/>
    <d v="2025-05-29T00:00:00"/>
    <s v="CUST1071"/>
    <s v="Andrea Perez"/>
    <s v="PROD83"/>
    <s v="Beauty"/>
    <s v="STORE14"/>
    <n v="2"/>
    <n v="541.39"/>
    <n v="0.03"/>
    <x v="2"/>
    <n v="1050.2965999999999"/>
  </r>
  <r>
    <s v="SALE435"/>
    <d v="2025-06-03T00:00:00"/>
    <s v="CUST1477"/>
    <s v="Andrea Harris"/>
    <s v="PROD76"/>
    <s v="Electronics"/>
    <s v="STORE16"/>
    <n v="3"/>
    <n v="761.8"/>
    <n v="0.06"/>
    <x v="2"/>
    <n v="2148.2759999999989"/>
  </r>
  <r>
    <s v="SALE436"/>
    <d v="2024-08-04T00:00:00"/>
    <s v="CUST1422"/>
    <s v="Brittany Edwards Dds"/>
    <s v="PROD49"/>
    <s v="Beauty"/>
    <s v="STORE2"/>
    <n v="4"/>
    <n v="829.36"/>
    <n v="0.11"/>
    <x v="1"/>
    <n v="2952.5216"/>
  </r>
  <r>
    <s v="SALE437"/>
    <d v="2024-06-17T00:00:00"/>
    <s v="CUST1404"/>
    <s v="David Ross"/>
    <s v="PROD23"/>
    <s v="Clothing"/>
    <s v="STORE16"/>
    <n v="2"/>
    <n v="425.06"/>
    <n v="0.09"/>
    <x v="1"/>
    <n v="773.60919999999999"/>
  </r>
  <r>
    <s v="SALE438"/>
    <d v="2024-01-20T00:00:00"/>
    <s v="CUST1127"/>
    <s v="John Mcknight"/>
    <s v="PROD55"/>
    <s v="Home"/>
    <s v="STORE0"/>
    <n v="2"/>
    <n v="911.14"/>
    <n v="0.1"/>
    <x v="0"/>
    <n v="1640.0519999999999"/>
  </r>
  <r>
    <s v="SALE439"/>
    <d v="2025-09-06T00:00:00"/>
    <s v="CUST1084"/>
    <s v="Christy Hoffman"/>
    <s v="PROD25"/>
    <s v="Clothing"/>
    <s v="STORE8"/>
    <n v="3"/>
    <n v="811.96"/>
    <n v="0.28999999999999998"/>
    <x v="0"/>
    <n v="1729.4748"/>
  </r>
  <r>
    <s v="SALE440"/>
    <d v="2024-03-29T00:00:00"/>
    <s v="CUST1273"/>
    <s v="Samantha Robinson"/>
    <s v="PROD20"/>
    <s v="Sports"/>
    <s v="STORE10"/>
    <n v="2"/>
    <n v="780.05"/>
    <n v="0.12"/>
    <x v="2"/>
    <n v="1372.8879999999999"/>
  </r>
  <r>
    <s v="SALE441"/>
    <d v="2024-08-23T00:00:00"/>
    <s v="CUST1215"/>
    <s v="Steve Medina"/>
    <s v="PROD32"/>
    <s v="Beauty"/>
    <s v="STORE9"/>
    <n v="4"/>
    <n v="315.95"/>
    <n v="0.19"/>
    <x v="2"/>
    <n v="1023.678"/>
  </r>
  <r>
    <s v="SALE442"/>
    <d v="2025-05-19T00:00:00"/>
    <s v="CUST1229"/>
    <s v="Tanner Thompson"/>
    <s v="PROD52"/>
    <s v="Sports"/>
    <s v="STORE9"/>
    <n v="2"/>
    <n v="810.17"/>
    <n v="0.27"/>
    <x v="0"/>
    <n v="1182.8481999999999"/>
  </r>
  <r>
    <s v="SALE443"/>
    <d v="2024-04-07T00:00:00"/>
    <s v="CUST1205"/>
    <s v="Michelle Carpenter"/>
    <s v="PROD84"/>
    <s v="Home"/>
    <s v="STORE4"/>
    <n v="3"/>
    <n v="505.01"/>
    <n v="0.02"/>
    <x v="1"/>
    <n v="1484.7293999999999"/>
  </r>
  <r>
    <s v="SALE444"/>
    <d v="2024-01-24T00:00:00"/>
    <s v="CUST1467"/>
    <s v="Michael Foley"/>
    <s v="PROD74"/>
    <s v="Electronics"/>
    <s v="STORE17"/>
    <n v="2"/>
    <n v="736.75"/>
    <n v="0.18"/>
    <x v="0"/>
    <n v="1208.27"/>
  </r>
  <r>
    <s v="SALE445"/>
    <d v="2024-01-20T00:00:00"/>
    <s v="CUST1027"/>
    <s v="Leslie Johnson"/>
    <s v="PROD24"/>
    <s v="Sports"/>
    <s v="STORE9"/>
    <n v="4"/>
    <n v="700.31"/>
    <n v="0.2"/>
    <x v="1"/>
    <n v="2240.9920000000002"/>
  </r>
  <r>
    <s v="SALE446"/>
    <d v="2023-12-10T00:00:00"/>
    <s v="CUST1129"/>
    <s v="Jessica Mitchell"/>
    <s v="PROD91"/>
    <s v="Clothing"/>
    <s v="STORE11"/>
    <n v="4"/>
    <n v="202.46"/>
    <n v="0.24"/>
    <x v="0"/>
    <n v="615.47840000000008"/>
  </r>
  <r>
    <s v="SALE447"/>
    <d v="2023-12-19T00:00:00"/>
    <s v="CUST1265"/>
    <s v="Tracy Kelly"/>
    <s v="PROD87"/>
    <s v="Home"/>
    <s v="STORE1"/>
    <n v="2"/>
    <n v="291.83999999999997"/>
    <n v="0.25"/>
    <x v="1"/>
    <n v="437.76"/>
  </r>
  <r>
    <s v="SALE448"/>
    <d v="2023-11-22T00:00:00"/>
    <s v="CUST1163"/>
    <s v="Joseph Jones"/>
    <s v="PROD97"/>
    <s v="Sports"/>
    <s v="STORE5"/>
    <n v="2"/>
    <n v="261.48"/>
    <n v="0.17"/>
    <x v="0"/>
    <n v="434.05680000000001"/>
  </r>
  <r>
    <s v="SALE449"/>
    <d v="2025-10-08T00:00:00"/>
    <s v="CUST1300"/>
    <s v="Matthew Avery"/>
    <s v="PROD36"/>
    <s v="Clothing"/>
    <s v="STORE14"/>
    <n v="1"/>
    <n v="850.83"/>
    <n v="0.28000000000000003"/>
    <x v="1"/>
    <n v="612.59760000000006"/>
  </r>
  <r>
    <s v="SALE450"/>
    <d v="2025-02-23T00:00:00"/>
    <s v="CUST1405"/>
    <s v="Eric Wolfe"/>
    <s v="PROD48"/>
    <s v="Electronics"/>
    <s v="STORE9"/>
    <n v="1"/>
    <n v="83.83"/>
    <n v="0.05"/>
    <x v="0"/>
    <n v="79.638499999999993"/>
  </r>
  <r>
    <s v="SALE451"/>
    <d v="2025-02-25T00:00:00"/>
    <s v="CUST1006"/>
    <s v="Amber Jackson"/>
    <s v="PROD93"/>
    <s v="Electronics"/>
    <s v="STORE16"/>
    <n v="3"/>
    <n v="649.95000000000005"/>
    <n v="0.28000000000000003"/>
    <x v="2"/>
    <n v="1403.8920000000001"/>
  </r>
  <r>
    <s v="SALE452"/>
    <d v="2024-09-30T00:00:00"/>
    <s v="CUST1366"/>
    <s v="Mallory Allen"/>
    <s v="PROD73"/>
    <s v="Sports"/>
    <s v="STORE6"/>
    <n v="4"/>
    <n v="934.96"/>
    <n v="0.18"/>
    <x v="1"/>
    <n v="3066.6687999999999"/>
  </r>
  <r>
    <s v="SALE453"/>
    <d v="2023-12-19T00:00:00"/>
    <s v="CUST1206"/>
    <s v="Ronald Jones"/>
    <s v="PROD94"/>
    <s v="Beauty"/>
    <s v="STORE14"/>
    <n v="1"/>
    <n v="880.89"/>
    <n v="0.13"/>
    <x v="2"/>
    <n v="766.37429999999995"/>
  </r>
  <r>
    <s v="SALE454"/>
    <d v="2024-11-18T00:00:00"/>
    <s v="CUST1477"/>
    <s v="Andrea Harris"/>
    <s v="PROD76"/>
    <s v="Electronics"/>
    <s v="STORE8"/>
    <n v="4"/>
    <n v="610.6"/>
    <n v="0.1"/>
    <x v="1"/>
    <n v="2198.16"/>
  </r>
  <r>
    <s v="SALE455"/>
    <d v="2025-09-12T00:00:00"/>
    <s v="CUST1075"/>
    <s v="Rhonda Morales"/>
    <s v="PROD16"/>
    <s v="Beauty"/>
    <s v="STORE18"/>
    <n v="1"/>
    <n v="514.19000000000005"/>
    <n v="0.2"/>
    <x v="0"/>
    <n v="411.35200000000009"/>
  </r>
  <r>
    <s v="SALE456"/>
    <d v="2025-01-31T00:00:00"/>
    <s v="CUST1399"/>
    <s v="John Donaldson"/>
    <s v="PROD66"/>
    <s v="Beauty"/>
    <s v="STORE13"/>
    <n v="1"/>
    <n v="546.20000000000005"/>
    <n v="0.22"/>
    <x v="1"/>
    <n v="426.03600000000012"/>
  </r>
  <r>
    <s v="SALE457"/>
    <d v="2024-10-26T00:00:00"/>
    <s v="CUST1197"/>
    <s v="Andrea Jacobs"/>
    <s v="PROD37"/>
    <s v="Clothing"/>
    <s v="STORE0"/>
    <n v="3"/>
    <n v="416.01"/>
    <n v="0.02"/>
    <x v="0"/>
    <n v="1223.0694000000001"/>
  </r>
  <r>
    <s v="SALE458"/>
    <d v="2025-07-26T00:00:00"/>
    <s v="CUST1384"/>
    <s v="Andrew Mason"/>
    <s v="PROD74"/>
    <s v="Electronics"/>
    <s v="STORE10"/>
    <n v="1"/>
    <n v="30.94"/>
    <n v="0.21"/>
    <x v="2"/>
    <n v="24.442599999999999"/>
  </r>
  <r>
    <s v="SALE459"/>
    <d v="2025-08-06T00:00:00"/>
    <s v="CUST1200"/>
    <s v="Anna Perez"/>
    <s v="PROD77"/>
    <s v="Electronics"/>
    <s v="STORE16"/>
    <n v="3"/>
    <n v="666.39"/>
    <n v="0.21"/>
    <x v="2"/>
    <n v="1579.3443"/>
  </r>
  <r>
    <s v="SALE460"/>
    <d v="2025-05-20T00:00:00"/>
    <s v="CUST1166"/>
    <s v="Patricia Gardner"/>
    <s v="PROD81"/>
    <s v="Sports"/>
    <s v="STORE10"/>
    <n v="2"/>
    <n v="145.26"/>
    <n v="0.19"/>
    <x v="1"/>
    <n v="235.3212"/>
  </r>
  <r>
    <s v="SALE461"/>
    <d v="2024-03-13T00:00:00"/>
    <s v="CUST1118"/>
    <s v="Earl Allen"/>
    <s v="PROD83"/>
    <s v="Beauty"/>
    <s v="STORE5"/>
    <n v="4"/>
    <n v="940.77"/>
    <n v="0.24"/>
    <x v="2"/>
    <n v="2859.9407999999999"/>
  </r>
  <r>
    <s v="SALE462"/>
    <d v="2025-02-12T00:00:00"/>
    <s v="CUST1469"/>
    <s v="James Foster"/>
    <s v="PROD45"/>
    <s v="Sports"/>
    <s v="STORE17"/>
    <n v="1"/>
    <n v="708.88"/>
    <n v="0.09"/>
    <x v="0"/>
    <n v="645.08080000000007"/>
  </r>
  <r>
    <s v="SALE463"/>
    <d v="2025-09-24T00:00:00"/>
    <s v="CUST1307"/>
    <s v="Brandy Thompson"/>
    <s v="PROD93"/>
    <s v="Electronics"/>
    <s v="STORE2"/>
    <n v="1"/>
    <n v="790.73"/>
    <n v="0.24"/>
    <x v="1"/>
    <n v="600.95479999999998"/>
  </r>
  <r>
    <s v="SALE464"/>
    <d v="2024-10-09T00:00:00"/>
    <s v="CUST1449"/>
    <s v="William Cortez"/>
    <s v="PROD98"/>
    <s v="Electronics"/>
    <s v="STORE9"/>
    <n v="3"/>
    <n v="635.13"/>
    <n v="0.09"/>
    <x v="1"/>
    <n v="1733.9049"/>
  </r>
  <r>
    <s v="SALE465"/>
    <d v="2023-11-03T00:00:00"/>
    <s v="CUST1266"/>
    <s v="Cynthia Payne"/>
    <s v="PROD15"/>
    <s v="Electronics"/>
    <s v="STORE14"/>
    <n v="1"/>
    <n v="744.88"/>
    <n v="0.15"/>
    <x v="2"/>
    <n v="633.14800000000002"/>
  </r>
  <r>
    <s v="SALE466"/>
    <d v="2025-03-29T00:00:00"/>
    <s v="CUST1183"/>
    <s v="Mario Jacobs"/>
    <s v="PROD38"/>
    <s v="Sports"/>
    <s v="STORE1"/>
    <n v="3"/>
    <n v="205.34"/>
    <n v="0.25"/>
    <x v="0"/>
    <n v="462.01499999999999"/>
  </r>
  <r>
    <s v="SALE467"/>
    <d v="2025-07-13T00:00:00"/>
    <s v="CUST1419"/>
    <s v="Monica Miller"/>
    <s v="PROD3"/>
    <s v="Clothing"/>
    <s v="STORE8"/>
    <n v="2"/>
    <n v="756.8"/>
    <n v="0.15"/>
    <x v="0"/>
    <n v="1286.56"/>
  </r>
  <r>
    <s v="SALE468"/>
    <d v="2024-01-17T00:00:00"/>
    <s v="CUST1044"/>
    <s v="Denise Williams"/>
    <s v="PROD1"/>
    <s v="Clothing"/>
    <s v="STORE10"/>
    <n v="1"/>
    <n v="771.73"/>
    <n v="0.2"/>
    <x v="0"/>
    <n v="617.38400000000001"/>
  </r>
  <r>
    <s v="SALE469"/>
    <d v="2024-12-13T00:00:00"/>
    <s v="CUST1479"/>
    <s v="Dylan Gutierrez"/>
    <s v="PROD74"/>
    <s v="Electronics"/>
    <s v="STORE17"/>
    <n v="1"/>
    <n v="440.19"/>
    <n v="0.03"/>
    <x v="1"/>
    <n v="426.98430000000002"/>
  </r>
  <r>
    <s v="SALE470"/>
    <d v="2025-09-19T00:00:00"/>
    <s v="CUST1047"/>
    <s v="Gina Knight"/>
    <s v="PROD64"/>
    <s v="Beauty"/>
    <s v="STORE2"/>
    <n v="2"/>
    <n v="409"/>
    <n v="0.17"/>
    <x v="0"/>
    <n v="678.93999999999994"/>
  </r>
  <r>
    <s v="SALE471"/>
    <d v="2024-02-11T00:00:00"/>
    <s v="CUST1343"/>
    <s v="Ryan Moore"/>
    <s v="PROD17"/>
    <s v="Sports"/>
    <s v="STORE19"/>
    <n v="3"/>
    <n v="134.58000000000001"/>
    <n v="0.04"/>
    <x v="2"/>
    <n v="387.59039999999999"/>
  </r>
  <r>
    <s v="SALE472"/>
    <d v="2025-06-03T00:00:00"/>
    <s v="CUST1348"/>
    <s v="Sherry Cabrera"/>
    <s v="PROD24"/>
    <s v="Sports"/>
    <s v="STORE7"/>
    <n v="4"/>
    <n v="284.44"/>
    <n v="0.02"/>
    <x v="0"/>
    <n v="1115.0047999999999"/>
  </r>
  <r>
    <s v="SALE473"/>
    <d v="2025-03-10T00:00:00"/>
    <s v="CUST1405"/>
    <s v="Eric Wolfe"/>
    <s v="PROD48"/>
    <s v="Electronics"/>
    <s v="STORE13"/>
    <n v="4"/>
    <n v="922.69"/>
    <n v="0.16"/>
    <x v="0"/>
    <n v="3100.2384000000002"/>
  </r>
  <r>
    <s v="SALE474"/>
    <d v="2024-12-18T00:00:00"/>
    <s v="CUST1275"/>
    <s v="Shannon Miller"/>
    <s v="PROD69"/>
    <s v="Clothing"/>
    <s v="STORE6"/>
    <n v="2"/>
    <n v="992.55"/>
    <n v="0.28000000000000003"/>
    <x v="0"/>
    <n v="1429.2719999999999"/>
  </r>
  <r>
    <s v="SALE475"/>
    <d v="2024-03-20T00:00:00"/>
    <s v="CUST1418"/>
    <s v="Luke Parks"/>
    <s v="PROD89"/>
    <s v="Beauty"/>
    <s v="STORE18"/>
    <n v="1"/>
    <n v="170.43"/>
    <n v="0.03"/>
    <x v="0"/>
    <n v="165.31710000000001"/>
  </r>
  <r>
    <s v="SALE476"/>
    <d v="2024-06-19T00:00:00"/>
    <s v="CUST1223"/>
    <s v="Robert Harris"/>
    <s v="PROD72"/>
    <s v="Sports"/>
    <s v="STORE2"/>
    <n v="3"/>
    <n v="480.51"/>
    <n v="0.03"/>
    <x v="0"/>
    <n v="1398.2841000000001"/>
  </r>
  <r>
    <s v="SALE477"/>
    <d v="2024-12-06T00:00:00"/>
    <s v="CUST1156"/>
    <s v="Maria Sanchez"/>
    <s v="PROD49"/>
    <s v="Beauty"/>
    <s v="STORE7"/>
    <n v="2"/>
    <n v="955.66"/>
    <n v="0.28999999999999998"/>
    <x v="2"/>
    <n v="1357.0372"/>
  </r>
  <r>
    <s v="SALE478"/>
    <d v="2025-07-25T00:00:00"/>
    <s v="CUST1451"/>
    <s v="Ashley Roberts"/>
    <s v="PROD90"/>
    <s v="Electronics"/>
    <s v="STORE0"/>
    <n v="2"/>
    <n v="488.02"/>
    <n v="0.27"/>
    <x v="1"/>
    <n v="712.50919999999996"/>
  </r>
  <r>
    <s v="SALE479"/>
    <d v="2024-07-28T00:00:00"/>
    <s v="CUST1240"/>
    <s v="William Hull"/>
    <s v="PROD92"/>
    <s v="Home"/>
    <s v="STORE0"/>
    <n v="1"/>
    <n v="917.17"/>
    <n v="0.13"/>
    <x v="2"/>
    <n v="797.93790000000001"/>
  </r>
  <r>
    <s v="SALE480"/>
    <d v="2024-10-03T00:00:00"/>
    <s v="CUST1324"/>
    <s v="Alex Mann Ii"/>
    <s v="PROD20"/>
    <s v="Sports"/>
    <s v="STORE5"/>
    <n v="2"/>
    <n v="406.46"/>
    <n v="0.3"/>
    <x v="1"/>
    <n v="569.04399999999998"/>
  </r>
  <r>
    <s v="SALE481"/>
    <d v="2023-11-08T00:00:00"/>
    <s v="CUST1232"/>
    <s v="Christy Hill"/>
    <s v="PROD95"/>
    <s v="Sports"/>
    <s v="STORE0"/>
    <n v="2"/>
    <n v="264.39"/>
    <n v="0.11"/>
    <x v="2"/>
    <n v="470.61419999999998"/>
  </r>
  <r>
    <s v="SALE482"/>
    <d v="2025-04-07T00:00:00"/>
    <s v="CUST1191"/>
    <s v="Todd Poole"/>
    <s v="PROD17"/>
    <s v="Sports"/>
    <s v="STORE16"/>
    <n v="1"/>
    <n v="414.97"/>
    <n v="0.22"/>
    <x v="1"/>
    <n v="323.67660000000001"/>
  </r>
  <r>
    <s v="SALE483"/>
    <d v="2023-12-20T00:00:00"/>
    <s v="CUST1146"/>
    <s v="Edward Rivera"/>
    <s v="PROD25"/>
    <s v="Clothing"/>
    <s v="STORE12"/>
    <n v="2"/>
    <n v="583.51"/>
    <n v="0.2"/>
    <x v="2"/>
    <n v="933.61599999999999"/>
  </r>
  <r>
    <s v="SALE484"/>
    <d v="2025-09-11T00:00:00"/>
    <s v="CUST1011"/>
    <s v="Brian Lopez"/>
    <s v="PROD31"/>
    <s v="Sports"/>
    <s v="STORE17"/>
    <n v="1"/>
    <n v="659.27"/>
    <n v="0.15"/>
    <x v="1"/>
    <n v="560.37950000000001"/>
  </r>
  <r>
    <s v="SALE485"/>
    <d v="2024-12-01T00:00:00"/>
    <s v="CUST1445"/>
    <s v="Gene Lee"/>
    <s v="PROD2"/>
    <s v="Clothing"/>
    <s v="STORE4"/>
    <n v="4"/>
    <n v="106.66"/>
    <n v="0.2"/>
    <x v="2"/>
    <n v="341.31200000000001"/>
  </r>
  <r>
    <s v="SALE486"/>
    <d v="2024-11-21T00:00:00"/>
    <s v="CUST1163"/>
    <s v="Joseph Jones"/>
    <s v="PROD97"/>
    <s v="Sports"/>
    <s v="STORE5"/>
    <n v="4"/>
    <n v="168.55"/>
    <n v="0.15"/>
    <x v="1"/>
    <n v="573.07000000000005"/>
  </r>
  <r>
    <s v="SALE487"/>
    <d v="2025-08-30T00:00:00"/>
    <s v="CUST1488"/>
    <s v="Zachary Andrade"/>
    <s v="PROD78"/>
    <s v="Home"/>
    <s v="STORE2"/>
    <n v="1"/>
    <n v="230.53"/>
    <n v="0.06"/>
    <x v="2"/>
    <n v="216.69820000000001"/>
  </r>
  <r>
    <s v="SALE488"/>
    <d v="2025-08-20T00:00:00"/>
    <s v="CUST1007"/>
    <s v="Daniel Boyd"/>
    <s v="PROD67"/>
    <s v="Electronics"/>
    <s v="STORE1"/>
    <n v="2"/>
    <n v="355.41"/>
    <n v="0.13"/>
    <x v="2"/>
    <n v="618.41340000000002"/>
  </r>
  <r>
    <s v="SALE489"/>
    <d v="2025-10-13T00:00:00"/>
    <s v="CUST1167"/>
    <s v="Antonio Wade"/>
    <s v="PROD47"/>
    <s v="Beauty"/>
    <s v="STORE2"/>
    <n v="3"/>
    <n v="843.44"/>
    <n v="0.22"/>
    <x v="0"/>
    <n v="1973.6496"/>
  </r>
  <r>
    <s v="SALE490"/>
    <d v="2024-01-15T00:00:00"/>
    <s v="CUST1163"/>
    <s v="Joseph Jones"/>
    <s v="PROD97"/>
    <s v="Sports"/>
    <s v="STORE1"/>
    <n v="1"/>
    <n v="301.60000000000002"/>
    <n v="0.27"/>
    <x v="0"/>
    <n v="220.16800000000001"/>
  </r>
  <r>
    <s v="SALE491"/>
    <d v="2025-04-25T00:00:00"/>
    <s v="CUST1042"/>
    <s v="William Martin"/>
    <s v="PROD51"/>
    <s v="Electronics"/>
    <s v="STORE2"/>
    <n v="3"/>
    <n v="21.59"/>
    <n v="0.16"/>
    <x v="2"/>
    <n v="54.406799999999997"/>
  </r>
  <r>
    <s v="SALE492"/>
    <d v="2024-02-24T00:00:00"/>
    <s v="CUST1212"/>
    <s v="Blake Harrison"/>
    <s v="PROD13"/>
    <s v="Electronics"/>
    <s v="STORE2"/>
    <n v="4"/>
    <n v="284.24"/>
    <n v="0.09"/>
    <x v="0"/>
    <n v="1034.6335999999999"/>
  </r>
  <r>
    <s v="SALE493"/>
    <d v="2024-12-30T00:00:00"/>
    <s v="CUST1368"/>
    <s v="Miranda King"/>
    <s v="PROD12"/>
    <s v="Beauty"/>
    <s v="STORE9"/>
    <n v="1"/>
    <n v="191.6"/>
    <n v="0.27"/>
    <x v="1"/>
    <n v="139.86799999999999"/>
  </r>
  <r>
    <s v="SALE494"/>
    <d v="2025-04-15T00:00:00"/>
    <s v="CUST1311"/>
    <s v="Kevin Larson"/>
    <s v="PROD78"/>
    <s v="Home"/>
    <s v="STORE12"/>
    <n v="2"/>
    <n v="616.97"/>
    <n v="0.22"/>
    <x v="0"/>
    <n v="962.47320000000002"/>
  </r>
  <r>
    <s v="SALE495"/>
    <d v="2024-10-15T00:00:00"/>
    <s v="CUST1168"/>
    <s v="Daniel Contreras"/>
    <s v="PROD72"/>
    <s v="Sports"/>
    <s v="STORE10"/>
    <n v="3"/>
    <n v="125.68"/>
    <n v="0.26"/>
    <x v="2"/>
    <n v="279.00959999999998"/>
  </r>
  <r>
    <s v="SALE496"/>
    <d v="2025-01-19T00:00:00"/>
    <s v="CUST1352"/>
    <s v="Michael Greene"/>
    <s v="PROD43"/>
    <s v="Electronics"/>
    <s v="STORE4"/>
    <n v="3"/>
    <n v="307.48"/>
    <n v="0.24"/>
    <x v="0"/>
    <n v="701.0544000000001"/>
  </r>
  <r>
    <s v="SALE497"/>
    <d v="2024-07-22T00:00:00"/>
    <s v="CUST1298"/>
    <s v="Tracy Stephens"/>
    <s v="PROD73"/>
    <s v="Sports"/>
    <s v="STORE19"/>
    <n v="1"/>
    <n v="505.23"/>
    <n v="0.11"/>
    <x v="0"/>
    <n v="449.65469999999999"/>
  </r>
  <r>
    <s v="SALE498"/>
    <d v="2025-03-19T00:00:00"/>
    <s v="CUST1365"/>
    <s v="Brandon Mcbride"/>
    <s v="PROD45"/>
    <s v="Sports"/>
    <s v="STORE16"/>
    <n v="1"/>
    <n v="853.12"/>
    <n v="0.19"/>
    <x v="2"/>
    <n v="691.02719999999999"/>
  </r>
  <r>
    <s v="SALE499"/>
    <d v="2024-01-21T00:00:00"/>
    <s v="CUST1129"/>
    <s v="Jessica Mitchell"/>
    <s v="PROD91"/>
    <s v="Clothing"/>
    <s v="STORE7"/>
    <n v="4"/>
    <n v="191.65"/>
    <n v="0.19"/>
    <x v="1"/>
    <n v="620.94600000000003"/>
  </r>
  <r>
    <s v="SALE500"/>
    <d v="2023-12-26T00:00:00"/>
    <s v="CUST1160"/>
    <s v="John Lawson"/>
    <s v="PROD47"/>
    <s v="Beauty"/>
    <s v="STORE3"/>
    <n v="1"/>
    <n v="169.69"/>
    <n v="0.22"/>
    <x v="0"/>
    <n v="132.35820000000001"/>
  </r>
  <r>
    <s v="SALE501"/>
    <d v="2024-03-21T00:00:00"/>
    <s v="CUST1175"/>
    <s v="Michelle Rogers"/>
    <s v="PROD49"/>
    <s v="Beauty"/>
    <s v="STORE14"/>
    <n v="1"/>
    <n v="145.43"/>
    <n v="0.08"/>
    <x v="0"/>
    <n v="133.79560000000001"/>
  </r>
  <r>
    <s v="SALE502"/>
    <d v="2024-12-07T00:00:00"/>
    <s v="CUST1084"/>
    <s v="Christy Hoffman"/>
    <s v="PROD25"/>
    <s v="Clothing"/>
    <s v="STORE12"/>
    <n v="4"/>
    <n v="828.35"/>
    <n v="0.17"/>
    <x v="0"/>
    <n v="2750.1219999999998"/>
  </r>
  <r>
    <s v="SALE503"/>
    <d v="2024-11-02T00:00:00"/>
    <s v="CUST1362"/>
    <s v="Joshua Smith Dvm"/>
    <s v="PROD95"/>
    <s v="Sports"/>
    <s v="STORE7"/>
    <n v="3"/>
    <n v="268.76"/>
    <n v="0.01"/>
    <x v="1"/>
    <n v="798.21719999999993"/>
  </r>
  <r>
    <s v="SALE504"/>
    <d v="2024-07-22T00:00:00"/>
    <s v="CUST1233"/>
    <s v="Michelle Gonzalez"/>
    <s v="PROD88"/>
    <s v="Sports"/>
    <s v="STORE0"/>
    <n v="4"/>
    <n v="370.09"/>
    <n v="0.22"/>
    <x v="2"/>
    <n v="1154.6808000000001"/>
  </r>
  <r>
    <s v="SALE505"/>
    <d v="2023-10-30T00:00:00"/>
    <s v="CUST1253"/>
    <s v="Dr. Ashley Yates Md"/>
    <s v="PROD71"/>
    <s v="Beauty"/>
    <s v="STORE6"/>
    <n v="3"/>
    <n v="679.22"/>
    <n v="0.11"/>
    <x v="1"/>
    <n v="1813.5174"/>
  </r>
  <r>
    <s v="SALE506"/>
    <d v="2024-05-21T00:00:00"/>
    <s v="CUST1373"/>
    <s v="James Orozco"/>
    <s v="PROD72"/>
    <s v="Sports"/>
    <s v="STORE0"/>
    <n v="3"/>
    <n v="780.69"/>
    <n v="0.1"/>
    <x v="2"/>
    <n v="2107.8629999999998"/>
  </r>
  <r>
    <s v="SALE507"/>
    <d v="2025-04-19T00:00:00"/>
    <s v="CUST1261"/>
    <s v="Carol Bishop"/>
    <s v="PROD42"/>
    <s v="Electronics"/>
    <s v="STORE2"/>
    <n v="2"/>
    <n v="42.97"/>
    <n v="0.18"/>
    <x v="1"/>
    <n v="70.470799999999997"/>
  </r>
  <r>
    <s v="SALE508"/>
    <d v="2024-12-13T00:00:00"/>
    <s v="CUST1286"/>
    <s v="Tommy Roberts"/>
    <s v="PROD82"/>
    <s v="Sports"/>
    <s v="STORE0"/>
    <n v="4"/>
    <n v="854.37"/>
    <n v="7.0000000000000007E-2"/>
    <x v="1"/>
    <n v="3178.2564000000002"/>
  </r>
  <r>
    <s v="SALE509"/>
    <d v="2025-04-27T00:00:00"/>
    <s v="CUST1100"/>
    <s v="Diane Watson"/>
    <s v="PROD24"/>
    <s v="Sports"/>
    <s v="STORE16"/>
    <n v="2"/>
    <n v="409.52"/>
    <n v="0.06"/>
    <x v="2"/>
    <n v="769.8975999999999"/>
  </r>
  <r>
    <s v="SALE510"/>
    <d v="2024-10-04T00:00:00"/>
    <s v="CUST1164"/>
    <s v="Daniel Rivas"/>
    <s v="PROD48"/>
    <s v="Electronics"/>
    <s v="STORE10"/>
    <n v="2"/>
    <n v="407.46"/>
    <n v="0.21"/>
    <x v="0"/>
    <n v="643.78679999999997"/>
  </r>
  <r>
    <s v="SALE511"/>
    <d v="2025-07-18T00:00:00"/>
    <s v="CUST1228"/>
    <s v="Casey Flores"/>
    <s v="PROD4"/>
    <s v="Clothing"/>
    <s v="STORE8"/>
    <n v="1"/>
    <n v="728.84"/>
    <n v="0.28000000000000003"/>
    <x v="1"/>
    <n v="524.76480000000004"/>
  </r>
  <r>
    <s v="SALE512"/>
    <d v="2024-03-11T00:00:00"/>
    <s v="CUST1453"/>
    <s v="April Phillips"/>
    <s v="PROD12"/>
    <s v="Beauty"/>
    <s v="STORE6"/>
    <n v="4"/>
    <n v="467.24"/>
    <n v="0.08"/>
    <x v="1"/>
    <n v="1719.4431999999999"/>
  </r>
  <r>
    <s v="SALE513"/>
    <d v="2024-06-14T00:00:00"/>
    <s v="CUST1092"/>
    <s v="Robert Jackson"/>
    <s v="PROD10"/>
    <s v="Home"/>
    <s v="STORE11"/>
    <n v="1"/>
    <n v="57.94"/>
    <n v="0.13"/>
    <x v="1"/>
    <n v="50.407799999999988"/>
  </r>
  <r>
    <s v="SALE514"/>
    <d v="2024-02-16T00:00:00"/>
    <s v="CUST1344"/>
    <s v="Evelyn Brown"/>
    <s v="PROD89"/>
    <s v="Beauty"/>
    <s v="STORE17"/>
    <n v="1"/>
    <n v="540.1"/>
    <n v="0.22"/>
    <x v="0"/>
    <n v="421.27800000000002"/>
  </r>
  <r>
    <s v="SALE515"/>
    <d v="2024-09-17T00:00:00"/>
    <s v="CUST1077"/>
    <s v="Katherine Young"/>
    <s v="PROD21"/>
    <s v="Home"/>
    <s v="STORE19"/>
    <n v="4"/>
    <n v="816.28"/>
    <n v="0.15"/>
    <x v="2"/>
    <n v="2775.3519999999999"/>
  </r>
  <r>
    <s v="SALE516"/>
    <d v="2025-08-26T00:00:00"/>
    <s v="CUST1178"/>
    <s v="Michelle Myers"/>
    <s v="PROD97"/>
    <s v="Sports"/>
    <s v="STORE8"/>
    <n v="4"/>
    <n v="727.49"/>
    <n v="0.11"/>
    <x v="0"/>
    <n v="2589.8643999999999"/>
  </r>
  <r>
    <s v="SALE517"/>
    <d v="2024-06-04T00:00:00"/>
    <s v="CUST1171"/>
    <s v="Amy Wilson"/>
    <s v="PROD90"/>
    <s v="Electronics"/>
    <s v="STORE13"/>
    <n v="4"/>
    <n v="817.92"/>
    <n v="0.21"/>
    <x v="0"/>
    <n v="2584.6271999999999"/>
  </r>
  <r>
    <s v="SALE518"/>
    <d v="2024-10-13T00:00:00"/>
    <s v="CUST1325"/>
    <s v="Andrew Smith"/>
    <s v="PROD54"/>
    <s v="Sports"/>
    <s v="STORE7"/>
    <n v="2"/>
    <n v="358.45"/>
    <n v="7.0000000000000007E-2"/>
    <x v="2"/>
    <n v="666.71699999999998"/>
  </r>
  <r>
    <s v="SALE519"/>
    <d v="2025-02-09T00:00:00"/>
    <s v="CUST1201"/>
    <s v="Mary Boyd"/>
    <s v="PROD87"/>
    <s v="Home"/>
    <s v="STORE9"/>
    <n v="1"/>
    <n v="972.06"/>
    <n v="0.3"/>
    <x v="2"/>
    <n v="680.44199999999989"/>
  </r>
  <r>
    <s v="SALE520"/>
    <d v="2023-12-21T00:00:00"/>
    <s v="CUST1032"/>
    <s v="Mike Jennings"/>
    <s v="PROD16"/>
    <s v="Beauty"/>
    <s v="STORE0"/>
    <n v="1"/>
    <n v="791.36"/>
    <n v="0.06"/>
    <x v="1"/>
    <n v="743.87839999999994"/>
  </r>
  <r>
    <s v="SALE521"/>
    <d v="2025-07-17T00:00:00"/>
    <s v="CUST1314"/>
    <s v="Elizabeth Johnson"/>
    <s v="PROD11"/>
    <s v="Electronics"/>
    <s v="STORE5"/>
    <n v="4"/>
    <n v="839.65"/>
    <n v="0.26"/>
    <x v="2"/>
    <n v="2485.364"/>
  </r>
  <r>
    <s v="SALE522"/>
    <d v="2025-05-16T00:00:00"/>
    <s v="CUST1255"/>
    <s v="Damon Perez"/>
    <s v="PROD72"/>
    <s v="Sports"/>
    <s v="STORE2"/>
    <n v="2"/>
    <n v="245.52"/>
    <n v="0.11"/>
    <x v="2"/>
    <n v="437.0256"/>
  </r>
  <r>
    <s v="SALE523"/>
    <d v="2025-08-12T00:00:00"/>
    <s v="CUST1388"/>
    <s v="Timothy Valenzuela"/>
    <s v="PROD82"/>
    <s v="Sports"/>
    <s v="STORE8"/>
    <n v="3"/>
    <n v="787.91"/>
    <n v="0.06"/>
    <x v="1"/>
    <n v="2221.9061999999999"/>
  </r>
  <r>
    <s v="SALE524"/>
    <d v="2025-08-21T00:00:00"/>
    <s v="CUST1053"/>
    <s v="Sharon Brown"/>
    <s v="PROD37"/>
    <s v="Clothing"/>
    <s v="STORE4"/>
    <n v="2"/>
    <n v="709.17"/>
    <n v="0.22"/>
    <x v="0"/>
    <n v="1106.3052"/>
  </r>
  <r>
    <s v="SALE525"/>
    <d v="2023-11-21T00:00:00"/>
    <s v="CUST1235"/>
    <s v="Jon Ortiz"/>
    <s v="PROD91"/>
    <s v="Clothing"/>
    <s v="STORE7"/>
    <n v="2"/>
    <n v="533.91999999999996"/>
    <n v="0.13"/>
    <x v="0"/>
    <n v="929.02079999999989"/>
  </r>
  <r>
    <s v="SALE526"/>
    <d v="2025-02-07T00:00:00"/>
    <s v="CUST1492"/>
    <s v="Darrell Miller"/>
    <s v="PROD10"/>
    <s v="Home"/>
    <s v="STORE0"/>
    <n v="1"/>
    <n v="878.84"/>
    <n v="0.28000000000000003"/>
    <x v="2"/>
    <n v="632.76480000000004"/>
  </r>
  <r>
    <s v="SALE527"/>
    <d v="2023-12-27T00:00:00"/>
    <s v="CUST1204"/>
    <s v="Tiffany Herrera"/>
    <s v="PROD44"/>
    <s v="Sports"/>
    <s v="STORE16"/>
    <n v="1"/>
    <n v="442.36"/>
    <n v="0.14000000000000001"/>
    <x v="0"/>
    <n v="380.42959999999999"/>
  </r>
  <r>
    <s v="SALE528"/>
    <d v="2025-02-23T00:00:00"/>
    <s v="CUST1333"/>
    <s v="Teresa Johnson"/>
    <s v="PROD0"/>
    <s v="Electronics"/>
    <s v="STORE6"/>
    <n v="1"/>
    <n v="763.34"/>
    <n v="0.11"/>
    <x v="2"/>
    <n v="679.37260000000003"/>
  </r>
  <r>
    <s v="SALE529"/>
    <d v="2025-07-04T00:00:00"/>
    <s v="CUST1166"/>
    <s v="Patricia Gardner"/>
    <s v="PROD81"/>
    <s v="Sports"/>
    <s v="STORE18"/>
    <n v="3"/>
    <n v="178.22"/>
    <n v="0.15"/>
    <x v="2"/>
    <n v="454.46100000000001"/>
  </r>
  <r>
    <s v="SALE530"/>
    <d v="2023-11-25T00:00:00"/>
    <s v="CUST1103"/>
    <s v="Steven Stein"/>
    <s v="PROD89"/>
    <s v="Beauty"/>
    <s v="STORE1"/>
    <n v="4"/>
    <n v="90.32"/>
    <n v="0.08"/>
    <x v="1"/>
    <n v="332.37759999999997"/>
  </r>
  <r>
    <s v="SALE531"/>
    <d v="2025-02-07T00:00:00"/>
    <s v="CUST1378"/>
    <s v="Frank Stewart"/>
    <s v="PROD91"/>
    <s v="Clothing"/>
    <s v="STORE6"/>
    <n v="3"/>
    <n v="370.93"/>
    <n v="0"/>
    <x v="0"/>
    <n v="1112.79"/>
  </r>
  <r>
    <s v="SALE532"/>
    <d v="2023-12-21T00:00:00"/>
    <s v="CUST1046"/>
    <s v="Michelle Garcia Dds"/>
    <s v="PROD23"/>
    <s v="Clothing"/>
    <s v="STORE15"/>
    <n v="1"/>
    <n v="352.43"/>
    <n v="0.14000000000000001"/>
    <x v="1"/>
    <n v="303.08980000000003"/>
  </r>
  <r>
    <s v="SALE533"/>
    <d v="2024-01-04T00:00:00"/>
    <s v="CUST1123"/>
    <s v="Erin Hopkins"/>
    <s v="PROD12"/>
    <s v="Beauty"/>
    <s v="STORE15"/>
    <n v="2"/>
    <n v="562.97"/>
    <n v="0.2"/>
    <x v="0"/>
    <n v="900.75200000000007"/>
  </r>
  <r>
    <s v="SALE534"/>
    <d v="2023-11-30T00:00:00"/>
    <s v="CUST1157"/>
    <s v="Paul Zamora"/>
    <s v="PROD55"/>
    <s v="Home"/>
    <s v="STORE7"/>
    <n v="1"/>
    <n v="522.85"/>
    <n v="0.12"/>
    <x v="1"/>
    <n v="460.108"/>
  </r>
  <r>
    <s v="SALE535"/>
    <d v="2025-07-13T00:00:00"/>
    <s v="CUST1349"/>
    <s v="Heather Valenzuela"/>
    <s v="PROD71"/>
    <s v="Beauty"/>
    <s v="STORE16"/>
    <n v="4"/>
    <n v="714.89"/>
    <n v="0.15"/>
    <x v="0"/>
    <n v="2430.6260000000002"/>
  </r>
  <r>
    <s v="SALE536"/>
    <d v="2023-10-23T00:00:00"/>
    <s v="CUST1187"/>
    <s v="Dr. Suzanne Bullock"/>
    <s v="PROD13"/>
    <s v="Electronics"/>
    <s v="STORE2"/>
    <n v="3"/>
    <n v="137.77000000000001"/>
    <n v="0.26"/>
    <x v="1"/>
    <n v="305.84940000000012"/>
  </r>
  <r>
    <s v="SALE537"/>
    <d v="2025-10-10T00:00:00"/>
    <s v="CUST1027"/>
    <s v="Leslie Johnson"/>
    <s v="PROD24"/>
    <s v="Sports"/>
    <s v="STORE11"/>
    <n v="3"/>
    <n v="862.18"/>
    <n v="0.22"/>
    <x v="1"/>
    <n v="2017.5011999999999"/>
  </r>
  <r>
    <s v="SALE538"/>
    <d v="2025-06-14T00:00:00"/>
    <s v="CUST1057"/>
    <s v="Jay Patel"/>
    <s v="PROD38"/>
    <s v="Sports"/>
    <s v="STORE14"/>
    <n v="2"/>
    <n v="833.64"/>
    <n v="0.24"/>
    <x v="1"/>
    <n v="1267.1328000000001"/>
  </r>
  <r>
    <s v="SALE539"/>
    <d v="2025-04-05T00:00:00"/>
    <s v="CUST1270"/>
    <s v="Brian Garcia"/>
    <s v="PROD19"/>
    <s v="Sports"/>
    <s v="STORE15"/>
    <n v="3"/>
    <n v="543.22"/>
    <n v="0.05"/>
    <x v="2"/>
    <n v="1548.1769999999999"/>
  </r>
  <r>
    <s v="SALE540"/>
    <d v="2025-01-20T00:00:00"/>
    <s v="CUST1278"/>
    <s v="Stephen Fowler"/>
    <s v="PROD88"/>
    <s v="Sports"/>
    <s v="STORE2"/>
    <n v="3"/>
    <n v="691.02"/>
    <n v="0.12"/>
    <x v="2"/>
    <n v="1824.2927999999999"/>
  </r>
  <r>
    <s v="SALE541"/>
    <d v="2023-11-23T00:00:00"/>
    <s v="CUST1087"/>
    <s v="Melissa Duffy Md"/>
    <s v="PROD76"/>
    <s v="Electronics"/>
    <s v="STORE17"/>
    <n v="4"/>
    <n v="338.73"/>
    <n v="0.18"/>
    <x v="0"/>
    <n v="1111.0344"/>
  </r>
  <r>
    <s v="SALE542"/>
    <d v="2024-04-07T00:00:00"/>
    <s v="CUST1062"/>
    <s v="James Bean"/>
    <s v="PROD84"/>
    <s v="Home"/>
    <s v="STORE16"/>
    <n v="3"/>
    <n v="366.08"/>
    <n v="0.05"/>
    <x v="0"/>
    <n v="1043.328"/>
  </r>
  <r>
    <s v="SALE543"/>
    <d v="2025-07-02T00:00:00"/>
    <s v="CUST1105"/>
    <s v="Lance Baker"/>
    <s v="PROD39"/>
    <s v="Electronics"/>
    <s v="STORE13"/>
    <n v="4"/>
    <n v="539.48"/>
    <n v="0.28000000000000003"/>
    <x v="2"/>
    <n v="1553.7023999999999"/>
  </r>
  <r>
    <s v="SALE544"/>
    <d v="2023-11-26T00:00:00"/>
    <s v="CUST1389"/>
    <s v="Cynthia Lopez"/>
    <s v="PROD91"/>
    <s v="Clothing"/>
    <s v="STORE16"/>
    <n v="1"/>
    <n v="499.59"/>
    <n v="0.03"/>
    <x v="2"/>
    <n v="484.60230000000001"/>
  </r>
  <r>
    <s v="SALE545"/>
    <d v="2024-02-04T00:00:00"/>
    <s v="CUST1188"/>
    <s v="Kimberly Brooks"/>
    <s v="PROD30"/>
    <s v="Home"/>
    <s v="STORE8"/>
    <n v="3"/>
    <n v="330.04"/>
    <n v="0.2"/>
    <x v="0"/>
    <n v="792.09600000000012"/>
  </r>
  <r>
    <s v="SALE546"/>
    <d v="2024-06-16T00:00:00"/>
    <s v="CUST1182"/>
    <s v="Melissa Hamilton"/>
    <s v="PROD34"/>
    <s v="Electronics"/>
    <s v="STORE17"/>
    <n v="2"/>
    <n v="813.01"/>
    <n v="0.06"/>
    <x v="1"/>
    <n v="1528.4588000000001"/>
  </r>
  <r>
    <s v="SALE547"/>
    <d v="2025-02-27T00:00:00"/>
    <s v="CUST1026"/>
    <s v="Amber Carlson"/>
    <s v="PROD1"/>
    <s v="Clothing"/>
    <s v="STORE2"/>
    <n v="4"/>
    <n v="204.8"/>
    <n v="0.03"/>
    <x v="1"/>
    <n v="794.62400000000002"/>
  </r>
  <r>
    <s v="SALE548"/>
    <d v="2023-10-24T00:00:00"/>
    <s v="CUST1011"/>
    <s v="Brian Lopez"/>
    <s v="PROD31"/>
    <s v="Sports"/>
    <s v="STORE3"/>
    <n v="3"/>
    <n v="728.32"/>
    <n v="0.01"/>
    <x v="0"/>
    <n v="2163.1104"/>
  </r>
  <r>
    <s v="SALE549"/>
    <d v="2024-08-03T00:00:00"/>
    <s v="CUST1452"/>
    <s v="Jeffery Wolf"/>
    <s v="PROD59"/>
    <s v="Beauty"/>
    <s v="STORE7"/>
    <n v="3"/>
    <n v="836.4"/>
    <n v="0"/>
    <x v="0"/>
    <n v="2509.1999999999998"/>
  </r>
  <r>
    <s v="SALE550"/>
    <d v="2025-07-05T00:00:00"/>
    <s v="CUST1149"/>
    <s v="Denise Griffin"/>
    <s v="PROD90"/>
    <s v="Electronics"/>
    <s v="STORE12"/>
    <n v="1"/>
    <n v="780.16"/>
    <n v="0.02"/>
    <x v="2"/>
    <n v="764.55679999999995"/>
  </r>
  <r>
    <s v="SALE551"/>
    <d v="2025-05-27T00:00:00"/>
    <s v="CUST1470"/>
    <s v="Manuel Fisher"/>
    <s v="PROD59"/>
    <s v="Beauty"/>
    <s v="STORE13"/>
    <n v="4"/>
    <n v="354.12"/>
    <n v="0.06"/>
    <x v="1"/>
    <n v="1331.4911999999999"/>
  </r>
  <r>
    <s v="SALE552"/>
    <d v="2024-11-06T00:00:00"/>
    <s v="CUST1452"/>
    <s v="Jeffery Wolf"/>
    <s v="PROD59"/>
    <s v="Beauty"/>
    <s v="STORE2"/>
    <n v="4"/>
    <n v="282.48"/>
    <n v="0.11"/>
    <x v="1"/>
    <n v="1005.6288"/>
  </r>
  <r>
    <s v="SALE553"/>
    <d v="2024-06-03T00:00:00"/>
    <s v="CUST1328"/>
    <s v="Mario Harvey Jr."/>
    <s v="PROD20"/>
    <s v="Sports"/>
    <s v="STORE6"/>
    <n v="2"/>
    <n v="740.68"/>
    <n v="0.02"/>
    <x v="1"/>
    <n v="1451.7328"/>
  </r>
  <r>
    <s v="SALE554"/>
    <d v="2024-04-02T00:00:00"/>
    <s v="CUST1105"/>
    <s v="Lance Baker"/>
    <s v="PROD39"/>
    <s v="Electronics"/>
    <s v="STORE9"/>
    <n v="3"/>
    <n v="600.58000000000004"/>
    <n v="0.28999999999999998"/>
    <x v="2"/>
    <n v="1279.2354"/>
  </r>
  <r>
    <s v="SALE555"/>
    <d v="2024-02-26T00:00:00"/>
    <s v="CUST1461"/>
    <s v="Paul Cox"/>
    <s v="PROD65"/>
    <s v="Sports"/>
    <s v="STORE3"/>
    <n v="3"/>
    <n v="345.58"/>
    <n v="0.22"/>
    <x v="0"/>
    <n v="808.65719999999999"/>
  </r>
  <r>
    <s v="SALE556"/>
    <d v="2025-01-31T00:00:00"/>
    <s v="CUST1284"/>
    <s v="Hunter Sutton"/>
    <s v="PROD18"/>
    <s v="Clothing"/>
    <s v="STORE11"/>
    <n v="1"/>
    <n v="974.52"/>
    <n v="0.01"/>
    <x v="1"/>
    <n v="964.77480000000003"/>
  </r>
  <r>
    <s v="SALE557"/>
    <d v="2023-11-19T00:00:00"/>
    <s v="CUST1040"/>
    <s v="Eric Vega"/>
    <s v="PROD17"/>
    <s v="Sports"/>
    <s v="STORE1"/>
    <n v="3"/>
    <n v="282.33"/>
    <n v="7.0000000000000007E-2"/>
    <x v="0"/>
    <n v="787.70069999999998"/>
  </r>
  <r>
    <s v="SALE558"/>
    <d v="2025-03-10T00:00:00"/>
    <s v="CUST1382"/>
    <s v="Martha Brown"/>
    <s v="PROD4"/>
    <s v="Clothing"/>
    <s v="STORE19"/>
    <n v="4"/>
    <n v="158.46"/>
    <n v="0.09"/>
    <x v="1"/>
    <n v="576.7944"/>
  </r>
  <r>
    <s v="SALE559"/>
    <d v="2023-12-23T00:00:00"/>
    <s v="CUST1343"/>
    <s v="Ryan Moore"/>
    <s v="PROD17"/>
    <s v="Sports"/>
    <s v="STORE7"/>
    <n v="2"/>
    <n v="778.56"/>
    <n v="0.11"/>
    <x v="2"/>
    <n v="1385.8368"/>
  </r>
  <r>
    <s v="SALE560"/>
    <d v="2024-03-02T00:00:00"/>
    <s v="CUST1237"/>
    <s v="Wesley Short"/>
    <s v="PROD88"/>
    <s v="Sports"/>
    <s v="STORE19"/>
    <n v="4"/>
    <n v="280.16000000000003"/>
    <n v="0.18"/>
    <x v="2"/>
    <n v="918.92480000000012"/>
  </r>
  <r>
    <s v="SALE561"/>
    <d v="2024-10-27T00:00:00"/>
    <s v="CUST1287"/>
    <s v="Cynthia Roberts"/>
    <s v="PROD3"/>
    <s v="Clothing"/>
    <s v="STORE13"/>
    <n v="2"/>
    <n v="649.54999999999995"/>
    <n v="0.28999999999999998"/>
    <x v="1"/>
    <n v="922.36099999999988"/>
  </r>
  <r>
    <s v="SALE562"/>
    <d v="2024-03-09T00:00:00"/>
    <s v="CUST1007"/>
    <s v="Daniel Boyd"/>
    <s v="PROD67"/>
    <s v="Electronics"/>
    <s v="STORE2"/>
    <n v="2"/>
    <n v="994.32"/>
    <n v="0.27"/>
    <x v="1"/>
    <n v="1451.7072000000001"/>
  </r>
  <r>
    <s v="SALE563"/>
    <d v="2024-12-23T00:00:00"/>
    <s v="CUST1223"/>
    <s v="Robert Harris"/>
    <s v="PROD72"/>
    <s v="Sports"/>
    <s v="STORE12"/>
    <n v="1"/>
    <n v="64.94"/>
    <n v="0.21"/>
    <x v="1"/>
    <n v="51.302599999999998"/>
  </r>
  <r>
    <s v="SALE564"/>
    <d v="2025-02-21T00:00:00"/>
    <s v="CUST1136"/>
    <s v="Patrick Coleman"/>
    <s v="PROD35"/>
    <s v="Home"/>
    <s v="STORE7"/>
    <n v="2"/>
    <n v="507.66"/>
    <n v="0"/>
    <x v="2"/>
    <n v="1015.32"/>
  </r>
  <r>
    <s v="SALE565"/>
    <d v="2023-12-13T00:00:00"/>
    <s v="CUST1242"/>
    <s v="William Jackson"/>
    <s v="PROD81"/>
    <s v="Sports"/>
    <s v="STORE4"/>
    <n v="4"/>
    <n v="968.27"/>
    <n v="0.03"/>
    <x v="1"/>
    <n v="3756.8876"/>
  </r>
  <r>
    <s v="SALE566"/>
    <d v="2023-11-20T00:00:00"/>
    <s v="CUST1017"/>
    <s v="Adam Cruz"/>
    <s v="PROD41"/>
    <s v="Sports"/>
    <s v="STORE5"/>
    <n v="4"/>
    <n v="510.33"/>
    <n v="0.2"/>
    <x v="1"/>
    <n v="1633.056"/>
  </r>
  <r>
    <s v="SALE567"/>
    <d v="2024-09-04T00:00:00"/>
    <s v="CUST1011"/>
    <s v="Brian Lopez"/>
    <s v="PROD31"/>
    <s v="Sports"/>
    <s v="STORE19"/>
    <n v="2"/>
    <n v="156.72999999999999"/>
    <n v="0.18"/>
    <x v="2"/>
    <n v="257.03719999999998"/>
  </r>
  <r>
    <s v="SALE568"/>
    <d v="2025-06-02T00:00:00"/>
    <s v="CUST1142"/>
    <s v="Maria Ramirez"/>
    <s v="PROD69"/>
    <s v="Clothing"/>
    <s v="STORE10"/>
    <n v="3"/>
    <n v="53.83"/>
    <n v="0.24"/>
    <x v="0"/>
    <n v="122.7324"/>
  </r>
  <r>
    <s v="SALE569"/>
    <d v="2024-02-28T00:00:00"/>
    <s v="CUST1377"/>
    <s v="Charles Conley"/>
    <s v="PROD92"/>
    <s v="Home"/>
    <s v="STORE4"/>
    <n v="1"/>
    <n v="34.71"/>
    <n v="0.1"/>
    <x v="2"/>
    <n v="31.239000000000001"/>
  </r>
  <r>
    <s v="SALE570"/>
    <d v="2024-12-07T00:00:00"/>
    <s v="CUST1229"/>
    <s v="Tanner Thompson"/>
    <s v="PROD52"/>
    <s v="Sports"/>
    <s v="STORE1"/>
    <n v="2"/>
    <n v="829.15"/>
    <n v="0.11"/>
    <x v="1"/>
    <n v="1475.8869999999999"/>
  </r>
  <r>
    <s v="SALE571"/>
    <d v="2025-05-21T00:00:00"/>
    <s v="CUST1264"/>
    <s v="Matthew Payne"/>
    <s v="PROD22"/>
    <s v="Sports"/>
    <s v="STORE3"/>
    <n v="2"/>
    <n v="481.86"/>
    <n v="0.1"/>
    <x v="2"/>
    <n v="867.34800000000007"/>
  </r>
  <r>
    <s v="SALE572"/>
    <d v="2024-03-03T00:00:00"/>
    <s v="CUST1147"/>
    <s v="Rhonda Young"/>
    <s v="PROD52"/>
    <s v="Sports"/>
    <s v="STORE7"/>
    <n v="4"/>
    <n v="915.17"/>
    <n v="0.19"/>
    <x v="2"/>
    <n v="2965.1507999999999"/>
  </r>
  <r>
    <s v="SALE573"/>
    <d v="2024-03-06T00:00:00"/>
    <s v="CUST1214"/>
    <s v="Eric Todd"/>
    <s v="PROD91"/>
    <s v="Clothing"/>
    <s v="STORE18"/>
    <n v="1"/>
    <n v="250.95"/>
    <n v="0.03"/>
    <x v="1"/>
    <n v="243.42150000000001"/>
  </r>
  <r>
    <s v="SALE574"/>
    <d v="2023-11-27T00:00:00"/>
    <s v="CUST1325"/>
    <s v="Andrew Smith"/>
    <s v="PROD54"/>
    <s v="Sports"/>
    <s v="STORE5"/>
    <n v="3"/>
    <n v="882.84"/>
    <n v="0.1"/>
    <x v="0"/>
    <n v="2383.6680000000001"/>
  </r>
  <r>
    <s v="SALE575"/>
    <d v="2025-02-14T00:00:00"/>
    <s v="CUST1138"/>
    <s v="Sean Roth"/>
    <s v="PROD46"/>
    <s v="Clothing"/>
    <s v="STORE18"/>
    <n v="4"/>
    <n v="573.37"/>
    <n v="0.04"/>
    <x v="2"/>
    <n v="2201.7408"/>
  </r>
  <r>
    <s v="SALE576"/>
    <d v="2024-01-27T00:00:00"/>
    <s v="CUST1058"/>
    <s v="Cheryl Copeland"/>
    <s v="PROD70"/>
    <s v="Home"/>
    <s v="STORE12"/>
    <n v="3"/>
    <n v="622.72"/>
    <n v="0.04"/>
    <x v="0"/>
    <n v="1793.4336000000001"/>
  </r>
  <r>
    <s v="SALE577"/>
    <d v="2025-10-13T00:00:00"/>
    <s v="CUST1388"/>
    <s v="Timothy Valenzuela"/>
    <s v="PROD82"/>
    <s v="Sports"/>
    <s v="STORE17"/>
    <n v="3"/>
    <n v="259.74"/>
    <n v="0.24"/>
    <x v="0"/>
    <n v="592.20720000000006"/>
  </r>
  <r>
    <s v="SALE578"/>
    <d v="2025-04-22T00:00:00"/>
    <s v="CUST1054"/>
    <s v="Katherine Dorsey"/>
    <s v="PROD88"/>
    <s v="Sports"/>
    <s v="STORE13"/>
    <n v="4"/>
    <n v="951.09"/>
    <n v="0.14000000000000001"/>
    <x v="2"/>
    <n v="3271.7496000000001"/>
  </r>
  <r>
    <s v="SALE579"/>
    <d v="2025-04-18T00:00:00"/>
    <s v="CUST1199"/>
    <s v="Carmen Price"/>
    <s v="PROD48"/>
    <s v="Electronics"/>
    <s v="STORE2"/>
    <n v="1"/>
    <n v="71.709999999999994"/>
    <n v="0.23"/>
    <x v="2"/>
    <n v="55.216700000000003"/>
  </r>
  <r>
    <s v="SALE580"/>
    <d v="2025-08-22T00:00:00"/>
    <s v="CUST1173"/>
    <s v="Teresa Stokes"/>
    <s v="PROD20"/>
    <s v="Sports"/>
    <s v="STORE7"/>
    <n v="4"/>
    <n v="894.93"/>
    <n v="0.05"/>
    <x v="2"/>
    <n v="3400.733999999999"/>
  </r>
  <r>
    <s v="SALE581"/>
    <d v="2025-07-04T00:00:00"/>
    <s v="CUST1202"/>
    <s v="Christina Garcia"/>
    <s v="PROD78"/>
    <s v="Home"/>
    <s v="STORE8"/>
    <n v="4"/>
    <n v="870.18"/>
    <n v="0.13"/>
    <x v="2"/>
    <n v="3028.2264"/>
  </r>
  <r>
    <s v="SALE582"/>
    <d v="2024-03-31T00:00:00"/>
    <s v="CUST1278"/>
    <s v="Stephen Fowler"/>
    <s v="PROD88"/>
    <s v="Sports"/>
    <s v="STORE2"/>
    <n v="2"/>
    <n v="552.72"/>
    <n v="0.06"/>
    <x v="1"/>
    <n v="1039.1135999999999"/>
  </r>
  <r>
    <s v="SALE583"/>
    <d v="2023-11-06T00:00:00"/>
    <s v="CUST1246"/>
    <s v="Mary Russell"/>
    <s v="PROD72"/>
    <s v="Sports"/>
    <s v="STORE8"/>
    <n v="3"/>
    <n v="700.43"/>
    <n v="0.01"/>
    <x v="2"/>
    <n v="2080.2770999999998"/>
  </r>
  <r>
    <s v="SALE584"/>
    <d v="2025-05-29T00:00:00"/>
    <s v="CUST1339"/>
    <s v="Mrs. Susan Buckley"/>
    <s v="PROD9"/>
    <s v="Sports"/>
    <s v="STORE2"/>
    <n v="2"/>
    <n v="823.03"/>
    <n v="0.18"/>
    <x v="1"/>
    <n v="1349.7692"/>
  </r>
  <r>
    <s v="SALE585"/>
    <d v="2024-04-19T00:00:00"/>
    <s v="CUST1255"/>
    <s v="Damon Perez"/>
    <s v="PROD72"/>
    <s v="Sports"/>
    <s v="STORE6"/>
    <n v="1"/>
    <n v="117.37"/>
    <n v="0.21"/>
    <x v="0"/>
    <n v="92.722300000000004"/>
  </r>
  <r>
    <s v="SALE586"/>
    <d v="2025-02-28T00:00:00"/>
    <s v="CUST1104"/>
    <s v="Christopher Lester"/>
    <s v="PROD25"/>
    <s v="Clothing"/>
    <s v="STORE1"/>
    <n v="4"/>
    <n v="165.37"/>
    <n v="0.28999999999999998"/>
    <x v="0"/>
    <n v="469.6508"/>
  </r>
  <r>
    <s v="SALE587"/>
    <d v="2025-03-02T00:00:00"/>
    <s v="CUST1378"/>
    <s v="Frank Stewart"/>
    <s v="PROD91"/>
    <s v="Clothing"/>
    <s v="STORE10"/>
    <n v="3"/>
    <n v="483.06"/>
    <n v="0.05"/>
    <x v="0"/>
    <n v="1376.721"/>
  </r>
  <r>
    <s v="SALE588"/>
    <d v="2024-03-28T00:00:00"/>
    <s v="CUST1293"/>
    <s v="Gloria Taylor"/>
    <s v="PROD20"/>
    <s v="Sports"/>
    <s v="STORE7"/>
    <n v="4"/>
    <n v="262.05"/>
    <n v="0.24"/>
    <x v="1"/>
    <n v="796.63200000000006"/>
  </r>
  <r>
    <s v="SALE589"/>
    <d v="2024-12-09T00:00:00"/>
    <s v="CUST1463"/>
    <s v="Samantha Lee"/>
    <s v="PROD8"/>
    <s v="Electronics"/>
    <s v="STORE14"/>
    <n v="3"/>
    <n v="970.89"/>
    <n v="0.11"/>
    <x v="2"/>
    <n v="2592.2763"/>
  </r>
  <r>
    <s v="SALE590"/>
    <d v="2023-10-23T00:00:00"/>
    <s v="CUST1216"/>
    <s v="Kathryn Garcia"/>
    <s v="PROD86"/>
    <s v="Home"/>
    <s v="STORE0"/>
    <n v="1"/>
    <n v="61.11"/>
    <n v="0.1"/>
    <x v="1"/>
    <n v="54.999000000000002"/>
  </r>
  <r>
    <s v="SALE591"/>
    <d v="2024-09-20T00:00:00"/>
    <s v="CUST1029"/>
    <s v="David Arnold"/>
    <s v="PROD86"/>
    <s v="Home"/>
    <s v="STORE8"/>
    <n v="3"/>
    <n v="827.88"/>
    <n v="0.19"/>
    <x v="1"/>
    <n v="2011.7483999999999"/>
  </r>
  <r>
    <s v="SALE592"/>
    <d v="2024-10-18T00:00:00"/>
    <s v="CUST1430"/>
    <s v="Kimberly Roberts"/>
    <s v="PROD87"/>
    <s v="Home"/>
    <s v="STORE13"/>
    <n v="3"/>
    <n v="926.85"/>
    <n v="0.18"/>
    <x v="2"/>
    <n v="2280.0509999999999"/>
  </r>
  <r>
    <s v="SALE593"/>
    <d v="2025-01-05T00:00:00"/>
    <s v="CUST1317"/>
    <s v="Tiffany Williams"/>
    <s v="PROD10"/>
    <s v="Home"/>
    <s v="STORE14"/>
    <n v="1"/>
    <n v="874.59"/>
    <n v="0.28999999999999998"/>
    <x v="1"/>
    <n v="620.95889999999997"/>
  </r>
  <r>
    <s v="SALE594"/>
    <d v="2025-09-21T00:00:00"/>
    <s v="CUST1470"/>
    <s v="Manuel Fisher"/>
    <s v="PROD59"/>
    <s v="Beauty"/>
    <s v="STORE1"/>
    <n v="4"/>
    <n v="479.11"/>
    <n v="0.24"/>
    <x v="1"/>
    <n v="1456.4944"/>
  </r>
  <r>
    <s v="SALE595"/>
    <d v="2024-07-17T00:00:00"/>
    <s v="CUST1213"/>
    <s v="Stuart Johnson"/>
    <s v="PROD21"/>
    <s v="Home"/>
    <s v="STORE17"/>
    <n v="3"/>
    <n v="182.91"/>
    <n v="0.28999999999999998"/>
    <x v="0"/>
    <n v="389.59829999999999"/>
  </r>
  <r>
    <s v="SALE596"/>
    <d v="2024-12-26T00:00:00"/>
    <s v="CUST1272"/>
    <s v="Adam Rowland"/>
    <s v="PROD81"/>
    <s v="Sports"/>
    <s v="STORE5"/>
    <n v="4"/>
    <n v="745.51"/>
    <n v="0.05"/>
    <x v="0"/>
    <n v="2832.9380000000001"/>
  </r>
  <r>
    <s v="SALE597"/>
    <d v="2024-11-02T00:00:00"/>
    <s v="CUST1481"/>
    <s v="Bryan Tran"/>
    <s v="PROD62"/>
    <s v="Electronics"/>
    <s v="STORE15"/>
    <n v="3"/>
    <n v="920.61"/>
    <n v="0.04"/>
    <x v="0"/>
    <n v="2651.3568"/>
  </r>
  <r>
    <s v="SALE598"/>
    <d v="2025-04-25T00:00:00"/>
    <s v="CUST1425"/>
    <s v="Bryce Hawkins"/>
    <s v="PROD75"/>
    <s v="Clothing"/>
    <s v="STORE10"/>
    <n v="4"/>
    <n v="659.03"/>
    <n v="0.15"/>
    <x v="0"/>
    <n v="2240.7020000000002"/>
  </r>
  <r>
    <s v="SALE599"/>
    <d v="2024-02-16T00:00:00"/>
    <s v="CUST1491"/>
    <s v="Kaitlin Brown"/>
    <s v="PROD9"/>
    <s v="Sports"/>
    <s v="STORE2"/>
    <n v="1"/>
    <n v="312.91000000000003"/>
    <n v="0.12"/>
    <x v="1"/>
    <n v="275.36079999999998"/>
  </r>
  <r>
    <s v="SALE600"/>
    <d v="2024-08-20T00:00:00"/>
    <s v="CUST1228"/>
    <s v="Casey Flores"/>
    <s v="PROD4"/>
    <s v="Clothing"/>
    <s v="STORE18"/>
    <n v="4"/>
    <n v="705.64"/>
    <n v="0.11"/>
    <x v="1"/>
    <n v="2512.0783999999999"/>
  </r>
  <r>
    <s v="SALE601"/>
    <d v="2024-07-24T00:00:00"/>
    <s v="CUST1144"/>
    <s v="Justin Cross"/>
    <s v="PROD72"/>
    <s v="Sports"/>
    <s v="STORE10"/>
    <n v="4"/>
    <n v="386.41"/>
    <n v="0.13"/>
    <x v="2"/>
    <n v="1344.7067999999999"/>
  </r>
  <r>
    <s v="SALE602"/>
    <d v="2024-08-30T00:00:00"/>
    <s v="CUST1029"/>
    <s v="David Arnold"/>
    <s v="PROD86"/>
    <s v="Home"/>
    <s v="STORE11"/>
    <n v="3"/>
    <n v="265.89"/>
    <n v="0.08"/>
    <x v="2"/>
    <n v="733.85640000000001"/>
  </r>
  <r>
    <s v="SALE603"/>
    <d v="2025-09-25T00:00:00"/>
    <s v="CUST1075"/>
    <s v="Rhonda Morales"/>
    <s v="PROD16"/>
    <s v="Beauty"/>
    <s v="STORE16"/>
    <n v="1"/>
    <n v="703.16"/>
    <n v="0.28999999999999998"/>
    <x v="0"/>
    <n v="499.24360000000001"/>
  </r>
  <r>
    <s v="SALE604"/>
    <d v="2025-04-18T00:00:00"/>
    <s v="CUST1471"/>
    <s v="Debra Mccullough"/>
    <s v="PROD17"/>
    <s v="Sports"/>
    <s v="STORE13"/>
    <n v="2"/>
    <n v="394.5"/>
    <n v="0.28999999999999998"/>
    <x v="2"/>
    <n v="560.18999999999994"/>
  </r>
  <r>
    <s v="SALE605"/>
    <d v="2025-08-13T00:00:00"/>
    <s v="CUST1117"/>
    <s v="Colleen Mccarthy"/>
    <s v="PROD97"/>
    <s v="Sports"/>
    <s v="STORE7"/>
    <n v="3"/>
    <n v="411.25"/>
    <n v="0.05"/>
    <x v="0"/>
    <n v="1172.0625"/>
  </r>
  <r>
    <s v="SALE606"/>
    <d v="2025-09-23T00:00:00"/>
    <s v="CUST1353"/>
    <s v="Laura Green"/>
    <s v="PROD48"/>
    <s v="Electronics"/>
    <s v="STORE2"/>
    <n v="4"/>
    <n v="395.45"/>
    <n v="0.01"/>
    <x v="0"/>
    <n v="1565.982"/>
  </r>
  <r>
    <s v="SALE607"/>
    <d v="2024-05-09T00:00:00"/>
    <s v="CUST1036"/>
    <s v="Thomas Phillips"/>
    <s v="PROD90"/>
    <s v="Electronics"/>
    <s v="STORE5"/>
    <n v="2"/>
    <n v="678.98"/>
    <n v="0.23"/>
    <x v="0"/>
    <n v="1045.6292000000001"/>
  </r>
  <r>
    <s v="SALE608"/>
    <d v="2024-11-12T00:00:00"/>
    <s v="CUST1072"/>
    <s v="Tonya Burch"/>
    <s v="PROD26"/>
    <s v="Electronics"/>
    <s v="STORE14"/>
    <n v="4"/>
    <n v="757.71"/>
    <n v="0.26"/>
    <x v="2"/>
    <n v="2242.8216000000002"/>
  </r>
  <r>
    <s v="SALE609"/>
    <d v="2024-12-18T00:00:00"/>
    <s v="CUST1059"/>
    <s v="Alyssa Vargas"/>
    <s v="PROD94"/>
    <s v="Beauty"/>
    <s v="STORE4"/>
    <n v="1"/>
    <n v="647.86"/>
    <n v="0.05"/>
    <x v="2"/>
    <n v="615.46699999999998"/>
  </r>
  <r>
    <s v="SALE610"/>
    <d v="2024-08-13T00:00:00"/>
    <s v="CUST1135"/>
    <s v="Matthew Hanna"/>
    <s v="PROD44"/>
    <s v="Sports"/>
    <s v="STORE6"/>
    <n v="2"/>
    <n v="179.64"/>
    <n v="0.1"/>
    <x v="1"/>
    <n v="323.35199999999998"/>
  </r>
  <r>
    <s v="SALE611"/>
    <d v="2024-09-10T00:00:00"/>
    <s v="CUST1396"/>
    <s v="Alexander Byrd"/>
    <s v="PROD43"/>
    <s v="Electronics"/>
    <s v="STORE4"/>
    <n v="3"/>
    <n v="392.65"/>
    <n v="0.17"/>
    <x v="1"/>
    <n v="977.69849999999985"/>
  </r>
  <r>
    <s v="SALE612"/>
    <d v="2024-09-12T00:00:00"/>
    <s v="CUST1176"/>
    <s v="John Bradford"/>
    <s v="PROD52"/>
    <s v="Sports"/>
    <s v="STORE16"/>
    <n v="4"/>
    <n v="969.55"/>
    <n v="0.09"/>
    <x v="2"/>
    <n v="3529.1619999999998"/>
  </r>
  <r>
    <s v="SALE613"/>
    <d v="2024-05-21T00:00:00"/>
    <s v="CUST1462"/>
    <s v="Beth Martin"/>
    <s v="PROD33"/>
    <s v="Home"/>
    <s v="STORE12"/>
    <n v="3"/>
    <n v="322.94"/>
    <n v="0.01"/>
    <x v="0"/>
    <n v="959.13179999999988"/>
  </r>
  <r>
    <s v="SALE614"/>
    <d v="2025-05-15T00:00:00"/>
    <s v="CUST1362"/>
    <s v="Joshua Smith Dvm"/>
    <s v="PROD95"/>
    <s v="Sports"/>
    <s v="STORE0"/>
    <n v="1"/>
    <n v="92.83"/>
    <n v="0.26"/>
    <x v="1"/>
    <n v="68.694199999999995"/>
  </r>
  <r>
    <s v="SALE615"/>
    <d v="2025-05-27T00:00:00"/>
    <s v="CUST1420"/>
    <s v="Dr. Tamara White Md"/>
    <s v="PROD21"/>
    <s v="Home"/>
    <s v="STORE3"/>
    <n v="4"/>
    <n v="432.29"/>
    <n v="0.16"/>
    <x v="2"/>
    <n v="1452.4944"/>
  </r>
  <r>
    <s v="SALE616"/>
    <d v="2024-01-20T00:00:00"/>
    <s v="CUST1080"/>
    <s v="Jennifer Garcia"/>
    <s v="PROD34"/>
    <s v="Electronics"/>
    <s v="STORE13"/>
    <n v="2"/>
    <n v="925.78"/>
    <n v="0.14000000000000001"/>
    <x v="2"/>
    <n v="1592.3416"/>
  </r>
  <r>
    <s v="SALE617"/>
    <d v="2024-11-09T00:00:00"/>
    <s v="CUST1477"/>
    <s v="Andrea Harris"/>
    <s v="PROD76"/>
    <s v="Electronics"/>
    <s v="STORE11"/>
    <n v="2"/>
    <n v="151.47"/>
    <n v="0.21"/>
    <x v="1"/>
    <n v="239.32259999999999"/>
  </r>
  <r>
    <s v="SALE618"/>
    <d v="2024-02-16T00:00:00"/>
    <s v="CUST1449"/>
    <s v="William Cortez"/>
    <s v="PROD98"/>
    <s v="Electronics"/>
    <s v="STORE10"/>
    <n v="1"/>
    <n v="343.05"/>
    <n v="0.28000000000000003"/>
    <x v="1"/>
    <n v="246.99600000000001"/>
  </r>
  <r>
    <s v="SALE619"/>
    <d v="2024-12-16T00:00:00"/>
    <s v="CUST1066"/>
    <s v="Cody Diaz"/>
    <s v="PROD94"/>
    <s v="Beauty"/>
    <s v="STORE4"/>
    <n v="1"/>
    <n v="373.06"/>
    <n v="0.11"/>
    <x v="1"/>
    <n v="332.02339999999998"/>
  </r>
  <r>
    <s v="SALE620"/>
    <d v="2025-02-05T00:00:00"/>
    <s v="CUST1411"/>
    <s v="Katrina Perez"/>
    <s v="PROD18"/>
    <s v="Clothing"/>
    <s v="STORE15"/>
    <n v="1"/>
    <n v="124.98"/>
    <n v="7.0000000000000007E-2"/>
    <x v="2"/>
    <n v="116.23139999999999"/>
  </r>
  <r>
    <s v="SALE621"/>
    <d v="2025-04-16T00:00:00"/>
    <s v="CUST1272"/>
    <s v="Adam Rowland"/>
    <s v="PROD81"/>
    <s v="Sports"/>
    <s v="STORE19"/>
    <n v="4"/>
    <n v="221.49"/>
    <n v="0.26"/>
    <x v="1"/>
    <n v="655.61040000000003"/>
  </r>
  <r>
    <s v="SALE622"/>
    <d v="2024-10-07T00:00:00"/>
    <s v="CUST1170"/>
    <s v="Christopher Garcia Dds"/>
    <s v="PROD83"/>
    <s v="Beauty"/>
    <s v="STORE15"/>
    <n v="1"/>
    <n v="563.32000000000005"/>
    <n v="0.01"/>
    <x v="1"/>
    <n v="557.68680000000006"/>
  </r>
  <r>
    <s v="SALE623"/>
    <d v="2024-02-16T00:00:00"/>
    <s v="CUST1390"/>
    <s v="Daniel Bell"/>
    <s v="PROD11"/>
    <s v="Electronics"/>
    <s v="STORE0"/>
    <n v="1"/>
    <n v="362.93"/>
    <n v="0.27"/>
    <x v="0"/>
    <n v="264.93889999999999"/>
  </r>
  <r>
    <s v="SALE624"/>
    <d v="2024-03-22T00:00:00"/>
    <s v="CUST1336"/>
    <s v="John Jones"/>
    <s v="PROD11"/>
    <s v="Electronics"/>
    <s v="STORE15"/>
    <n v="4"/>
    <n v="369.22"/>
    <n v="0.18"/>
    <x v="2"/>
    <n v="1211.0416"/>
  </r>
  <r>
    <s v="SALE625"/>
    <d v="2024-10-25T00:00:00"/>
    <s v="CUST1410"/>
    <s v="Jackie Thompson"/>
    <s v="PROD96"/>
    <s v="Clothing"/>
    <s v="STORE14"/>
    <n v="3"/>
    <n v="950.83"/>
    <n v="0.06"/>
    <x v="1"/>
    <n v="2681.3406"/>
  </r>
  <r>
    <s v="SALE626"/>
    <d v="2024-03-14T00:00:00"/>
    <s v="CUST1143"/>
    <s v="Carlos Skinner"/>
    <s v="PROD17"/>
    <s v="Sports"/>
    <s v="STORE13"/>
    <n v="3"/>
    <n v="338.79"/>
    <n v="0.01"/>
    <x v="0"/>
    <n v="1006.2063000000001"/>
  </r>
  <r>
    <s v="SALE627"/>
    <d v="2025-02-23T00:00:00"/>
    <s v="CUST1146"/>
    <s v="Edward Rivera"/>
    <s v="PROD25"/>
    <s v="Clothing"/>
    <s v="STORE1"/>
    <n v="3"/>
    <n v="853.32"/>
    <n v="7.0000000000000007E-2"/>
    <x v="2"/>
    <n v="2380.7628"/>
  </r>
  <r>
    <s v="SALE628"/>
    <d v="2024-10-21T00:00:00"/>
    <s v="CUST1149"/>
    <s v="Denise Griffin"/>
    <s v="PROD90"/>
    <s v="Electronics"/>
    <s v="STORE6"/>
    <n v="3"/>
    <n v="89.78"/>
    <n v="0.2"/>
    <x v="2"/>
    <n v="215.47200000000001"/>
  </r>
  <r>
    <s v="SALE629"/>
    <d v="2024-02-12T00:00:00"/>
    <s v="CUST1191"/>
    <s v="Todd Poole"/>
    <s v="PROD17"/>
    <s v="Sports"/>
    <s v="STORE1"/>
    <n v="1"/>
    <n v="172.04"/>
    <n v="0.04"/>
    <x v="1"/>
    <n v="165.1584"/>
  </r>
  <r>
    <s v="SALE630"/>
    <d v="2024-02-11T00:00:00"/>
    <s v="CUST1467"/>
    <s v="Michael Foley"/>
    <s v="PROD74"/>
    <s v="Electronics"/>
    <s v="STORE1"/>
    <n v="1"/>
    <n v="389.2"/>
    <n v="0.05"/>
    <x v="0"/>
    <n v="369.74"/>
  </r>
  <r>
    <s v="SALE631"/>
    <d v="2025-05-01T00:00:00"/>
    <s v="CUST1461"/>
    <s v="Paul Cox"/>
    <s v="PROD65"/>
    <s v="Sports"/>
    <s v="STORE13"/>
    <n v="3"/>
    <n v="865.96"/>
    <n v="0.12"/>
    <x v="1"/>
    <n v="2286.1343999999999"/>
  </r>
  <r>
    <s v="SALE632"/>
    <d v="2024-10-27T00:00:00"/>
    <s v="CUST1169"/>
    <s v="Steve Mclaughlin"/>
    <s v="PROD17"/>
    <s v="Sports"/>
    <s v="STORE1"/>
    <n v="3"/>
    <n v="79.95"/>
    <n v="0.2"/>
    <x v="2"/>
    <n v="191.88"/>
  </r>
  <r>
    <s v="SALE633"/>
    <d v="2023-11-29T00:00:00"/>
    <s v="CUST1381"/>
    <s v="Erika Padilla"/>
    <s v="PROD5"/>
    <s v="Clothing"/>
    <s v="STORE7"/>
    <n v="1"/>
    <n v="566.5"/>
    <n v="0.25"/>
    <x v="2"/>
    <n v="424.875"/>
  </r>
  <r>
    <s v="SALE634"/>
    <d v="2025-05-24T00:00:00"/>
    <s v="CUST1402"/>
    <s v="Cassandra Perez"/>
    <s v="PROD21"/>
    <s v="Home"/>
    <s v="STORE0"/>
    <n v="2"/>
    <n v="347.95"/>
    <n v="0.13"/>
    <x v="2"/>
    <n v="605.43299999999999"/>
  </r>
  <r>
    <s v="SALE635"/>
    <d v="2024-02-25T00:00:00"/>
    <s v="CUST1209"/>
    <s v="Joan Johnson"/>
    <s v="PROD42"/>
    <s v="Electronics"/>
    <s v="STORE3"/>
    <n v="2"/>
    <n v="250.83"/>
    <n v="0.15"/>
    <x v="1"/>
    <n v="426.411"/>
  </r>
  <r>
    <s v="SALE636"/>
    <d v="2025-03-05T00:00:00"/>
    <s v="CUST1149"/>
    <s v="Denise Griffin"/>
    <s v="PROD90"/>
    <s v="Electronics"/>
    <s v="STORE1"/>
    <n v="1"/>
    <n v="888.05"/>
    <n v="0.2"/>
    <x v="1"/>
    <n v="710.44"/>
  </r>
  <r>
    <s v="SALE637"/>
    <d v="2024-08-27T00:00:00"/>
    <s v="CUST1006"/>
    <s v="Amber Jackson"/>
    <s v="PROD93"/>
    <s v="Electronics"/>
    <s v="STORE18"/>
    <n v="2"/>
    <n v="673.02"/>
    <n v="0.11"/>
    <x v="1"/>
    <n v="1197.9756"/>
  </r>
  <r>
    <s v="SALE638"/>
    <d v="2024-02-10T00:00:00"/>
    <s v="CUST1440"/>
    <s v="Tammy Trevino"/>
    <s v="PROD64"/>
    <s v="Beauty"/>
    <s v="STORE3"/>
    <n v="2"/>
    <n v="492.62"/>
    <n v="0.26"/>
    <x v="2"/>
    <n v="729.07759999999996"/>
  </r>
  <r>
    <s v="SALE639"/>
    <d v="2024-02-22T00:00:00"/>
    <s v="CUST1376"/>
    <s v="Michele Burke"/>
    <s v="PROD85"/>
    <s v="Clothing"/>
    <s v="STORE3"/>
    <n v="4"/>
    <n v="986.93"/>
    <n v="0.01"/>
    <x v="0"/>
    <n v="3908.2428"/>
  </r>
  <r>
    <s v="SALE640"/>
    <d v="2024-04-06T00:00:00"/>
    <s v="CUST1479"/>
    <s v="Dylan Gutierrez"/>
    <s v="PROD74"/>
    <s v="Electronics"/>
    <s v="STORE12"/>
    <n v="4"/>
    <n v="411.68"/>
    <n v="0.06"/>
    <x v="1"/>
    <n v="1547.9168"/>
  </r>
  <r>
    <s v="SALE641"/>
    <d v="2024-04-15T00:00:00"/>
    <s v="CUST1219"/>
    <s v="Jordan Wells"/>
    <s v="PROD37"/>
    <s v="Clothing"/>
    <s v="STORE17"/>
    <n v="2"/>
    <n v="637.55999999999995"/>
    <n v="0.05"/>
    <x v="2"/>
    <n v="1211.364"/>
  </r>
  <r>
    <s v="SALE642"/>
    <d v="2024-12-07T00:00:00"/>
    <s v="CUST1014"/>
    <s v="Ashley Cohen"/>
    <s v="PROD26"/>
    <s v="Electronics"/>
    <s v="STORE3"/>
    <n v="3"/>
    <n v="706.87"/>
    <n v="0.27"/>
    <x v="0"/>
    <n v="1548.0453"/>
  </r>
  <r>
    <s v="SALE643"/>
    <d v="2024-12-03T00:00:00"/>
    <s v="CUST1055"/>
    <s v="Wayne Mcpherson"/>
    <s v="PROD15"/>
    <s v="Electronics"/>
    <s v="STORE6"/>
    <n v="2"/>
    <n v="884.48"/>
    <n v="0"/>
    <x v="2"/>
    <n v="1768.96"/>
  </r>
  <r>
    <s v="SALE644"/>
    <d v="2023-12-31T00:00:00"/>
    <s v="CUST1047"/>
    <s v="Gina Knight"/>
    <s v="PROD64"/>
    <s v="Beauty"/>
    <s v="STORE4"/>
    <n v="3"/>
    <n v="718.23"/>
    <n v="0.19"/>
    <x v="1"/>
    <n v="1745.2989"/>
  </r>
  <r>
    <s v="SALE645"/>
    <d v="2025-09-14T00:00:00"/>
    <s v="CUST1180"/>
    <s v="Wesley Thompson"/>
    <s v="PROD90"/>
    <s v="Electronics"/>
    <s v="STORE18"/>
    <n v="3"/>
    <n v="107.44"/>
    <n v="0.27"/>
    <x v="1"/>
    <n v="235.2936"/>
  </r>
  <r>
    <s v="SALE646"/>
    <d v="2025-01-16T00:00:00"/>
    <s v="CUST1056"/>
    <s v="Christopher Sutton"/>
    <s v="PROD49"/>
    <s v="Beauty"/>
    <s v="STORE3"/>
    <n v="4"/>
    <n v="608.97"/>
    <n v="0.14000000000000001"/>
    <x v="2"/>
    <n v="2094.8568"/>
  </r>
  <r>
    <s v="SALE647"/>
    <d v="2025-02-01T00:00:00"/>
    <s v="CUST1354"/>
    <s v="Ryan Torres"/>
    <s v="PROD61"/>
    <s v="Sports"/>
    <s v="STORE6"/>
    <n v="3"/>
    <n v="260.45999999999998"/>
    <n v="0.09"/>
    <x v="0"/>
    <n v="711.05579999999986"/>
  </r>
  <r>
    <s v="SALE648"/>
    <d v="2024-12-20T00:00:00"/>
    <s v="CUST1123"/>
    <s v="Erin Hopkins"/>
    <s v="PROD12"/>
    <s v="Beauty"/>
    <s v="STORE6"/>
    <n v="1"/>
    <n v="747.03"/>
    <n v="0.01"/>
    <x v="0"/>
    <n v="739.55970000000002"/>
  </r>
  <r>
    <s v="SALE649"/>
    <d v="2024-07-02T00:00:00"/>
    <s v="CUST1404"/>
    <s v="David Ross"/>
    <s v="PROD23"/>
    <s v="Clothing"/>
    <s v="STORE8"/>
    <n v="4"/>
    <n v="700.88"/>
    <n v="0.23"/>
    <x v="1"/>
    <n v="2158.7103999999999"/>
  </r>
  <r>
    <s v="SALE650"/>
    <d v="2025-05-04T00:00:00"/>
    <s v="CUST1048"/>
    <s v="April Mullins"/>
    <s v="PROD95"/>
    <s v="Sports"/>
    <s v="STORE14"/>
    <n v="4"/>
    <n v="20.09"/>
    <n v="0.16"/>
    <x v="1"/>
    <n v="67.502399999999994"/>
  </r>
  <r>
    <s v="SALE651"/>
    <d v="2024-12-28T00:00:00"/>
    <s v="CUST1062"/>
    <s v="James Bean"/>
    <s v="PROD84"/>
    <s v="Home"/>
    <s v="STORE11"/>
    <n v="3"/>
    <n v="917.64"/>
    <n v="0.24"/>
    <x v="1"/>
    <n v="2092.2192"/>
  </r>
  <r>
    <s v="SALE652"/>
    <d v="2024-10-29T00:00:00"/>
    <s v="CUST1051"/>
    <s v="Sarah Rodgers"/>
    <s v="PROD21"/>
    <s v="Home"/>
    <s v="STORE0"/>
    <n v="1"/>
    <n v="242.08"/>
    <n v="0.18"/>
    <x v="1"/>
    <n v="198.50559999999999"/>
  </r>
  <r>
    <s v="SALE653"/>
    <d v="2024-10-16T00:00:00"/>
    <s v="CUST1057"/>
    <s v="Jay Patel"/>
    <s v="PROD38"/>
    <s v="Sports"/>
    <s v="STORE7"/>
    <n v="1"/>
    <n v="536.67999999999995"/>
    <n v="0.27"/>
    <x v="0"/>
    <n v="391.77640000000002"/>
  </r>
  <r>
    <s v="SALE654"/>
    <d v="2025-04-01T00:00:00"/>
    <s v="CUST1094"/>
    <s v="David Patterson"/>
    <s v="PROD39"/>
    <s v="Electronics"/>
    <s v="STORE4"/>
    <n v="2"/>
    <n v="145.18"/>
    <n v="0.26"/>
    <x v="1"/>
    <n v="214.8664"/>
  </r>
  <r>
    <s v="SALE655"/>
    <d v="2024-03-18T00:00:00"/>
    <s v="CUST1221"/>
    <s v="Lisa Young"/>
    <s v="PROD83"/>
    <s v="Beauty"/>
    <s v="STORE4"/>
    <n v="2"/>
    <n v="132.77000000000001"/>
    <n v="0.13"/>
    <x v="2"/>
    <n v="231.0198"/>
  </r>
  <r>
    <s v="SALE656"/>
    <d v="2025-02-13T00:00:00"/>
    <s v="CUST1013"/>
    <s v="Nathan Hernandez"/>
    <s v="PROD24"/>
    <s v="Sports"/>
    <s v="STORE9"/>
    <n v="4"/>
    <n v="682.11"/>
    <n v="0.14000000000000001"/>
    <x v="0"/>
    <n v="2346.4584"/>
  </r>
  <r>
    <s v="SALE657"/>
    <d v="2024-08-06T00:00:00"/>
    <s v="CUST1486"/>
    <s v="Eric Lee"/>
    <s v="PROD40"/>
    <s v="Electronics"/>
    <s v="STORE17"/>
    <n v="4"/>
    <n v="502.95"/>
    <n v="0.14000000000000001"/>
    <x v="2"/>
    <n v="1730.1479999999999"/>
  </r>
  <r>
    <s v="SALE658"/>
    <d v="2024-09-03T00:00:00"/>
    <s v="CUST1234"/>
    <s v="Nathaniel Hill"/>
    <s v="PROD98"/>
    <s v="Electronics"/>
    <s v="STORE16"/>
    <n v="2"/>
    <n v="472.08"/>
    <n v="7.0000000000000007E-2"/>
    <x v="0"/>
    <n v="878.0687999999999"/>
  </r>
  <r>
    <s v="SALE659"/>
    <d v="2025-01-08T00:00:00"/>
    <s v="CUST1473"/>
    <s v="Laura Mathews"/>
    <s v="PROD50"/>
    <s v="Sports"/>
    <s v="STORE17"/>
    <n v="2"/>
    <n v="218.11"/>
    <n v="0.02"/>
    <x v="2"/>
    <n v="427.49560000000002"/>
  </r>
  <r>
    <s v="SALE660"/>
    <d v="2025-07-21T00:00:00"/>
    <s v="CUST1057"/>
    <s v="Jay Patel"/>
    <s v="PROD38"/>
    <s v="Sports"/>
    <s v="STORE6"/>
    <n v="4"/>
    <n v="845.58"/>
    <n v="0.06"/>
    <x v="1"/>
    <n v="3179.3807999999999"/>
  </r>
  <r>
    <s v="SALE661"/>
    <d v="2023-11-25T00:00:00"/>
    <s v="CUST1128"/>
    <s v="Susan Mcdonald"/>
    <s v="PROD25"/>
    <s v="Clothing"/>
    <s v="STORE2"/>
    <n v="2"/>
    <n v="111.28"/>
    <n v="0.14000000000000001"/>
    <x v="0"/>
    <n v="191.4016"/>
  </r>
  <r>
    <s v="SALE662"/>
    <d v="2025-07-04T00:00:00"/>
    <s v="CUST1177"/>
    <s v="Curtis Lam"/>
    <s v="PROD59"/>
    <s v="Beauty"/>
    <s v="STORE14"/>
    <n v="2"/>
    <n v="37.21"/>
    <n v="0.19"/>
    <x v="0"/>
    <n v="60.280200000000008"/>
  </r>
  <r>
    <s v="SALE663"/>
    <d v="2023-10-21T00:00:00"/>
    <s v="CUST1417"/>
    <s v="Karen King"/>
    <s v="PROD97"/>
    <s v="Sports"/>
    <s v="STORE13"/>
    <n v="1"/>
    <n v="331.73"/>
    <n v="0.04"/>
    <x v="0"/>
    <n v="318.46080000000001"/>
  </r>
  <r>
    <s v="SALE664"/>
    <d v="2023-12-13T00:00:00"/>
    <s v="CUST1364"/>
    <s v="Chloe Aguilar"/>
    <s v="PROD65"/>
    <s v="Sports"/>
    <s v="STORE12"/>
    <n v="3"/>
    <n v="306.70999999999998"/>
    <n v="0.09"/>
    <x v="1"/>
    <n v="837.31829999999991"/>
  </r>
  <r>
    <s v="SALE665"/>
    <d v="2024-06-13T00:00:00"/>
    <s v="CUST1270"/>
    <s v="Brian Garcia"/>
    <s v="PROD19"/>
    <s v="Sports"/>
    <s v="STORE6"/>
    <n v="4"/>
    <n v="484.92"/>
    <n v="0.28000000000000003"/>
    <x v="1"/>
    <n v="1396.5696"/>
  </r>
  <r>
    <s v="SALE666"/>
    <d v="2024-01-01T00:00:00"/>
    <s v="CUST1043"/>
    <s v="Joseph Snow"/>
    <s v="PROD39"/>
    <s v="Electronics"/>
    <s v="STORE5"/>
    <n v="2"/>
    <n v="42.04"/>
    <n v="7.0000000000000007E-2"/>
    <x v="0"/>
    <n v="78.194399999999987"/>
  </r>
  <r>
    <s v="SALE667"/>
    <d v="2023-12-18T00:00:00"/>
    <s v="CUST1281"/>
    <s v="Brittany Watson"/>
    <s v="PROD55"/>
    <s v="Home"/>
    <s v="STORE6"/>
    <n v="3"/>
    <n v="599.48"/>
    <n v="0.22"/>
    <x v="1"/>
    <n v="1402.7832000000001"/>
  </r>
  <r>
    <s v="SALE668"/>
    <d v="2023-11-02T00:00:00"/>
    <s v="CUST1357"/>
    <s v="Manuel Castillo"/>
    <s v="PROD17"/>
    <s v="Sports"/>
    <s v="STORE1"/>
    <n v="3"/>
    <n v="401.42"/>
    <n v="0.01"/>
    <x v="2"/>
    <n v="1192.2174"/>
  </r>
  <r>
    <s v="SALE669"/>
    <d v="2025-09-07T00:00:00"/>
    <s v="CUST1192"/>
    <s v="Jacob Wood"/>
    <s v="PROD46"/>
    <s v="Clothing"/>
    <s v="STORE8"/>
    <n v="4"/>
    <n v="442.54"/>
    <n v="0.06"/>
    <x v="0"/>
    <n v="1663.9503999999999"/>
  </r>
  <r>
    <s v="SALE670"/>
    <d v="2023-12-10T00:00:00"/>
    <s v="CUST1456"/>
    <s v="Julie Powell"/>
    <s v="PROD88"/>
    <s v="Sports"/>
    <s v="STORE13"/>
    <n v="4"/>
    <n v="451.41"/>
    <n v="0.06"/>
    <x v="1"/>
    <n v="1697.3016"/>
  </r>
  <r>
    <s v="SALE671"/>
    <d v="2025-10-12T00:00:00"/>
    <s v="CUST1265"/>
    <s v="Tracy Kelly"/>
    <s v="PROD87"/>
    <s v="Home"/>
    <s v="STORE9"/>
    <n v="4"/>
    <n v="547.21"/>
    <n v="0.25"/>
    <x v="0"/>
    <n v="1641.63"/>
  </r>
  <r>
    <s v="SALE672"/>
    <d v="2025-04-03T00:00:00"/>
    <s v="CUST1203"/>
    <s v="Sarah Brady"/>
    <s v="PROD43"/>
    <s v="Electronics"/>
    <s v="STORE4"/>
    <n v="1"/>
    <n v="979.28"/>
    <n v="0.2"/>
    <x v="1"/>
    <n v="783.42399999999998"/>
  </r>
  <r>
    <s v="SALE673"/>
    <d v="2024-01-09T00:00:00"/>
    <s v="CUST1464"/>
    <s v="David Pierce"/>
    <s v="PROD33"/>
    <s v="Home"/>
    <s v="STORE7"/>
    <n v="4"/>
    <n v="263.58999999999997"/>
    <n v="0.04"/>
    <x v="0"/>
    <n v="1012.1856"/>
  </r>
  <r>
    <s v="SALE674"/>
    <d v="2025-08-07T00:00:00"/>
    <s v="CUST1002"/>
    <s v="Dr. Benjamin Price"/>
    <s v="PROD79"/>
    <s v="Home"/>
    <s v="STORE5"/>
    <n v="1"/>
    <n v="692.75"/>
    <n v="0.11"/>
    <x v="2"/>
    <n v="616.54750000000001"/>
  </r>
  <r>
    <s v="SALE675"/>
    <d v="2024-01-10T00:00:00"/>
    <s v="CUST1163"/>
    <s v="Joseph Jones"/>
    <s v="PROD97"/>
    <s v="Sports"/>
    <s v="STORE3"/>
    <n v="3"/>
    <n v="142.83000000000001"/>
    <n v="0.01"/>
    <x v="0"/>
    <n v="424.20510000000002"/>
  </r>
  <r>
    <s v="SALE676"/>
    <d v="2025-07-19T00:00:00"/>
    <s v="CUST1124"/>
    <s v="Donald Lee"/>
    <s v="PROD22"/>
    <s v="Sports"/>
    <s v="STORE2"/>
    <n v="2"/>
    <n v="419.25"/>
    <n v="0.17"/>
    <x v="1"/>
    <n v="695.95499999999993"/>
  </r>
  <r>
    <s v="SALE677"/>
    <d v="2024-12-24T00:00:00"/>
    <s v="CUST1240"/>
    <s v="William Hull"/>
    <s v="PROD92"/>
    <s v="Home"/>
    <s v="STORE19"/>
    <n v="2"/>
    <n v="800.84"/>
    <n v="0.27"/>
    <x v="2"/>
    <n v="1169.2264"/>
  </r>
  <r>
    <s v="SALE678"/>
    <d v="2024-08-16T00:00:00"/>
    <s v="CUST1001"/>
    <s v="Eugene Nelson"/>
    <s v="PROD51"/>
    <s v="Electronics"/>
    <s v="STORE2"/>
    <n v="1"/>
    <n v="301.24"/>
    <n v="0.11"/>
    <x v="1"/>
    <n v="268.10359999999997"/>
  </r>
  <r>
    <s v="SALE679"/>
    <d v="2024-07-24T00:00:00"/>
    <s v="CUST1288"/>
    <s v="Misty Ferguson"/>
    <s v="PROD3"/>
    <s v="Clothing"/>
    <s v="STORE5"/>
    <n v="2"/>
    <n v="701.49"/>
    <n v="0.09"/>
    <x v="1"/>
    <n v="1276.7118"/>
  </r>
  <r>
    <s v="SALE680"/>
    <d v="2024-11-19T00:00:00"/>
    <s v="CUST1351"/>
    <s v="Jeffrey Mccarthy"/>
    <s v="PROD26"/>
    <s v="Electronics"/>
    <s v="STORE10"/>
    <n v="4"/>
    <n v="413.48"/>
    <n v="0.02"/>
    <x v="1"/>
    <n v="1620.8416"/>
  </r>
  <r>
    <s v="SALE681"/>
    <d v="2024-03-14T00:00:00"/>
    <s v="CUST1197"/>
    <s v="Andrea Jacobs"/>
    <s v="PROD37"/>
    <s v="Clothing"/>
    <s v="STORE1"/>
    <n v="4"/>
    <n v="167.83"/>
    <n v="0.15"/>
    <x v="0"/>
    <n v="570.62200000000007"/>
  </r>
  <r>
    <s v="SALE682"/>
    <d v="2025-06-24T00:00:00"/>
    <s v="CUST1139"/>
    <s v="Brian Holder"/>
    <s v="PROD15"/>
    <s v="Electronics"/>
    <s v="STORE18"/>
    <n v="2"/>
    <n v="669.12"/>
    <n v="0.22"/>
    <x v="0"/>
    <n v="1043.8271999999999"/>
  </r>
  <r>
    <s v="SALE683"/>
    <d v="2024-08-26T00:00:00"/>
    <s v="CUST1039"/>
    <s v="Tonya Reynolds"/>
    <s v="PROD74"/>
    <s v="Electronics"/>
    <s v="STORE7"/>
    <n v="3"/>
    <n v="346.77"/>
    <n v="0.18"/>
    <x v="1"/>
    <n v="853.05420000000004"/>
  </r>
  <r>
    <s v="SALE684"/>
    <d v="2025-10-09T00:00:00"/>
    <s v="CUST1059"/>
    <s v="Alyssa Vargas"/>
    <s v="PROD94"/>
    <s v="Beauty"/>
    <s v="STORE19"/>
    <n v="3"/>
    <n v="648.33000000000004"/>
    <n v="0.2"/>
    <x v="2"/>
    <n v="1555.992"/>
  </r>
  <r>
    <s v="SALE685"/>
    <d v="2024-04-19T00:00:00"/>
    <s v="CUST1285"/>
    <s v="Donna Guerra"/>
    <s v="PROD6"/>
    <s v="Beauty"/>
    <s v="STORE2"/>
    <n v="4"/>
    <n v="254.94"/>
    <n v="0.06"/>
    <x v="1"/>
    <n v="958.57439999999997"/>
  </r>
  <r>
    <s v="SALE686"/>
    <d v="2024-05-08T00:00:00"/>
    <s v="CUST1338"/>
    <s v="Jasmine Snyder"/>
    <s v="PROD86"/>
    <s v="Home"/>
    <s v="STORE4"/>
    <n v="1"/>
    <n v="445.5"/>
    <n v="0.28000000000000003"/>
    <x v="0"/>
    <n v="320.76"/>
  </r>
  <r>
    <s v="SALE687"/>
    <d v="2024-06-16T00:00:00"/>
    <s v="CUST1221"/>
    <s v="Lisa Young"/>
    <s v="PROD83"/>
    <s v="Beauty"/>
    <s v="STORE4"/>
    <n v="1"/>
    <n v="900.94"/>
    <n v="0.1"/>
    <x v="0"/>
    <n v="810.84600000000012"/>
  </r>
  <r>
    <s v="SALE688"/>
    <d v="2024-05-17T00:00:00"/>
    <s v="CUST1196"/>
    <s v="Megan Greer"/>
    <s v="PROD15"/>
    <s v="Electronics"/>
    <s v="STORE16"/>
    <n v="3"/>
    <n v="262.69"/>
    <n v="0.04"/>
    <x v="1"/>
    <n v="756.54719999999986"/>
  </r>
  <r>
    <s v="SALE689"/>
    <d v="2024-04-04T00:00:00"/>
    <s v="CUST1482"/>
    <s v="Sheri Joyce"/>
    <s v="PROD68"/>
    <s v="Home"/>
    <s v="STORE2"/>
    <n v="3"/>
    <n v="212.72"/>
    <n v="0.22"/>
    <x v="1"/>
    <n v="497.76479999999998"/>
  </r>
  <r>
    <s v="SALE690"/>
    <d v="2025-05-26T00:00:00"/>
    <s v="CUST1151"/>
    <s v="Michael Davies"/>
    <s v="PROD24"/>
    <s v="Sports"/>
    <s v="STORE18"/>
    <n v="4"/>
    <n v="757.9"/>
    <n v="0.22"/>
    <x v="1"/>
    <n v="2364.6480000000001"/>
  </r>
  <r>
    <s v="SALE691"/>
    <d v="2024-02-24T00:00:00"/>
    <s v="CUST1017"/>
    <s v="Adam Cruz"/>
    <s v="PROD41"/>
    <s v="Sports"/>
    <s v="STORE17"/>
    <n v="1"/>
    <n v="846.04"/>
    <n v="0.08"/>
    <x v="1"/>
    <n v="778.35680000000002"/>
  </r>
  <r>
    <s v="SALE692"/>
    <d v="2023-12-07T00:00:00"/>
    <s v="CUST1159"/>
    <s v="Brian Choi"/>
    <s v="PROD69"/>
    <s v="Clothing"/>
    <s v="STORE7"/>
    <n v="3"/>
    <n v="179.7"/>
    <n v="0.17"/>
    <x v="2"/>
    <n v="447.45299999999992"/>
  </r>
  <r>
    <s v="SALE693"/>
    <d v="2024-10-07T00:00:00"/>
    <s v="CUST1446"/>
    <s v="Shannon Turner"/>
    <s v="PROD31"/>
    <s v="Sports"/>
    <s v="STORE4"/>
    <n v="4"/>
    <n v="681.08"/>
    <n v="0"/>
    <x v="1"/>
    <n v="2724.32"/>
  </r>
  <r>
    <s v="SALE694"/>
    <d v="2023-11-22T00:00:00"/>
    <s v="CUST1403"/>
    <s v="Justin Ingram"/>
    <s v="PROD17"/>
    <s v="Sports"/>
    <s v="STORE7"/>
    <n v="4"/>
    <n v="723.44"/>
    <n v="0.14000000000000001"/>
    <x v="1"/>
    <n v="2488.6336000000001"/>
  </r>
  <r>
    <s v="SALE695"/>
    <d v="2025-10-09T00:00:00"/>
    <s v="CUST1126"/>
    <s v="James Wolfe"/>
    <s v="PROD89"/>
    <s v="Beauty"/>
    <s v="STORE14"/>
    <n v="4"/>
    <n v="471.89"/>
    <n v="0.12"/>
    <x v="2"/>
    <n v="1661.0527999999999"/>
  </r>
  <r>
    <s v="SALE696"/>
    <d v="2024-09-24T00:00:00"/>
    <s v="CUST1366"/>
    <s v="Mallory Allen"/>
    <s v="PROD73"/>
    <s v="Sports"/>
    <s v="STORE17"/>
    <n v="1"/>
    <n v="613.17999999999995"/>
    <n v="0.14000000000000001"/>
    <x v="2"/>
    <n v="527.33479999999997"/>
  </r>
  <r>
    <s v="SALE697"/>
    <d v="2023-10-30T00:00:00"/>
    <s v="CUST1051"/>
    <s v="Sarah Rodgers"/>
    <s v="PROD21"/>
    <s v="Home"/>
    <s v="STORE4"/>
    <n v="1"/>
    <n v="651.30999999999995"/>
    <n v="0.24"/>
    <x v="1"/>
    <n v="494.99560000000002"/>
  </r>
  <r>
    <s v="SALE698"/>
    <d v="2024-02-11T00:00:00"/>
    <s v="CUST1024"/>
    <s v="Heather Collins"/>
    <s v="PROD3"/>
    <s v="Clothing"/>
    <s v="STORE6"/>
    <n v="2"/>
    <n v="635.14"/>
    <n v="0.1"/>
    <x v="2"/>
    <n v="1143.252"/>
  </r>
  <r>
    <s v="SALE699"/>
    <d v="2025-04-05T00:00:00"/>
    <s v="CUST1380"/>
    <s v="Shelley Ponce"/>
    <s v="PROD98"/>
    <s v="Electronics"/>
    <s v="STORE14"/>
    <n v="4"/>
    <n v="912.61"/>
    <n v="0.14000000000000001"/>
    <x v="0"/>
    <n v="3139.3784000000001"/>
  </r>
  <r>
    <s v="SALE700"/>
    <d v="2025-05-18T00:00:00"/>
    <s v="CUST1274"/>
    <s v="Sarah Lane"/>
    <s v="PROD47"/>
    <s v="Beauty"/>
    <s v="STORE7"/>
    <n v="3"/>
    <n v="79.77"/>
    <n v="0.09"/>
    <x v="0"/>
    <n v="217.77209999999999"/>
  </r>
  <r>
    <s v="SALE701"/>
    <d v="2025-04-08T00:00:00"/>
    <s v="CUST1277"/>
    <s v="Jeffrey Gomez"/>
    <s v="PROD93"/>
    <s v="Electronics"/>
    <s v="STORE15"/>
    <n v="4"/>
    <n v="603.52"/>
    <n v="0.25"/>
    <x v="0"/>
    <n v="1810.56"/>
  </r>
  <r>
    <s v="SALE702"/>
    <d v="2024-11-29T00:00:00"/>
    <s v="CUST1077"/>
    <s v="Katherine Young"/>
    <s v="PROD21"/>
    <s v="Home"/>
    <s v="STORE12"/>
    <n v="4"/>
    <n v="453.12"/>
    <n v="0.23"/>
    <x v="2"/>
    <n v="1395.6096"/>
  </r>
  <r>
    <s v="SALE703"/>
    <d v="2024-12-30T00:00:00"/>
    <s v="CUST1497"/>
    <s v="Sarah Marsh"/>
    <s v="PROD33"/>
    <s v="Home"/>
    <s v="STORE9"/>
    <n v="2"/>
    <n v="974.35"/>
    <n v="0.15"/>
    <x v="0"/>
    <n v="1656.395"/>
  </r>
  <r>
    <s v="SALE704"/>
    <d v="2025-06-16T00:00:00"/>
    <s v="CUST1476"/>
    <s v="Elizabeth Foster"/>
    <s v="PROD69"/>
    <s v="Clothing"/>
    <s v="STORE17"/>
    <n v="4"/>
    <n v="52.35"/>
    <n v="0.23"/>
    <x v="2"/>
    <n v="161.238"/>
  </r>
  <r>
    <s v="SALE705"/>
    <d v="2025-06-16T00:00:00"/>
    <s v="CUST1370"/>
    <s v="James Holloway Jr."/>
    <s v="PROD37"/>
    <s v="Clothing"/>
    <s v="STORE17"/>
    <n v="3"/>
    <n v="681.58"/>
    <n v="0.23"/>
    <x v="0"/>
    <n v="1574.4498000000001"/>
  </r>
  <r>
    <s v="SALE706"/>
    <d v="2024-04-02T00:00:00"/>
    <s v="CUST1177"/>
    <s v="Curtis Lam"/>
    <s v="PROD59"/>
    <s v="Beauty"/>
    <s v="STORE15"/>
    <n v="3"/>
    <n v="71.23"/>
    <n v="0.03"/>
    <x v="0"/>
    <n v="207.27930000000001"/>
  </r>
  <r>
    <s v="SALE707"/>
    <d v="2024-03-28T00:00:00"/>
    <s v="CUST1241"/>
    <s v="Mr. William Horton"/>
    <s v="PROD15"/>
    <s v="Electronics"/>
    <s v="STORE14"/>
    <n v="1"/>
    <n v="31.36"/>
    <n v="0.21"/>
    <x v="2"/>
    <n v="24.7744"/>
  </r>
  <r>
    <s v="SALE708"/>
    <d v="2025-01-17T00:00:00"/>
    <s v="CUST1341"/>
    <s v="Angela Williams"/>
    <s v="PROD41"/>
    <s v="Sports"/>
    <s v="STORE13"/>
    <n v="2"/>
    <n v="555.54999999999995"/>
    <n v="0.14000000000000001"/>
    <x v="0"/>
    <n v="955.54599999999994"/>
  </r>
  <r>
    <s v="SALE709"/>
    <d v="2025-04-13T00:00:00"/>
    <s v="CUST1251"/>
    <s v="Tyler Garner"/>
    <s v="PROD9"/>
    <s v="Sports"/>
    <s v="STORE16"/>
    <n v="4"/>
    <n v="805.99"/>
    <n v="0.06"/>
    <x v="0"/>
    <n v="3030.5223999999998"/>
  </r>
  <r>
    <s v="SALE710"/>
    <d v="2024-07-01T00:00:00"/>
    <s v="CUST1388"/>
    <s v="Timothy Valenzuela"/>
    <s v="PROD82"/>
    <s v="Sports"/>
    <s v="STORE1"/>
    <n v="1"/>
    <n v="506.55"/>
    <n v="0.28000000000000003"/>
    <x v="0"/>
    <n v="364.71600000000001"/>
  </r>
  <r>
    <s v="SALE711"/>
    <d v="2024-12-14T00:00:00"/>
    <s v="CUST1130"/>
    <s v="Jamie Reyes"/>
    <s v="PROD41"/>
    <s v="Sports"/>
    <s v="STORE11"/>
    <n v="3"/>
    <n v="28.69"/>
    <n v="0.02"/>
    <x v="0"/>
    <n v="84.348600000000005"/>
  </r>
  <r>
    <s v="SALE712"/>
    <d v="2023-11-23T00:00:00"/>
    <s v="CUST1387"/>
    <s v="Timothy Gardner"/>
    <s v="PROD76"/>
    <s v="Electronics"/>
    <s v="STORE4"/>
    <n v="1"/>
    <n v="106.07"/>
    <n v="0.23"/>
    <x v="2"/>
    <n v="81.673900000000003"/>
  </r>
  <r>
    <s v="SALE713"/>
    <d v="2023-10-26T00:00:00"/>
    <s v="CUST1260"/>
    <s v="Russell Lamb"/>
    <s v="PROD84"/>
    <s v="Home"/>
    <s v="STORE0"/>
    <n v="4"/>
    <n v="289.77"/>
    <n v="0.06"/>
    <x v="1"/>
    <n v="1089.5352"/>
  </r>
  <r>
    <s v="SALE714"/>
    <d v="2023-12-03T00:00:00"/>
    <s v="CUST1156"/>
    <s v="Maria Sanchez"/>
    <s v="PROD49"/>
    <s v="Beauty"/>
    <s v="STORE18"/>
    <n v="2"/>
    <n v="354.26"/>
    <n v="0.01"/>
    <x v="2"/>
    <n v="701.4348"/>
  </r>
  <r>
    <s v="SALE715"/>
    <d v="2024-09-19T00:00:00"/>
    <s v="CUST1385"/>
    <s v="Tammy Brennan"/>
    <s v="PROD68"/>
    <s v="Home"/>
    <s v="STORE14"/>
    <n v="1"/>
    <n v="522.72"/>
    <n v="0.25"/>
    <x v="1"/>
    <n v="392.04"/>
  </r>
  <r>
    <s v="SALE716"/>
    <d v="2024-10-04T00:00:00"/>
    <s v="CUST1057"/>
    <s v="Jay Patel"/>
    <s v="PROD38"/>
    <s v="Sports"/>
    <s v="STORE9"/>
    <n v="3"/>
    <n v="966.02"/>
    <n v="0.03"/>
    <x v="2"/>
    <n v="2811.1181999999999"/>
  </r>
  <r>
    <s v="SALE717"/>
    <d v="2023-10-18T00:00:00"/>
    <s v="CUST1224"/>
    <s v="Anthony Morgan"/>
    <s v="PROD39"/>
    <s v="Electronics"/>
    <s v="STORE17"/>
    <n v="1"/>
    <n v="498.61"/>
    <n v="0.04"/>
    <x v="1"/>
    <n v="478.66559999999998"/>
  </r>
  <r>
    <s v="SALE718"/>
    <d v="2025-05-06T00:00:00"/>
    <s v="CUST1330"/>
    <s v="Pamela Mcguire"/>
    <s v="PROD42"/>
    <s v="Electronics"/>
    <s v="STORE6"/>
    <n v="4"/>
    <n v="758.27"/>
    <n v="0.05"/>
    <x v="1"/>
    <n v="2881.4259999999999"/>
  </r>
  <r>
    <s v="SALE719"/>
    <d v="2024-03-20T00:00:00"/>
    <s v="CUST1198"/>
    <s v="Wanda Snyder"/>
    <s v="PROD12"/>
    <s v="Beauty"/>
    <s v="STORE2"/>
    <n v="2"/>
    <n v="371.03"/>
    <n v="0.23"/>
    <x v="1"/>
    <n v="571.38619999999992"/>
  </r>
  <r>
    <s v="SALE720"/>
    <d v="2024-06-10T00:00:00"/>
    <s v="CUST1355"/>
    <s v="Carlos Flores"/>
    <s v="PROD91"/>
    <s v="Clothing"/>
    <s v="STORE17"/>
    <n v="1"/>
    <n v="230.32"/>
    <n v="0.05"/>
    <x v="2"/>
    <n v="218.804"/>
  </r>
  <r>
    <s v="SALE721"/>
    <d v="2024-08-22T00:00:00"/>
    <s v="CUST1342"/>
    <s v="Michelle Cunningham"/>
    <s v="PROD61"/>
    <s v="Sports"/>
    <s v="STORE6"/>
    <n v="2"/>
    <n v="985.43"/>
    <n v="0.28000000000000003"/>
    <x v="2"/>
    <n v="1419.0192"/>
  </r>
  <r>
    <s v="SALE722"/>
    <d v="2025-04-09T00:00:00"/>
    <s v="CUST1422"/>
    <s v="Brittany Edwards Dds"/>
    <s v="PROD49"/>
    <s v="Beauty"/>
    <s v="STORE4"/>
    <n v="2"/>
    <n v="492.5"/>
    <n v="0.3"/>
    <x v="1"/>
    <n v="689.5"/>
  </r>
  <r>
    <s v="SALE723"/>
    <d v="2024-12-31T00:00:00"/>
    <s v="CUST1364"/>
    <s v="Chloe Aguilar"/>
    <s v="PROD65"/>
    <s v="Sports"/>
    <s v="STORE11"/>
    <n v="2"/>
    <n v="213.69"/>
    <n v="0.28000000000000003"/>
    <x v="1"/>
    <n v="307.71359999999999"/>
  </r>
  <r>
    <s v="SALE724"/>
    <d v="2025-02-28T00:00:00"/>
    <s v="CUST1065"/>
    <s v="Michael Thomas"/>
    <s v="PROD24"/>
    <s v="Sports"/>
    <s v="STORE8"/>
    <n v="4"/>
    <n v="618.83000000000004"/>
    <n v="0.08"/>
    <x v="1"/>
    <n v="2277.2944000000002"/>
  </r>
  <r>
    <s v="SALE725"/>
    <d v="2024-01-22T00:00:00"/>
    <s v="CUST1093"/>
    <s v="Christy Vasquez"/>
    <s v="PROD5"/>
    <s v="Clothing"/>
    <s v="STORE11"/>
    <n v="2"/>
    <n v="81.16"/>
    <n v="0.16"/>
    <x v="1"/>
    <n v="136.34880000000001"/>
  </r>
  <r>
    <s v="SALE726"/>
    <d v="2024-03-21T00:00:00"/>
    <s v="CUST1002"/>
    <s v="Dr. Benjamin Price"/>
    <s v="PROD79"/>
    <s v="Home"/>
    <s v="STORE9"/>
    <n v="1"/>
    <n v="431.69"/>
    <n v="0.09"/>
    <x v="0"/>
    <n v="392.83789999999999"/>
  </r>
  <r>
    <s v="SALE727"/>
    <d v="2024-12-22T00:00:00"/>
    <s v="CUST1405"/>
    <s v="Eric Wolfe"/>
    <s v="PROD48"/>
    <s v="Electronics"/>
    <s v="STORE5"/>
    <n v="3"/>
    <n v="438.65"/>
    <n v="0.28999999999999998"/>
    <x v="1"/>
    <n v="934.32449999999983"/>
  </r>
  <r>
    <s v="SALE728"/>
    <d v="2024-04-02T00:00:00"/>
    <s v="CUST1172"/>
    <s v="Thomas Rhodes"/>
    <s v="PROD79"/>
    <s v="Home"/>
    <s v="STORE3"/>
    <n v="3"/>
    <n v="339.41"/>
    <n v="0.26"/>
    <x v="0"/>
    <n v="753.49019999999996"/>
  </r>
  <r>
    <s v="SALE729"/>
    <d v="2025-01-30T00:00:00"/>
    <s v="CUST1470"/>
    <s v="Manuel Fisher"/>
    <s v="PROD59"/>
    <s v="Beauty"/>
    <s v="STORE9"/>
    <n v="4"/>
    <n v="848.47"/>
    <n v="0.21"/>
    <x v="2"/>
    <n v="2681.1651999999999"/>
  </r>
  <r>
    <s v="SALE730"/>
    <d v="2025-03-31T00:00:00"/>
    <s v="CUST1192"/>
    <s v="Jacob Wood"/>
    <s v="PROD46"/>
    <s v="Clothing"/>
    <s v="STORE8"/>
    <n v="1"/>
    <n v="664.87"/>
    <n v="0.08"/>
    <x v="1"/>
    <n v="611.68040000000008"/>
  </r>
  <r>
    <s v="SALE731"/>
    <d v="2025-01-30T00:00:00"/>
    <s v="CUST1099"/>
    <s v="Sheila Wilson"/>
    <s v="PROD26"/>
    <s v="Electronics"/>
    <s v="STORE7"/>
    <n v="1"/>
    <n v="412.11"/>
    <n v="0.23"/>
    <x v="1"/>
    <n v="317.32470000000001"/>
  </r>
  <r>
    <s v="SALE732"/>
    <d v="2025-09-16T00:00:00"/>
    <s v="CUST1122"/>
    <s v="Michael Chang"/>
    <s v="PROD94"/>
    <s v="Beauty"/>
    <s v="STORE1"/>
    <n v="1"/>
    <n v="126.09"/>
    <n v="0.05"/>
    <x v="2"/>
    <n v="119.7855"/>
  </r>
  <r>
    <s v="SALE733"/>
    <d v="2025-09-17T00:00:00"/>
    <s v="CUST1198"/>
    <s v="Wanda Snyder"/>
    <s v="PROD12"/>
    <s v="Beauty"/>
    <s v="STORE10"/>
    <n v="4"/>
    <n v="602.39"/>
    <n v="0.19"/>
    <x v="2"/>
    <n v="1951.7436"/>
  </r>
  <r>
    <s v="SALE734"/>
    <d v="2025-10-11T00:00:00"/>
    <s v="CUST1325"/>
    <s v="Andrew Smith"/>
    <s v="PROD54"/>
    <s v="Sports"/>
    <s v="STORE3"/>
    <n v="3"/>
    <n v="447.69"/>
    <n v="0.02"/>
    <x v="2"/>
    <n v="1316.2085999999999"/>
  </r>
  <r>
    <s v="SALE735"/>
    <d v="2025-05-01T00:00:00"/>
    <s v="CUST1248"/>
    <s v="Nicholas Webb"/>
    <s v="PROD87"/>
    <s v="Home"/>
    <s v="STORE3"/>
    <n v="3"/>
    <n v="35.159999999999997"/>
    <n v="0.04"/>
    <x v="2"/>
    <n v="101.2608"/>
  </r>
  <r>
    <s v="SALE736"/>
    <d v="2025-03-24T00:00:00"/>
    <s v="CUST1330"/>
    <s v="Pamela Mcguire"/>
    <s v="PROD42"/>
    <s v="Electronics"/>
    <s v="STORE11"/>
    <n v="2"/>
    <n v="838.59"/>
    <n v="0.18"/>
    <x v="2"/>
    <n v="1375.2876000000001"/>
  </r>
  <r>
    <s v="SALE737"/>
    <d v="2024-11-02T00:00:00"/>
    <s v="CUST1089"/>
    <s v="Jamie Yoder"/>
    <s v="PROD57"/>
    <s v="Sports"/>
    <s v="STORE6"/>
    <n v="4"/>
    <n v="867.94"/>
    <n v="0.26"/>
    <x v="1"/>
    <n v="2569.1024000000002"/>
  </r>
  <r>
    <s v="SALE738"/>
    <d v="2024-10-26T00:00:00"/>
    <s v="CUST1196"/>
    <s v="Megan Greer"/>
    <s v="PROD15"/>
    <s v="Electronics"/>
    <s v="STORE17"/>
    <n v="1"/>
    <n v="623.88"/>
    <n v="0.25"/>
    <x v="0"/>
    <n v="467.91"/>
  </r>
  <r>
    <s v="SALE739"/>
    <d v="2024-09-11T00:00:00"/>
    <s v="CUST1177"/>
    <s v="Curtis Lam"/>
    <s v="PROD59"/>
    <s v="Beauty"/>
    <s v="STORE14"/>
    <n v="2"/>
    <n v="567.95000000000005"/>
    <n v="0.12"/>
    <x v="1"/>
    <n v="999.5920000000001"/>
  </r>
  <r>
    <s v="SALE740"/>
    <d v="2024-07-10T00:00:00"/>
    <s v="CUST1323"/>
    <s v="Kristy Dunlap"/>
    <s v="PROD49"/>
    <s v="Beauty"/>
    <s v="STORE18"/>
    <n v="2"/>
    <n v="671.69"/>
    <n v="0.19"/>
    <x v="0"/>
    <n v="1088.1378"/>
  </r>
  <r>
    <s v="SALE741"/>
    <d v="2025-05-09T00:00:00"/>
    <s v="CUST1206"/>
    <s v="Ronald Jones"/>
    <s v="PROD94"/>
    <s v="Beauty"/>
    <s v="STORE7"/>
    <n v="2"/>
    <n v="257.95999999999998"/>
    <n v="0.21"/>
    <x v="1"/>
    <n v="407.57679999999999"/>
  </r>
  <r>
    <s v="SALE742"/>
    <d v="2024-07-02T00:00:00"/>
    <s v="CUST1204"/>
    <s v="Tiffany Herrera"/>
    <s v="PROD44"/>
    <s v="Sports"/>
    <s v="STORE19"/>
    <n v="4"/>
    <n v="281.48"/>
    <n v="0.27"/>
    <x v="1"/>
    <n v="821.92160000000001"/>
  </r>
  <r>
    <s v="SALE743"/>
    <d v="2024-06-27T00:00:00"/>
    <s v="CUST1316"/>
    <s v="Robert House"/>
    <s v="PROD25"/>
    <s v="Clothing"/>
    <s v="STORE11"/>
    <n v="1"/>
    <n v="202.13"/>
    <n v="0.13"/>
    <x v="2"/>
    <n v="175.85310000000001"/>
  </r>
  <r>
    <s v="SALE744"/>
    <d v="2023-11-13T00:00:00"/>
    <s v="CUST1271"/>
    <s v="Daisy Johnson Dds"/>
    <s v="PROD74"/>
    <s v="Electronics"/>
    <s v="STORE5"/>
    <n v="1"/>
    <n v="370.66"/>
    <n v="0.01"/>
    <x v="1"/>
    <n v="366.95339999999999"/>
  </r>
  <r>
    <s v="SALE745"/>
    <d v="2024-02-19T00:00:00"/>
    <s v="CUST1005"/>
    <s v="Christine Vaughn"/>
    <s v="PROD61"/>
    <s v="Sports"/>
    <s v="STORE12"/>
    <n v="4"/>
    <n v="731.53"/>
    <n v="0.12"/>
    <x v="0"/>
    <n v="2574.9856"/>
  </r>
  <r>
    <s v="SALE746"/>
    <d v="2024-03-20T00:00:00"/>
    <s v="CUST1165"/>
    <s v="Jason Wheeler"/>
    <s v="PROD27"/>
    <s v="Home"/>
    <s v="STORE1"/>
    <n v="3"/>
    <n v="468.25"/>
    <n v="7.0000000000000007E-2"/>
    <x v="1"/>
    <n v="1306.4175"/>
  </r>
  <r>
    <s v="SALE747"/>
    <d v="2024-03-09T00:00:00"/>
    <s v="CUST1001"/>
    <s v="Eugene Nelson"/>
    <s v="PROD51"/>
    <s v="Electronics"/>
    <s v="STORE0"/>
    <n v="1"/>
    <n v="928.72"/>
    <n v="0.1"/>
    <x v="2"/>
    <n v="835.84800000000007"/>
  </r>
  <r>
    <s v="SALE748"/>
    <d v="2024-07-26T00:00:00"/>
    <s v="CUST1101"/>
    <s v="Colleen Maynard"/>
    <s v="PROD89"/>
    <s v="Beauty"/>
    <s v="STORE18"/>
    <n v="3"/>
    <n v="217.22"/>
    <n v="0.06"/>
    <x v="1"/>
    <n v="612.56039999999996"/>
  </r>
  <r>
    <s v="SALE749"/>
    <d v="2025-03-29T00:00:00"/>
    <s v="CUST1405"/>
    <s v="Eric Wolfe"/>
    <s v="PROD48"/>
    <s v="Electronics"/>
    <s v="STORE3"/>
    <n v="1"/>
    <n v="387.99"/>
    <n v="0.3"/>
    <x v="0"/>
    <n v="271.59300000000002"/>
  </r>
  <r>
    <s v="SALE750"/>
    <d v="2025-03-02T00:00:00"/>
    <s v="CUST1476"/>
    <s v="Elizabeth Foster"/>
    <s v="PROD69"/>
    <s v="Clothing"/>
    <s v="STORE6"/>
    <n v="4"/>
    <n v="186.24"/>
    <n v="0.23"/>
    <x v="0"/>
    <n v="573.61920000000009"/>
  </r>
  <r>
    <s v="SALE751"/>
    <d v="2024-06-11T00:00:00"/>
    <s v="CUST1296"/>
    <s v="Jared Moran"/>
    <s v="PROD14"/>
    <s v="Home"/>
    <s v="STORE8"/>
    <n v="4"/>
    <n v="609.05999999999995"/>
    <n v="0.22"/>
    <x v="2"/>
    <n v="1900.2672"/>
  </r>
  <r>
    <s v="SALE752"/>
    <d v="2024-05-22T00:00:00"/>
    <s v="CUST1437"/>
    <s v="Melinda Rivera"/>
    <s v="PROD88"/>
    <s v="Sports"/>
    <s v="STORE11"/>
    <n v="1"/>
    <n v="827.91"/>
    <n v="0.21"/>
    <x v="1"/>
    <n v="654.0489"/>
  </r>
  <r>
    <s v="SALE753"/>
    <d v="2024-07-13T00:00:00"/>
    <s v="CUST1176"/>
    <s v="John Bradford"/>
    <s v="PROD52"/>
    <s v="Sports"/>
    <s v="STORE0"/>
    <n v="1"/>
    <n v="303.79000000000002"/>
    <n v="0.24"/>
    <x v="1"/>
    <n v="230.88040000000001"/>
  </r>
  <r>
    <s v="SALE754"/>
    <d v="2025-09-02T00:00:00"/>
    <s v="CUST1104"/>
    <s v="Christopher Lester"/>
    <s v="PROD25"/>
    <s v="Clothing"/>
    <s v="STORE6"/>
    <n v="2"/>
    <n v="365.91"/>
    <n v="0.14000000000000001"/>
    <x v="2"/>
    <n v="629.36520000000007"/>
  </r>
  <r>
    <s v="SALE755"/>
    <d v="2025-04-15T00:00:00"/>
    <s v="CUST1069"/>
    <s v="Roy Cole"/>
    <s v="PROD73"/>
    <s v="Sports"/>
    <s v="STORE17"/>
    <n v="3"/>
    <n v="852.72"/>
    <n v="0.16"/>
    <x v="0"/>
    <n v="2148.8544000000002"/>
  </r>
  <r>
    <s v="SALE756"/>
    <d v="2025-04-05T00:00:00"/>
    <s v="CUST1247"/>
    <s v="Douglas Rhodes"/>
    <s v="PROD10"/>
    <s v="Home"/>
    <s v="STORE4"/>
    <n v="1"/>
    <n v="768.25"/>
    <n v="0.18"/>
    <x v="0"/>
    <n v="629.96500000000003"/>
  </r>
  <r>
    <s v="SALE757"/>
    <d v="2023-11-24T00:00:00"/>
    <s v="CUST1350"/>
    <s v="Charles Miller"/>
    <s v="PROD92"/>
    <s v="Home"/>
    <s v="STORE19"/>
    <n v="2"/>
    <n v="318.62"/>
    <n v="0.02"/>
    <x v="2"/>
    <n v="624.49519999999995"/>
  </r>
  <r>
    <s v="SALE758"/>
    <d v="2025-01-26T00:00:00"/>
    <s v="CUST1049"/>
    <s v="Timothy Weaver"/>
    <s v="PROD48"/>
    <s v="Electronics"/>
    <s v="STORE2"/>
    <n v="4"/>
    <n v="402.11"/>
    <n v="0.14000000000000001"/>
    <x v="1"/>
    <n v="1383.2583999999999"/>
  </r>
  <r>
    <s v="SALE759"/>
    <d v="2025-05-27T00:00:00"/>
    <s v="CUST1408"/>
    <s v="Isabel Foster"/>
    <s v="PROD31"/>
    <s v="Sports"/>
    <s v="STORE17"/>
    <n v="3"/>
    <n v="846.31"/>
    <n v="0.18"/>
    <x v="2"/>
    <n v="2081.9225999999999"/>
  </r>
  <r>
    <s v="SALE760"/>
    <d v="2025-06-13T00:00:00"/>
    <s v="CUST1168"/>
    <s v="Daniel Contreras"/>
    <s v="PROD72"/>
    <s v="Sports"/>
    <s v="STORE14"/>
    <n v="1"/>
    <n v="269.94"/>
    <n v="7.0000000000000007E-2"/>
    <x v="2"/>
    <n v="251.04419999999999"/>
  </r>
  <r>
    <s v="SALE761"/>
    <d v="2024-06-29T00:00:00"/>
    <s v="CUST1241"/>
    <s v="Mr. William Horton"/>
    <s v="PROD15"/>
    <s v="Electronics"/>
    <s v="STORE4"/>
    <n v="3"/>
    <n v="909.25"/>
    <n v="0.28999999999999998"/>
    <x v="2"/>
    <n v="1936.7025000000001"/>
  </r>
  <r>
    <s v="SALE762"/>
    <d v="2024-02-09T00:00:00"/>
    <s v="CUST1363"/>
    <s v="Elizabeth Smith"/>
    <s v="PROD91"/>
    <s v="Clothing"/>
    <s v="STORE12"/>
    <n v="2"/>
    <n v="229.81"/>
    <n v="0.21"/>
    <x v="2"/>
    <n v="363.09980000000002"/>
  </r>
  <r>
    <s v="SALE763"/>
    <d v="2024-06-08T00:00:00"/>
    <s v="CUST1037"/>
    <s v="Christopher Carter"/>
    <s v="PROD45"/>
    <s v="Sports"/>
    <s v="STORE15"/>
    <n v="3"/>
    <n v="442.36"/>
    <n v="0.06"/>
    <x v="1"/>
    <n v="1247.4552000000001"/>
  </r>
  <r>
    <s v="SALE764"/>
    <d v="2024-04-04T00:00:00"/>
    <s v="CUST1239"/>
    <s v="Maria Hill"/>
    <s v="PROD19"/>
    <s v="Sports"/>
    <s v="STORE3"/>
    <n v="3"/>
    <n v="413.74"/>
    <n v="0.01"/>
    <x v="0"/>
    <n v="1228.8078"/>
  </r>
  <r>
    <s v="SALE765"/>
    <d v="2024-07-04T00:00:00"/>
    <s v="CUST1496"/>
    <s v="Christopher Ford"/>
    <s v="PROD51"/>
    <s v="Electronics"/>
    <s v="STORE14"/>
    <n v="4"/>
    <n v="79.75"/>
    <n v="0.18"/>
    <x v="1"/>
    <n v="261.58"/>
  </r>
  <r>
    <s v="SALE766"/>
    <d v="2024-05-21T00:00:00"/>
    <s v="CUST1495"/>
    <s v="James Berger"/>
    <s v="PROD61"/>
    <s v="Sports"/>
    <s v="STORE12"/>
    <n v="4"/>
    <n v="95.06"/>
    <n v="0.03"/>
    <x v="0"/>
    <n v="368.83280000000002"/>
  </r>
  <r>
    <s v="SALE767"/>
    <d v="2025-04-12T00:00:00"/>
    <s v="CUST1416"/>
    <s v="Jennifer Myers"/>
    <s v="PROD49"/>
    <s v="Beauty"/>
    <s v="STORE7"/>
    <n v="4"/>
    <n v="107.08"/>
    <n v="0.27"/>
    <x v="2"/>
    <n v="312.67360000000002"/>
  </r>
  <r>
    <s v="SALE768"/>
    <d v="2025-05-17T00:00:00"/>
    <s v="CUST1474"/>
    <s v="Joshua Howard"/>
    <s v="PROD99"/>
    <s v="Home"/>
    <s v="STORE18"/>
    <n v="1"/>
    <n v="873.18"/>
    <n v="0.03"/>
    <x v="2"/>
    <n v="846.98459999999989"/>
  </r>
  <r>
    <s v="SALE769"/>
    <d v="2025-04-17T00:00:00"/>
    <s v="CUST1377"/>
    <s v="Charles Conley"/>
    <s v="PROD92"/>
    <s v="Home"/>
    <s v="STORE18"/>
    <n v="1"/>
    <n v="914.75"/>
    <n v="0.1"/>
    <x v="2"/>
    <n v="823.27499999999998"/>
  </r>
  <r>
    <s v="SALE770"/>
    <d v="2023-12-19T00:00:00"/>
    <s v="CUST1049"/>
    <s v="Timothy Weaver"/>
    <s v="PROD48"/>
    <s v="Electronics"/>
    <s v="STORE13"/>
    <n v="4"/>
    <n v="457.33"/>
    <n v="0.1"/>
    <x v="0"/>
    <n v="1646.3879999999999"/>
  </r>
  <r>
    <s v="SALE771"/>
    <d v="2024-11-06T00:00:00"/>
    <s v="CUST1292"/>
    <s v="Ricardo Jones"/>
    <s v="PROD99"/>
    <s v="Home"/>
    <s v="STORE3"/>
    <n v="3"/>
    <n v="761.88"/>
    <n v="0.23"/>
    <x v="1"/>
    <n v="1759.9428"/>
  </r>
  <r>
    <s v="SALE772"/>
    <d v="2025-05-16T00:00:00"/>
    <s v="CUST1177"/>
    <s v="Curtis Lam"/>
    <s v="PROD59"/>
    <s v="Beauty"/>
    <s v="STORE19"/>
    <n v="4"/>
    <n v="122.87"/>
    <n v="0.13"/>
    <x v="0"/>
    <n v="427.58760000000001"/>
  </r>
  <r>
    <s v="SALE773"/>
    <d v="2025-05-01T00:00:00"/>
    <s v="CUST1475"/>
    <s v="Barbara Berry"/>
    <s v="PROD73"/>
    <s v="Sports"/>
    <s v="STORE4"/>
    <n v="4"/>
    <n v="753"/>
    <n v="0.28000000000000003"/>
    <x v="2"/>
    <n v="2168.64"/>
  </r>
  <r>
    <s v="SALE774"/>
    <d v="2024-02-03T00:00:00"/>
    <s v="CUST1370"/>
    <s v="James Holloway Jr."/>
    <s v="PROD37"/>
    <s v="Clothing"/>
    <s v="STORE5"/>
    <n v="2"/>
    <n v="788.05"/>
    <n v="0.21"/>
    <x v="0"/>
    <n v="1245.1189999999999"/>
  </r>
  <r>
    <s v="SALE775"/>
    <d v="2025-08-06T00:00:00"/>
    <s v="CUST1462"/>
    <s v="Beth Martin"/>
    <s v="PROD33"/>
    <s v="Home"/>
    <s v="STORE10"/>
    <n v="2"/>
    <n v="807.1"/>
    <n v="0.28999999999999998"/>
    <x v="0"/>
    <n v="1146.0820000000001"/>
  </r>
  <r>
    <s v="SALE776"/>
    <d v="2024-01-29T00:00:00"/>
    <s v="CUST1134"/>
    <s v="Morgan Bowen"/>
    <s v="PROD70"/>
    <s v="Home"/>
    <s v="STORE1"/>
    <n v="2"/>
    <n v="443.09"/>
    <n v="0.02"/>
    <x v="1"/>
    <n v="868.45639999999992"/>
  </r>
  <r>
    <s v="SALE777"/>
    <d v="2025-08-01T00:00:00"/>
    <s v="CUST1468"/>
    <s v="Gregory Curtis"/>
    <s v="PROD75"/>
    <s v="Clothing"/>
    <s v="STORE15"/>
    <n v="1"/>
    <n v="512.16"/>
    <n v="0.02"/>
    <x v="2"/>
    <n v="501.91680000000002"/>
  </r>
  <r>
    <s v="SALE778"/>
    <d v="2024-10-12T00:00:00"/>
    <s v="CUST1208"/>
    <s v="John Perez"/>
    <s v="PROD34"/>
    <s v="Electronics"/>
    <s v="STORE18"/>
    <n v="2"/>
    <n v="602.54999999999995"/>
    <n v="0.23"/>
    <x v="2"/>
    <n v="927.92699999999991"/>
  </r>
  <r>
    <s v="SALE779"/>
    <d v="2025-03-29T00:00:00"/>
    <s v="CUST1164"/>
    <s v="Daniel Rivas"/>
    <s v="PROD48"/>
    <s v="Electronics"/>
    <s v="STORE0"/>
    <n v="3"/>
    <n v="846.19"/>
    <n v="0.09"/>
    <x v="2"/>
    <n v="2310.0987"/>
  </r>
  <r>
    <s v="SALE780"/>
    <d v="2025-04-25T00:00:00"/>
    <s v="CUST1326"/>
    <s v="Robert King"/>
    <s v="PROD37"/>
    <s v="Clothing"/>
    <s v="STORE8"/>
    <n v="1"/>
    <n v="506.73"/>
    <n v="0.28999999999999998"/>
    <x v="0"/>
    <n v="359.7783"/>
  </r>
  <r>
    <s v="SALE781"/>
    <d v="2024-01-08T00:00:00"/>
    <s v="CUST1052"/>
    <s v="Debra Liu"/>
    <s v="PROD51"/>
    <s v="Electronics"/>
    <s v="STORE16"/>
    <n v="1"/>
    <n v="408.66"/>
    <n v="0.13"/>
    <x v="2"/>
    <n v="355.5342"/>
  </r>
  <r>
    <s v="SALE782"/>
    <d v="2024-06-04T00:00:00"/>
    <s v="CUST1110"/>
    <s v="Ashley Griffin"/>
    <s v="PROD8"/>
    <s v="Electronics"/>
    <s v="STORE17"/>
    <n v="3"/>
    <n v="170.48"/>
    <n v="0.06"/>
    <x v="2"/>
    <n v="480.75359999999989"/>
  </r>
  <r>
    <s v="SALE783"/>
    <d v="2025-03-01T00:00:00"/>
    <s v="CUST1097"/>
    <s v="David Cobb"/>
    <s v="PROD80"/>
    <s v="Home"/>
    <s v="STORE9"/>
    <n v="1"/>
    <n v="423.48"/>
    <n v="0.18"/>
    <x v="1"/>
    <n v="347.25360000000012"/>
  </r>
  <r>
    <s v="SALE784"/>
    <d v="2023-10-14T00:00:00"/>
    <s v="CUST1235"/>
    <s v="Jon Ortiz"/>
    <s v="PROD91"/>
    <s v="Clothing"/>
    <s v="STORE11"/>
    <n v="4"/>
    <n v="23.57"/>
    <n v="0.1"/>
    <x v="0"/>
    <n v="84.852000000000004"/>
  </r>
  <r>
    <s v="SALE785"/>
    <d v="2025-06-29T00:00:00"/>
    <s v="CUST1381"/>
    <s v="Erika Padilla"/>
    <s v="PROD5"/>
    <s v="Clothing"/>
    <s v="STORE18"/>
    <n v="2"/>
    <n v="953.26"/>
    <n v="0.1"/>
    <x v="2"/>
    <n v="1715.8679999999999"/>
  </r>
  <r>
    <s v="SALE786"/>
    <d v="2023-12-17T00:00:00"/>
    <s v="CUST1347"/>
    <s v="Justin Mason Dds"/>
    <s v="PROD37"/>
    <s v="Clothing"/>
    <s v="STORE7"/>
    <n v="3"/>
    <n v="405.13"/>
    <n v="0.14000000000000001"/>
    <x v="2"/>
    <n v="1045.2354"/>
  </r>
  <r>
    <s v="SALE787"/>
    <d v="2023-11-18T00:00:00"/>
    <s v="CUST1339"/>
    <s v="Mrs. Susan Buckley"/>
    <s v="PROD9"/>
    <s v="Sports"/>
    <s v="STORE4"/>
    <n v="2"/>
    <n v="333.83"/>
    <n v="0.26"/>
    <x v="1"/>
    <n v="494.0684"/>
  </r>
  <r>
    <s v="SALE788"/>
    <d v="2025-03-25T00:00:00"/>
    <s v="CUST1333"/>
    <s v="Teresa Johnson"/>
    <s v="PROD0"/>
    <s v="Electronics"/>
    <s v="STORE3"/>
    <n v="2"/>
    <n v="727.18"/>
    <n v="0.22"/>
    <x v="1"/>
    <n v="1134.4007999999999"/>
  </r>
  <r>
    <s v="SALE789"/>
    <d v="2025-05-01T00:00:00"/>
    <s v="CUST1306"/>
    <s v="Angela Robinson"/>
    <s v="PROD5"/>
    <s v="Clothing"/>
    <s v="STORE10"/>
    <n v="2"/>
    <n v="516.02"/>
    <n v="0.19"/>
    <x v="2"/>
    <n v="835.95240000000001"/>
  </r>
  <r>
    <s v="SALE790"/>
    <d v="2024-03-10T00:00:00"/>
    <s v="CUST1294"/>
    <s v="Lisa Chandler"/>
    <s v="PROD82"/>
    <s v="Sports"/>
    <s v="STORE11"/>
    <n v="2"/>
    <n v="705.61"/>
    <n v="0.28000000000000003"/>
    <x v="0"/>
    <n v="1016.0784"/>
  </r>
  <r>
    <s v="SALE791"/>
    <d v="2024-05-02T00:00:00"/>
    <s v="CUST1275"/>
    <s v="Shannon Miller"/>
    <s v="PROD69"/>
    <s v="Clothing"/>
    <s v="STORE8"/>
    <n v="3"/>
    <n v="654.47"/>
    <n v="0.18"/>
    <x v="2"/>
    <n v="1609.9962"/>
  </r>
  <r>
    <s v="SALE792"/>
    <d v="2025-03-18T00:00:00"/>
    <s v="CUST1171"/>
    <s v="Amy Wilson"/>
    <s v="PROD90"/>
    <s v="Electronics"/>
    <s v="STORE15"/>
    <n v="2"/>
    <n v="315.27"/>
    <n v="0.23"/>
    <x v="0"/>
    <n v="485.51580000000001"/>
  </r>
  <r>
    <s v="SALE793"/>
    <d v="2024-11-27T00:00:00"/>
    <s v="CUST1222"/>
    <s v="Alejandro Doyle"/>
    <s v="PROD46"/>
    <s v="Clothing"/>
    <s v="STORE2"/>
    <n v="1"/>
    <n v="974.47"/>
    <n v="0.05"/>
    <x v="0"/>
    <n v="925.74649999999997"/>
  </r>
  <r>
    <s v="SALE794"/>
    <d v="2024-02-18T00:00:00"/>
    <s v="CUST1067"/>
    <s v="Amber Mcclain"/>
    <s v="PROD46"/>
    <s v="Clothing"/>
    <s v="STORE4"/>
    <n v="2"/>
    <n v="803.3"/>
    <n v="0.17"/>
    <x v="0"/>
    <n v="1333.4780000000001"/>
  </r>
  <r>
    <s v="SALE795"/>
    <d v="2024-06-04T00:00:00"/>
    <s v="CUST1013"/>
    <s v="Nathan Hernandez"/>
    <s v="PROD24"/>
    <s v="Sports"/>
    <s v="STORE10"/>
    <n v="4"/>
    <n v="863.87"/>
    <n v="0.21"/>
    <x v="2"/>
    <n v="2729.8292000000001"/>
  </r>
  <r>
    <s v="SALE796"/>
    <d v="2024-08-09T00:00:00"/>
    <s v="CUST1469"/>
    <s v="James Foster"/>
    <s v="PROD45"/>
    <s v="Sports"/>
    <s v="STORE18"/>
    <n v="1"/>
    <n v="450.11"/>
    <n v="0.17"/>
    <x v="0"/>
    <n v="373.59129999999999"/>
  </r>
  <r>
    <s v="SALE797"/>
    <d v="2024-07-13T00:00:00"/>
    <s v="CUST1230"/>
    <s v="Timothy Sanders"/>
    <s v="PROD68"/>
    <s v="Home"/>
    <s v="STORE13"/>
    <n v="1"/>
    <n v="289.82"/>
    <n v="0.18"/>
    <x v="2"/>
    <n v="237.6524"/>
  </r>
  <r>
    <s v="SALE798"/>
    <d v="2025-08-21T00:00:00"/>
    <s v="CUST1334"/>
    <s v="Mr. Christopher Sims"/>
    <s v="PROD71"/>
    <s v="Beauty"/>
    <s v="STORE10"/>
    <n v="4"/>
    <n v="250.64"/>
    <n v="0.1"/>
    <x v="1"/>
    <n v="902.30399999999997"/>
  </r>
  <r>
    <s v="SALE799"/>
    <d v="2025-08-07T00:00:00"/>
    <s v="CUST1287"/>
    <s v="Cynthia Roberts"/>
    <s v="PROD3"/>
    <s v="Clothing"/>
    <s v="STORE19"/>
    <n v="4"/>
    <n v="373.49"/>
    <n v="0.16"/>
    <x v="2"/>
    <n v="1254.9264000000001"/>
  </r>
  <r>
    <s v="SALE800"/>
    <d v="2024-04-16T00:00:00"/>
    <s v="CUST1066"/>
    <s v="Cody Diaz"/>
    <s v="PROD94"/>
    <s v="Beauty"/>
    <s v="STORE9"/>
    <n v="4"/>
    <n v="348.91"/>
    <n v="0.18"/>
    <x v="1"/>
    <n v="1144.4248"/>
  </r>
  <r>
    <s v="SALE801"/>
    <d v="2024-04-08T00:00:00"/>
    <s v="CUST1110"/>
    <s v="Ashley Griffin"/>
    <s v="PROD8"/>
    <s v="Electronics"/>
    <s v="STORE17"/>
    <n v="4"/>
    <n v="212.96"/>
    <n v="0.17"/>
    <x v="0"/>
    <n v="707.02719999999999"/>
  </r>
  <r>
    <s v="SALE802"/>
    <d v="2024-04-24T00:00:00"/>
    <s v="CUST1190"/>
    <s v="Christopher Stewart"/>
    <s v="PROD27"/>
    <s v="Home"/>
    <s v="STORE19"/>
    <n v="3"/>
    <n v="871.34"/>
    <n v="0.11"/>
    <x v="2"/>
    <n v="2326.4778000000001"/>
  </r>
  <r>
    <s v="SALE803"/>
    <d v="2025-07-06T00:00:00"/>
    <s v="CUST1100"/>
    <s v="Diane Watson"/>
    <s v="PROD24"/>
    <s v="Sports"/>
    <s v="STORE0"/>
    <n v="2"/>
    <n v="698.94"/>
    <n v="0.06"/>
    <x v="0"/>
    <n v="1314.0072"/>
  </r>
  <r>
    <s v="SALE804"/>
    <d v="2025-02-09T00:00:00"/>
    <s v="CUST1316"/>
    <s v="Robert House"/>
    <s v="PROD25"/>
    <s v="Clothing"/>
    <s v="STORE0"/>
    <n v="1"/>
    <n v="719.94"/>
    <n v="0.23"/>
    <x v="2"/>
    <n v="554.35380000000009"/>
  </r>
  <r>
    <s v="SALE805"/>
    <d v="2024-11-11T00:00:00"/>
    <s v="CUST1006"/>
    <s v="Amber Jackson"/>
    <s v="PROD93"/>
    <s v="Electronics"/>
    <s v="STORE4"/>
    <n v="2"/>
    <n v="278.16000000000003"/>
    <n v="0.22"/>
    <x v="1"/>
    <n v="433.92960000000011"/>
  </r>
  <r>
    <s v="SALE806"/>
    <d v="2024-01-16T00:00:00"/>
    <s v="CUST1053"/>
    <s v="Sharon Brown"/>
    <s v="PROD37"/>
    <s v="Clothing"/>
    <s v="STORE5"/>
    <n v="1"/>
    <n v="678.9"/>
    <n v="0.17"/>
    <x v="0"/>
    <n v="563.48699999999997"/>
  </r>
  <r>
    <s v="SALE807"/>
    <d v="2024-08-16T00:00:00"/>
    <s v="CUST1015"/>
    <s v="Laura Alvarez"/>
    <s v="PROD18"/>
    <s v="Clothing"/>
    <s v="STORE15"/>
    <n v="4"/>
    <n v="94.13"/>
    <n v="0.15"/>
    <x v="0"/>
    <n v="320.04199999999997"/>
  </r>
  <r>
    <s v="SALE808"/>
    <d v="2025-10-03T00:00:00"/>
    <s v="CUST1441"/>
    <s v="Dalton Walters"/>
    <s v="PROD44"/>
    <s v="Sports"/>
    <s v="STORE1"/>
    <n v="4"/>
    <n v="415.02"/>
    <n v="0.01"/>
    <x v="1"/>
    <n v="1643.4792"/>
  </r>
  <r>
    <s v="SALE809"/>
    <d v="2025-07-03T00:00:00"/>
    <s v="CUST1051"/>
    <s v="Sarah Rodgers"/>
    <s v="PROD21"/>
    <s v="Home"/>
    <s v="STORE4"/>
    <n v="4"/>
    <n v="780.07"/>
    <n v="0.03"/>
    <x v="0"/>
    <n v="3026.6716000000001"/>
  </r>
  <r>
    <s v="SALE810"/>
    <d v="2025-08-08T00:00:00"/>
    <s v="CUST1428"/>
    <s v="Samuel Mullins"/>
    <s v="PROD63"/>
    <s v="Beauty"/>
    <s v="STORE15"/>
    <n v="4"/>
    <n v="184.57"/>
    <n v="0.28000000000000003"/>
    <x v="0"/>
    <n v="531.5616"/>
  </r>
  <r>
    <s v="SALE811"/>
    <d v="2024-08-28T00:00:00"/>
    <s v="CUST1287"/>
    <s v="Cynthia Roberts"/>
    <s v="PROD3"/>
    <s v="Clothing"/>
    <s v="STORE4"/>
    <n v="4"/>
    <n v="277.58"/>
    <n v="0.22"/>
    <x v="1"/>
    <n v="866.04959999999994"/>
  </r>
  <r>
    <s v="SALE812"/>
    <d v="2025-03-18T00:00:00"/>
    <s v="CUST1104"/>
    <s v="Christopher Lester"/>
    <s v="PROD25"/>
    <s v="Clothing"/>
    <s v="STORE3"/>
    <n v="1"/>
    <n v="36.799999999999997"/>
    <n v="0.18"/>
    <x v="0"/>
    <n v="30.175999999999998"/>
  </r>
  <r>
    <s v="SALE813"/>
    <d v="2025-06-01T00:00:00"/>
    <s v="CUST1356"/>
    <s v="Steve Hunt"/>
    <s v="PROD88"/>
    <s v="Sports"/>
    <s v="STORE6"/>
    <n v="1"/>
    <n v="539.37"/>
    <n v="0.14000000000000001"/>
    <x v="0"/>
    <n v="463.85820000000001"/>
  </r>
  <r>
    <s v="SALE814"/>
    <d v="2025-04-13T00:00:00"/>
    <s v="CUST1089"/>
    <s v="Jamie Yoder"/>
    <s v="PROD57"/>
    <s v="Sports"/>
    <s v="STORE18"/>
    <n v="1"/>
    <n v="27.83"/>
    <n v="0.3"/>
    <x v="1"/>
    <n v="19.481000000000002"/>
  </r>
  <r>
    <s v="SALE815"/>
    <d v="2024-06-13T00:00:00"/>
    <s v="CUST1283"/>
    <s v="Bryan Garcia"/>
    <s v="PROD70"/>
    <s v="Home"/>
    <s v="STORE4"/>
    <n v="3"/>
    <n v="698.72"/>
    <n v="0.28000000000000003"/>
    <x v="2"/>
    <n v="1509.2352000000001"/>
  </r>
  <r>
    <s v="SALE816"/>
    <d v="2025-02-10T00:00:00"/>
    <s v="CUST1012"/>
    <s v="Kenneth Lambert"/>
    <s v="PROD27"/>
    <s v="Home"/>
    <s v="STORE13"/>
    <n v="4"/>
    <n v="528.23"/>
    <n v="0.15"/>
    <x v="2"/>
    <n v="1795.982"/>
  </r>
  <r>
    <s v="SALE817"/>
    <d v="2024-09-13T00:00:00"/>
    <s v="CUST1492"/>
    <s v="Darrell Miller"/>
    <s v="PROD10"/>
    <s v="Home"/>
    <s v="STORE16"/>
    <n v="2"/>
    <n v="780.9"/>
    <n v="0.24"/>
    <x v="1"/>
    <n v="1186.9680000000001"/>
  </r>
  <r>
    <s v="SALE818"/>
    <d v="2023-11-06T00:00:00"/>
    <s v="CUST1180"/>
    <s v="Wesley Thompson"/>
    <s v="PROD90"/>
    <s v="Electronics"/>
    <s v="STORE14"/>
    <n v="1"/>
    <n v="977.97"/>
    <n v="0.06"/>
    <x v="2"/>
    <n v="919.29179999999997"/>
  </r>
  <r>
    <s v="SALE819"/>
    <d v="2024-01-19T00:00:00"/>
    <s v="CUST1369"/>
    <s v="Gregory Allen"/>
    <s v="PROD33"/>
    <s v="Home"/>
    <s v="STORE12"/>
    <n v="4"/>
    <n v="354.65"/>
    <n v="0.19"/>
    <x v="0"/>
    <n v="1149.066"/>
  </r>
  <r>
    <s v="SALE820"/>
    <d v="2024-03-25T00:00:00"/>
    <s v="CUST1283"/>
    <s v="Bryan Garcia"/>
    <s v="PROD70"/>
    <s v="Home"/>
    <s v="STORE19"/>
    <n v="1"/>
    <n v="671.62"/>
    <n v="0.09"/>
    <x v="2"/>
    <n v="611.17420000000004"/>
  </r>
  <r>
    <s v="SALE821"/>
    <d v="2025-09-14T00:00:00"/>
    <s v="CUST1317"/>
    <s v="Tiffany Williams"/>
    <s v="PROD10"/>
    <s v="Home"/>
    <s v="STORE3"/>
    <n v="1"/>
    <n v="867.32"/>
    <n v="0.28999999999999998"/>
    <x v="1"/>
    <n v="615.79719999999998"/>
  </r>
  <r>
    <s v="SALE822"/>
    <d v="2024-02-14T00:00:00"/>
    <s v="CUST1081"/>
    <s v="Krystal Ford"/>
    <s v="PROD45"/>
    <s v="Sports"/>
    <s v="STORE12"/>
    <n v="3"/>
    <n v="240.27"/>
    <n v="0.15"/>
    <x v="1"/>
    <n v="612.68850000000009"/>
  </r>
  <r>
    <s v="SALE823"/>
    <d v="2025-03-12T00:00:00"/>
    <s v="CUST1075"/>
    <s v="Rhonda Morales"/>
    <s v="PROD16"/>
    <s v="Beauty"/>
    <s v="STORE16"/>
    <n v="2"/>
    <n v="619.12"/>
    <n v="0.28000000000000003"/>
    <x v="2"/>
    <n v="891.53279999999995"/>
  </r>
  <r>
    <s v="SALE824"/>
    <d v="2025-04-08T00:00:00"/>
    <s v="CUST1213"/>
    <s v="Stuart Johnson"/>
    <s v="PROD21"/>
    <s v="Home"/>
    <s v="STORE0"/>
    <n v="3"/>
    <n v="693.42"/>
    <n v="0.08"/>
    <x v="1"/>
    <n v="1913.8391999999999"/>
  </r>
  <r>
    <s v="SALE825"/>
    <d v="2025-02-07T00:00:00"/>
    <s v="CUST1108"/>
    <s v="Travis Holland"/>
    <s v="PROD30"/>
    <s v="Home"/>
    <s v="STORE10"/>
    <n v="4"/>
    <n v="751.63"/>
    <n v="0.28000000000000003"/>
    <x v="2"/>
    <n v="2164.6943999999999"/>
  </r>
  <r>
    <s v="SALE826"/>
    <d v="2024-03-29T00:00:00"/>
    <s v="CUST1110"/>
    <s v="Ashley Griffin"/>
    <s v="PROD8"/>
    <s v="Electronics"/>
    <s v="STORE15"/>
    <n v="3"/>
    <n v="108.14"/>
    <n v="0.19"/>
    <x v="2"/>
    <n v="262.78019999999998"/>
  </r>
  <r>
    <s v="SALE827"/>
    <d v="2024-06-03T00:00:00"/>
    <s v="CUST1256"/>
    <s v="Kristen Fischer"/>
    <s v="PROD34"/>
    <s v="Electronics"/>
    <s v="STORE4"/>
    <n v="1"/>
    <n v="964.11"/>
    <n v="0.17"/>
    <x v="2"/>
    <n v="800.21129999999994"/>
  </r>
  <r>
    <s v="SALE828"/>
    <d v="2024-08-21T00:00:00"/>
    <s v="CUST1131"/>
    <s v="Joseph Richards"/>
    <s v="PROD56"/>
    <s v="Home"/>
    <s v="STORE0"/>
    <n v="1"/>
    <n v="346.2"/>
    <n v="0.28999999999999998"/>
    <x v="0"/>
    <n v="245.80199999999999"/>
  </r>
  <r>
    <s v="SALE829"/>
    <d v="2024-08-23T00:00:00"/>
    <s v="CUST1457"/>
    <s v="Christina Robertson"/>
    <s v="PROD43"/>
    <s v="Electronics"/>
    <s v="STORE15"/>
    <n v="3"/>
    <n v="791.75"/>
    <n v="0.28999999999999998"/>
    <x v="0"/>
    <n v="1686.4275"/>
  </r>
  <r>
    <s v="SALE830"/>
    <d v="2023-12-05T00:00:00"/>
    <s v="CUST1319"/>
    <s v="Casey Simpson"/>
    <s v="PROD49"/>
    <s v="Beauty"/>
    <s v="STORE13"/>
    <n v="1"/>
    <n v="529.84"/>
    <n v="0.13"/>
    <x v="1"/>
    <n v="460.96080000000001"/>
  </r>
  <r>
    <s v="SALE831"/>
    <d v="2025-10-06T00:00:00"/>
    <s v="CUST1471"/>
    <s v="Debra Mccullough"/>
    <s v="PROD17"/>
    <s v="Sports"/>
    <s v="STORE3"/>
    <n v="3"/>
    <n v="582.57000000000005"/>
    <n v="0.11"/>
    <x v="1"/>
    <n v="1555.4619"/>
  </r>
  <r>
    <s v="SALE832"/>
    <d v="2023-11-12T00:00:00"/>
    <s v="CUST1211"/>
    <s v="Rodney Huffman"/>
    <s v="PROD85"/>
    <s v="Clothing"/>
    <s v="STORE17"/>
    <n v="1"/>
    <n v="219.81"/>
    <n v="0.22"/>
    <x v="2"/>
    <n v="171.45179999999999"/>
  </r>
  <r>
    <s v="SALE833"/>
    <d v="2024-05-25T00:00:00"/>
    <s v="CUST1497"/>
    <s v="Sarah Marsh"/>
    <s v="PROD33"/>
    <s v="Home"/>
    <s v="STORE18"/>
    <n v="4"/>
    <n v="883.31"/>
    <n v="0.27"/>
    <x v="0"/>
    <n v="2579.2651999999998"/>
  </r>
  <r>
    <s v="SALE834"/>
    <d v="2024-12-01T00:00:00"/>
    <s v="CUST1234"/>
    <s v="Nathaniel Hill"/>
    <s v="PROD98"/>
    <s v="Electronics"/>
    <s v="STORE14"/>
    <n v="4"/>
    <n v="329.06"/>
    <n v="0.04"/>
    <x v="2"/>
    <n v="1263.5904"/>
  </r>
  <r>
    <s v="SALE835"/>
    <d v="2025-01-21T00:00:00"/>
    <s v="CUST1105"/>
    <s v="Lance Baker"/>
    <s v="PROD39"/>
    <s v="Electronics"/>
    <s v="STORE11"/>
    <n v="1"/>
    <n v="935.78"/>
    <n v="0.03"/>
    <x v="1"/>
    <n v="907.70659999999998"/>
  </r>
  <r>
    <s v="SALE836"/>
    <d v="2024-07-11T00:00:00"/>
    <s v="CUST1320"/>
    <s v="Jessica Gonzalez"/>
    <s v="PROD39"/>
    <s v="Electronics"/>
    <s v="STORE10"/>
    <n v="4"/>
    <n v="597.79999999999995"/>
    <n v="0.2"/>
    <x v="0"/>
    <n v="1912.96"/>
  </r>
  <r>
    <s v="SALE837"/>
    <d v="2025-02-12T00:00:00"/>
    <s v="CUST1259"/>
    <s v="Beth Allen"/>
    <s v="PROD13"/>
    <s v="Electronics"/>
    <s v="STORE18"/>
    <n v="4"/>
    <n v="266.98"/>
    <n v="0.16"/>
    <x v="0"/>
    <n v="897.05280000000005"/>
  </r>
  <r>
    <s v="SALE838"/>
    <d v="2025-08-04T00:00:00"/>
    <s v="CUST1407"/>
    <s v="Joseph Mendoza"/>
    <s v="PROD70"/>
    <s v="Home"/>
    <s v="STORE15"/>
    <n v="3"/>
    <n v="360.18"/>
    <n v="0.03"/>
    <x v="0"/>
    <n v="1048.1238000000001"/>
  </r>
  <r>
    <s v="SALE839"/>
    <d v="2025-07-22T00:00:00"/>
    <s v="CUST1363"/>
    <s v="Elizabeth Smith"/>
    <s v="PROD91"/>
    <s v="Clothing"/>
    <s v="STORE0"/>
    <n v="3"/>
    <n v="247.41"/>
    <n v="0.05"/>
    <x v="2"/>
    <n v="705.11850000000004"/>
  </r>
  <r>
    <s v="SALE840"/>
    <d v="2023-11-05T00:00:00"/>
    <s v="CUST1078"/>
    <s v="Cody Blake"/>
    <s v="PROD45"/>
    <s v="Sports"/>
    <s v="STORE15"/>
    <n v="3"/>
    <n v="674.66"/>
    <n v="0.23"/>
    <x v="0"/>
    <n v="1558.4646"/>
  </r>
  <r>
    <s v="SALE841"/>
    <d v="2025-08-05T00:00:00"/>
    <s v="CUST1415"/>
    <s v="Tyler Cook"/>
    <s v="PROD79"/>
    <s v="Home"/>
    <s v="STORE4"/>
    <n v="1"/>
    <n v="913.98"/>
    <n v="0.27"/>
    <x v="1"/>
    <n v="667.20539999999994"/>
  </r>
  <r>
    <s v="SALE842"/>
    <d v="2025-04-22T00:00:00"/>
    <s v="CUST1314"/>
    <s v="Elizabeth Johnson"/>
    <s v="PROD11"/>
    <s v="Electronics"/>
    <s v="STORE10"/>
    <n v="4"/>
    <n v="370.5"/>
    <n v="0.13"/>
    <x v="1"/>
    <n v="1289.3399999999999"/>
  </r>
  <r>
    <s v="SALE843"/>
    <d v="2024-11-23T00:00:00"/>
    <s v="CUST1358"/>
    <s v="Ashley Anderson"/>
    <s v="PROD55"/>
    <s v="Home"/>
    <s v="STORE13"/>
    <n v="1"/>
    <n v="735.1"/>
    <n v="0.1"/>
    <x v="1"/>
    <n v="661.59"/>
  </r>
  <r>
    <s v="SALE844"/>
    <d v="2024-11-18T00:00:00"/>
    <s v="CUST1135"/>
    <s v="Matthew Hanna"/>
    <s v="PROD44"/>
    <s v="Sports"/>
    <s v="STORE2"/>
    <n v="3"/>
    <n v="448.55"/>
    <n v="0.05"/>
    <x v="0"/>
    <n v="1278.3675000000001"/>
  </r>
  <r>
    <s v="SALE845"/>
    <d v="2025-02-03T00:00:00"/>
    <s v="CUST1059"/>
    <s v="Alyssa Vargas"/>
    <s v="PROD94"/>
    <s v="Beauty"/>
    <s v="STORE13"/>
    <n v="3"/>
    <n v="904.96"/>
    <n v="7.0000000000000007E-2"/>
    <x v="2"/>
    <n v="2524.8384000000001"/>
  </r>
  <r>
    <s v="SALE846"/>
    <d v="2024-11-12T00:00:00"/>
    <s v="CUST1380"/>
    <s v="Shelley Ponce"/>
    <s v="PROD98"/>
    <s v="Electronics"/>
    <s v="STORE13"/>
    <n v="4"/>
    <n v="408.72"/>
    <n v="0.16"/>
    <x v="2"/>
    <n v="1373.2991999999999"/>
  </r>
  <r>
    <s v="SALE847"/>
    <d v="2024-04-30T00:00:00"/>
    <s v="CUST1282"/>
    <s v="Kristi Lopez"/>
    <s v="PROD91"/>
    <s v="Clothing"/>
    <s v="STORE3"/>
    <n v="4"/>
    <n v="770.65"/>
    <n v="0.27"/>
    <x v="0"/>
    <n v="2250.2979999999998"/>
  </r>
  <r>
    <s v="SALE848"/>
    <d v="2025-04-20T00:00:00"/>
    <s v="CUST1203"/>
    <s v="Sarah Brady"/>
    <s v="PROD43"/>
    <s v="Electronics"/>
    <s v="STORE6"/>
    <n v="1"/>
    <n v="649.22"/>
    <n v="0.03"/>
    <x v="2"/>
    <n v="629.74340000000007"/>
  </r>
  <r>
    <s v="SALE849"/>
    <d v="2024-05-16T00:00:00"/>
    <s v="CUST1348"/>
    <s v="Sherry Cabrera"/>
    <s v="PROD24"/>
    <s v="Sports"/>
    <s v="STORE10"/>
    <n v="2"/>
    <n v="379.78"/>
    <n v="0.2"/>
    <x v="0"/>
    <n v="607.64800000000002"/>
  </r>
  <r>
    <s v="SALE850"/>
    <d v="2025-04-23T00:00:00"/>
    <s v="CUST1248"/>
    <s v="Nicholas Webb"/>
    <s v="PROD87"/>
    <s v="Home"/>
    <s v="STORE8"/>
    <n v="3"/>
    <n v="924.15"/>
    <n v="0.1"/>
    <x v="1"/>
    <n v="2495.2049999999999"/>
  </r>
  <r>
    <s v="SALE851"/>
    <d v="2024-10-06T00:00:00"/>
    <s v="CUST1469"/>
    <s v="James Foster"/>
    <s v="PROD45"/>
    <s v="Sports"/>
    <s v="STORE17"/>
    <n v="3"/>
    <n v="144.66999999999999"/>
    <n v="0.28999999999999998"/>
    <x v="2"/>
    <n v="308.14710000000002"/>
  </r>
  <r>
    <s v="SALE852"/>
    <d v="2025-02-12T00:00:00"/>
    <s v="CUST1121"/>
    <s v="Joel Robinson"/>
    <s v="PROD33"/>
    <s v="Home"/>
    <s v="STORE15"/>
    <n v="2"/>
    <n v="667.17"/>
    <n v="0.1"/>
    <x v="1"/>
    <n v="1200.9059999999999"/>
  </r>
  <r>
    <s v="SALE853"/>
    <d v="2024-03-31T00:00:00"/>
    <s v="CUST1402"/>
    <s v="Cassandra Perez"/>
    <s v="PROD21"/>
    <s v="Home"/>
    <s v="STORE3"/>
    <n v="1"/>
    <n v="984.6"/>
    <n v="0.22"/>
    <x v="0"/>
    <n v="767.98800000000006"/>
  </r>
  <r>
    <s v="SALE854"/>
    <d v="2023-11-30T00:00:00"/>
    <s v="CUST1279"/>
    <s v="Aaron Luna"/>
    <s v="PROD13"/>
    <s v="Electronics"/>
    <s v="STORE8"/>
    <n v="1"/>
    <n v="139.29"/>
    <n v="0"/>
    <x v="0"/>
    <n v="139.29"/>
  </r>
  <r>
    <s v="SALE855"/>
    <d v="2025-02-14T00:00:00"/>
    <s v="CUST1033"/>
    <s v="Robert Jones Dds"/>
    <s v="PROD46"/>
    <s v="Clothing"/>
    <s v="STORE8"/>
    <n v="3"/>
    <n v="459.57"/>
    <n v="0.1"/>
    <x v="2"/>
    <n v="1240.8389999999999"/>
  </r>
  <r>
    <s v="SALE856"/>
    <d v="2024-01-11T00:00:00"/>
    <s v="CUST1066"/>
    <s v="Cody Diaz"/>
    <s v="PROD94"/>
    <s v="Beauty"/>
    <s v="STORE15"/>
    <n v="1"/>
    <n v="517.82000000000005"/>
    <n v="0.28999999999999998"/>
    <x v="0"/>
    <n v="367.65219999999999"/>
  </r>
  <r>
    <s v="SALE857"/>
    <d v="2024-12-27T00:00:00"/>
    <s v="CUST1379"/>
    <s v="Tanya Lopez"/>
    <s v="PROD20"/>
    <s v="Sports"/>
    <s v="STORE6"/>
    <n v="4"/>
    <n v="282.45"/>
    <n v="0.28999999999999998"/>
    <x v="2"/>
    <n v="802.1579999999999"/>
  </r>
  <r>
    <s v="SALE858"/>
    <d v="2023-11-20T00:00:00"/>
    <s v="CUST1455"/>
    <s v="Tyler Weber"/>
    <s v="PROD83"/>
    <s v="Beauty"/>
    <s v="STORE7"/>
    <n v="2"/>
    <n v="386.46"/>
    <n v="0.23"/>
    <x v="2"/>
    <n v="595.14840000000004"/>
  </r>
  <r>
    <s v="SALE859"/>
    <d v="2025-01-04T00:00:00"/>
    <s v="CUST1195"/>
    <s v="Anthony Garcia"/>
    <s v="PROD19"/>
    <s v="Sports"/>
    <s v="STORE3"/>
    <n v="1"/>
    <n v="270.45"/>
    <n v="0.15"/>
    <x v="2"/>
    <n v="229.88249999999999"/>
  </r>
  <r>
    <s v="SALE860"/>
    <d v="2024-07-20T00:00:00"/>
    <s v="CUST1041"/>
    <s v="James Gibbs"/>
    <s v="PROD22"/>
    <s v="Sports"/>
    <s v="STORE10"/>
    <n v="4"/>
    <n v="762.94"/>
    <n v="0.09"/>
    <x v="2"/>
    <n v="2777.1016"/>
  </r>
  <r>
    <s v="SALE861"/>
    <d v="2023-11-12T00:00:00"/>
    <s v="CUST1494"/>
    <s v="Justin Lopez"/>
    <s v="PROD28"/>
    <s v="Sports"/>
    <s v="STORE13"/>
    <n v="1"/>
    <n v="409.03"/>
    <n v="0.25"/>
    <x v="2"/>
    <n v="306.77249999999998"/>
  </r>
  <r>
    <s v="SALE862"/>
    <d v="2024-04-29T00:00:00"/>
    <s v="CUST1219"/>
    <s v="Jordan Wells"/>
    <s v="PROD37"/>
    <s v="Clothing"/>
    <s v="STORE18"/>
    <n v="2"/>
    <n v="891.13"/>
    <n v="0.13"/>
    <x v="0"/>
    <n v="1550.5662"/>
  </r>
  <r>
    <s v="SALE863"/>
    <d v="2024-10-28T00:00:00"/>
    <s v="CUST1032"/>
    <s v="Mike Jennings"/>
    <s v="PROD16"/>
    <s v="Beauty"/>
    <s v="STORE16"/>
    <n v="1"/>
    <n v="553.38"/>
    <n v="0.21"/>
    <x v="1"/>
    <n v="437.17020000000002"/>
  </r>
  <r>
    <s v="SALE864"/>
    <d v="2023-12-21T00:00:00"/>
    <s v="CUST1160"/>
    <s v="John Lawson"/>
    <s v="PROD47"/>
    <s v="Beauty"/>
    <s v="STORE13"/>
    <n v="2"/>
    <n v="652.29999999999995"/>
    <n v="0.16"/>
    <x v="2"/>
    <n v="1095.864"/>
  </r>
  <r>
    <s v="SALE865"/>
    <d v="2024-10-10T00:00:00"/>
    <s v="CUST1122"/>
    <s v="Michael Chang"/>
    <s v="PROD94"/>
    <s v="Beauty"/>
    <s v="STORE9"/>
    <n v="4"/>
    <n v="194.36"/>
    <n v="0.18"/>
    <x v="2"/>
    <n v="637.50080000000014"/>
  </r>
  <r>
    <s v="SALE866"/>
    <d v="2025-01-03T00:00:00"/>
    <s v="CUST1153"/>
    <s v="Joseph Faulkner"/>
    <s v="PROD72"/>
    <s v="Sports"/>
    <s v="STORE1"/>
    <n v="3"/>
    <n v="476.37"/>
    <n v="0.21"/>
    <x v="2"/>
    <n v="1128.9969000000001"/>
  </r>
  <r>
    <s v="SALE867"/>
    <d v="2024-03-09T00:00:00"/>
    <s v="CUST1365"/>
    <s v="Brandon Mcbride"/>
    <s v="PROD45"/>
    <s v="Sports"/>
    <s v="STORE5"/>
    <n v="3"/>
    <n v="174.57"/>
    <n v="0"/>
    <x v="1"/>
    <n v="523.71"/>
  </r>
  <r>
    <s v="SALE868"/>
    <d v="2024-08-22T00:00:00"/>
    <s v="CUST1119"/>
    <s v="Michael Jones"/>
    <s v="PROD90"/>
    <s v="Electronics"/>
    <s v="STORE0"/>
    <n v="3"/>
    <n v="762"/>
    <n v="0.02"/>
    <x v="1"/>
    <n v="2240.2800000000002"/>
  </r>
  <r>
    <s v="SALE869"/>
    <d v="2024-04-13T00:00:00"/>
    <s v="CUST1425"/>
    <s v="Bryce Hawkins"/>
    <s v="PROD75"/>
    <s v="Clothing"/>
    <s v="STORE19"/>
    <n v="1"/>
    <n v="44.08"/>
    <n v="0.05"/>
    <x v="0"/>
    <n v="41.875999999999998"/>
  </r>
  <r>
    <s v="SALE870"/>
    <d v="2024-06-23T00:00:00"/>
    <s v="CUST1495"/>
    <s v="James Berger"/>
    <s v="PROD61"/>
    <s v="Sports"/>
    <s v="STORE13"/>
    <n v="1"/>
    <n v="992.37"/>
    <n v="0.24"/>
    <x v="2"/>
    <n v="754.20119999999997"/>
  </r>
  <r>
    <s v="SALE871"/>
    <d v="2025-08-07T00:00:00"/>
    <s v="CUST1201"/>
    <s v="Mary Boyd"/>
    <s v="PROD87"/>
    <s v="Home"/>
    <s v="STORE10"/>
    <n v="3"/>
    <n v="465.4"/>
    <n v="0.28999999999999998"/>
    <x v="2"/>
    <n v="991.30199999999979"/>
  </r>
  <r>
    <s v="SALE872"/>
    <d v="2025-03-08T00:00:00"/>
    <s v="CUST1337"/>
    <s v="Carol Lewis"/>
    <s v="PROD71"/>
    <s v="Beauty"/>
    <s v="STORE10"/>
    <n v="2"/>
    <n v="693.61"/>
    <n v="0.15"/>
    <x v="1"/>
    <n v="1179.1369999999999"/>
  </r>
  <r>
    <s v="SALE873"/>
    <d v="2025-05-24T00:00:00"/>
    <s v="CUST1465"/>
    <s v="Ronald Ross"/>
    <s v="PROD67"/>
    <s v="Electronics"/>
    <s v="STORE8"/>
    <n v="2"/>
    <n v="995.11"/>
    <n v="0.13"/>
    <x v="1"/>
    <n v="1731.4914000000001"/>
  </r>
  <r>
    <s v="SALE874"/>
    <d v="2025-04-02T00:00:00"/>
    <s v="CUST1381"/>
    <s v="Erika Padilla"/>
    <s v="PROD5"/>
    <s v="Clothing"/>
    <s v="STORE4"/>
    <n v="3"/>
    <n v="70.97"/>
    <n v="0.06"/>
    <x v="2"/>
    <n v="200.1354"/>
  </r>
  <r>
    <s v="SALE875"/>
    <d v="2024-02-03T00:00:00"/>
    <s v="CUST1113"/>
    <s v="Edward Hall"/>
    <s v="PROD47"/>
    <s v="Beauty"/>
    <s v="STORE9"/>
    <n v="3"/>
    <n v="470.42"/>
    <n v="0.16"/>
    <x v="0"/>
    <n v="1185.4584"/>
  </r>
  <r>
    <s v="SALE876"/>
    <d v="2025-10-02T00:00:00"/>
    <s v="CUST1314"/>
    <s v="Elizabeth Johnson"/>
    <s v="PROD11"/>
    <s v="Electronics"/>
    <s v="STORE16"/>
    <n v="2"/>
    <n v="215.59"/>
    <n v="0.18"/>
    <x v="0"/>
    <n v="353.56760000000003"/>
  </r>
  <r>
    <s v="SALE877"/>
    <d v="2025-08-26T00:00:00"/>
    <s v="CUST1239"/>
    <s v="Maria Hill"/>
    <s v="PROD19"/>
    <s v="Sports"/>
    <s v="STORE0"/>
    <n v="1"/>
    <n v="533.79999999999995"/>
    <n v="0.27"/>
    <x v="2"/>
    <n v="389.67399999999998"/>
  </r>
  <r>
    <s v="SALE878"/>
    <d v="2024-11-18T00:00:00"/>
    <s v="CUST1093"/>
    <s v="Christy Vasquez"/>
    <s v="PROD5"/>
    <s v="Clothing"/>
    <s v="STORE3"/>
    <n v="2"/>
    <n v="732.67"/>
    <n v="0.24"/>
    <x v="1"/>
    <n v="1113.6584"/>
  </r>
  <r>
    <s v="SALE879"/>
    <d v="2023-11-17T00:00:00"/>
    <s v="CUST1489"/>
    <s v="Melinda Thomas"/>
    <s v="PROD89"/>
    <s v="Beauty"/>
    <s v="STORE13"/>
    <n v="4"/>
    <n v="106.48"/>
    <n v="0.1"/>
    <x v="2"/>
    <n v="383.32799999999997"/>
  </r>
  <r>
    <s v="SALE880"/>
    <d v="2025-02-08T00:00:00"/>
    <s v="CUST1105"/>
    <s v="Lance Baker"/>
    <s v="PROD39"/>
    <s v="Electronics"/>
    <s v="STORE3"/>
    <n v="1"/>
    <n v="38.950000000000003"/>
    <n v="0.28000000000000003"/>
    <x v="0"/>
    <n v="28.044"/>
  </r>
  <r>
    <s v="SALE881"/>
    <d v="2024-01-03T00:00:00"/>
    <s v="CUST1431"/>
    <s v="John Smith"/>
    <s v="PROD94"/>
    <s v="Beauty"/>
    <s v="STORE16"/>
    <n v="1"/>
    <n v="835.17"/>
    <n v="0.02"/>
    <x v="2"/>
    <n v="818.46659999999997"/>
  </r>
  <r>
    <s v="SALE882"/>
    <d v="2024-04-07T00:00:00"/>
    <s v="CUST1134"/>
    <s v="Morgan Bowen"/>
    <s v="PROD70"/>
    <s v="Home"/>
    <s v="STORE3"/>
    <n v="1"/>
    <n v="113.07"/>
    <n v="0.24"/>
    <x v="0"/>
    <n v="85.933199999999999"/>
  </r>
  <r>
    <s v="SALE883"/>
    <d v="2025-09-30T00:00:00"/>
    <s v="CUST1466"/>
    <s v="Cynthia Parrish"/>
    <s v="PROD48"/>
    <s v="Electronics"/>
    <s v="STORE12"/>
    <n v="2"/>
    <n v="451.33"/>
    <n v="0.23"/>
    <x v="2"/>
    <n v="695.04819999999995"/>
  </r>
  <r>
    <s v="SALE884"/>
    <d v="2024-06-13T00:00:00"/>
    <s v="CUST1372"/>
    <s v="Jacqueline Anthony"/>
    <s v="PROD72"/>
    <s v="Sports"/>
    <s v="STORE6"/>
    <n v="3"/>
    <n v="619.80999999999995"/>
    <n v="0.16"/>
    <x v="2"/>
    <n v="1561.9212"/>
  </r>
  <r>
    <s v="SALE885"/>
    <d v="2025-02-25T00:00:00"/>
    <s v="CUST1108"/>
    <s v="Travis Holland"/>
    <s v="PROD30"/>
    <s v="Home"/>
    <s v="STORE7"/>
    <n v="4"/>
    <n v="46.97"/>
    <n v="0.26"/>
    <x v="1"/>
    <n v="139.03120000000001"/>
  </r>
  <r>
    <s v="SALE886"/>
    <d v="2025-05-07T00:00:00"/>
    <s v="CUST1184"/>
    <s v="Leonard Cochran"/>
    <s v="PROD34"/>
    <s v="Electronics"/>
    <s v="STORE2"/>
    <n v="2"/>
    <n v="71.48"/>
    <n v="0.14000000000000001"/>
    <x v="2"/>
    <n v="122.9456"/>
  </r>
  <r>
    <s v="SALE887"/>
    <d v="2025-06-04T00:00:00"/>
    <s v="CUST1000"/>
    <s v="Sheena Bonilla  "/>
    <s v="PROD63"/>
    <s v="Beauty"/>
    <s v="STORE19"/>
    <n v="2"/>
    <n v="404.08"/>
    <n v="7.0000000000000007E-2"/>
    <x v="0"/>
    <n v="751.58879999999988"/>
  </r>
  <r>
    <s v="SALE888"/>
    <d v="2024-12-27T00:00:00"/>
    <s v="CUST1264"/>
    <s v="Matthew Payne"/>
    <s v="PROD22"/>
    <s v="Sports"/>
    <s v="STORE16"/>
    <n v="1"/>
    <n v="519.91"/>
    <n v="0.05"/>
    <x v="2"/>
    <n v="493.91449999999992"/>
  </r>
  <r>
    <s v="SALE889"/>
    <d v="2025-01-15T00:00:00"/>
    <s v="CUST1145"/>
    <s v="Cameron Simpson"/>
    <s v="PROD69"/>
    <s v="Clothing"/>
    <s v="STORE13"/>
    <n v="3"/>
    <n v="566.16"/>
    <n v="0.05"/>
    <x v="1"/>
    <n v="1613.556"/>
  </r>
  <r>
    <s v="SALE890"/>
    <d v="2025-05-22T00:00:00"/>
    <s v="CUST1392"/>
    <s v="Jacqueline Payne"/>
    <s v="PROD52"/>
    <s v="Sports"/>
    <s v="STORE10"/>
    <n v="2"/>
    <n v="295.12"/>
    <n v="0.09"/>
    <x v="2"/>
    <n v="537.11840000000007"/>
  </r>
  <r>
    <s v="SALE891"/>
    <d v="2025-07-10T00:00:00"/>
    <s v="CUST1109"/>
    <s v="Amy Walker"/>
    <s v="PROD34"/>
    <s v="Electronics"/>
    <s v="STORE11"/>
    <n v="2"/>
    <n v="414.18"/>
    <n v="0.25"/>
    <x v="1"/>
    <n v="621.27"/>
  </r>
  <r>
    <s v="SALE892"/>
    <d v="2025-09-18T00:00:00"/>
    <s v="CUST1268"/>
    <s v="Kevin Orr"/>
    <s v="PROD58"/>
    <s v="Clothing"/>
    <s v="STORE8"/>
    <n v="2"/>
    <n v="433.75"/>
    <n v="0"/>
    <x v="0"/>
    <n v="867.5"/>
  </r>
  <r>
    <s v="SALE893"/>
    <d v="2023-12-28T00:00:00"/>
    <s v="CUST1281"/>
    <s v="Brittany Watson"/>
    <s v="PROD55"/>
    <s v="Home"/>
    <s v="STORE19"/>
    <n v="3"/>
    <n v="104.33"/>
    <n v="0.13"/>
    <x v="2"/>
    <n v="272.30130000000003"/>
  </r>
  <r>
    <s v="SALE894"/>
    <d v="2024-07-04T00:00:00"/>
    <s v="CUST1464"/>
    <s v="David Pierce"/>
    <s v="PROD33"/>
    <s v="Home"/>
    <s v="STORE12"/>
    <n v="1"/>
    <n v="221.7"/>
    <n v="0.04"/>
    <x v="0"/>
    <n v="212.83199999999999"/>
  </r>
  <r>
    <s v="SALE895"/>
    <d v="2025-05-19T00:00:00"/>
    <s v="CUST1211"/>
    <s v="Rodney Huffman"/>
    <s v="PROD85"/>
    <s v="Clothing"/>
    <s v="STORE5"/>
    <n v="2"/>
    <n v="491.26"/>
    <n v="0.14000000000000001"/>
    <x v="2"/>
    <n v="844.96719999999993"/>
  </r>
  <r>
    <s v="SALE896"/>
    <d v="2024-12-04T00:00:00"/>
    <s v="CUST1181"/>
    <s v="Erin Ward"/>
    <s v="PROD63"/>
    <s v="Beauty"/>
    <s v="STORE8"/>
    <n v="4"/>
    <n v="923.14"/>
    <n v="0.15"/>
    <x v="0"/>
    <n v="3138.6759999999999"/>
  </r>
  <r>
    <s v="SALE897"/>
    <d v="2024-11-29T00:00:00"/>
    <s v="CUST1193"/>
    <s v="David Roberts"/>
    <s v="PROD64"/>
    <s v="Beauty"/>
    <s v="STORE7"/>
    <n v="2"/>
    <n v="747.65"/>
    <n v="0.08"/>
    <x v="0"/>
    <n v="1375.6759999999999"/>
  </r>
  <r>
    <s v="SALE898"/>
    <d v="2025-04-26T00:00:00"/>
    <s v="CUST1109"/>
    <s v="Amy Walker"/>
    <s v="PROD34"/>
    <s v="Electronics"/>
    <s v="STORE7"/>
    <n v="3"/>
    <n v="94.55"/>
    <n v="0.13"/>
    <x v="2"/>
    <n v="246.77549999999999"/>
  </r>
  <r>
    <s v="SALE899"/>
    <d v="2024-01-17T00:00:00"/>
    <s v="CUST1039"/>
    <s v="Tonya Reynolds"/>
    <s v="PROD74"/>
    <s v="Electronics"/>
    <s v="STORE19"/>
    <n v="3"/>
    <n v="620.12"/>
    <n v="0.06"/>
    <x v="0"/>
    <n v="1748.7384"/>
  </r>
  <r>
    <s v="SALE900"/>
    <d v="2025-07-31T00:00:00"/>
    <s v="CUST1486"/>
    <s v="Eric Lee"/>
    <s v="PROD40"/>
    <s v="Electronics"/>
    <s v="STORE6"/>
    <n v="2"/>
    <n v="354.09"/>
    <n v="0.12"/>
    <x v="2"/>
    <n v="623.19839999999999"/>
  </r>
  <r>
    <s v="SALE901"/>
    <d v="2024-11-25T00:00:00"/>
    <s v="CUST1130"/>
    <s v="Jamie Reyes"/>
    <s v="PROD41"/>
    <s v="Sports"/>
    <s v="STORE5"/>
    <n v="3"/>
    <n v="214.94"/>
    <n v="0.22"/>
    <x v="2"/>
    <n v="502.95960000000002"/>
  </r>
  <r>
    <s v="SALE902"/>
    <d v="2024-05-16T00:00:00"/>
    <s v="CUST1199"/>
    <s v="Carmen Price"/>
    <s v="PROD48"/>
    <s v="Electronics"/>
    <s v="STORE12"/>
    <n v="2"/>
    <n v="309.77999999999997"/>
    <n v="0.16"/>
    <x v="0"/>
    <n v="520.43039999999996"/>
  </r>
  <r>
    <s v="SALE903"/>
    <d v="2025-05-30T00:00:00"/>
    <s v="CUST1069"/>
    <s v="Roy Cole"/>
    <s v="PROD73"/>
    <s v="Sports"/>
    <s v="STORE3"/>
    <n v="2"/>
    <n v="183.85"/>
    <n v="0.14000000000000001"/>
    <x v="1"/>
    <n v="316.22199999999998"/>
  </r>
  <r>
    <s v="SALE904"/>
    <d v="2023-11-08T00:00:00"/>
    <s v="CUST1409"/>
    <s v="Sarah Smith"/>
    <s v="PROD97"/>
    <s v="Sports"/>
    <s v="STORE0"/>
    <n v="1"/>
    <n v="550.05999999999995"/>
    <n v="0.01"/>
    <x v="0"/>
    <n v="544.55939999999998"/>
  </r>
  <r>
    <s v="SALE905"/>
    <d v="2023-11-23T00:00:00"/>
    <s v="CUST1029"/>
    <s v="David Arnold"/>
    <s v="PROD86"/>
    <s v="Home"/>
    <s v="STORE4"/>
    <n v="2"/>
    <n v="32.19"/>
    <n v="0.13"/>
    <x v="2"/>
    <n v="56.010599999999997"/>
  </r>
  <r>
    <s v="SALE906"/>
    <d v="2024-06-17T00:00:00"/>
    <s v="CUST1138"/>
    <s v="Sean Roth"/>
    <s v="PROD46"/>
    <s v="Clothing"/>
    <s v="STORE19"/>
    <n v="2"/>
    <n v="892.06"/>
    <n v="0.08"/>
    <x v="0"/>
    <n v="1641.3904"/>
  </r>
  <r>
    <s v="SALE907"/>
    <d v="2024-12-02T00:00:00"/>
    <s v="CUST1472"/>
    <s v="Philip Mendoza"/>
    <s v="PROD34"/>
    <s v="Electronics"/>
    <s v="STORE6"/>
    <n v="1"/>
    <n v="127.47"/>
    <n v="0.16"/>
    <x v="2"/>
    <n v="107.0748"/>
  </r>
  <r>
    <s v="SALE908"/>
    <d v="2025-05-01T00:00:00"/>
    <s v="CUST1388"/>
    <s v="Timothy Valenzuela"/>
    <s v="PROD82"/>
    <s v="Sports"/>
    <s v="STORE14"/>
    <n v="3"/>
    <n v="212.87"/>
    <n v="0.18"/>
    <x v="0"/>
    <n v="523.66020000000003"/>
  </r>
  <r>
    <s v="SALE909"/>
    <d v="2024-06-28T00:00:00"/>
    <s v="CUST1181"/>
    <s v="Erin Ward"/>
    <s v="PROD63"/>
    <s v="Beauty"/>
    <s v="STORE7"/>
    <n v="1"/>
    <n v="26.37"/>
    <n v="0.3"/>
    <x v="2"/>
    <n v="18.459"/>
  </r>
  <r>
    <s v="SALE910"/>
    <d v="2025-04-23T00:00:00"/>
    <s v="CUST1466"/>
    <s v="Cynthia Parrish"/>
    <s v="PROD48"/>
    <s v="Electronics"/>
    <s v="STORE18"/>
    <n v="4"/>
    <n v="953.98"/>
    <n v="0.16"/>
    <x v="0"/>
    <n v="3205.3728000000001"/>
  </r>
  <r>
    <s v="SALE911"/>
    <d v="2024-03-18T00:00:00"/>
    <s v="CUST1215"/>
    <s v="Steve Medina"/>
    <s v="PROD32"/>
    <s v="Beauty"/>
    <s v="STORE19"/>
    <n v="3"/>
    <n v="968.88"/>
    <n v="0.15"/>
    <x v="0"/>
    <n v="2470.6439999999998"/>
  </r>
  <r>
    <s v="SALE912"/>
    <d v="2025-09-10T00:00:00"/>
    <s v="CUST1187"/>
    <s v="Dr. Suzanne Bullock"/>
    <s v="PROD13"/>
    <s v="Electronics"/>
    <s v="STORE18"/>
    <n v="1"/>
    <n v="533.04999999999995"/>
    <n v="0.11"/>
    <x v="1"/>
    <n v="474.41449999999998"/>
  </r>
  <r>
    <s v="SALE913"/>
    <d v="2024-12-11T00:00:00"/>
    <s v="CUST1381"/>
    <s v="Erika Padilla"/>
    <s v="PROD5"/>
    <s v="Clothing"/>
    <s v="STORE1"/>
    <n v="3"/>
    <n v="138.86000000000001"/>
    <n v="0.11"/>
    <x v="1"/>
    <n v="370.75619999999998"/>
  </r>
  <r>
    <s v="SALE914"/>
    <d v="2025-02-18T00:00:00"/>
    <s v="CUST1159"/>
    <s v="Brian Choi"/>
    <s v="PROD69"/>
    <s v="Clothing"/>
    <s v="STORE0"/>
    <n v="1"/>
    <n v="588.92999999999995"/>
    <n v="0.03"/>
    <x v="2"/>
    <n v="571.26209999999992"/>
  </r>
  <r>
    <s v="SALE915"/>
    <d v="2024-09-22T00:00:00"/>
    <s v="CUST1403"/>
    <s v="Justin Ingram"/>
    <s v="PROD17"/>
    <s v="Sports"/>
    <s v="STORE5"/>
    <n v="2"/>
    <n v="576.83000000000004"/>
    <n v="0.19"/>
    <x v="1"/>
    <n v="934.46460000000013"/>
  </r>
  <r>
    <s v="SALE916"/>
    <d v="2024-02-16T00:00:00"/>
    <s v="CUST1323"/>
    <s v="Kristy Dunlap"/>
    <s v="PROD49"/>
    <s v="Beauty"/>
    <s v="STORE12"/>
    <n v="1"/>
    <n v="681.3"/>
    <n v="0.05"/>
    <x v="0"/>
    <n v="647.2349999999999"/>
  </r>
  <r>
    <s v="SALE917"/>
    <d v="2024-05-29T00:00:00"/>
    <s v="CUST1457"/>
    <s v="Christina Robertson"/>
    <s v="PROD43"/>
    <s v="Electronics"/>
    <s v="STORE15"/>
    <n v="3"/>
    <n v="504.97"/>
    <n v="0.3"/>
    <x v="0"/>
    <n v="1060.4369999999999"/>
  </r>
  <r>
    <s v="SALE918"/>
    <d v="2024-04-14T00:00:00"/>
    <s v="CUST1060"/>
    <s v="Dr. David Smith"/>
    <s v="PROD38"/>
    <s v="Sports"/>
    <s v="STORE11"/>
    <n v="3"/>
    <n v="649.78"/>
    <n v="0.1"/>
    <x v="1"/>
    <n v="1754.4059999999999"/>
  </r>
  <r>
    <s v="SALE919"/>
    <d v="2024-01-26T00:00:00"/>
    <s v="CUST1245"/>
    <s v="Laura Soto"/>
    <s v="PROD39"/>
    <s v="Electronics"/>
    <s v="STORE9"/>
    <n v="2"/>
    <n v="986.73"/>
    <n v="0.05"/>
    <x v="1"/>
    <n v="1874.787"/>
  </r>
  <r>
    <s v="SALE920"/>
    <d v="2023-11-05T00:00:00"/>
    <s v="CUST1119"/>
    <s v="Michael Jones"/>
    <s v="PROD90"/>
    <s v="Electronics"/>
    <s v="STORE15"/>
    <n v="2"/>
    <n v="65.44"/>
    <n v="0.05"/>
    <x v="1"/>
    <n v="124.336"/>
  </r>
  <r>
    <s v="SALE921"/>
    <d v="2025-06-16T00:00:00"/>
    <s v="CUST1383"/>
    <s v="Kristine Higgins"/>
    <s v="PROD58"/>
    <s v="Clothing"/>
    <s v="STORE13"/>
    <n v="3"/>
    <n v="953.74"/>
    <n v="0.04"/>
    <x v="0"/>
    <n v="2746.7712000000001"/>
  </r>
  <r>
    <s v="SALE922"/>
    <d v="2024-09-08T00:00:00"/>
    <s v="CUST1067"/>
    <s v="Amber Mcclain"/>
    <s v="PROD46"/>
    <s v="Clothing"/>
    <s v="STORE10"/>
    <n v="3"/>
    <n v="904.48"/>
    <n v="0.21"/>
    <x v="1"/>
    <n v="2143.6176"/>
  </r>
  <r>
    <s v="SALE923"/>
    <d v="2024-10-30T00:00:00"/>
    <s v="CUST1492"/>
    <s v="Darrell Miller"/>
    <s v="PROD10"/>
    <s v="Home"/>
    <s v="STORE15"/>
    <n v="3"/>
    <n v="920.82"/>
    <n v="0.1"/>
    <x v="1"/>
    <n v="2486.2139999999999"/>
  </r>
  <r>
    <s v="SALE924"/>
    <d v="2025-05-26T00:00:00"/>
    <s v="CUST1305"/>
    <s v="Roberta Green"/>
    <s v="PROD28"/>
    <s v="Sports"/>
    <s v="STORE1"/>
    <n v="1"/>
    <n v="182.28"/>
    <n v="0.15"/>
    <x v="2"/>
    <n v="154.93799999999999"/>
  </r>
  <r>
    <s v="SALE925"/>
    <d v="2025-08-11T00:00:00"/>
    <s v="CUST1445"/>
    <s v="Gene Lee"/>
    <s v="PROD2"/>
    <s v="Clothing"/>
    <s v="STORE16"/>
    <n v="3"/>
    <n v="938.68"/>
    <n v="0.14000000000000001"/>
    <x v="0"/>
    <n v="2421.7944000000002"/>
  </r>
  <r>
    <s v="SALE926"/>
    <d v="2025-02-02T00:00:00"/>
    <s v="CUST1081"/>
    <s v="Krystal Ford"/>
    <s v="PROD45"/>
    <s v="Sports"/>
    <s v="STORE5"/>
    <n v="3"/>
    <n v="219.96"/>
    <n v="0.18"/>
    <x v="1"/>
    <n v="541.10160000000008"/>
  </r>
  <r>
    <s v="SALE927"/>
    <d v="2025-07-03T00:00:00"/>
    <s v="CUST1473"/>
    <s v="Laura Mathews"/>
    <s v="PROD50"/>
    <s v="Sports"/>
    <s v="STORE18"/>
    <n v="3"/>
    <n v="385.74"/>
    <n v="0.27"/>
    <x v="0"/>
    <n v="844.77059999999994"/>
  </r>
  <r>
    <s v="SALE928"/>
    <d v="2024-03-29T00:00:00"/>
    <s v="CUST1453"/>
    <s v="April Phillips"/>
    <s v="PROD12"/>
    <s v="Beauty"/>
    <s v="STORE18"/>
    <n v="2"/>
    <n v="830.94"/>
    <n v="0.28000000000000003"/>
    <x v="1"/>
    <n v="1196.5536"/>
  </r>
  <r>
    <s v="SALE929"/>
    <d v="2024-07-30T00:00:00"/>
    <s v="CUST1383"/>
    <s v="Kristine Higgins"/>
    <s v="PROD58"/>
    <s v="Clothing"/>
    <s v="STORE9"/>
    <n v="3"/>
    <n v="462.75"/>
    <n v="0.22"/>
    <x v="1"/>
    <n v="1082.835"/>
  </r>
  <r>
    <s v="SALE930"/>
    <d v="2024-10-02T00:00:00"/>
    <s v="CUST1067"/>
    <s v="Amber Mcclain"/>
    <s v="PROD46"/>
    <s v="Clothing"/>
    <s v="STORE15"/>
    <n v="4"/>
    <n v="973.9"/>
    <n v="0.02"/>
    <x v="2"/>
    <n v="3817.6880000000001"/>
  </r>
  <r>
    <s v="SALE931"/>
    <d v="2024-11-04T00:00:00"/>
    <s v="CUST1140"/>
    <s v="Patty Francis"/>
    <s v="PROD35"/>
    <s v="Home"/>
    <s v="STORE1"/>
    <n v="2"/>
    <n v="157.18"/>
    <n v="0.15"/>
    <x v="0"/>
    <n v="267.20600000000002"/>
  </r>
  <r>
    <s v="SALE932"/>
    <d v="2024-05-03T00:00:00"/>
    <s v="CUST1013"/>
    <s v="Nathan Hernandez"/>
    <s v="PROD24"/>
    <s v="Sports"/>
    <s v="STORE13"/>
    <n v="3"/>
    <n v="239.57"/>
    <n v="0.16"/>
    <x v="0"/>
    <n v="603.71640000000002"/>
  </r>
  <r>
    <s v="SALE933"/>
    <d v="2024-02-21T00:00:00"/>
    <s v="CUST1327"/>
    <s v="Reginald Willis"/>
    <s v="PROD1"/>
    <s v="Clothing"/>
    <s v="STORE16"/>
    <n v="4"/>
    <n v="583.21"/>
    <n v="0.2"/>
    <x v="0"/>
    <n v="1866.2719999999999"/>
  </r>
  <r>
    <s v="SALE934"/>
    <d v="2024-04-17T00:00:00"/>
    <s v="CUST1413"/>
    <s v="Megan Ryan"/>
    <s v="PROD70"/>
    <s v="Home"/>
    <s v="STORE8"/>
    <n v="3"/>
    <n v="758.75"/>
    <n v="0.27"/>
    <x v="1"/>
    <n v="1661.6624999999999"/>
  </r>
  <r>
    <s v="SALE935"/>
    <d v="2025-02-01T00:00:00"/>
    <s v="CUST1309"/>
    <s v="Stacy Collins"/>
    <s v="PROD61"/>
    <s v="Sports"/>
    <s v="STORE5"/>
    <n v="4"/>
    <n v="372.42"/>
    <n v="0.19"/>
    <x v="0"/>
    <n v="1206.6407999999999"/>
  </r>
  <r>
    <s v="SALE936"/>
    <d v="2025-02-11T00:00:00"/>
    <s v="CUST1154"/>
    <s v="Julie Hale"/>
    <s v="PROD63"/>
    <s v="Beauty"/>
    <s v="STORE19"/>
    <n v="4"/>
    <n v="286.27999999999997"/>
    <n v="0.28000000000000003"/>
    <x v="1"/>
    <n v="824.48639999999989"/>
  </r>
  <r>
    <s v="SALE937"/>
    <d v="2025-01-06T00:00:00"/>
    <s v="CUST1279"/>
    <s v="Aaron Luna"/>
    <s v="PROD13"/>
    <s v="Electronics"/>
    <s v="STORE11"/>
    <n v="3"/>
    <n v="488.37"/>
    <n v="0.27"/>
    <x v="2"/>
    <n v="1069.5302999999999"/>
  </r>
  <r>
    <s v="SALE938"/>
    <d v="2024-03-26T00:00:00"/>
    <s v="CUST1469"/>
    <s v="James Foster"/>
    <s v="PROD45"/>
    <s v="Sports"/>
    <s v="STORE8"/>
    <n v="3"/>
    <n v="662.82"/>
    <n v="0.01"/>
    <x v="2"/>
    <n v="1968.5753999999999"/>
  </r>
  <r>
    <s v="SALE939"/>
    <d v="2024-04-30T00:00:00"/>
    <s v="CUST1497"/>
    <s v="Sarah Marsh"/>
    <s v="PROD33"/>
    <s v="Home"/>
    <s v="STORE16"/>
    <n v="2"/>
    <n v="824.34"/>
    <n v="0.1"/>
    <x v="2"/>
    <n v="1483.8119999999999"/>
  </r>
  <r>
    <s v="SALE940"/>
    <d v="2024-02-27T00:00:00"/>
    <s v="CUST1113"/>
    <s v="Edward Hall"/>
    <s v="PROD47"/>
    <s v="Beauty"/>
    <s v="STORE8"/>
    <n v="1"/>
    <n v="437.12"/>
    <n v="0.21"/>
    <x v="0"/>
    <n v="345.32479999999998"/>
  </r>
  <r>
    <s v="SALE941"/>
    <d v="2024-07-13T00:00:00"/>
    <s v="CUST1357"/>
    <s v="Manuel Castillo"/>
    <s v="PROD17"/>
    <s v="Sports"/>
    <s v="STORE6"/>
    <n v="3"/>
    <n v="23.37"/>
    <n v="0.15"/>
    <x v="1"/>
    <n v="59.593499999999999"/>
  </r>
  <r>
    <s v="SALE942"/>
    <d v="2025-04-14T00:00:00"/>
    <s v="CUST1187"/>
    <s v="Dr. Suzanne Bullock"/>
    <s v="PROD13"/>
    <s v="Electronics"/>
    <s v="STORE8"/>
    <n v="1"/>
    <n v="579.69000000000005"/>
    <n v="0.02"/>
    <x v="0"/>
    <n v="568.09620000000007"/>
  </r>
  <r>
    <s v="SALE943"/>
    <d v="2024-12-13T00:00:00"/>
    <s v="CUST1430"/>
    <s v="Kimberly Roberts"/>
    <s v="PROD87"/>
    <s v="Home"/>
    <s v="STORE14"/>
    <n v="3"/>
    <n v="240.51"/>
    <n v="7.0000000000000007E-2"/>
    <x v="0"/>
    <n v="671.02289999999994"/>
  </r>
  <r>
    <s v="SALE944"/>
    <d v="2025-08-24T00:00:00"/>
    <s v="CUST1382"/>
    <s v="Martha Brown"/>
    <s v="PROD4"/>
    <s v="Clothing"/>
    <s v="STORE14"/>
    <n v="2"/>
    <n v="855.4"/>
    <n v="0.08"/>
    <x v="2"/>
    <n v="1573.9359999999999"/>
  </r>
  <r>
    <s v="SALE945"/>
    <d v="2023-10-28T00:00:00"/>
    <s v="CUST1007"/>
    <s v="Daniel Boyd"/>
    <s v="PROD67"/>
    <s v="Electronics"/>
    <s v="STORE7"/>
    <n v="1"/>
    <n v="537.26"/>
    <n v="0.09"/>
    <x v="0"/>
    <n v="488.90660000000003"/>
  </r>
  <r>
    <s v="SALE946"/>
    <d v="2024-12-11T00:00:00"/>
    <s v="CUST1384"/>
    <s v="Andrew Mason"/>
    <s v="PROD74"/>
    <s v="Electronics"/>
    <s v="STORE10"/>
    <n v="3"/>
    <n v="918.26"/>
    <n v="0.17"/>
    <x v="2"/>
    <n v="2286.4674"/>
  </r>
  <r>
    <s v="SALE947"/>
    <d v="2024-06-29T00:00:00"/>
    <s v="CUST1095"/>
    <s v="Amy Fowler"/>
    <s v="PROD40"/>
    <s v="Electronics"/>
    <s v="STORE9"/>
    <n v="4"/>
    <n v="579.70000000000005"/>
    <n v="0.18"/>
    <x v="1"/>
    <n v="1901.4159999999999"/>
  </r>
  <r>
    <s v="SALE948"/>
    <d v="2025-02-22T00:00:00"/>
    <s v="CUST1145"/>
    <s v="Cameron Simpson"/>
    <s v="PROD69"/>
    <s v="Clothing"/>
    <s v="STORE6"/>
    <n v="1"/>
    <n v="824.32"/>
    <n v="0.18"/>
    <x v="0"/>
    <n v="675.94240000000013"/>
  </r>
  <r>
    <s v="SALE949"/>
    <d v="2025-01-25T00:00:00"/>
    <s v="CUST1109"/>
    <s v="Amy Walker"/>
    <s v="PROD34"/>
    <s v="Electronics"/>
    <s v="STORE15"/>
    <n v="4"/>
    <n v="614.99"/>
    <n v="0.16"/>
    <x v="1"/>
    <n v="2066.3663999999999"/>
  </r>
  <r>
    <s v="SALE950"/>
    <d v="2025-03-14T00:00:00"/>
    <s v="CUST1128"/>
    <s v="Susan Mcdonald"/>
    <s v="PROD25"/>
    <s v="Clothing"/>
    <s v="STORE0"/>
    <n v="4"/>
    <n v="189.21"/>
    <n v="0.06"/>
    <x v="2"/>
    <n v="711.42959999999994"/>
  </r>
  <r>
    <s v="SALE951"/>
    <d v="2024-12-03T00:00:00"/>
    <s v="CUST1154"/>
    <s v="Julie Hale"/>
    <s v="PROD63"/>
    <s v="Beauty"/>
    <s v="STORE14"/>
    <n v="2"/>
    <n v="233.33"/>
    <n v="0.05"/>
    <x v="0"/>
    <n v="443.327"/>
  </r>
  <r>
    <s v="SALE952"/>
    <d v="2025-05-06T00:00:00"/>
    <s v="CUST1248"/>
    <s v="Nicholas Webb"/>
    <s v="PROD87"/>
    <s v="Home"/>
    <s v="STORE18"/>
    <n v="3"/>
    <n v="529.89"/>
    <n v="0.21"/>
    <x v="0"/>
    <n v="1255.8393000000001"/>
  </r>
  <r>
    <s v="SALE953"/>
    <d v="2024-08-14T00:00:00"/>
    <s v="CUST1489"/>
    <s v="Melinda Thomas"/>
    <s v="PROD89"/>
    <s v="Beauty"/>
    <s v="STORE1"/>
    <n v="2"/>
    <n v="954.1"/>
    <n v="0.17"/>
    <x v="1"/>
    <n v="1583.806"/>
  </r>
  <r>
    <s v="SALE954"/>
    <d v="2023-12-14T00:00:00"/>
    <s v="CUST1323"/>
    <s v="Kristy Dunlap"/>
    <s v="PROD49"/>
    <s v="Beauty"/>
    <s v="STORE7"/>
    <n v="1"/>
    <n v="370.04"/>
    <n v="0.04"/>
    <x v="2"/>
    <n v="355.23840000000001"/>
  </r>
  <r>
    <s v="SALE955"/>
    <d v="2024-01-06T00:00:00"/>
    <s v="CUST1061"/>
    <s v="Kristin Stein"/>
    <s v="PROD51"/>
    <s v="Electronics"/>
    <s v="STORE19"/>
    <n v="4"/>
    <n v="492.71"/>
    <n v="0.08"/>
    <x v="0"/>
    <n v="1813.1728000000001"/>
  </r>
  <r>
    <s v="SALE956"/>
    <d v="2024-08-26T00:00:00"/>
    <s v="CUST1280"/>
    <s v="Antonio Leon"/>
    <s v="PROD91"/>
    <s v="Clothing"/>
    <s v="STORE13"/>
    <n v="4"/>
    <n v="853.26"/>
    <n v="0.24"/>
    <x v="2"/>
    <n v="2593.9104000000002"/>
  </r>
  <r>
    <s v="SALE957"/>
    <d v="2025-03-24T00:00:00"/>
    <s v="CUST1406"/>
    <s v="David Lozano"/>
    <s v="PROD16"/>
    <s v="Beauty"/>
    <s v="STORE16"/>
    <n v="1"/>
    <n v="402.47"/>
    <n v="0.19"/>
    <x v="1"/>
    <n v="326.00070000000011"/>
  </r>
  <r>
    <s v="SALE958"/>
    <d v="2024-01-20T00:00:00"/>
    <s v="CUST1402"/>
    <s v="Cassandra Perez"/>
    <s v="PROD21"/>
    <s v="Home"/>
    <s v="STORE18"/>
    <n v="2"/>
    <n v="528.29999999999995"/>
    <n v="0.24"/>
    <x v="0"/>
    <n v="803.01599999999996"/>
  </r>
  <r>
    <s v="SALE959"/>
    <d v="2025-01-10T00:00:00"/>
    <s v="CUST1444"/>
    <s v="Cheryl Carr"/>
    <s v="PROD10"/>
    <s v="Home"/>
    <s v="STORE6"/>
    <n v="4"/>
    <n v="599.85"/>
    <n v="0.25"/>
    <x v="0"/>
    <n v="1799.55"/>
  </r>
  <r>
    <s v="SALE960"/>
    <d v="2023-12-21T00:00:00"/>
    <s v="CUST1303"/>
    <s v="John Sloan"/>
    <s v="PROD20"/>
    <s v="Sports"/>
    <s v="STORE9"/>
    <n v="2"/>
    <n v="61.42"/>
    <n v="0.08"/>
    <x v="1"/>
    <n v="113.0128"/>
  </r>
  <r>
    <s v="SALE961"/>
    <d v="2025-02-05T00:00:00"/>
    <s v="CUST1249"/>
    <s v="Lauren George"/>
    <s v="PROD19"/>
    <s v="Sports"/>
    <s v="STORE10"/>
    <n v="2"/>
    <n v="466.42"/>
    <n v="0.12"/>
    <x v="1"/>
    <n v="820.89920000000006"/>
  </r>
  <r>
    <s v="SALE962"/>
    <d v="2025-07-19T00:00:00"/>
    <s v="CUST1099"/>
    <s v="Sheila Wilson"/>
    <s v="PROD26"/>
    <s v="Electronics"/>
    <s v="STORE5"/>
    <n v="4"/>
    <n v="540.69000000000005"/>
    <n v="0.09"/>
    <x v="2"/>
    <n v="1968.1116"/>
  </r>
  <r>
    <s v="SALE963"/>
    <d v="2025-03-21T00:00:00"/>
    <s v="CUST1298"/>
    <s v="Tracy Stephens"/>
    <s v="PROD73"/>
    <s v="Sports"/>
    <s v="STORE13"/>
    <n v="3"/>
    <n v="677.46"/>
    <n v="0.05"/>
    <x v="0"/>
    <n v="1930.761"/>
  </r>
  <r>
    <s v="SALE964"/>
    <d v="2025-04-24T00:00:00"/>
    <s v="CUST1328"/>
    <s v="Mario Harvey Jr."/>
    <s v="PROD20"/>
    <s v="Sports"/>
    <s v="STORE1"/>
    <n v="3"/>
    <n v="614.63"/>
    <n v="0.06"/>
    <x v="1"/>
    <n v="1733.2565999999999"/>
  </r>
  <r>
    <s v="SALE965"/>
    <d v="2023-12-12T00:00:00"/>
    <s v="CUST1232"/>
    <s v="Christy Hill"/>
    <s v="PROD95"/>
    <s v="Sports"/>
    <s v="STORE8"/>
    <n v="4"/>
    <n v="649.52"/>
    <n v="0.11"/>
    <x v="0"/>
    <n v="2312.2912000000001"/>
  </r>
  <r>
    <s v="SALE966"/>
    <d v="2024-07-08T00:00:00"/>
    <s v="CUST1445"/>
    <s v="Gene Lee"/>
    <s v="PROD2"/>
    <s v="Clothing"/>
    <s v="STORE8"/>
    <n v="2"/>
    <n v="943.93"/>
    <n v="0.22"/>
    <x v="1"/>
    <n v="1472.5308"/>
  </r>
  <r>
    <s v="SALE967"/>
    <d v="2023-10-29T00:00:00"/>
    <s v="CUST1165"/>
    <s v="Jason Wheeler"/>
    <s v="PROD27"/>
    <s v="Home"/>
    <s v="STORE8"/>
    <n v="4"/>
    <n v="538.73"/>
    <n v="0.03"/>
    <x v="0"/>
    <n v="2090.2723999999998"/>
  </r>
  <r>
    <s v="SALE968"/>
    <d v="2024-05-20T00:00:00"/>
    <s v="CUST1088"/>
    <s v="Timothy Wright"/>
    <s v="PROD2"/>
    <s v="Clothing"/>
    <s v="STORE8"/>
    <n v="2"/>
    <n v="853.93"/>
    <n v="0.01"/>
    <x v="1"/>
    <n v="1690.7814000000001"/>
  </r>
  <r>
    <s v="SALE969"/>
    <d v="2025-09-14T00:00:00"/>
    <s v="CUST1491"/>
    <s v="Kaitlin Brown"/>
    <s v="PROD9"/>
    <s v="Sports"/>
    <s v="STORE4"/>
    <n v="4"/>
    <n v="465.42"/>
    <n v="0.26"/>
    <x v="2"/>
    <n v="1377.6432"/>
  </r>
  <r>
    <s v="SALE970"/>
    <d v="2025-04-11T00:00:00"/>
    <s v="CUST1055"/>
    <s v="Wayne Mcpherson"/>
    <s v="PROD15"/>
    <s v="Electronics"/>
    <s v="STORE11"/>
    <n v="4"/>
    <n v="880.26"/>
    <n v="0.11"/>
    <x v="2"/>
    <n v="3133.7256000000002"/>
  </r>
  <r>
    <s v="SALE971"/>
    <d v="2024-05-17T00:00:00"/>
    <s v="CUST1483"/>
    <s v="Sarah Smith"/>
    <s v="PROD12"/>
    <s v="Beauty"/>
    <s v="STORE11"/>
    <n v="3"/>
    <n v="461.02"/>
    <n v="0.28999999999999998"/>
    <x v="1"/>
    <n v="981.97259999999994"/>
  </r>
  <r>
    <s v="SALE972"/>
    <d v="2024-10-13T00:00:00"/>
    <s v="CUST1026"/>
    <s v="Amber Carlson"/>
    <s v="PROD1"/>
    <s v="Clothing"/>
    <s v="STORE13"/>
    <n v="1"/>
    <n v="531.99"/>
    <n v="0.17"/>
    <x v="1"/>
    <n v="441.55169999999998"/>
  </r>
  <r>
    <s v="SALE973"/>
    <d v="2024-07-13T00:00:00"/>
    <s v="CUST1004"/>
    <s v="Caroline Collins"/>
    <s v="PROD47"/>
    <s v="Beauty"/>
    <s v="STORE17"/>
    <n v="2"/>
    <n v="274.08999999999997"/>
    <n v="0.13"/>
    <x v="1"/>
    <n v="476.91660000000002"/>
  </r>
  <r>
    <s v="SALE974"/>
    <d v="2025-02-06T00:00:00"/>
    <s v="CUST1443"/>
    <s v="Adam Castro"/>
    <s v="PROD34"/>
    <s v="Electronics"/>
    <s v="STORE10"/>
    <n v="1"/>
    <n v="66.14"/>
    <n v="0.14000000000000001"/>
    <x v="2"/>
    <n v="56.880400000000002"/>
  </r>
  <r>
    <s v="SALE975"/>
    <d v="2025-08-06T00:00:00"/>
    <s v="CUST1077"/>
    <s v="Katherine Young"/>
    <s v="PROD21"/>
    <s v="Home"/>
    <s v="STORE9"/>
    <n v="3"/>
    <n v="955.82"/>
    <n v="0.16"/>
    <x v="2"/>
    <n v="2408.6664000000001"/>
  </r>
  <r>
    <s v="SALE976"/>
    <d v="2024-05-20T00:00:00"/>
    <s v="CUST1319"/>
    <s v="Casey Simpson"/>
    <s v="PROD49"/>
    <s v="Beauty"/>
    <s v="STORE12"/>
    <n v="1"/>
    <n v="904.92"/>
    <n v="0.13"/>
    <x v="0"/>
    <n v="787.28039999999999"/>
  </r>
  <r>
    <s v="SALE977"/>
    <d v="2024-10-10T00:00:00"/>
    <s v="CUST1000"/>
    <s v="Sheena Bonilla  "/>
    <s v="PROD63"/>
    <s v="Beauty"/>
    <s v="STORE7"/>
    <n v="3"/>
    <n v="490.02"/>
    <n v="0.26"/>
    <x v="0"/>
    <n v="1087.8444"/>
  </r>
  <r>
    <s v="SALE978"/>
    <d v="2024-02-18T00:00:00"/>
    <s v="CUST1363"/>
    <s v="Elizabeth Smith"/>
    <s v="PROD91"/>
    <s v="Clothing"/>
    <s v="STORE6"/>
    <n v="2"/>
    <n v="957.54"/>
    <n v="0.1"/>
    <x v="2"/>
    <n v="1723.5719999999999"/>
  </r>
  <r>
    <s v="SALE979"/>
    <d v="2025-09-26T00:00:00"/>
    <s v="CUST1329"/>
    <s v="Victor Mcintosh"/>
    <s v="PROD57"/>
    <s v="Sports"/>
    <s v="STORE13"/>
    <n v="2"/>
    <n v="314.39999999999998"/>
    <n v="7.0000000000000007E-2"/>
    <x v="1"/>
    <n v="584.78399999999988"/>
  </r>
  <r>
    <s v="SALE980"/>
    <d v="2024-03-22T00:00:00"/>
    <s v="CUST1394"/>
    <s v="Alejandro Evans"/>
    <s v="PROD89"/>
    <s v="Beauty"/>
    <s v="STORE6"/>
    <n v="3"/>
    <n v="480.11"/>
    <n v="0.11"/>
    <x v="1"/>
    <n v="1281.8937000000001"/>
  </r>
  <r>
    <s v="SALE981"/>
    <d v="2024-10-14T00:00:00"/>
    <s v="CUST1388"/>
    <s v="Timothy Valenzuela"/>
    <s v="PROD82"/>
    <s v="Sports"/>
    <s v="STORE6"/>
    <n v="4"/>
    <n v="826.55"/>
    <n v="0.28000000000000003"/>
    <x v="0"/>
    <n v="2380.4639999999999"/>
  </r>
  <r>
    <s v="SALE982"/>
    <d v="2025-05-28T00:00:00"/>
    <s v="CUST1190"/>
    <s v="Christopher Stewart"/>
    <s v="PROD27"/>
    <s v="Home"/>
    <s v="STORE3"/>
    <n v="3"/>
    <n v="530.16999999999996"/>
    <n v="0.18"/>
    <x v="1"/>
    <n v="1304.2182"/>
  </r>
  <r>
    <s v="SALE983"/>
    <d v="2024-08-18T00:00:00"/>
    <s v="CUST1407"/>
    <s v="Joseph Mendoza"/>
    <s v="PROD70"/>
    <s v="Home"/>
    <s v="STORE17"/>
    <n v="3"/>
    <n v="336.17"/>
    <n v="0.04"/>
    <x v="2"/>
    <n v="968.16959999999995"/>
  </r>
  <r>
    <s v="SALE984"/>
    <d v="2024-01-13T00:00:00"/>
    <s v="CUST1421"/>
    <s v="Holly Robinson"/>
    <s v="PROD81"/>
    <s v="Sports"/>
    <s v="STORE8"/>
    <n v="4"/>
    <n v="22.51"/>
    <n v="0.27"/>
    <x v="1"/>
    <n v="65.729200000000006"/>
  </r>
  <r>
    <s v="SALE985"/>
    <d v="2024-06-13T00:00:00"/>
    <s v="CUST1190"/>
    <s v="Christopher Stewart"/>
    <s v="PROD27"/>
    <s v="Home"/>
    <s v="STORE2"/>
    <n v="2"/>
    <n v="909.51"/>
    <n v="0.27"/>
    <x v="0"/>
    <n v="1327.8846000000001"/>
  </r>
  <r>
    <s v="SALE986"/>
    <d v="2025-04-29T00:00:00"/>
    <s v="CUST1052"/>
    <s v="Debra Liu"/>
    <s v="PROD51"/>
    <s v="Electronics"/>
    <s v="STORE14"/>
    <n v="4"/>
    <n v="593.84"/>
    <n v="0.24"/>
    <x v="1"/>
    <n v="1805.2736"/>
  </r>
  <r>
    <s v="SALE987"/>
    <d v="2024-10-01T00:00:00"/>
    <s v="CUST1109"/>
    <s v="Amy Walker"/>
    <s v="PROD34"/>
    <s v="Electronics"/>
    <s v="STORE10"/>
    <n v="3"/>
    <n v="909.11"/>
    <n v="0.23"/>
    <x v="2"/>
    <n v="2100.0441000000001"/>
  </r>
  <r>
    <s v="SALE988"/>
    <d v="2024-09-07T00:00:00"/>
    <s v="CUST1399"/>
    <s v="John Donaldson"/>
    <s v="PROD66"/>
    <s v="Beauty"/>
    <s v="STORE1"/>
    <n v="4"/>
    <n v="996.85"/>
    <n v="0.24"/>
    <x v="1"/>
    <n v="3030.424"/>
  </r>
  <r>
    <s v="SALE989"/>
    <d v="2025-06-26T00:00:00"/>
    <s v="CUST1300"/>
    <s v="Matthew Avery"/>
    <s v="PROD36"/>
    <s v="Clothing"/>
    <s v="STORE17"/>
    <n v="1"/>
    <n v="522.69000000000005"/>
    <n v="0.06"/>
    <x v="2"/>
    <n v="491.32860000000011"/>
  </r>
  <r>
    <s v="SALE990"/>
    <d v="2024-04-23T00:00:00"/>
    <s v="CUST1194"/>
    <s v="Ashley Ferguson"/>
    <s v="PROD54"/>
    <s v="Sports"/>
    <s v="STORE3"/>
    <n v="3"/>
    <n v="261.05"/>
    <n v="0.12"/>
    <x v="1"/>
    <n v="689.17200000000014"/>
  </r>
  <r>
    <s v="SALE991"/>
    <d v="2025-09-18T00:00:00"/>
    <s v="CUST1087"/>
    <s v="Melissa Duffy Md"/>
    <s v="PROD76"/>
    <s v="Electronics"/>
    <s v="STORE17"/>
    <n v="3"/>
    <n v="644.73"/>
    <n v="0.01"/>
    <x v="2"/>
    <n v="1914.8480999999999"/>
  </r>
  <r>
    <s v="SALE992"/>
    <d v="2023-10-18T00:00:00"/>
    <s v="CUST1198"/>
    <s v="Wanda Snyder"/>
    <s v="PROD12"/>
    <s v="Beauty"/>
    <s v="STORE2"/>
    <n v="2"/>
    <n v="541.52"/>
    <n v="0.26"/>
    <x v="1"/>
    <n v="801.44959999999992"/>
  </r>
  <r>
    <s v="SALE993"/>
    <d v="2023-11-29T00:00:00"/>
    <s v="CUST1426"/>
    <s v="Jeanette Nichols"/>
    <s v="PROD63"/>
    <s v="Beauty"/>
    <s v="STORE10"/>
    <n v="1"/>
    <n v="395.18"/>
    <n v="0.09"/>
    <x v="1"/>
    <n v="359.61380000000003"/>
  </r>
  <r>
    <s v="SALE994"/>
    <d v="2025-03-24T00:00:00"/>
    <s v="CUST1100"/>
    <s v="Diane Watson"/>
    <s v="PROD24"/>
    <s v="Sports"/>
    <s v="STORE8"/>
    <n v="4"/>
    <n v="56.37"/>
    <n v="0.17"/>
    <x v="0"/>
    <n v="187.14840000000001"/>
  </r>
  <r>
    <s v="SALE995"/>
    <d v="2025-09-08T00:00:00"/>
    <s v="CUST1209"/>
    <s v="Joan Johnson"/>
    <s v="PROD42"/>
    <s v="Electronics"/>
    <s v="STORE9"/>
    <n v="4"/>
    <n v="202.59"/>
    <n v="0.06"/>
    <x v="2"/>
    <n v="761.73839999999996"/>
  </r>
  <r>
    <s v="SALE996"/>
    <d v="2024-11-05T00:00:00"/>
    <s v="CUST1004"/>
    <s v="Caroline Collins"/>
    <s v="PROD47"/>
    <s v="Beauty"/>
    <s v="STORE5"/>
    <n v="2"/>
    <n v="358.36"/>
    <n v="0.05"/>
    <x v="1"/>
    <n v="680.88400000000001"/>
  </r>
  <r>
    <s v="SALE997"/>
    <d v="2024-08-31T00:00:00"/>
    <s v="CUST1072"/>
    <s v="Tonya Burch"/>
    <s v="PROD26"/>
    <s v="Electronics"/>
    <s v="STORE18"/>
    <n v="4"/>
    <n v="85.62"/>
    <n v="0.28000000000000003"/>
    <x v="2"/>
    <n v="246.5856"/>
  </r>
  <r>
    <s v="SALE998"/>
    <d v="2024-06-16T00:00:00"/>
    <s v="CUST1185"/>
    <s v="Brent Rivas"/>
    <s v="PROD79"/>
    <s v="Home"/>
    <s v="STORE17"/>
    <n v="4"/>
    <n v="929.26"/>
    <n v="0.23"/>
    <x v="1"/>
    <n v="2862.1208000000001"/>
  </r>
  <r>
    <s v="SALE999"/>
    <d v="2025-01-24T00:00:00"/>
    <s v="CUST1309"/>
    <s v="Stacy Collins"/>
    <s v="PROD61"/>
    <s v="Sports"/>
    <s v="STORE13"/>
    <n v="2"/>
    <n v="92.64"/>
    <n v="0.14000000000000001"/>
    <x v="2"/>
    <n v="159.3408"/>
  </r>
  <r>
    <s v="SALE1000"/>
    <d v="2025-03-09T00:00:00"/>
    <s v="CUST1248"/>
    <s v="Nicholas Webb"/>
    <s v="PROD87"/>
    <s v="Home"/>
    <s v="STORE4"/>
    <n v="4"/>
    <n v="139.05000000000001"/>
    <n v="0.28999999999999998"/>
    <x v="2"/>
    <n v="394.90199999999999"/>
  </r>
  <r>
    <s v="SALE1001"/>
    <d v="2024-06-18T00:00:00"/>
    <s v="CUST1140"/>
    <s v="Patty Francis"/>
    <s v="PROD35"/>
    <s v="Home"/>
    <s v="STORE4"/>
    <n v="3"/>
    <n v="155.87"/>
    <n v="0.03"/>
    <x v="2"/>
    <n v="453.58170000000001"/>
  </r>
  <r>
    <s v="SALE1002"/>
    <d v="2025-06-29T00:00:00"/>
    <s v="CUST1442"/>
    <s v="Kelli Smith"/>
    <s v="PROD56"/>
    <s v="Home"/>
    <s v="STORE16"/>
    <n v="4"/>
    <n v="115.42"/>
    <n v="0.03"/>
    <x v="2"/>
    <n v="447.82960000000003"/>
  </r>
  <r>
    <s v="SALE1003"/>
    <d v="2025-06-15T00:00:00"/>
    <s v="CUST1122"/>
    <s v="Michael Chang"/>
    <s v="PROD94"/>
    <s v="Beauty"/>
    <s v="STORE6"/>
    <n v="3"/>
    <n v="593.62"/>
    <n v="0.08"/>
    <x v="0"/>
    <n v="1638.3912"/>
  </r>
  <r>
    <s v="SALE1004"/>
    <d v="2025-03-17T00:00:00"/>
    <s v="CUST1353"/>
    <s v="Laura Green"/>
    <s v="PROD48"/>
    <s v="Electronics"/>
    <s v="STORE4"/>
    <n v="2"/>
    <n v="825.04"/>
    <n v="0.2"/>
    <x v="0"/>
    <n v="1320.0640000000001"/>
  </r>
  <r>
    <s v="SALE1005"/>
    <d v="2024-01-31T00:00:00"/>
    <s v="CUST1464"/>
    <s v="David Pierce"/>
    <s v="PROD33"/>
    <s v="Home"/>
    <s v="STORE13"/>
    <n v="1"/>
    <n v="963.76"/>
    <n v="0.14000000000000001"/>
    <x v="1"/>
    <n v="828.83359999999993"/>
  </r>
  <r>
    <s v="SALE1006"/>
    <d v="2024-05-03T00:00:00"/>
    <s v="CUST1292"/>
    <s v="Ricardo Jones"/>
    <s v="PROD99"/>
    <s v="Home"/>
    <s v="STORE6"/>
    <n v="1"/>
    <n v="238.24"/>
    <n v="0.12"/>
    <x v="1"/>
    <n v="209.65119999999999"/>
  </r>
  <r>
    <s v="SALE1007"/>
    <d v="2024-12-18T00:00:00"/>
    <s v="CUST1457"/>
    <s v="Christina Robertson"/>
    <s v="PROD43"/>
    <s v="Electronics"/>
    <s v="STORE16"/>
    <n v="1"/>
    <n v="756.63"/>
    <n v="0.04"/>
    <x v="1"/>
    <n v="726.36479999999995"/>
  </r>
  <r>
    <s v="SALE1008"/>
    <d v="2025-07-07T00:00:00"/>
    <s v="CUST1019"/>
    <s v="Michael Torres"/>
    <s v="PROD76"/>
    <s v="Electronics"/>
    <s v="STORE7"/>
    <n v="3"/>
    <n v="159.76"/>
    <n v="0.22"/>
    <x v="0"/>
    <n v="373.83839999999998"/>
  </r>
  <r>
    <s v="SALE1009"/>
    <d v="2024-03-03T00:00:00"/>
    <s v="CUST1368"/>
    <s v="Miranda King"/>
    <s v="PROD12"/>
    <s v="Beauty"/>
    <s v="STORE8"/>
    <n v="1"/>
    <n v="329.94"/>
    <n v="0.14000000000000001"/>
    <x v="2"/>
    <n v="283.7484"/>
  </r>
  <r>
    <s v="SALE1010"/>
    <d v="2025-03-04T00:00:00"/>
    <s v="CUST1060"/>
    <s v="Dr. David Smith"/>
    <s v="PROD38"/>
    <s v="Sports"/>
    <s v="STORE8"/>
    <n v="1"/>
    <n v="234.06"/>
    <n v="0.11"/>
    <x v="1"/>
    <n v="208.3134"/>
  </r>
  <r>
    <s v="SALE1011"/>
    <d v="2023-12-18T00:00:00"/>
    <s v="CUST1317"/>
    <s v="Tiffany Williams"/>
    <s v="PROD10"/>
    <s v="Home"/>
    <s v="STORE0"/>
    <n v="2"/>
    <n v="773.75"/>
    <n v="0.16"/>
    <x v="1"/>
    <n v="1299.9000000000001"/>
  </r>
  <r>
    <s v="SALE1012"/>
    <d v="2024-05-10T00:00:00"/>
    <s v="CUST1436"/>
    <s v="Sharon Simpson"/>
    <s v="PROD52"/>
    <s v="Sports"/>
    <s v="STORE18"/>
    <n v="1"/>
    <n v="73.88"/>
    <n v="0.04"/>
    <x v="0"/>
    <n v="70.924799999999991"/>
  </r>
  <r>
    <s v="SALE1013"/>
    <d v="2024-02-15T00:00:00"/>
    <s v="CUST1005"/>
    <s v="Christine Vaughn"/>
    <s v="PROD61"/>
    <s v="Sports"/>
    <s v="STORE18"/>
    <n v="1"/>
    <n v="859.3"/>
    <n v="0.16"/>
    <x v="1"/>
    <n v="721.8119999999999"/>
  </r>
  <r>
    <s v="SALE1014"/>
    <d v="2024-09-29T00:00:00"/>
    <s v="CUST1129"/>
    <s v="Jessica Mitchell"/>
    <s v="PROD91"/>
    <s v="Clothing"/>
    <s v="STORE6"/>
    <n v="4"/>
    <n v="762.43"/>
    <n v="0.05"/>
    <x v="0"/>
    <n v="2897.233999999999"/>
  </r>
  <r>
    <s v="SALE1015"/>
    <d v="2024-05-12T00:00:00"/>
    <s v="CUST1124"/>
    <s v="Donald Lee"/>
    <s v="PROD22"/>
    <s v="Sports"/>
    <s v="STORE0"/>
    <n v="1"/>
    <n v="328.51"/>
    <n v="0.2"/>
    <x v="2"/>
    <n v="262.80799999999999"/>
  </r>
  <r>
    <s v="SALE1016"/>
    <d v="2025-03-03T00:00:00"/>
    <s v="CUST1274"/>
    <s v="Sarah Lane"/>
    <s v="PROD47"/>
    <s v="Beauty"/>
    <s v="STORE4"/>
    <n v="1"/>
    <n v="34.51"/>
    <n v="0.04"/>
    <x v="2"/>
    <n v="33.129600000000003"/>
  </r>
  <r>
    <s v="SALE1017"/>
    <d v="2023-11-20T00:00:00"/>
    <s v="CUST1105"/>
    <s v="Lance Baker"/>
    <s v="PROD39"/>
    <s v="Electronics"/>
    <s v="STORE11"/>
    <n v="3"/>
    <n v="663.73"/>
    <n v="0.06"/>
    <x v="2"/>
    <n v="1871.7185999999999"/>
  </r>
  <r>
    <s v="SALE1018"/>
    <d v="2024-07-06T00:00:00"/>
    <s v="CUST1246"/>
    <s v="Mary Russell"/>
    <s v="PROD72"/>
    <s v="Sports"/>
    <s v="STORE9"/>
    <n v="1"/>
    <n v="409.41"/>
    <n v="0.13"/>
    <x v="1"/>
    <n v="356.18669999999997"/>
  </r>
  <r>
    <s v="SALE1019"/>
    <d v="2025-03-11T00:00:00"/>
    <s v="CUST1092"/>
    <s v="Robert Jackson"/>
    <s v="PROD10"/>
    <s v="Home"/>
    <s v="STORE3"/>
    <n v="3"/>
    <n v="461.03"/>
    <n v="0.11"/>
    <x v="1"/>
    <n v="1230.9501"/>
  </r>
  <r>
    <s v="SALE1020"/>
    <d v="2024-04-12T00:00:00"/>
    <s v="CUST1368"/>
    <s v="Miranda King"/>
    <s v="PROD12"/>
    <s v="Beauty"/>
    <s v="STORE14"/>
    <n v="2"/>
    <n v="760.14"/>
    <n v="0.02"/>
    <x v="2"/>
    <n v="1489.8743999999999"/>
  </r>
  <r>
    <s v="SALE1021"/>
    <d v="2025-04-26T00:00:00"/>
    <s v="CUST1278"/>
    <s v="Stephen Fowler"/>
    <s v="PROD88"/>
    <s v="Sports"/>
    <s v="STORE1"/>
    <n v="3"/>
    <n v="688.76"/>
    <n v="0.12"/>
    <x v="1"/>
    <n v="1818.3263999999999"/>
  </r>
  <r>
    <s v="SALE1022"/>
    <d v="2025-05-02T00:00:00"/>
    <s v="CUST1159"/>
    <s v="Brian Choi"/>
    <s v="PROD69"/>
    <s v="Clothing"/>
    <s v="STORE9"/>
    <n v="2"/>
    <n v="257.77999999999997"/>
    <n v="0.05"/>
    <x v="0"/>
    <n v="489.78199999999993"/>
  </r>
  <r>
    <s v="SALE1023"/>
    <d v="2024-04-18T00:00:00"/>
    <s v="CUST1052"/>
    <s v="Debra Liu"/>
    <s v="PROD51"/>
    <s v="Electronics"/>
    <s v="STORE7"/>
    <n v="2"/>
    <n v="314.29000000000002"/>
    <n v="0.19"/>
    <x v="2"/>
    <n v="509.14980000000008"/>
  </r>
  <r>
    <s v="SALE1024"/>
    <d v="2024-08-16T00:00:00"/>
    <s v="CUST1155"/>
    <s v="Curtis Haynes"/>
    <s v="PROD72"/>
    <s v="Sports"/>
    <s v="STORE14"/>
    <n v="3"/>
    <n v="336.09"/>
    <n v="0.01"/>
    <x v="1"/>
    <n v="998.18729999999994"/>
  </r>
  <r>
    <s v="SALE1025"/>
    <d v="2025-07-23T00:00:00"/>
    <s v="CUST1002"/>
    <s v="Dr. Benjamin Price"/>
    <s v="PROD79"/>
    <s v="Home"/>
    <s v="STORE17"/>
    <n v="3"/>
    <n v="202.07"/>
    <n v="0.23"/>
    <x v="1"/>
    <n v="466.78170000000011"/>
  </r>
  <r>
    <s v="SALE1026"/>
    <d v="2025-05-04T00:00:00"/>
    <s v="CUST1310"/>
    <s v="Kara Dodson"/>
    <s v="PROD17"/>
    <s v="Sports"/>
    <s v="STORE8"/>
    <n v="2"/>
    <n v="485.25"/>
    <n v="0.28000000000000003"/>
    <x v="0"/>
    <n v="698.76"/>
  </r>
  <r>
    <s v="SALE1027"/>
    <d v="2025-09-06T00:00:00"/>
    <s v="CUST1171"/>
    <s v="Amy Wilson"/>
    <s v="PROD90"/>
    <s v="Electronics"/>
    <s v="STORE10"/>
    <n v="4"/>
    <n v="552.38"/>
    <n v="0.1"/>
    <x v="1"/>
    <n v="1988.568"/>
  </r>
  <r>
    <s v="SALE1028"/>
    <d v="2023-11-21T00:00:00"/>
    <s v="CUST1107"/>
    <s v="Erica Carney"/>
    <s v="PROD75"/>
    <s v="Clothing"/>
    <s v="STORE17"/>
    <n v="4"/>
    <n v="377.26"/>
    <n v="0.22"/>
    <x v="2"/>
    <n v="1177.0512000000001"/>
  </r>
  <r>
    <s v="SALE1029"/>
    <d v="2023-11-27T00:00:00"/>
    <s v="CUST1053"/>
    <s v="Sharon Brown"/>
    <s v="PROD37"/>
    <s v="Clothing"/>
    <s v="STORE19"/>
    <n v="4"/>
    <n v="189.07"/>
    <n v="0.1"/>
    <x v="2"/>
    <n v="680.65200000000004"/>
  </r>
  <r>
    <s v="SALE1030"/>
    <d v="2025-06-10T00:00:00"/>
    <s v="CUST1499"/>
    <s v="Philip Pennington"/>
    <s v="PROD55"/>
    <s v="Home"/>
    <s v="STORE4"/>
    <n v="3"/>
    <n v="272.27"/>
    <n v="0.01"/>
    <x v="0"/>
    <n v="808.64189999999996"/>
  </r>
  <r>
    <s v="SALE1031"/>
    <d v="2025-05-29T00:00:00"/>
    <s v="CUST1264"/>
    <s v="Matthew Payne"/>
    <s v="PROD22"/>
    <s v="Sports"/>
    <s v="STORE11"/>
    <n v="1"/>
    <n v="209.39"/>
    <n v="0.28000000000000003"/>
    <x v="1"/>
    <n v="150.76079999999999"/>
  </r>
  <r>
    <s v="SALE1032"/>
    <d v="2023-12-28T00:00:00"/>
    <s v="CUST1053"/>
    <s v="Sharon Brown"/>
    <s v="PROD37"/>
    <s v="Clothing"/>
    <s v="STORE9"/>
    <n v="1"/>
    <n v="813.87"/>
    <n v="0.23"/>
    <x v="0"/>
    <n v="626.67989999999998"/>
  </r>
  <r>
    <s v="SALE1033"/>
    <d v="2025-05-06T00:00:00"/>
    <s v="CUST1257"/>
    <s v="Christopher David"/>
    <s v="PROD85"/>
    <s v="Clothing"/>
    <s v="STORE0"/>
    <n v="1"/>
    <n v="143.69999999999999"/>
    <n v="0.19"/>
    <x v="1"/>
    <n v="116.39700000000001"/>
  </r>
  <r>
    <s v="SALE1034"/>
    <d v="2024-04-03T00:00:00"/>
    <s v="CUST1470"/>
    <s v="Manuel Fisher"/>
    <s v="PROD59"/>
    <s v="Beauty"/>
    <s v="STORE1"/>
    <n v="4"/>
    <n v="837.34"/>
    <n v="0.05"/>
    <x v="1"/>
    <n v="3181.8919999999998"/>
  </r>
  <r>
    <s v="SALE1035"/>
    <d v="2025-08-09T00:00:00"/>
    <s v="CUST1120"/>
    <s v="Jacob Hopkins"/>
    <s v="PROD73"/>
    <s v="Sports"/>
    <s v="STORE19"/>
    <n v="1"/>
    <n v="151.66"/>
    <n v="0.16"/>
    <x v="2"/>
    <n v="127.3944"/>
  </r>
  <r>
    <s v="SALE1036"/>
    <d v="2025-03-04T00:00:00"/>
    <s v="CUST1499"/>
    <s v="Philip Pennington"/>
    <s v="PROD55"/>
    <s v="Home"/>
    <s v="STORE8"/>
    <n v="3"/>
    <n v="961.4"/>
    <n v="0.02"/>
    <x v="1"/>
    <n v="2826.5160000000001"/>
  </r>
  <r>
    <s v="SALE1037"/>
    <d v="2024-07-30T00:00:00"/>
    <s v="CUST1370"/>
    <s v="James Holloway Jr."/>
    <s v="PROD37"/>
    <s v="Clothing"/>
    <s v="STORE18"/>
    <n v="4"/>
    <n v="475.98"/>
    <n v="0.19"/>
    <x v="1"/>
    <n v="1542.1751999999999"/>
  </r>
  <r>
    <s v="SALE1038"/>
    <d v="2024-09-16T00:00:00"/>
    <s v="CUST1380"/>
    <s v="Shelley Ponce"/>
    <s v="PROD98"/>
    <s v="Electronics"/>
    <s v="STORE15"/>
    <n v="4"/>
    <n v="132.88999999999999"/>
    <n v="0.12"/>
    <x v="0"/>
    <n v="467.77280000000002"/>
  </r>
  <r>
    <s v="SALE1039"/>
    <d v="2025-07-12T00:00:00"/>
    <s v="CUST1437"/>
    <s v="Melinda Rivera"/>
    <s v="PROD88"/>
    <s v="Sports"/>
    <s v="STORE12"/>
    <n v="3"/>
    <n v="471.31"/>
    <n v="0"/>
    <x v="1"/>
    <n v="1413.93"/>
  </r>
  <r>
    <s v="SALE1040"/>
    <d v="2024-05-29T00:00:00"/>
    <s v="CUST1464"/>
    <s v="David Pierce"/>
    <s v="PROD33"/>
    <s v="Home"/>
    <s v="STORE14"/>
    <n v="2"/>
    <n v="720.32"/>
    <n v="0.26"/>
    <x v="0"/>
    <n v="1066.0735999999999"/>
  </r>
  <r>
    <s v="SALE1041"/>
    <d v="2024-05-19T00:00:00"/>
    <s v="CUST1075"/>
    <s v="Rhonda Morales"/>
    <s v="PROD16"/>
    <s v="Beauty"/>
    <s v="STORE18"/>
    <n v="4"/>
    <n v="99.92"/>
    <n v="0.11"/>
    <x v="2"/>
    <n v="355.71519999999998"/>
  </r>
  <r>
    <s v="SALE1042"/>
    <d v="2025-08-04T00:00:00"/>
    <s v="CUST1067"/>
    <s v="Amber Mcclain"/>
    <s v="PROD46"/>
    <s v="Clothing"/>
    <s v="STORE3"/>
    <n v="3"/>
    <n v="900.63"/>
    <n v="0.11"/>
    <x v="2"/>
    <n v="2404.6821"/>
  </r>
  <r>
    <s v="SALE1043"/>
    <d v="2024-12-03T00:00:00"/>
    <s v="CUST1442"/>
    <s v="Kelli Smith"/>
    <s v="PROD56"/>
    <s v="Home"/>
    <s v="STORE8"/>
    <n v="1"/>
    <n v="681.72"/>
    <n v="0.11"/>
    <x v="1"/>
    <n v="606.73080000000004"/>
  </r>
  <r>
    <s v="SALE1044"/>
    <d v="2023-10-23T00:00:00"/>
    <s v="CUST1009"/>
    <s v="Ms. Maria Leach"/>
    <s v="PROD78"/>
    <s v="Home"/>
    <s v="STORE13"/>
    <n v="2"/>
    <n v="838.22"/>
    <n v="0.3"/>
    <x v="0"/>
    <n v="1173.508"/>
  </r>
  <r>
    <s v="SALE1045"/>
    <d v="2025-05-20T00:00:00"/>
    <s v="CUST1194"/>
    <s v="Ashley Ferguson"/>
    <s v="PROD54"/>
    <s v="Sports"/>
    <s v="STORE12"/>
    <n v="2"/>
    <n v="816.22"/>
    <n v="0.27"/>
    <x v="0"/>
    <n v="1191.6812"/>
  </r>
  <r>
    <s v="SALE1046"/>
    <d v="2024-09-19T00:00:00"/>
    <s v="CUST1380"/>
    <s v="Shelley Ponce"/>
    <s v="PROD98"/>
    <s v="Electronics"/>
    <s v="STORE7"/>
    <n v="2"/>
    <n v="654.12"/>
    <n v="0.27"/>
    <x v="1"/>
    <n v="955.01519999999994"/>
  </r>
  <r>
    <s v="SALE1047"/>
    <d v="2024-04-03T00:00:00"/>
    <s v="CUST1105"/>
    <s v="Lance Baker"/>
    <s v="PROD39"/>
    <s v="Electronics"/>
    <s v="STORE13"/>
    <n v="4"/>
    <n v="528.22"/>
    <n v="0.2"/>
    <x v="1"/>
    <n v="1690.3040000000001"/>
  </r>
  <r>
    <s v="SALE1048"/>
    <d v="2025-02-16T00:00:00"/>
    <s v="CUST1221"/>
    <s v="Lisa Young"/>
    <s v="PROD83"/>
    <s v="Beauty"/>
    <s v="STORE7"/>
    <n v="4"/>
    <n v="36.72"/>
    <n v="7.0000000000000007E-2"/>
    <x v="2"/>
    <n v="136.5984"/>
  </r>
  <r>
    <s v="SALE1049"/>
    <d v="2024-09-10T00:00:00"/>
    <s v="CUST1370"/>
    <s v="James Holloway Jr."/>
    <s v="PROD37"/>
    <s v="Clothing"/>
    <s v="STORE19"/>
    <n v="2"/>
    <n v="705.97"/>
    <n v="0.1"/>
    <x v="1"/>
    <n v="1270.7460000000001"/>
  </r>
  <r>
    <s v="SALE1050"/>
    <d v="2025-03-20T00:00:00"/>
    <s v="CUST1023"/>
    <s v="Jonathan Steele"/>
    <s v="PROD68"/>
    <s v="Home"/>
    <s v="STORE1"/>
    <n v="2"/>
    <n v="994.29"/>
    <n v="0.01"/>
    <x v="1"/>
    <n v="1968.6941999999999"/>
  </r>
  <r>
    <s v="SALE1051"/>
    <d v="2024-11-12T00:00:00"/>
    <s v="CUST1421"/>
    <s v="Holly Robinson"/>
    <s v="PROD81"/>
    <s v="Sports"/>
    <s v="STORE18"/>
    <n v="1"/>
    <n v="909.04"/>
    <n v="0.11"/>
    <x v="0"/>
    <n v="809.04560000000004"/>
  </r>
  <r>
    <s v="SALE1052"/>
    <d v="2024-02-12T00:00:00"/>
    <s v="CUST1349"/>
    <s v="Heather Valenzuela"/>
    <s v="PROD71"/>
    <s v="Beauty"/>
    <s v="STORE11"/>
    <n v="1"/>
    <n v="164.73"/>
    <n v="0.12"/>
    <x v="1"/>
    <n v="144.9624"/>
  </r>
  <r>
    <s v="SALE1053"/>
    <d v="2025-02-02T00:00:00"/>
    <s v="CUST1062"/>
    <s v="James Bean"/>
    <s v="PROD84"/>
    <s v="Home"/>
    <s v="STORE7"/>
    <n v="2"/>
    <n v="606.35"/>
    <n v="0.16"/>
    <x v="2"/>
    <n v="1018.668"/>
  </r>
  <r>
    <s v="SALE1054"/>
    <d v="2024-07-08T00:00:00"/>
    <s v="CUST1163"/>
    <s v="Joseph Jones"/>
    <s v="PROD97"/>
    <s v="Sports"/>
    <s v="STORE4"/>
    <n v="3"/>
    <n v="904.19"/>
    <n v="0.09"/>
    <x v="0"/>
    <n v="2468.4387000000002"/>
  </r>
  <r>
    <s v="SALE1055"/>
    <d v="2024-10-11T00:00:00"/>
    <s v="CUST1151"/>
    <s v="Michael Davies"/>
    <s v="PROD24"/>
    <s v="Sports"/>
    <s v="STORE2"/>
    <n v="4"/>
    <n v="694.61"/>
    <n v="0.18"/>
    <x v="2"/>
    <n v="2278.3208"/>
  </r>
  <r>
    <s v="SALE1056"/>
    <d v="2023-10-16T00:00:00"/>
    <s v="CUST1225"/>
    <s v="Elizabeth Stanley"/>
    <s v="PROD19"/>
    <s v="Sports"/>
    <s v="STORE2"/>
    <n v="4"/>
    <n v="753.83"/>
    <n v="0.24"/>
    <x v="0"/>
    <n v="2291.6432"/>
  </r>
  <r>
    <s v="SALE1057"/>
    <d v="2024-12-27T00:00:00"/>
    <s v="CUST1197"/>
    <s v="Andrea Jacobs"/>
    <s v="PROD37"/>
    <s v="Clothing"/>
    <s v="STORE8"/>
    <n v="1"/>
    <n v="66.22"/>
    <n v="0.02"/>
    <x v="0"/>
    <n v="64.895600000000002"/>
  </r>
  <r>
    <s v="SALE1058"/>
    <d v="2023-11-11T00:00:00"/>
    <s v="CUST1337"/>
    <s v="Carol Lewis"/>
    <s v="PROD71"/>
    <s v="Beauty"/>
    <s v="STORE14"/>
    <n v="2"/>
    <n v="891.8"/>
    <n v="0.28999999999999998"/>
    <x v="2"/>
    <n v="1266.356"/>
  </r>
  <r>
    <s v="SALE1059"/>
    <d v="2024-05-16T00:00:00"/>
    <s v="CUST1363"/>
    <s v="Elizabeth Smith"/>
    <s v="PROD91"/>
    <s v="Clothing"/>
    <s v="STORE9"/>
    <n v="4"/>
    <n v="255.48"/>
    <n v="0.03"/>
    <x v="2"/>
    <n v="991.26239999999996"/>
  </r>
  <r>
    <s v="SALE1060"/>
    <d v="2024-10-28T00:00:00"/>
    <s v="CUST1301"/>
    <s v="Ryan Kane"/>
    <s v="PROD84"/>
    <s v="Home"/>
    <s v="STORE17"/>
    <n v="4"/>
    <n v="604.87"/>
    <n v="0.28000000000000003"/>
    <x v="1"/>
    <n v="1742.0255999999999"/>
  </r>
  <r>
    <s v="SALE1061"/>
    <d v="2024-03-19T00:00:00"/>
    <s v="CUST1045"/>
    <s v="Jordan Jackson Dds"/>
    <s v="PROD33"/>
    <s v="Home"/>
    <s v="STORE17"/>
    <n v="3"/>
    <n v="623.82000000000005"/>
    <n v="0.13"/>
    <x v="2"/>
    <n v="1628.1702"/>
  </r>
  <r>
    <s v="SALE1062"/>
    <d v="2025-08-13T00:00:00"/>
    <s v="CUST1138"/>
    <s v="Sean Roth"/>
    <s v="PROD46"/>
    <s v="Clothing"/>
    <s v="STORE16"/>
    <n v="3"/>
    <n v="575.24"/>
    <n v="0.12"/>
    <x v="2"/>
    <n v="1518.6335999999999"/>
  </r>
  <r>
    <s v="SALE1063"/>
    <d v="2025-08-09T00:00:00"/>
    <s v="CUST1414"/>
    <s v="Melissa Valentine"/>
    <s v="PROD4"/>
    <s v="Clothing"/>
    <s v="STORE11"/>
    <n v="1"/>
    <n v="769.4"/>
    <n v="0.16"/>
    <x v="0"/>
    <n v="646.29599999999994"/>
  </r>
  <r>
    <s v="SALE1064"/>
    <d v="2024-05-08T00:00:00"/>
    <s v="CUST1329"/>
    <s v="Victor Mcintosh"/>
    <s v="PROD57"/>
    <s v="Sports"/>
    <s v="STORE17"/>
    <n v="1"/>
    <n v="227.28"/>
    <n v="0.13"/>
    <x v="2"/>
    <n v="197.7336"/>
  </r>
  <r>
    <s v="SALE1065"/>
    <d v="2024-03-10T00:00:00"/>
    <s v="CUST1051"/>
    <s v="Sarah Rodgers"/>
    <s v="PROD21"/>
    <s v="Home"/>
    <s v="STORE17"/>
    <n v="4"/>
    <n v="127.58"/>
    <n v="0.15"/>
    <x v="0"/>
    <n v="433.77199999999999"/>
  </r>
  <r>
    <s v="SALE1066"/>
    <d v="2025-02-14T00:00:00"/>
    <s v="CUST1418"/>
    <s v="Luke Parks"/>
    <s v="PROD89"/>
    <s v="Beauty"/>
    <s v="STORE3"/>
    <n v="1"/>
    <n v="793.21"/>
    <n v="0.09"/>
    <x v="0"/>
    <n v="721.8211"/>
  </r>
  <r>
    <s v="SALE1067"/>
    <d v="2025-08-02T00:00:00"/>
    <s v="CUST1301"/>
    <s v="Ryan Kane"/>
    <s v="PROD84"/>
    <s v="Home"/>
    <s v="STORE12"/>
    <n v="3"/>
    <n v="435.61"/>
    <n v="0.03"/>
    <x v="1"/>
    <n v="1267.6251"/>
  </r>
  <r>
    <s v="SALE1068"/>
    <d v="2024-08-27T00:00:00"/>
    <s v="CUST1385"/>
    <s v="Tammy Brennan"/>
    <s v="PROD68"/>
    <s v="Home"/>
    <s v="STORE16"/>
    <n v="1"/>
    <n v="850.06"/>
    <n v="0.28999999999999998"/>
    <x v="1"/>
    <n v="603.54259999999988"/>
  </r>
  <r>
    <s v="SALE1069"/>
    <d v="2024-02-08T00:00:00"/>
    <s v="CUST1347"/>
    <s v="Justin Mason Dds"/>
    <s v="PROD37"/>
    <s v="Clothing"/>
    <s v="STORE16"/>
    <n v="2"/>
    <n v="753.92"/>
    <n v="0.17"/>
    <x v="1"/>
    <n v="1251.5072"/>
  </r>
  <r>
    <s v="SALE1070"/>
    <d v="2024-01-20T00:00:00"/>
    <s v="CUST1488"/>
    <s v="Zachary Andrade"/>
    <s v="PROD78"/>
    <s v="Home"/>
    <s v="STORE13"/>
    <n v="3"/>
    <n v="408.99"/>
    <n v="0.27"/>
    <x v="1"/>
    <n v="895.68809999999996"/>
  </r>
  <r>
    <s v="SALE1071"/>
    <d v="2024-10-02T00:00:00"/>
    <s v="CUST1285"/>
    <s v="Donna Guerra"/>
    <s v="PROD6"/>
    <s v="Beauty"/>
    <s v="STORE5"/>
    <n v="3"/>
    <n v="404.5"/>
    <n v="0.22"/>
    <x v="1"/>
    <n v="946.53000000000009"/>
  </r>
  <r>
    <s v="SALE1072"/>
    <d v="2023-11-09T00:00:00"/>
    <s v="CUST1380"/>
    <s v="Shelley Ponce"/>
    <s v="PROD98"/>
    <s v="Electronics"/>
    <s v="STORE3"/>
    <n v="3"/>
    <n v="717.81"/>
    <n v="0.17"/>
    <x v="2"/>
    <n v="1787.3469"/>
  </r>
  <r>
    <s v="SALE1073"/>
    <d v="2023-12-24T00:00:00"/>
    <s v="CUST1251"/>
    <s v="Tyler Garner"/>
    <s v="PROD9"/>
    <s v="Sports"/>
    <s v="STORE1"/>
    <n v="3"/>
    <n v="204.77"/>
    <n v="0.14000000000000001"/>
    <x v="0"/>
    <n v="528.3066"/>
  </r>
  <r>
    <s v="SALE1074"/>
    <d v="2025-01-29T00:00:00"/>
    <s v="CUST1039"/>
    <s v="Tonya Reynolds"/>
    <s v="PROD74"/>
    <s v="Electronics"/>
    <s v="STORE18"/>
    <n v="4"/>
    <n v="106.23"/>
    <n v="0.28000000000000003"/>
    <x v="2"/>
    <n v="305.94240000000002"/>
  </r>
  <r>
    <s v="SALE1075"/>
    <d v="2025-06-16T00:00:00"/>
    <s v="CUST1325"/>
    <s v="Andrew Smith"/>
    <s v="PROD54"/>
    <s v="Sports"/>
    <s v="STORE5"/>
    <n v="2"/>
    <n v="769.48"/>
    <n v="0.11"/>
    <x v="1"/>
    <n v="1369.6744000000001"/>
  </r>
  <r>
    <s v="SALE1076"/>
    <d v="2025-07-29T00:00:00"/>
    <s v="CUST1255"/>
    <s v="Damon Perez"/>
    <s v="PROD72"/>
    <s v="Sports"/>
    <s v="STORE13"/>
    <n v="2"/>
    <n v="714.21"/>
    <n v="0.14000000000000001"/>
    <x v="0"/>
    <n v="1228.4412"/>
  </r>
  <r>
    <s v="SALE1077"/>
    <d v="2024-10-13T00:00:00"/>
    <s v="CUST1271"/>
    <s v="Daisy Johnson Dds"/>
    <s v="PROD74"/>
    <s v="Electronics"/>
    <s v="STORE15"/>
    <n v="4"/>
    <n v="632.24"/>
    <n v="0.25"/>
    <x v="1"/>
    <n v="1896.72"/>
  </r>
  <r>
    <s v="SALE1078"/>
    <d v="2024-10-10T00:00:00"/>
    <s v="CUST1161"/>
    <s v="Cynthia Morris"/>
    <s v="PROD97"/>
    <s v="Sports"/>
    <s v="STORE3"/>
    <n v="2"/>
    <n v="845.27"/>
    <n v="0.18"/>
    <x v="1"/>
    <n v="1386.2428"/>
  </r>
  <r>
    <s v="SALE1079"/>
    <d v="2025-06-08T00:00:00"/>
    <s v="CUST1497"/>
    <s v="Sarah Marsh"/>
    <s v="PROD33"/>
    <s v="Home"/>
    <s v="STORE13"/>
    <n v="1"/>
    <n v="575.94000000000005"/>
    <n v="0.17"/>
    <x v="0"/>
    <n v="478.03019999999998"/>
  </r>
  <r>
    <s v="SALE1080"/>
    <d v="2024-11-24T00:00:00"/>
    <s v="CUST1251"/>
    <s v="Tyler Garner"/>
    <s v="PROD9"/>
    <s v="Sports"/>
    <s v="STORE15"/>
    <n v="1"/>
    <n v="907.97"/>
    <n v="0.26"/>
    <x v="2"/>
    <n v="671.89779999999996"/>
  </r>
  <r>
    <s v="SALE1081"/>
    <d v="2025-02-07T00:00:00"/>
    <s v="CUST1266"/>
    <s v="Cynthia Payne"/>
    <s v="PROD15"/>
    <s v="Electronics"/>
    <s v="STORE12"/>
    <n v="1"/>
    <n v="99.35"/>
    <n v="0.08"/>
    <x v="2"/>
    <n v="91.402000000000001"/>
  </r>
  <r>
    <s v="SALE1082"/>
    <d v="2024-10-31T00:00:00"/>
    <s v="CUST1071"/>
    <s v="Andrea Perez"/>
    <s v="PROD83"/>
    <s v="Beauty"/>
    <s v="STORE3"/>
    <n v="2"/>
    <n v="374.42"/>
    <n v="0.21"/>
    <x v="2"/>
    <n v="591.58360000000005"/>
  </r>
  <r>
    <s v="SALE1083"/>
    <d v="2025-07-31T00:00:00"/>
    <s v="CUST1481"/>
    <s v="Bryan Tran"/>
    <s v="PROD62"/>
    <s v="Electronics"/>
    <s v="STORE15"/>
    <n v="3"/>
    <n v="248.43"/>
    <n v="0.24"/>
    <x v="2"/>
    <n v="566.42039999999997"/>
  </r>
  <r>
    <s v="SALE1084"/>
    <d v="2024-12-05T00:00:00"/>
    <s v="CUST1468"/>
    <s v="Gregory Curtis"/>
    <s v="PROD75"/>
    <s v="Clothing"/>
    <s v="STORE1"/>
    <n v="1"/>
    <n v="784.46"/>
    <n v="0.14000000000000001"/>
    <x v="2"/>
    <n v="674.63560000000007"/>
  </r>
  <r>
    <s v="SALE1085"/>
    <d v="2024-03-28T00:00:00"/>
    <s v="CUST1259"/>
    <s v="Beth Allen"/>
    <s v="PROD13"/>
    <s v="Electronics"/>
    <s v="STORE10"/>
    <n v="3"/>
    <n v="70.88"/>
    <n v="0.27"/>
    <x v="2"/>
    <n v="155.22720000000001"/>
  </r>
  <r>
    <s v="SALE1086"/>
    <d v="2024-12-15T00:00:00"/>
    <s v="CUST1110"/>
    <s v="Ashley Griffin"/>
    <s v="PROD8"/>
    <s v="Electronics"/>
    <s v="STORE1"/>
    <n v="3"/>
    <n v="324.29000000000002"/>
    <n v="0.16"/>
    <x v="2"/>
    <n v="817.21080000000006"/>
  </r>
  <r>
    <s v="SALE1087"/>
    <d v="2025-07-04T00:00:00"/>
    <s v="CUST1141"/>
    <s v="Cristian Wright"/>
    <s v="PROD21"/>
    <s v="Home"/>
    <s v="STORE3"/>
    <n v="4"/>
    <n v="243.92"/>
    <n v="0.02"/>
    <x v="1"/>
    <n v="956.16639999999995"/>
  </r>
  <r>
    <s v="SALE1088"/>
    <d v="2023-11-27T00:00:00"/>
    <s v="CUST1375"/>
    <s v="Joshua Bell"/>
    <s v="PROD28"/>
    <s v="Sports"/>
    <s v="STORE13"/>
    <n v="1"/>
    <n v="664.35"/>
    <n v="0"/>
    <x v="0"/>
    <n v="664.35"/>
  </r>
  <r>
    <s v="SALE1089"/>
    <d v="2024-06-25T00:00:00"/>
    <s v="CUST1384"/>
    <s v="Andrew Mason"/>
    <s v="PROD74"/>
    <s v="Electronics"/>
    <s v="STORE10"/>
    <n v="2"/>
    <n v="218.07"/>
    <n v="0.19"/>
    <x v="1"/>
    <n v="353.27339999999998"/>
  </r>
  <r>
    <s v="SALE1090"/>
    <d v="2023-10-29T00:00:00"/>
    <s v="CUST1383"/>
    <s v="Kristine Higgins"/>
    <s v="PROD58"/>
    <s v="Clothing"/>
    <s v="STORE3"/>
    <n v="4"/>
    <n v="921.83"/>
    <n v="0.27"/>
    <x v="0"/>
    <n v="2691.7435999999998"/>
  </r>
  <r>
    <s v="SALE1091"/>
    <d v="2025-01-04T00:00:00"/>
    <s v="CUST1168"/>
    <s v="Daniel Contreras"/>
    <s v="PROD72"/>
    <s v="Sports"/>
    <s v="STORE1"/>
    <n v="3"/>
    <n v="326.2"/>
    <n v="0.22"/>
    <x v="2"/>
    <n v="763.30799999999999"/>
  </r>
  <r>
    <s v="SALE1092"/>
    <d v="2025-02-13T00:00:00"/>
    <s v="CUST1458"/>
    <s v="Kelly Garrett"/>
    <s v="PROD2"/>
    <s v="Clothing"/>
    <s v="STORE19"/>
    <n v="1"/>
    <n v="244.25"/>
    <n v="0.09"/>
    <x v="1"/>
    <n v="222.26750000000001"/>
  </r>
  <r>
    <s v="SALE1093"/>
    <d v="2024-06-05T00:00:00"/>
    <s v="CUST1369"/>
    <s v="Gregory Allen"/>
    <s v="PROD33"/>
    <s v="Home"/>
    <s v="STORE10"/>
    <n v="3"/>
    <n v="808.87"/>
    <n v="0.12"/>
    <x v="2"/>
    <n v="2135.4168"/>
  </r>
  <r>
    <s v="SALE1094"/>
    <d v="2024-04-05T00:00:00"/>
    <s v="CUST1338"/>
    <s v="Jasmine Snyder"/>
    <s v="PROD86"/>
    <s v="Home"/>
    <s v="STORE2"/>
    <n v="3"/>
    <n v="826.15"/>
    <n v="0"/>
    <x v="1"/>
    <n v="2478.4499999999998"/>
  </r>
  <r>
    <s v="SALE1095"/>
    <d v="2024-12-26T00:00:00"/>
    <s v="CUST1187"/>
    <s v="Dr. Suzanne Bullock"/>
    <s v="PROD13"/>
    <s v="Electronics"/>
    <s v="STORE19"/>
    <n v="3"/>
    <n v="631.20000000000005"/>
    <n v="0.24"/>
    <x v="0"/>
    <n v="1439.136"/>
  </r>
  <r>
    <s v="SALE1096"/>
    <d v="2024-01-25T00:00:00"/>
    <s v="CUST1274"/>
    <s v="Sarah Lane"/>
    <s v="PROD47"/>
    <s v="Beauty"/>
    <s v="STORE10"/>
    <n v="1"/>
    <n v="937.01"/>
    <n v="7.0000000000000007E-2"/>
    <x v="0"/>
    <n v="871.41929999999991"/>
  </r>
  <r>
    <s v="SALE1097"/>
    <d v="2024-01-25T00:00:00"/>
    <s v="CUST1151"/>
    <s v="Michael Davies"/>
    <s v="PROD24"/>
    <s v="Sports"/>
    <s v="STORE5"/>
    <n v="2"/>
    <n v="644"/>
    <n v="0.04"/>
    <x v="1"/>
    <n v="1236.48"/>
  </r>
  <r>
    <s v="SALE1098"/>
    <d v="2025-08-19T00:00:00"/>
    <s v="CUST1094"/>
    <s v="David Patterson"/>
    <s v="PROD39"/>
    <s v="Electronics"/>
    <s v="STORE5"/>
    <n v="3"/>
    <n v="629.58000000000004"/>
    <n v="0.05"/>
    <x v="0"/>
    <n v="1794.3030000000001"/>
  </r>
  <r>
    <s v="SALE1099"/>
    <d v="2025-05-14T00:00:00"/>
    <s v="CUST1466"/>
    <s v="Cynthia Parrish"/>
    <s v="PROD48"/>
    <s v="Electronics"/>
    <s v="STORE2"/>
    <n v="2"/>
    <n v="121.52"/>
    <n v="0.18"/>
    <x v="2"/>
    <n v="199.2928"/>
  </r>
  <r>
    <s v="SALE1100"/>
    <d v="2024-05-08T00:00:00"/>
    <s v="CUST1401"/>
    <s v="Terry Moses"/>
    <s v="PROD34"/>
    <s v="Electronics"/>
    <s v="STORE19"/>
    <n v="2"/>
    <n v="549.83000000000004"/>
    <n v="7.0000000000000007E-2"/>
    <x v="1"/>
    <n v="1022.6838"/>
  </r>
  <r>
    <s v="SALE1101"/>
    <d v="2023-10-20T00:00:00"/>
    <s v="CUST1140"/>
    <s v="Patty Francis"/>
    <s v="PROD35"/>
    <s v="Home"/>
    <s v="STORE8"/>
    <n v="3"/>
    <n v="278.38"/>
    <n v="0.03"/>
    <x v="0"/>
    <n v="810.08579999999995"/>
  </r>
  <r>
    <s v="SALE1102"/>
    <d v="2024-08-06T00:00:00"/>
    <s v="CUST1437"/>
    <s v="Melinda Rivera"/>
    <s v="PROD88"/>
    <s v="Sports"/>
    <s v="STORE3"/>
    <n v="4"/>
    <n v="723.66"/>
    <n v="0.03"/>
    <x v="1"/>
    <n v="2807.8008"/>
  </r>
  <r>
    <s v="SALE1103"/>
    <d v="2025-01-30T00:00:00"/>
    <s v="CUST1205"/>
    <s v="Michelle Carpenter"/>
    <s v="PROD84"/>
    <s v="Home"/>
    <s v="STORE9"/>
    <n v="1"/>
    <n v="724.74"/>
    <n v="0.15"/>
    <x v="1"/>
    <n v="616.029"/>
  </r>
  <r>
    <s v="SALE1104"/>
    <d v="2023-12-11T00:00:00"/>
    <s v="CUST1455"/>
    <s v="Tyler Weber"/>
    <s v="PROD83"/>
    <s v="Beauty"/>
    <s v="STORE4"/>
    <n v="2"/>
    <n v="961.84"/>
    <n v="0.25"/>
    <x v="1"/>
    <n v="1442.76"/>
  </r>
  <r>
    <s v="SALE1105"/>
    <d v="2024-06-03T00:00:00"/>
    <s v="CUST1020"/>
    <s v="Bridget Allen"/>
    <s v="PROD70"/>
    <s v="Home"/>
    <s v="STORE16"/>
    <n v="4"/>
    <n v="21.12"/>
    <n v="0.18"/>
    <x v="2"/>
    <n v="69.273600000000002"/>
  </r>
  <r>
    <s v="SALE1106"/>
    <d v="2024-10-14T00:00:00"/>
    <s v="CUST1319"/>
    <s v="Casey Simpson"/>
    <s v="PROD49"/>
    <s v="Beauty"/>
    <s v="STORE4"/>
    <n v="3"/>
    <n v="819.93"/>
    <n v="0.08"/>
    <x v="1"/>
    <n v="2263.0068000000001"/>
  </r>
  <r>
    <s v="SALE1107"/>
    <d v="2025-03-09T00:00:00"/>
    <s v="CUST1294"/>
    <s v="Lisa Chandler"/>
    <s v="PROD82"/>
    <s v="Sports"/>
    <s v="STORE0"/>
    <n v="2"/>
    <n v="700.95"/>
    <n v="0.18"/>
    <x v="0"/>
    <n v="1149.558"/>
  </r>
  <r>
    <s v="SALE1108"/>
    <d v="2025-09-10T00:00:00"/>
    <s v="CUST1141"/>
    <s v="Cristian Wright"/>
    <s v="PROD21"/>
    <s v="Home"/>
    <s v="STORE14"/>
    <n v="2"/>
    <n v="456.38"/>
    <n v="0.12"/>
    <x v="0"/>
    <n v="803.22879999999998"/>
  </r>
  <r>
    <s v="SALE1109"/>
    <d v="2024-06-04T00:00:00"/>
    <s v="CUST1361"/>
    <s v="Natalie Johnson"/>
    <s v="PROD76"/>
    <s v="Electronics"/>
    <s v="STORE14"/>
    <n v="3"/>
    <n v="291.05"/>
    <n v="0.3"/>
    <x v="0"/>
    <n v="611.20500000000004"/>
  </r>
  <r>
    <s v="SALE1110"/>
    <d v="2024-01-16T00:00:00"/>
    <s v="CUST1233"/>
    <s v="Michelle Gonzalez"/>
    <s v="PROD88"/>
    <s v="Sports"/>
    <s v="STORE15"/>
    <n v="2"/>
    <n v="463.52"/>
    <n v="0.27"/>
    <x v="1"/>
    <n v="676.73919999999998"/>
  </r>
  <r>
    <s v="SALE1111"/>
    <d v="2024-12-27T00:00:00"/>
    <s v="CUST1379"/>
    <s v="Tanya Lopez"/>
    <s v="PROD20"/>
    <s v="Sports"/>
    <s v="STORE17"/>
    <n v="3"/>
    <n v="241.64"/>
    <n v="0.28999999999999998"/>
    <x v="1"/>
    <n v="514.69319999999993"/>
  </r>
  <r>
    <s v="SALE1112"/>
    <d v="2025-06-09T00:00:00"/>
    <s v="CUST1483"/>
    <s v="Sarah Smith"/>
    <s v="PROD12"/>
    <s v="Beauty"/>
    <s v="STORE10"/>
    <n v="2"/>
    <n v="47.86"/>
    <n v="0.03"/>
    <x v="1"/>
    <n v="92.848399999999998"/>
  </r>
  <r>
    <s v="SALE1113"/>
    <d v="2024-08-05T00:00:00"/>
    <s v="CUST1344"/>
    <s v="Evelyn Brown"/>
    <s v="PROD89"/>
    <s v="Beauty"/>
    <s v="STORE3"/>
    <n v="1"/>
    <n v="805.07"/>
    <n v="0.06"/>
    <x v="2"/>
    <n v="756.76580000000001"/>
  </r>
  <r>
    <s v="SALE1114"/>
    <d v="2025-04-06T00:00:00"/>
    <s v="CUST1373"/>
    <s v="James Orozco"/>
    <s v="PROD72"/>
    <s v="Sports"/>
    <s v="STORE1"/>
    <n v="3"/>
    <n v="848.48"/>
    <n v="0"/>
    <x v="2"/>
    <n v="2545.44"/>
  </r>
  <r>
    <s v="SALE1115"/>
    <d v="2024-08-08T00:00:00"/>
    <s v="CUST1244"/>
    <s v="Nancy Page"/>
    <s v="PROD50"/>
    <s v="Sports"/>
    <s v="STORE8"/>
    <n v="2"/>
    <n v="568.95000000000005"/>
    <n v="0.22"/>
    <x v="0"/>
    <n v="887.56200000000013"/>
  </r>
  <r>
    <s v="SALE1116"/>
    <d v="2025-04-17T00:00:00"/>
    <s v="CUST1162"/>
    <s v="Mariah Brown"/>
    <s v="PROD99"/>
    <s v="Home"/>
    <s v="STORE11"/>
    <n v="3"/>
    <n v="269.83999999999997"/>
    <n v="0.05"/>
    <x v="1"/>
    <n v="769.04399999999998"/>
  </r>
  <r>
    <s v="SALE1117"/>
    <d v="2025-03-30T00:00:00"/>
    <s v="CUST1309"/>
    <s v="Stacy Collins"/>
    <s v="PROD61"/>
    <s v="Sports"/>
    <s v="STORE13"/>
    <n v="4"/>
    <n v="267.36"/>
    <n v="0.27"/>
    <x v="1"/>
    <n v="780.69119999999998"/>
  </r>
  <r>
    <s v="SALE1118"/>
    <d v="2024-12-21T00:00:00"/>
    <s v="CUST1114"/>
    <s v="Ryan Hernandez"/>
    <s v="PROD59"/>
    <s v="Beauty"/>
    <s v="STORE1"/>
    <n v="1"/>
    <n v="438.41"/>
    <n v="0.09"/>
    <x v="0"/>
    <n v="398.95310000000012"/>
  </r>
  <r>
    <s v="SALE1119"/>
    <d v="2024-05-31T00:00:00"/>
    <s v="CUST1164"/>
    <s v="Daniel Rivas"/>
    <s v="PROD48"/>
    <s v="Electronics"/>
    <s v="STORE18"/>
    <n v="2"/>
    <n v="86.72"/>
    <n v="0.28000000000000003"/>
    <x v="2"/>
    <n v="124.8768"/>
  </r>
  <r>
    <s v="SALE1120"/>
    <d v="2025-03-06T00:00:00"/>
    <s v="CUST1425"/>
    <s v="Bryce Hawkins"/>
    <s v="PROD75"/>
    <s v="Clothing"/>
    <s v="STORE6"/>
    <n v="4"/>
    <n v="630.21"/>
    <n v="0.14000000000000001"/>
    <x v="2"/>
    <n v="2167.9223999999999"/>
  </r>
  <r>
    <s v="SALE1121"/>
    <d v="2024-10-10T00:00:00"/>
    <s v="CUST1359"/>
    <s v="Melanie Lam"/>
    <s v="PROD59"/>
    <s v="Beauty"/>
    <s v="STORE6"/>
    <n v="3"/>
    <n v="180.84"/>
    <n v="0.03"/>
    <x v="1"/>
    <n v="526.24439999999993"/>
  </r>
  <r>
    <s v="SALE1122"/>
    <d v="2024-05-29T00:00:00"/>
    <s v="CUST1004"/>
    <s v="Caroline Collins"/>
    <s v="PROD47"/>
    <s v="Beauty"/>
    <s v="STORE16"/>
    <n v="1"/>
    <n v="453.41"/>
    <n v="0.04"/>
    <x v="2"/>
    <n v="435.27359999999999"/>
  </r>
  <r>
    <s v="SALE1123"/>
    <d v="2025-10-10T00:00:00"/>
    <s v="CUST1024"/>
    <s v="Heather Collins"/>
    <s v="PROD3"/>
    <s v="Clothing"/>
    <s v="STORE6"/>
    <n v="1"/>
    <n v="629.09"/>
    <n v="0.02"/>
    <x v="0"/>
    <n v="616.50819999999999"/>
  </r>
  <r>
    <s v="SALE1124"/>
    <d v="2024-08-14T00:00:00"/>
    <s v="CUST1022"/>
    <s v="Paul Fox"/>
    <s v="PROD13"/>
    <s v="Electronics"/>
    <s v="STORE2"/>
    <n v="2"/>
    <n v="257.45"/>
    <n v="0"/>
    <x v="2"/>
    <n v="514.9"/>
  </r>
  <r>
    <s v="SALE1125"/>
    <d v="2025-07-23T00:00:00"/>
    <s v="CUST1179"/>
    <s v="Nicholas Bradshaw"/>
    <s v="PROD34"/>
    <s v="Electronics"/>
    <s v="STORE15"/>
    <n v="2"/>
    <n v="696.61"/>
    <n v="0.17"/>
    <x v="1"/>
    <n v="1156.3725999999999"/>
  </r>
  <r>
    <s v="SALE1126"/>
    <d v="2024-05-04T00:00:00"/>
    <s v="CUST1373"/>
    <s v="James Orozco"/>
    <s v="PROD72"/>
    <s v="Sports"/>
    <s v="STORE7"/>
    <n v="2"/>
    <n v="143.79"/>
    <n v="0.1"/>
    <x v="1"/>
    <n v="258.822"/>
  </r>
  <r>
    <s v="SALE1127"/>
    <d v="2024-11-12T00:00:00"/>
    <s v="CUST1296"/>
    <s v="Jared Moran"/>
    <s v="PROD14"/>
    <s v="Home"/>
    <s v="STORE1"/>
    <n v="3"/>
    <n v="460.93"/>
    <n v="0.19"/>
    <x v="2"/>
    <n v="1120.0599"/>
  </r>
  <r>
    <s v="SALE1128"/>
    <d v="2024-01-10T00:00:00"/>
    <s v="CUST1499"/>
    <s v="Philip Pennington"/>
    <s v="PROD55"/>
    <s v="Home"/>
    <s v="STORE9"/>
    <n v="2"/>
    <n v="67.55"/>
    <n v="0.03"/>
    <x v="0"/>
    <n v="131.047"/>
  </r>
  <r>
    <s v="SALE1129"/>
    <d v="2024-05-21T00:00:00"/>
    <s v="CUST1210"/>
    <s v="Antonio Jones"/>
    <s v="PROD60"/>
    <s v="Beauty"/>
    <s v="STORE1"/>
    <n v="3"/>
    <n v="803.31"/>
    <n v="0.1"/>
    <x v="1"/>
    <n v="2168.9369999999999"/>
  </r>
  <r>
    <s v="SALE1130"/>
    <d v="2025-06-13T00:00:00"/>
    <s v="CUST1432"/>
    <s v="Summer Weiss"/>
    <s v="PROD16"/>
    <s v="Beauty"/>
    <s v="STORE13"/>
    <n v="4"/>
    <n v="254.71"/>
    <n v="0.2"/>
    <x v="2"/>
    <n v="815.07200000000012"/>
  </r>
  <r>
    <s v="SALE1131"/>
    <d v="2024-08-04T00:00:00"/>
    <s v="CUST1051"/>
    <s v="Sarah Rodgers"/>
    <s v="PROD21"/>
    <s v="Home"/>
    <s v="STORE4"/>
    <n v="4"/>
    <n v="594.89"/>
    <n v="0.3"/>
    <x v="1"/>
    <n v="1665.692"/>
  </r>
  <r>
    <s v="SALE1132"/>
    <d v="2025-07-16T00:00:00"/>
    <s v="CUST1219"/>
    <s v="Jordan Wells"/>
    <s v="PROD37"/>
    <s v="Clothing"/>
    <s v="STORE0"/>
    <n v="2"/>
    <n v="844.31"/>
    <n v="7.0000000000000007E-2"/>
    <x v="1"/>
    <n v="1570.4166"/>
  </r>
  <r>
    <s v="SALE1133"/>
    <d v="2024-10-04T00:00:00"/>
    <s v="CUST1134"/>
    <s v="Morgan Bowen"/>
    <s v="PROD70"/>
    <s v="Home"/>
    <s v="STORE6"/>
    <n v="4"/>
    <n v="101.33"/>
    <n v="0"/>
    <x v="0"/>
    <n v="405.32"/>
  </r>
  <r>
    <s v="SALE1134"/>
    <d v="2025-06-16T00:00:00"/>
    <s v="CUST1131"/>
    <s v="Joseph Richards"/>
    <s v="PROD56"/>
    <s v="Home"/>
    <s v="STORE8"/>
    <n v="3"/>
    <n v="922.56"/>
    <n v="0.18"/>
    <x v="1"/>
    <n v="2269.4976000000001"/>
  </r>
  <r>
    <s v="SALE1135"/>
    <d v="2024-03-01T00:00:00"/>
    <s v="CUST1432"/>
    <s v="Summer Weiss"/>
    <s v="PROD16"/>
    <s v="Beauty"/>
    <s v="STORE14"/>
    <n v="4"/>
    <n v="867.19"/>
    <n v="7.0000000000000007E-2"/>
    <x v="2"/>
    <n v="3225.9468000000002"/>
  </r>
  <r>
    <s v="SALE1136"/>
    <d v="2024-06-11T00:00:00"/>
    <s v="CUST1006"/>
    <s v="Amber Jackson"/>
    <s v="PROD93"/>
    <s v="Electronics"/>
    <s v="STORE17"/>
    <n v="3"/>
    <n v="816.87"/>
    <n v="0.14000000000000001"/>
    <x v="1"/>
    <n v="2107.5246000000002"/>
  </r>
  <r>
    <s v="SALE1137"/>
    <d v="2025-09-24T00:00:00"/>
    <s v="CUST1480"/>
    <s v="Jordan Medina"/>
    <s v="PROD65"/>
    <s v="Sports"/>
    <s v="STORE3"/>
    <n v="3"/>
    <n v="258.06"/>
    <n v="0"/>
    <x v="1"/>
    <n v="774.18000000000006"/>
  </r>
  <r>
    <s v="SALE1138"/>
    <d v="2025-02-06T00:00:00"/>
    <s v="CUST1312"/>
    <s v="Jason Mullins"/>
    <s v="PROD74"/>
    <s v="Electronics"/>
    <s v="STORE14"/>
    <n v="2"/>
    <n v="574.58000000000004"/>
    <n v="0.06"/>
    <x v="0"/>
    <n v="1080.2103999999999"/>
  </r>
  <r>
    <s v="SALE1139"/>
    <d v="2024-10-22T00:00:00"/>
    <s v="CUST1022"/>
    <s v="Paul Fox"/>
    <s v="PROD13"/>
    <s v="Electronics"/>
    <s v="STORE6"/>
    <n v="2"/>
    <n v="472.18"/>
    <n v="0.27"/>
    <x v="1"/>
    <n v="689.38279999999997"/>
  </r>
  <r>
    <s v="SALE1140"/>
    <d v="2024-09-21T00:00:00"/>
    <s v="CUST1340"/>
    <s v="Eric Davis"/>
    <s v="PROD41"/>
    <s v="Sports"/>
    <s v="STORE5"/>
    <n v="2"/>
    <n v="20.47"/>
    <n v="0.12"/>
    <x v="2"/>
    <n v="36.027200000000001"/>
  </r>
  <r>
    <s v="SALE1141"/>
    <d v="2025-09-23T00:00:00"/>
    <s v="CUST1023"/>
    <s v="Jonathan Steele"/>
    <s v="PROD68"/>
    <s v="Home"/>
    <s v="STORE7"/>
    <n v="3"/>
    <n v="235.41"/>
    <n v="0.15"/>
    <x v="1"/>
    <n v="600.29549999999995"/>
  </r>
  <r>
    <s v="SALE1142"/>
    <d v="2025-06-03T00:00:00"/>
    <s v="CUST1230"/>
    <s v="Timothy Sanders"/>
    <s v="PROD68"/>
    <s v="Home"/>
    <s v="STORE7"/>
    <n v="3"/>
    <n v="744.9"/>
    <n v="0.27"/>
    <x v="1"/>
    <n v="1631.3309999999999"/>
  </r>
  <r>
    <s v="SALE1143"/>
    <d v="2024-09-24T00:00:00"/>
    <s v="CUST1047"/>
    <s v="Gina Knight"/>
    <s v="PROD64"/>
    <s v="Beauty"/>
    <s v="STORE3"/>
    <n v="2"/>
    <n v="382.2"/>
    <n v="0.15"/>
    <x v="0"/>
    <n v="649.74"/>
  </r>
  <r>
    <s v="SALE1144"/>
    <d v="2025-08-12T00:00:00"/>
    <s v="CUST1346"/>
    <s v="John Jordan"/>
    <s v="PROD76"/>
    <s v="Electronics"/>
    <s v="STORE16"/>
    <n v="1"/>
    <n v="269.25"/>
    <n v="0.14000000000000001"/>
    <x v="1"/>
    <n v="231.55500000000001"/>
  </r>
  <r>
    <s v="SALE1145"/>
    <d v="2024-03-16T00:00:00"/>
    <s v="CUST1365"/>
    <s v="Brandon Mcbride"/>
    <s v="PROD45"/>
    <s v="Sports"/>
    <s v="STORE11"/>
    <n v="2"/>
    <n v="723.75"/>
    <n v="0.03"/>
    <x v="1"/>
    <n v="1404.075"/>
  </r>
  <r>
    <s v="SALE1146"/>
    <d v="2025-06-24T00:00:00"/>
    <s v="CUST1281"/>
    <s v="Brittany Watson"/>
    <s v="PROD55"/>
    <s v="Home"/>
    <s v="STORE19"/>
    <n v="4"/>
    <n v="58.92"/>
    <n v="0.18"/>
    <x v="0"/>
    <n v="193.2576"/>
  </r>
  <r>
    <s v="SALE1147"/>
    <d v="2024-05-26T00:00:00"/>
    <s v="CUST1188"/>
    <s v="Kimberly Brooks"/>
    <s v="PROD30"/>
    <s v="Home"/>
    <s v="STORE10"/>
    <n v="2"/>
    <n v="913.08"/>
    <n v="0.26"/>
    <x v="0"/>
    <n v="1351.3584000000001"/>
  </r>
  <r>
    <s v="SALE1148"/>
    <d v="2025-02-03T00:00:00"/>
    <s v="CUST1242"/>
    <s v="William Jackson"/>
    <s v="PROD81"/>
    <s v="Sports"/>
    <s v="STORE1"/>
    <n v="1"/>
    <n v="791.83"/>
    <n v="0.28000000000000003"/>
    <x v="1"/>
    <n v="570.11760000000004"/>
  </r>
  <r>
    <s v="SALE1149"/>
    <d v="2024-08-02T00:00:00"/>
    <s v="CUST1471"/>
    <s v="Debra Mccullough"/>
    <s v="PROD17"/>
    <s v="Sports"/>
    <s v="STORE15"/>
    <n v="1"/>
    <n v="74.290000000000006"/>
    <n v="0.3"/>
    <x v="2"/>
    <n v="52.003"/>
  </r>
  <r>
    <s v="SALE1150"/>
    <d v="2023-11-21T00:00:00"/>
    <s v="CUST1243"/>
    <s v="Brian Hammond"/>
    <s v="PROD69"/>
    <s v="Clothing"/>
    <s v="STORE0"/>
    <n v="2"/>
    <n v="961.68"/>
    <n v="0.27"/>
    <x v="1"/>
    <n v="1404.0527999999999"/>
  </r>
  <r>
    <s v="SALE1151"/>
    <d v="2025-03-06T00:00:00"/>
    <s v="CUST1494"/>
    <s v="Justin Lopez"/>
    <s v="PROD28"/>
    <s v="Sports"/>
    <s v="STORE14"/>
    <n v="1"/>
    <n v="90.72"/>
    <n v="0.1"/>
    <x v="1"/>
    <n v="81.647999999999996"/>
  </r>
  <r>
    <s v="SALE1152"/>
    <d v="2025-02-01T00:00:00"/>
    <s v="CUST1060"/>
    <s v="Dr. David Smith"/>
    <s v="PROD38"/>
    <s v="Sports"/>
    <s v="STORE7"/>
    <n v="1"/>
    <n v="458.69"/>
    <n v="0.16"/>
    <x v="1"/>
    <n v="385.2996"/>
  </r>
  <r>
    <s v="SALE1153"/>
    <d v="2024-02-24T00:00:00"/>
    <s v="CUST1231"/>
    <s v="Timothy Juarez"/>
    <s v="PROD31"/>
    <s v="Sports"/>
    <s v="STORE7"/>
    <n v="1"/>
    <n v="168.29"/>
    <n v="0.05"/>
    <x v="1"/>
    <n v="159.87549999999999"/>
  </r>
  <r>
    <s v="SALE1154"/>
    <d v="2024-09-14T00:00:00"/>
    <s v="CUST1211"/>
    <s v="Rodney Huffman"/>
    <s v="PROD85"/>
    <s v="Clothing"/>
    <s v="STORE17"/>
    <n v="1"/>
    <n v="391.77"/>
    <n v="0.1"/>
    <x v="1"/>
    <n v="352.59300000000002"/>
  </r>
  <r>
    <s v="SALE1155"/>
    <d v="2025-08-31T00:00:00"/>
    <s v="CUST1343"/>
    <s v="Ryan Moore"/>
    <s v="PROD17"/>
    <s v="Sports"/>
    <s v="STORE14"/>
    <n v="1"/>
    <n v="424.83"/>
    <n v="0.05"/>
    <x v="2"/>
    <n v="403.58850000000001"/>
  </r>
  <r>
    <s v="SALE1156"/>
    <d v="2024-01-17T00:00:00"/>
    <s v="CUST1053"/>
    <s v="Sharon Brown"/>
    <s v="PROD37"/>
    <s v="Clothing"/>
    <s v="STORE3"/>
    <n v="1"/>
    <n v="499.46"/>
    <n v="0.1"/>
    <x v="0"/>
    <n v="449.51400000000001"/>
  </r>
  <r>
    <s v="SALE1157"/>
    <d v="2024-02-14T00:00:00"/>
    <s v="CUST1019"/>
    <s v="Michael Torres"/>
    <s v="PROD76"/>
    <s v="Electronics"/>
    <s v="STORE1"/>
    <n v="2"/>
    <n v="698.34"/>
    <n v="0.15"/>
    <x v="1"/>
    <n v="1187.1780000000001"/>
  </r>
  <r>
    <s v="SALE1158"/>
    <d v="2023-10-14T00:00:00"/>
    <s v="CUST1283"/>
    <s v="Bryan Garcia"/>
    <s v="PROD70"/>
    <s v="Home"/>
    <s v="STORE16"/>
    <n v="2"/>
    <n v="805.08"/>
    <n v="0.27"/>
    <x v="1"/>
    <n v="1175.4168"/>
  </r>
  <r>
    <s v="SALE1159"/>
    <d v="2025-03-26T00:00:00"/>
    <s v="CUST1466"/>
    <s v="Cynthia Parrish"/>
    <s v="PROD48"/>
    <s v="Electronics"/>
    <s v="STORE2"/>
    <n v="4"/>
    <n v="934.79"/>
    <n v="0.08"/>
    <x v="1"/>
    <n v="3440.0272"/>
  </r>
  <r>
    <s v="SALE1160"/>
    <d v="2025-10-02T00:00:00"/>
    <s v="CUST1019"/>
    <s v="Michael Torres"/>
    <s v="PROD76"/>
    <s v="Electronics"/>
    <s v="STORE1"/>
    <n v="2"/>
    <n v="424.54"/>
    <n v="0.24"/>
    <x v="1"/>
    <n v="645.30080000000009"/>
  </r>
  <r>
    <s v="SALE1161"/>
    <d v="2024-06-19T00:00:00"/>
    <s v="CUST1327"/>
    <s v="Reginald Willis"/>
    <s v="PROD1"/>
    <s v="Clothing"/>
    <s v="STORE17"/>
    <n v="1"/>
    <n v="235.44"/>
    <n v="0.19"/>
    <x v="2"/>
    <n v="190.7064"/>
  </r>
  <r>
    <s v="SALE1162"/>
    <d v="2024-10-03T00:00:00"/>
    <s v="CUST1271"/>
    <s v="Daisy Johnson Dds"/>
    <s v="PROD74"/>
    <s v="Electronics"/>
    <s v="STORE13"/>
    <n v="2"/>
    <n v="620.71"/>
    <n v="0.27"/>
    <x v="0"/>
    <n v="906.23660000000007"/>
  </r>
  <r>
    <s v="SALE1163"/>
    <d v="2024-04-15T00:00:00"/>
    <s v="CUST1115"/>
    <s v="Tyler Conrad"/>
    <s v="PROD21"/>
    <s v="Home"/>
    <s v="STORE11"/>
    <n v="2"/>
    <n v="851.77"/>
    <n v="0.13"/>
    <x v="1"/>
    <n v="1482.0798"/>
  </r>
  <r>
    <s v="SALE1164"/>
    <d v="2024-10-04T00:00:00"/>
    <s v="CUST1168"/>
    <s v="Daniel Contreras"/>
    <s v="PROD72"/>
    <s v="Sports"/>
    <s v="STORE1"/>
    <n v="3"/>
    <n v="876.01"/>
    <n v="0.2"/>
    <x v="0"/>
    <n v="2102.424"/>
  </r>
  <r>
    <s v="SALE1165"/>
    <d v="2024-03-02T00:00:00"/>
    <s v="CUST1276"/>
    <s v="Arthur Warren"/>
    <s v="PROD65"/>
    <s v="Sports"/>
    <s v="STORE9"/>
    <n v="2"/>
    <n v="717.21"/>
    <n v="0.15"/>
    <x v="2"/>
    <n v="1219.2570000000001"/>
  </r>
  <r>
    <s v="SALE1166"/>
    <d v="2024-02-21T00:00:00"/>
    <s v="CUST1056"/>
    <s v="Christopher Sutton"/>
    <s v="PROD49"/>
    <s v="Beauty"/>
    <s v="STORE8"/>
    <n v="2"/>
    <n v="871.43"/>
    <n v="0.05"/>
    <x v="0"/>
    <n v="1655.7170000000001"/>
  </r>
  <r>
    <s v="SALE1167"/>
    <d v="2024-01-30T00:00:00"/>
    <s v="CUST1453"/>
    <s v="April Phillips"/>
    <s v="PROD12"/>
    <s v="Beauty"/>
    <s v="STORE7"/>
    <n v="1"/>
    <n v="514.65"/>
    <n v="0.18"/>
    <x v="0"/>
    <n v="422.01299999999998"/>
  </r>
  <r>
    <s v="SALE1168"/>
    <d v="2024-12-24T00:00:00"/>
    <s v="CUST1459"/>
    <s v="John Perez"/>
    <s v="PROD54"/>
    <s v="Sports"/>
    <s v="STORE16"/>
    <n v="3"/>
    <n v="198.76"/>
    <n v="0.28000000000000003"/>
    <x v="2"/>
    <n v="429.32159999999999"/>
  </r>
  <r>
    <s v="SALE1169"/>
    <d v="2025-06-03T00:00:00"/>
    <s v="CUST1225"/>
    <s v="Elizabeth Stanley"/>
    <s v="PROD19"/>
    <s v="Sports"/>
    <s v="STORE3"/>
    <n v="2"/>
    <n v="975.72"/>
    <n v="0.16"/>
    <x v="2"/>
    <n v="1639.2095999999999"/>
  </r>
  <r>
    <s v="SALE1170"/>
    <d v="2024-08-01T00:00:00"/>
    <s v="CUST1420"/>
    <s v="Dr. Tamara White Md"/>
    <s v="PROD21"/>
    <s v="Home"/>
    <s v="STORE1"/>
    <n v="1"/>
    <n v="86.03"/>
    <n v="0.01"/>
    <x v="0"/>
    <n v="85.169700000000006"/>
  </r>
  <r>
    <s v="SALE1171"/>
    <d v="2025-08-28T00:00:00"/>
    <s v="CUST1087"/>
    <s v="Melissa Duffy Md"/>
    <s v="PROD76"/>
    <s v="Electronics"/>
    <s v="STORE12"/>
    <n v="4"/>
    <n v="705.12"/>
    <n v="0.15"/>
    <x v="1"/>
    <n v="2397.4079999999999"/>
  </r>
  <r>
    <s v="SALE1172"/>
    <d v="2024-11-06T00:00:00"/>
    <s v="CUST1371"/>
    <s v="Michael Garner"/>
    <s v="PROD67"/>
    <s v="Electronics"/>
    <s v="STORE12"/>
    <n v="3"/>
    <n v="99.77"/>
    <n v="0.01"/>
    <x v="1"/>
    <n v="296.31689999999998"/>
  </r>
  <r>
    <s v="SALE1173"/>
    <d v="2024-08-26T00:00:00"/>
    <s v="CUST1209"/>
    <s v="Joan Johnson"/>
    <s v="PROD42"/>
    <s v="Electronics"/>
    <s v="STORE9"/>
    <n v="2"/>
    <n v="166.26"/>
    <n v="0.14000000000000001"/>
    <x v="1"/>
    <n v="285.96719999999999"/>
  </r>
  <r>
    <s v="SALE1174"/>
    <d v="2025-03-13T00:00:00"/>
    <s v="CUST1459"/>
    <s v="John Perez"/>
    <s v="PROD54"/>
    <s v="Sports"/>
    <s v="STORE5"/>
    <n v="1"/>
    <n v="429.25"/>
    <n v="0.28999999999999998"/>
    <x v="0"/>
    <n v="304.76749999999998"/>
  </r>
  <r>
    <s v="SALE1175"/>
    <d v="2024-06-25T00:00:00"/>
    <s v="CUST1443"/>
    <s v="Adam Castro"/>
    <s v="PROD34"/>
    <s v="Electronics"/>
    <s v="STORE9"/>
    <n v="2"/>
    <n v="540.48"/>
    <n v="0.28999999999999998"/>
    <x v="0"/>
    <n v="767.48159999999996"/>
  </r>
  <r>
    <s v="SALE1176"/>
    <d v="2025-10-06T00:00:00"/>
    <s v="CUST1269"/>
    <s v="Tyrone Olson"/>
    <s v="PROD77"/>
    <s v="Electronics"/>
    <s v="STORE14"/>
    <n v="2"/>
    <n v="579.52"/>
    <n v="0.01"/>
    <x v="1"/>
    <n v="1147.4495999999999"/>
  </r>
  <r>
    <s v="SALE1177"/>
    <d v="2024-11-26T00:00:00"/>
    <s v="CUST1026"/>
    <s v="Amber Carlson"/>
    <s v="PROD1"/>
    <s v="Clothing"/>
    <s v="STORE17"/>
    <n v="4"/>
    <n v="477.52"/>
    <n v="7.0000000000000007E-2"/>
    <x v="1"/>
    <n v="1776.3743999999999"/>
  </r>
  <r>
    <s v="SALE1178"/>
    <d v="2025-02-17T00:00:00"/>
    <s v="CUST1259"/>
    <s v="Beth Allen"/>
    <s v="PROD13"/>
    <s v="Electronics"/>
    <s v="STORE6"/>
    <n v="3"/>
    <n v="242.58"/>
    <n v="0.25"/>
    <x v="0"/>
    <n v="545.80500000000006"/>
  </r>
  <r>
    <s v="SALE1179"/>
    <d v="2023-11-20T00:00:00"/>
    <s v="CUST1367"/>
    <s v="Melinda Johnson"/>
    <s v="PROD89"/>
    <s v="Beauty"/>
    <s v="STORE17"/>
    <n v="2"/>
    <n v="519.29999999999995"/>
    <n v="0.09"/>
    <x v="1"/>
    <n v="945.12599999999998"/>
  </r>
  <r>
    <s v="SALE1180"/>
    <d v="2025-01-27T00:00:00"/>
    <s v="CUST1491"/>
    <s v="Kaitlin Brown"/>
    <s v="PROD9"/>
    <s v="Sports"/>
    <s v="STORE11"/>
    <n v="3"/>
    <n v="845.67"/>
    <n v="0.12"/>
    <x v="2"/>
    <n v="2232.5688"/>
  </r>
  <r>
    <s v="SALE1181"/>
    <d v="2024-04-13T00:00:00"/>
    <s v="CUST1305"/>
    <s v="Roberta Green"/>
    <s v="PROD28"/>
    <s v="Sports"/>
    <s v="STORE16"/>
    <n v="4"/>
    <n v="750.26"/>
    <n v="0.01"/>
    <x v="1"/>
    <n v="2971.0295999999998"/>
  </r>
  <r>
    <s v="SALE1182"/>
    <d v="2024-03-31T00:00:00"/>
    <s v="CUST1332"/>
    <s v="Dr. Lindsay Hanna"/>
    <s v="PROD32"/>
    <s v="Beauty"/>
    <s v="STORE12"/>
    <n v="4"/>
    <n v="294.38"/>
    <n v="0.2"/>
    <x v="0"/>
    <n v="942.01600000000008"/>
  </r>
  <r>
    <s v="SALE1183"/>
    <d v="2025-09-19T00:00:00"/>
    <s v="CUST1097"/>
    <s v="David Cobb"/>
    <s v="PROD80"/>
    <s v="Home"/>
    <s v="STORE2"/>
    <n v="3"/>
    <n v="583.52"/>
    <n v="7.0000000000000007E-2"/>
    <x v="1"/>
    <n v="1628.0208"/>
  </r>
  <r>
    <s v="SALE1184"/>
    <d v="2024-06-10T00:00:00"/>
    <s v="CUST1470"/>
    <s v="Manuel Fisher"/>
    <s v="PROD59"/>
    <s v="Beauty"/>
    <s v="STORE16"/>
    <n v="2"/>
    <n v="635.22"/>
    <n v="0.3"/>
    <x v="2"/>
    <n v="889.30799999999999"/>
  </r>
  <r>
    <s v="SALE1185"/>
    <d v="2024-01-22T00:00:00"/>
    <s v="CUST1428"/>
    <s v="Samuel Mullins"/>
    <s v="PROD63"/>
    <s v="Beauty"/>
    <s v="STORE2"/>
    <n v="1"/>
    <n v="743.55"/>
    <n v="0.11"/>
    <x v="2"/>
    <n v="661.7595"/>
  </r>
  <r>
    <s v="SALE1186"/>
    <d v="2024-03-26T00:00:00"/>
    <s v="CUST1101"/>
    <s v="Colleen Maynard"/>
    <s v="PROD89"/>
    <s v="Beauty"/>
    <s v="STORE3"/>
    <n v="4"/>
    <n v="530.45000000000005"/>
    <n v="0.13"/>
    <x v="0"/>
    <n v="1845.9659999999999"/>
  </r>
  <r>
    <s v="SALE1187"/>
    <d v="2024-03-20T00:00:00"/>
    <s v="CUST1264"/>
    <s v="Matthew Payne"/>
    <s v="PROD22"/>
    <s v="Sports"/>
    <s v="STORE9"/>
    <n v="2"/>
    <n v="972.4"/>
    <n v="0.06"/>
    <x v="2"/>
    <n v="1828.1120000000001"/>
  </r>
  <r>
    <s v="SALE1188"/>
    <d v="2025-05-20T00:00:00"/>
    <s v="CUST1378"/>
    <s v="Frank Stewart"/>
    <s v="PROD91"/>
    <s v="Clothing"/>
    <s v="STORE18"/>
    <n v="3"/>
    <n v="197.93"/>
    <n v="0"/>
    <x v="2"/>
    <n v="593.79"/>
  </r>
  <r>
    <s v="SALE1189"/>
    <d v="2024-10-10T00:00:00"/>
    <s v="CUST1342"/>
    <s v="Michelle Cunningham"/>
    <s v="PROD61"/>
    <s v="Sports"/>
    <s v="STORE11"/>
    <n v="4"/>
    <n v="565.51"/>
    <n v="0.16"/>
    <x v="1"/>
    <n v="1900.1135999999999"/>
  </r>
  <r>
    <s v="SALE1190"/>
    <d v="2024-10-01T00:00:00"/>
    <s v="CUST1400"/>
    <s v="Mark Rogers"/>
    <s v="PROD39"/>
    <s v="Electronics"/>
    <s v="STORE4"/>
    <n v="4"/>
    <n v="983.38"/>
    <n v="0.25"/>
    <x v="2"/>
    <n v="2950.14"/>
  </r>
  <r>
    <s v="SALE1191"/>
    <d v="2023-11-22T00:00:00"/>
    <s v="CUST1234"/>
    <s v="Nathaniel Hill"/>
    <s v="PROD98"/>
    <s v="Electronics"/>
    <s v="STORE9"/>
    <n v="1"/>
    <n v="955.06"/>
    <n v="0.14000000000000001"/>
    <x v="0"/>
    <n v="821.35159999999996"/>
  </r>
  <r>
    <s v="SALE1192"/>
    <d v="2025-02-05T00:00:00"/>
    <s v="CUST1352"/>
    <s v="Michael Greene"/>
    <s v="PROD43"/>
    <s v="Electronics"/>
    <s v="STORE15"/>
    <n v="3"/>
    <n v="597.46"/>
    <n v="0.02"/>
    <x v="1"/>
    <n v="1756.5324000000001"/>
  </r>
  <r>
    <s v="SALE1193"/>
    <d v="2024-06-03T00:00:00"/>
    <s v="CUST1317"/>
    <s v="Tiffany Williams"/>
    <s v="PROD10"/>
    <s v="Home"/>
    <s v="STORE16"/>
    <n v="3"/>
    <n v="581.09"/>
    <n v="0.1"/>
    <x v="2"/>
    <n v="1568.943"/>
  </r>
  <r>
    <s v="SALE1194"/>
    <d v="2025-07-24T00:00:00"/>
    <s v="CUST1054"/>
    <s v="Katherine Dorsey"/>
    <s v="PROD88"/>
    <s v="Sports"/>
    <s v="STORE4"/>
    <n v="4"/>
    <n v="153.94999999999999"/>
    <n v="0.11"/>
    <x v="1"/>
    <n v="548.06200000000001"/>
  </r>
  <r>
    <s v="SALE1195"/>
    <d v="2024-08-26T00:00:00"/>
    <s v="CUST1081"/>
    <s v="Krystal Ford"/>
    <s v="PROD45"/>
    <s v="Sports"/>
    <s v="STORE8"/>
    <n v="4"/>
    <n v="271.04000000000002"/>
    <n v="0.12"/>
    <x v="2"/>
    <n v="954.06080000000009"/>
  </r>
  <r>
    <s v="SALE1196"/>
    <d v="2024-09-23T00:00:00"/>
    <s v="CUST1015"/>
    <s v="Laura Alvarez"/>
    <s v="PROD18"/>
    <s v="Clothing"/>
    <s v="STORE6"/>
    <n v="4"/>
    <n v="328.27"/>
    <n v="0.09"/>
    <x v="1"/>
    <n v="1194.9028000000001"/>
  </r>
  <r>
    <s v="SALE1197"/>
    <d v="2024-06-29T00:00:00"/>
    <s v="CUST1494"/>
    <s v="Justin Lopez"/>
    <s v="PROD28"/>
    <s v="Sports"/>
    <s v="STORE14"/>
    <n v="4"/>
    <n v="884.71"/>
    <n v="0.09"/>
    <x v="1"/>
    <n v="3220.3444"/>
  </r>
  <r>
    <s v="SALE1198"/>
    <d v="2025-06-01T00:00:00"/>
    <s v="CUST1249"/>
    <s v="Lauren George"/>
    <s v="PROD19"/>
    <s v="Sports"/>
    <s v="STORE4"/>
    <n v="1"/>
    <n v="41.39"/>
    <n v="0.01"/>
    <x v="0"/>
    <n v="40.976100000000002"/>
  </r>
  <r>
    <s v="SALE1199"/>
    <d v="2025-05-06T00:00:00"/>
    <s v="CUST1165"/>
    <s v="Jason Wheeler"/>
    <s v="PROD27"/>
    <s v="Home"/>
    <s v="STORE9"/>
    <n v="4"/>
    <n v="64.06"/>
    <n v="0.26"/>
    <x v="0"/>
    <n v="189.61760000000001"/>
  </r>
  <r>
    <s v="SALE1200"/>
    <d v="2025-07-11T00:00:00"/>
    <s v="CUST1346"/>
    <s v="John Jordan"/>
    <s v="PROD76"/>
    <s v="Electronics"/>
    <s v="STORE9"/>
    <n v="2"/>
    <n v="152.25"/>
    <n v="0.13"/>
    <x v="0"/>
    <n v="264.91500000000002"/>
  </r>
  <r>
    <s v="SALE1201"/>
    <d v="2023-12-21T00:00:00"/>
    <s v="CUST1100"/>
    <s v="Diane Watson"/>
    <s v="PROD24"/>
    <s v="Sports"/>
    <s v="STORE19"/>
    <n v="2"/>
    <n v="889.04"/>
    <n v="0.23"/>
    <x v="0"/>
    <n v="1369.1215999999999"/>
  </r>
  <r>
    <s v="SALE1202"/>
    <d v="2024-01-31T00:00:00"/>
    <s v="CUST1161"/>
    <s v="Cynthia Morris"/>
    <s v="PROD97"/>
    <s v="Sports"/>
    <s v="STORE10"/>
    <n v="3"/>
    <n v="145.25"/>
    <n v="0.24"/>
    <x v="1"/>
    <n v="331.17"/>
  </r>
  <r>
    <s v="SALE1203"/>
    <d v="2024-09-25T00:00:00"/>
    <s v="CUST1056"/>
    <s v="Christopher Sutton"/>
    <s v="PROD49"/>
    <s v="Beauty"/>
    <s v="STORE2"/>
    <n v="2"/>
    <n v="898.45"/>
    <n v="0.28999999999999998"/>
    <x v="2"/>
    <n v="1275.799"/>
  </r>
  <r>
    <s v="SALE1204"/>
    <d v="2025-09-05T00:00:00"/>
    <s v="CUST1030"/>
    <s v="Jessica Acevedo"/>
    <s v="PROD35"/>
    <s v="Home"/>
    <s v="STORE15"/>
    <n v="4"/>
    <n v="642.04999999999995"/>
    <n v="0.25"/>
    <x v="0"/>
    <n v="1926.15"/>
  </r>
  <r>
    <s v="SALE1205"/>
    <d v="2024-08-27T00:00:00"/>
    <s v="CUST1313"/>
    <s v="Elizabeth Jones"/>
    <s v="PROD84"/>
    <s v="Home"/>
    <s v="STORE7"/>
    <n v="4"/>
    <n v="450.83"/>
    <n v="0.24"/>
    <x v="0"/>
    <n v="1370.5232000000001"/>
  </r>
  <r>
    <s v="SALE1206"/>
    <d v="2023-10-17T00:00:00"/>
    <s v="CUST1010"/>
    <s v="Dominic Page"/>
    <s v="PROD33"/>
    <s v="Home"/>
    <s v="STORE19"/>
    <n v="2"/>
    <n v="441.03"/>
    <n v="0.23"/>
    <x v="2"/>
    <n v="679.18619999999999"/>
  </r>
  <r>
    <s v="SALE1207"/>
    <d v="2024-04-02T00:00:00"/>
    <s v="CUST1082"/>
    <s v="George Rosario"/>
    <s v="PROD92"/>
    <s v="Home"/>
    <s v="STORE2"/>
    <n v="3"/>
    <n v="377.69"/>
    <n v="7.0000000000000007E-2"/>
    <x v="1"/>
    <n v="1053.7551000000001"/>
  </r>
  <r>
    <s v="SALE1208"/>
    <d v="2024-05-04T00:00:00"/>
    <s v="CUST1160"/>
    <s v="John Lawson"/>
    <s v="PROD47"/>
    <s v="Beauty"/>
    <s v="STORE7"/>
    <n v="1"/>
    <n v="457.33"/>
    <n v="0.27"/>
    <x v="0"/>
    <n v="333.85090000000002"/>
  </r>
  <r>
    <s v="SALE1209"/>
    <d v="2025-08-11T00:00:00"/>
    <s v="CUST1244"/>
    <s v="Nancy Page"/>
    <s v="PROD50"/>
    <s v="Sports"/>
    <s v="STORE6"/>
    <n v="4"/>
    <n v="218.01"/>
    <n v="0.06"/>
    <x v="0"/>
    <n v="819.71759999999995"/>
  </r>
  <r>
    <s v="SALE1210"/>
    <d v="2025-10-03T00:00:00"/>
    <s v="CUST1218"/>
    <s v="Julia Jackson"/>
    <s v="PROD16"/>
    <s v="Beauty"/>
    <s v="STORE18"/>
    <n v="2"/>
    <n v="682.7"/>
    <n v="0.13"/>
    <x v="0"/>
    <n v="1187.8979999999999"/>
  </r>
  <r>
    <s v="SALE1211"/>
    <d v="2024-02-23T00:00:00"/>
    <s v="CUST1323"/>
    <s v="Kristy Dunlap"/>
    <s v="PROD49"/>
    <s v="Beauty"/>
    <s v="STORE18"/>
    <n v="3"/>
    <n v="726.97"/>
    <n v="0.04"/>
    <x v="1"/>
    <n v="2093.6736000000001"/>
  </r>
  <r>
    <s v="SALE1212"/>
    <d v="2025-01-24T00:00:00"/>
    <s v="CUST1408"/>
    <s v="Isabel Foster"/>
    <s v="PROD31"/>
    <s v="Sports"/>
    <s v="STORE9"/>
    <n v="2"/>
    <n v="107.97"/>
    <n v="0.06"/>
    <x v="0"/>
    <n v="202.9836"/>
  </r>
  <r>
    <s v="SALE1213"/>
    <d v="2025-05-08T00:00:00"/>
    <s v="CUST1007"/>
    <s v="Daniel Boyd"/>
    <s v="PROD67"/>
    <s v="Electronics"/>
    <s v="STORE14"/>
    <n v="1"/>
    <n v="38.880000000000003"/>
    <n v="0.16"/>
    <x v="2"/>
    <n v="32.659199999999998"/>
  </r>
  <r>
    <s v="SALE1214"/>
    <d v="2025-06-15T00:00:00"/>
    <s v="CUST1078"/>
    <s v="Cody Blake"/>
    <s v="PROD45"/>
    <s v="Sports"/>
    <s v="STORE17"/>
    <n v="3"/>
    <n v="484.39"/>
    <n v="0.28999999999999998"/>
    <x v="2"/>
    <n v="1031.7507000000001"/>
  </r>
  <r>
    <s v="SALE1215"/>
    <d v="2024-10-07T00:00:00"/>
    <s v="CUST1018"/>
    <s v="Rhonda Moss"/>
    <s v="PROD80"/>
    <s v="Home"/>
    <s v="STORE15"/>
    <n v="2"/>
    <n v="949.3"/>
    <n v="0.08"/>
    <x v="2"/>
    <n v="1746.712"/>
  </r>
  <r>
    <s v="SALE1216"/>
    <d v="2023-11-29T00:00:00"/>
    <s v="CUST1433"/>
    <s v="Thomas Moore"/>
    <s v="PROD64"/>
    <s v="Beauty"/>
    <s v="STORE6"/>
    <n v="3"/>
    <n v="664.75"/>
    <n v="0.12"/>
    <x v="0"/>
    <n v="1754.94"/>
  </r>
  <r>
    <s v="SALE1217"/>
    <d v="2025-03-24T00:00:00"/>
    <s v="CUST1282"/>
    <s v="Kristi Lopez"/>
    <s v="PROD91"/>
    <s v="Clothing"/>
    <s v="STORE17"/>
    <n v="3"/>
    <n v="190.04"/>
    <n v="7.0000000000000007E-2"/>
    <x v="1"/>
    <n v="530.21159999999998"/>
  </r>
  <r>
    <s v="SALE1218"/>
    <d v="2025-07-31T00:00:00"/>
    <s v="CUST1277"/>
    <s v="Jeffrey Gomez"/>
    <s v="PROD93"/>
    <s v="Electronics"/>
    <s v="STORE15"/>
    <n v="3"/>
    <n v="754.02"/>
    <n v="0.1"/>
    <x v="2"/>
    <n v="2035.854"/>
  </r>
  <r>
    <s v="SALE1219"/>
    <d v="2024-08-22T00:00:00"/>
    <s v="CUST1384"/>
    <s v="Andrew Mason"/>
    <s v="PROD74"/>
    <s v="Electronics"/>
    <s v="STORE12"/>
    <n v="4"/>
    <n v="94.13"/>
    <n v="0.04"/>
    <x v="2"/>
    <n v="361.45920000000001"/>
  </r>
  <r>
    <s v="SALE1220"/>
    <d v="2024-07-16T00:00:00"/>
    <s v="CUST1468"/>
    <s v="Gregory Curtis"/>
    <s v="PROD75"/>
    <s v="Clothing"/>
    <s v="STORE15"/>
    <n v="3"/>
    <n v="402.3"/>
    <n v="0.21"/>
    <x v="1"/>
    <n v="953.45100000000014"/>
  </r>
  <r>
    <s v="SALE1221"/>
    <d v="2025-09-08T00:00:00"/>
    <s v="CUST1239"/>
    <s v="Maria Hill"/>
    <s v="PROD19"/>
    <s v="Sports"/>
    <s v="STORE7"/>
    <n v="1"/>
    <n v="729.05"/>
    <n v="0.06"/>
    <x v="2"/>
    <n v="685.3069999999999"/>
  </r>
  <r>
    <s v="SALE1222"/>
    <d v="2025-09-12T00:00:00"/>
    <s v="CUST1134"/>
    <s v="Morgan Bowen"/>
    <s v="PROD70"/>
    <s v="Home"/>
    <s v="STORE13"/>
    <n v="1"/>
    <n v="822.6"/>
    <n v="0.28999999999999998"/>
    <x v="1"/>
    <n v="584.04599999999994"/>
  </r>
  <r>
    <s v="SALE1223"/>
    <d v="2025-04-24T00:00:00"/>
    <s v="CUST1193"/>
    <s v="David Roberts"/>
    <s v="PROD64"/>
    <s v="Beauty"/>
    <s v="STORE8"/>
    <n v="2"/>
    <n v="327.25"/>
    <n v="0.19"/>
    <x v="1"/>
    <n v="530.14499999999998"/>
  </r>
  <r>
    <s v="SALE1224"/>
    <d v="2024-11-23T00:00:00"/>
    <s v="CUST1084"/>
    <s v="Christy Hoffman"/>
    <s v="PROD25"/>
    <s v="Clothing"/>
    <s v="STORE9"/>
    <n v="4"/>
    <n v="930.38"/>
    <n v="0"/>
    <x v="2"/>
    <n v="3721.52"/>
  </r>
  <r>
    <s v="SALE1225"/>
    <d v="2024-04-12T00:00:00"/>
    <s v="CUST1144"/>
    <s v="Justin Cross"/>
    <s v="PROD72"/>
    <s v="Sports"/>
    <s v="STORE5"/>
    <n v="2"/>
    <n v="437.84"/>
    <n v="0.24"/>
    <x v="0"/>
    <n v="665.51679999999999"/>
  </r>
  <r>
    <s v="SALE1226"/>
    <d v="2025-05-09T00:00:00"/>
    <s v="CUST1070"/>
    <s v="Eric Singh"/>
    <s v="PROD78"/>
    <s v="Home"/>
    <s v="STORE16"/>
    <n v="2"/>
    <n v="126.02"/>
    <n v="0.09"/>
    <x v="2"/>
    <n v="229.35640000000001"/>
  </r>
  <r>
    <s v="SALE1227"/>
    <d v="2025-02-04T00:00:00"/>
    <s v="CUST1437"/>
    <s v="Melinda Rivera"/>
    <s v="PROD88"/>
    <s v="Sports"/>
    <s v="STORE15"/>
    <n v="1"/>
    <n v="860.84"/>
    <n v="7.0000000000000007E-2"/>
    <x v="1"/>
    <n v="800.58119999999997"/>
  </r>
  <r>
    <s v="SALE1228"/>
    <d v="2025-01-20T00:00:00"/>
    <s v="CUST1093"/>
    <s v="Christy Vasquez"/>
    <s v="PROD5"/>
    <s v="Clothing"/>
    <s v="STORE13"/>
    <n v="1"/>
    <n v="161.80000000000001"/>
    <n v="0.24"/>
    <x v="1"/>
    <n v="122.968"/>
  </r>
  <r>
    <s v="SALE1229"/>
    <d v="2025-01-12T00:00:00"/>
    <s v="CUST1385"/>
    <s v="Tammy Brennan"/>
    <s v="PROD68"/>
    <s v="Home"/>
    <s v="STORE17"/>
    <n v="4"/>
    <n v="347.82"/>
    <n v="0.02"/>
    <x v="2"/>
    <n v="1363.4544000000001"/>
  </r>
  <r>
    <s v="SALE1230"/>
    <d v="2024-01-08T00:00:00"/>
    <s v="CUST1453"/>
    <s v="April Phillips"/>
    <s v="PROD12"/>
    <s v="Beauty"/>
    <s v="STORE16"/>
    <n v="3"/>
    <n v="416.44"/>
    <n v="0.27"/>
    <x v="0"/>
    <n v="912.00359999999989"/>
  </r>
  <r>
    <s v="SALE1231"/>
    <d v="2025-08-24T00:00:00"/>
    <s v="CUST1005"/>
    <s v="Christine Vaughn"/>
    <s v="PROD61"/>
    <s v="Sports"/>
    <s v="STORE0"/>
    <n v="1"/>
    <n v="147.96"/>
    <n v="0.24"/>
    <x v="2"/>
    <n v="112.4496"/>
  </r>
  <r>
    <s v="SALE1232"/>
    <d v="2024-09-25T00:00:00"/>
    <s v="CUST1445"/>
    <s v="Gene Lee"/>
    <s v="PROD2"/>
    <s v="Clothing"/>
    <s v="STORE8"/>
    <n v="3"/>
    <n v="550.26"/>
    <n v="0.22"/>
    <x v="0"/>
    <n v="1287.6084000000001"/>
  </r>
  <r>
    <s v="SALE1233"/>
    <d v="2023-12-07T00:00:00"/>
    <s v="CUST1371"/>
    <s v="Michael Garner"/>
    <s v="PROD67"/>
    <s v="Electronics"/>
    <s v="STORE7"/>
    <n v="4"/>
    <n v="938.21"/>
    <n v="0.04"/>
    <x v="1"/>
    <n v="3602.7264"/>
  </r>
  <r>
    <s v="SALE1234"/>
    <d v="2024-06-24T00:00:00"/>
    <s v="CUST1134"/>
    <s v="Morgan Bowen"/>
    <s v="PROD70"/>
    <s v="Home"/>
    <s v="STORE16"/>
    <n v="3"/>
    <n v="517.98"/>
    <n v="0.01"/>
    <x v="1"/>
    <n v="1538.4005999999999"/>
  </r>
  <r>
    <s v="SALE1235"/>
    <d v="2025-07-09T00:00:00"/>
    <s v="CUST1036"/>
    <s v="Thomas Phillips"/>
    <s v="PROD90"/>
    <s v="Electronics"/>
    <s v="STORE8"/>
    <n v="1"/>
    <n v="98.27"/>
    <n v="0.16"/>
    <x v="1"/>
    <n v="82.54679999999999"/>
  </r>
  <r>
    <s v="SALE1236"/>
    <d v="2024-07-07T00:00:00"/>
    <s v="CUST1251"/>
    <s v="Tyler Garner"/>
    <s v="PROD9"/>
    <s v="Sports"/>
    <s v="STORE11"/>
    <n v="2"/>
    <n v="875.2"/>
    <n v="0.19"/>
    <x v="0"/>
    <n v="1417.8240000000001"/>
  </r>
  <r>
    <s v="SALE1237"/>
    <d v="2024-02-23T00:00:00"/>
    <s v="CUST1305"/>
    <s v="Roberta Green"/>
    <s v="PROD28"/>
    <s v="Sports"/>
    <s v="STORE0"/>
    <n v="1"/>
    <n v="227.35"/>
    <n v="0.06"/>
    <x v="2"/>
    <n v="213.709"/>
  </r>
  <r>
    <s v="SALE1238"/>
    <d v="2023-11-05T00:00:00"/>
    <s v="CUST1210"/>
    <s v="Antonio Jones"/>
    <s v="PROD60"/>
    <s v="Beauty"/>
    <s v="STORE1"/>
    <n v="1"/>
    <n v="842.46"/>
    <n v="0.05"/>
    <x v="2"/>
    <n v="800.33699999999999"/>
  </r>
  <r>
    <s v="SALE1239"/>
    <d v="2024-09-08T00:00:00"/>
    <s v="CUST1212"/>
    <s v="Blake Harrison"/>
    <s v="PROD13"/>
    <s v="Electronics"/>
    <s v="STORE11"/>
    <n v="3"/>
    <n v="120.67"/>
    <n v="0.08"/>
    <x v="2"/>
    <n v="333.04919999999998"/>
  </r>
  <r>
    <s v="SALE1240"/>
    <d v="2024-04-20T00:00:00"/>
    <s v="CUST1497"/>
    <s v="Sarah Marsh"/>
    <s v="PROD33"/>
    <s v="Home"/>
    <s v="STORE3"/>
    <n v="4"/>
    <n v="176.13"/>
    <n v="0.27"/>
    <x v="1"/>
    <n v="514.29959999999994"/>
  </r>
  <r>
    <s v="SALE1241"/>
    <d v="2025-01-14T00:00:00"/>
    <s v="CUST1450"/>
    <s v="Shane Mills"/>
    <s v="PROD63"/>
    <s v="Beauty"/>
    <s v="STORE11"/>
    <n v="4"/>
    <n v="592.67999999999995"/>
    <n v="0.03"/>
    <x v="0"/>
    <n v="2299.5983999999999"/>
  </r>
  <r>
    <s v="SALE1242"/>
    <d v="2024-03-16T00:00:00"/>
    <s v="CUST1176"/>
    <s v="John Bradford"/>
    <s v="PROD52"/>
    <s v="Sports"/>
    <s v="STORE4"/>
    <n v="4"/>
    <n v="662.43"/>
    <n v="0.24"/>
    <x v="1"/>
    <n v="2013.7872"/>
  </r>
  <r>
    <s v="SALE1243"/>
    <d v="2024-07-15T00:00:00"/>
    <s v="CUST1128"/>
    <s v="Susan Mcdonald"/>
    <s v="PROD25"/>
    <s v="Clothing"/>
    <s v="STORE8"/>
    <n v="3"/>
    <n v="518.35"/>
    <n v="0.21"/>
    <x v="2"/>
    <n v="1228.4894999999999"/>
  </r>
  <r>
    <s v="SALE1244"/>
    <d v="2024-08-05T00:00:00"/>
    <s v="CUST1310"/>
    <s v="Kara Dodson"/>
    <s v="PROD17"/>
    <s v="Sports"/>
    <s v="STORE5"/>
    <n v="1"/>
    <n v="85.58"/>
    <n v="0.1"/>
    <x v="2"/>
    <n v="77.022000000000006"/>
  </r>
  <r>
    <s v="SALE1245"/>
    <d v="2024-02-01T00:00:00"/>
    <s v="CUST1363"/>
    <s v="Elizabeth Smith"/>
    <s v="PROD91"/>
    <s v="Clothing"/>
    <s v="STORE1"/>
    <n v="4"/>
    <n v="800"/>
    <n v="0.2"/>
    <x v="0"/>
    <n v="2560"/>
  </r>
  <r>
    <s v="SALE1246"/>
    <d v="2025-08-20T00:00:00"/>
    <s v="CUST1155"/>
    <s v="Curtis Haynes"/>
    <s v="PROD72"/>
    <s v="Sports"/>
    <s v="STORE10"/>
    <n v="3"/>
    <n v="118.25"/>
    <n v="0.26"/>
    <x v="1"/>
    <n v="262.51499999999999"/>
  </r>
  <r>
    <s v="SALE1247"/>
    <d v="2023-11-23T00:00:00"/>
    <s v="CUST1421"/>
    <s v="Holly Robinson"/>
    <s v="PROD81"/>
    <s v="Sports"/>
    <s v="STORE15"/>
    <n v="1"/>
    <n v="223.25"/>
    <n v="0.28999999999999998"/>
    <x v="0"/>
    <n v="158.50749999999999"/>
  </r>
  <r>
    <s v="SALE1248"/>
    <d v="2024-08-26T00:00:00"/>
    <s v="CUST1427"/>
    <s v="Jose Stewart"/>
    <s v="PROD53"/>
    <s v="Clothing"/>
    <s v="STORE4"/>
    <n v="3"/>
    <n v="918.76"/>
    <n v="0.2"/>
    <x v="1"/>
    <n v="2205.0239999999999"/>
  </r>
  <r>
    <s v="SALE1249"/>
    <d v="2024-07-18T00:00:00"/>
    <s v="CUST1280"/>
    <s v="Antonio Leon"/>
    <s v="PROD91"/>
    <s v="Clothing"/>
    <s v="STORE13"/>
    <n v="2"/>
    <n v="905.26"/>
    <n v="0.15"/>
    <x v="2"/>
    <n v="1538.942"/>
  </r>
  <r>
    <s v="SALE1250"/>
    <d v="2024-12-02T00:00:00"/>
    <s v="CUST1312"/>
    <s v="Jason Mullins"/>
    <s v="PROD74"/>
    <s v="Electronics"/>
    <s v="STORE19"/>
    <n v="4"/>
    <n v="295.39999999999998"/>
    <n v="0.23"/>
    <x v="1"/>
    <n v="909.83199999999999"/>
  </r>
  <r>
    <s v="SALE1251"/>
    <d v="2025-07-23T00:00:00"/>
    <s v="CUST1087"/>
    <s v="Melissa Duffy Md"/>
    <s v="PROD76"/>
    <s v="Electronics"/>
    <s v="STORE5"/>
    <n v="1"/>
    <n v="252.18"/>
    <n v="0.23"/>
    <x v="1"/>
    <n v="194.17859999999999"/>
  </r>
  <r>
    <s v="SALE1252"/>
    <d v="2025-08-09T00:00:00"/>
    <s v="CUST1152"/>
    <s v="Patrick Roberts"/>
    <s v="PROD70"/>
    <s v="Home"/>
    <s v="STORE12"/>
    <n v="4"/>
    <n v="792.1"/>
    <n v="0.19"/>
    <x v="2"/>
    <n v="2566.404"/>
  </r>
  <r>
    <s v="SALE1253"/>
    <d v="2024-05-14T00:00:00"/>
    <s v="CUST1076"/>
    <s v="Nathan Campbell"/>
    <s v="PROD32"/>
    <s v="Beauty"/>
    <s v="STORE14"/>
    <n v="1"/>
    <n v="883.36"/>
    <n v="0.11"/>
    <x v="1"/>
    <n v="786.19040000000007"/>
  </r>
  <r>
    <s v="SALE1254"/>
    <d v="2023-11-01T00:00:00"/>
    <s v="CUST1276"/>
    <s v="Arthur Warren"/>
    <s v="PROD65"/>
    <s v="Sports"/>
    <s v="STORE0"/>
    <n v="4"/>
    <n v="305.95"/>
    <n v="0.08"/>
    <x v="1"/>
    <n v="1125.896"/>
  </r>
  <r>
    <s v="SALE1255"/>
    <d v="2024-11-13T00:00:00"/>
    <s v="CUST1401"/>
    <s v="Terry Moses"/>
    <s v="PROD34"/>
    <s v="Electronics"/>
    <s v="STORE7"/>
    <n v="3"/>
    <n v="742.45"/>
    <n v="0.23"/>
    <x v="2"/>
    <n v="1715.0595000000001"/>
  </r>
  <r>
    <s v="SALE1256"/>
    <d v="2024-04-10T00:00:00"/>
    <s v="CUST1355"/>
    <s v="Carlos Flores"/>
    <s v="PROD91"/>
    <s v="Clothing"/>
    <s v="STORE18"/>
    <n v="3"/>
    <n v="336.1"/>
    <n v="0.12"/>
    <x v="2"/>
    <n v="887.30400000000009"/>
  </r>
  <r>
    <s v="SALE1257"/>
    <d v="2025-08-07T00:00:00"/>
    <s v="CUST1412"/>
    <s v="Shane Brown"/>
    <s v="PROD53"/>
    <s v="Clothing"/>
    <s v="STORE7"/>
    <n v="3"/>
    <n v="310.36"/>
    <n v="0.14000000000000001"/>
    <x v="2"/>
    <n v="800.72879999999998"/>
  </r>
  <r>
    <s v="SALE1258"/>
    <d v="2025-04-25T00:00:00"/>
    <s v="CUST1279"/>
    <s v="Aaron Luna"/>
    <s v="PROD13"/>
    <s v="Electronics"/>
    <s v="STORE8"/>
    <n v="3"/>
    <n v="992.81"/>
    <n v="0.04"/>
    <x v="1"/>
    <n v="2859.2928000000002"/>
  </r>
  <r>
    <s v="SALE1259"/>
    <d v="2023-10-18T00:00:00"/>
    <s v="CUST1198"/>
    <s v="Wanda Snyder"/>
    <s v="PROD12"/>
    <s v="Beauty"/>
    <s v="STORE11"/>
    <n v="3"/>
    <n v="257.11"/>
    <n v="0.26"/>
    <x v="2"/>
    <n v="570.78420000000006"/>
  </r>
  <r>
    <s v="SALE1260"/>
    <d v="2025-03-23T00:00:00"/>
    <s v="CUST1220"/>
    <s v="George Davis"/>
    <s v="PROD29"/>
    <s v="Home"/>
    <s v="STORE12"/>
    <n v="4"/>
    <n v="816.29"/>
    <n v="0.24"/>
    <x v="1"/>
    <n v="2481.5216"/>
  </r>
  <r>
    <s v="SALE1261"/>
    <d v="2023-12-12T00:00:00"/>
    <s v="CUST1122"/>
    <s v="Michael Chang"/>
    <s v="PROD94"/>
    <s v="Beauty"/>
    <s v="STORE12"/>
    <n v="4"/>
    <n v="755.82"/>
    <n v="0.22"/>
    <x v="2"/>
    <n v="2358.1583999999998"/>
  </r>
  <r>
    <s v="SALE1262"/>
    <d v="2024-08-20T00:00:00"/>
    <s v="CUST1003"/>
    <s v="Jeremy Harris"/>
    <s v="PROD0"/>
    <s v="Electronics"/>
    <s v="STORE14"/>
    <n v="1"/>
    <n v="449.6"/>
    <n v="0.01"/>
    <x v="1"/>
    <n v="445.10399999999998"/>
  </r>
  <r>
    <s v="SALE1263"/>
    <d v="2024-07-08T00:00:00"/>
    <s v="CUST1351"/>
    <s v="Jeffrey Mccarthy"/>
    <s v="PROD26"/>
    <s v="Electronics"/>
    <s v="STORE0"/>
    <n v="2"/>
    <n v="779.29"/>
    <n v="0.12"/>
    <x v="2"/>
    <n v="1371.5504000000001"/>
  </r>
  <r>
    <s v="SALE1264"/>
    <d v="2023-12-07T00:00:00"/>
    <s v="CUST1464"/>
    <s v="David Pierce"/>
    <s v="PROD33"/>
    <s v="Home"/>
    <s v="STORE17"/>
    <n v="1"/>
    <n v="748.75"/>
    <n v="0.1"/>
    <x v="2"/>
    <n v="673.875"/>
  </r>
  <r>
    <s v="SALE1265"/>
    <d v="2024-02-06T00:00:00"/>
    <s v="CUST1181"/>
    <s v="Erin Ward"/>
    <s v="PROD63"/>
    <s v="Beauty"/>
    <s v="STORE0"/>
    <n v="2"/>
    <n v="121.67"/>
    <n v="0.08"/>
    <x v="2"/>
    <n v="223.87280000000001"/>
  </r>
  <r>
    <s v="SALE1266"/>
    <d v="2025-05-10T00:00:00"/>
    <s v="CUST1492"/>
    <s v="Darrell Miller"/>
    <s v="PROD10"/>
    <s v="Home"/>
    <s v="STORE15"/>
    <n v="3"/>
    <n v="225.14"/>
    <n v="0.15"/>
    <x v="2"/>
    <n v="574.10699999999997"/>
  </r>
  <r>
    <s v="SALE1267"/>
    <d v="2025-08-07T00:00:00"/>
    <s v="CUST1321"/>
    <s v="Darren Burton"/>
    <s v="PROD99"/>
    <s v="Home"/>
    <s v="STORE19"/>
    <n v="1"/>
    <n v="654.17999999999995"/>
    <n v="0.19"/>
    <x v="1"/>
    <n v="529.88580000000002"/>
  </r>
  <r>
    <s v="SALE1268"/>
    <d v="2024-09-17T00:00:00"/>
    <s v="CUST1058"/>
    <s v="Cheryl Copeland"/>
    <s v="PROD70"/>
    <s v="Home"/>
    <s v="STORE5"/>
    <n v="2"/>
    <n v="504.98"/>
    <n v="0.08"/>
    <x v="2"/>
    <n v="929.16320000000007"/>
  </r>
  <r>
    <s v="SALE1269"/>
    <d v="2025-06-15T00:00:00"/>
    <s v="CUST1378"/>
    <s v="Frank Stewart"/>
    <s v="PROD91"/>
    <s v="Clothing"/>
    <s v="STORE8"/>
    <n v="2"/>
    <n v="623.20000000000005"/>
    <n v="0.14000000000000001"/>
    <x v="2"/>
    <n v="1071.904"/>
  </r>
  <r>
    <s v="SALE1270"/>
    <d v="2024-11-26T00:00:00"/>
    <s v="CUST1325"/>
    <s v="Andrew Smith"/>
    <s v="PROD54"/>
    <s v="Sports"/>
    <s v="STORE16"/>
    <n v="2"/>
    <n v="530.54"/>
    <n v="0.28000000000000003"/>
    <x v="2"/>
    <n v="763.97759999999994"/>
  </r>
  <r>
    <s v="SALE1271"/>
    <d v="2025-06-02T00:00:00"/>
    <s v="CUST1365"/>
    <s v="Brandon Mcbride"/>
    <s v="PROD45"/>
    <s v="Sports"/>
    <s v="STORE16"/>
    <n v="3"/>
    <n v="279.45"/>
    <n v="0.15"/>
    <x v="2"/>
    <n v="712.59749999999985"/>
  </r>
  <r>
    <s v="SALE1272"/>
    <d v="2024-12-19T00:00:00"/>
    <s v="CUST1266"/>
    <s v="Cynthia Payne"/>
    <s v="PROD15"/>
    <s v="Electronics"/>
    <s v="STORE8"/>
    <n v="3"/>
    <n v="906.99"/>
    <n v="0.26"/>
    <x v="2"/>
    <n v="2013.5178000000001"/>
  </r>
  <r>
    <s v="SALE1273"/>
    <d v="2025-04-02T00:00:00"/>
    <s v="CUST1070"/>
    <s v="Eric Singh"/>
    <s v="PROD78"/>
    <s v="Home"/>
    <s v="STORE17"/>
    <n v="4"/>
    <n v="408.76"/>
    <n v="0.12"/>
    <x v="2"/>
    <n v="1438.8352"/>
  </r>
  <r>
    <s v="SALE1274"/>
    <d v="2024-09-02T00:00:00"/>
    <s v="CUST1177"/>
    <s v="Curtis Lam"/>
    <s v="PROD59"/>
    <s v="Beauty"/>
    <s v="STORE9"/>
    <n v="2"/>
    <n v="117.34"/>
    <n v="0.09"/>
    <x v="1"/>
    <n v="213.55879999999999"/>
  </r>
  <r>
    <s v="SALE1275"/>
    <d v="2024-03-25T00:00:00"/>
    <s v="CUST1168"/>
    <s v="Daniel Contreras"/>
    <s v="PROD72"/>
    <s v="Sports"/>
    <s v="STORE14"/>
    <n v="3"/>
    <n v="690.27"/>
    <n v="7.0000000000000007E-2"/>
    <x v="1"/>
    <n v="1925.8533"/>
  </r>
  <r>
    <s v="SALE1276"/>
    <d v="2025-02-21T00:00:00"/>
    <s v="CUST1108"/>
    <s v="Travis Holland"/>
    <s v="PROD30"/>
    <s v="Home"/>
    <s v="STORE17"/>
    <n v="4"/>
    <n v="377.18"/>
    <n v="0.24"/>
    <x v="1"/>
    <n v="1146.6271999999999"/>
  </r>
  <r>
    <s v="SALE1277"/>
    <d v="2024-06-03T00:00:00"/>
    <s v="CUST1112"/>
    <s v="David Cole"/>
    <s v="PROD40"/>
    <s v="Electronics"/>
    <s v="STORE0"/>
    <n v="1"/>
    <n v="70.52"/>
    <n v="0.08"/>
    <x v="2"/>
    <n v="64.878399999999999"/>
  </r>
  <r>
    <s v="SALE1278"/>
    <d v="2024-02-08T00:00:00"/>
    <s v="CUST1275"/>
    <s v="Shannon Miller"/>
    <s v="PROD69"/>
    <s v="Clothing"/>
    <s v="STORE9"/>
    <n v="1"/>
    <n v="40.25"/>
    <n v="0.1"/>
    <x v="1"/>
    <n v="36.225000000000001"/>
  </r>
  <r>
    <s v="SALE1279"/>
    <d v="2024-04-06T00:00:00"/>
    <s v="CUST1232"/>
    <s v="Christy Hill"/>
    <s v="PROD95"/>
    <s v="Sports"/>
    <s v="STORE11"/>
    <n v="3"/>
    <n v="539.44000000000005"/>
    <n v="0.05"/>
    <x v="2"/>
    <n v="1537.404"/>
  </r>
  <r>
    <s v="SALE1280"/>
    <d v="2024-01-22T00:00:00"/>
    <s v="CUST1247"/>
    <s v="Douglas Rhodes"/>
    <s v="PROD10"/>
    <s v="Home"/>
    <s v="STORE4"/>
    <n v="3"/>
    <n v="543.49"/>
    <n v="0.05"/>
    <x v="1"/>
    <n v="1548.9465"/>
  </r>
  <r>
    <s v="SALE1281"/>
    <d v="2023-10-22T00:00:00"/>
    <s v="CUST1324"/>
    <s v="Alex Mann Ii"/>
    <s v="PROD20"/>
    <s v="Sports"/>
    <s v="STORE6"/>
    <n v="4"/>
    <n v="547.21"/>
    <n v="0.1"/>
    <x v="2"/>
    <n v="1969.9559999999999"/>
  </r>
  <r>
    <s v="SALE1282"/>
    <d v="2024-11-23T00:00:00"/>
    <s v="CUST1241"/>
    <s v="Mr. William Horton"/>
    <s v="PROD15"/>
    <s v="Electronics"/>
    <s v="STORE1"/>
    <n v="2"/>
    <n v="892.46"/>
    <n v="7.0000000000000007E-2"/>
    <x v="1"/>
    <n v="1659.9756"/>
  </r>
  <r>
    <s v="SALE1283"/>
    <d v="2023-12-26T00:00:00"/>
    <s v="CUST1387"/>
    <s v="Timothy Gardner"/>
    <s v="PROD76"/>
    <s v="Electronics"/>
    <s v="STORE8"/>
    <n v="2"/>
    <n v="853.41"/>
    <n v="0.25"/>
    <x v="0"/>
    <n v="1280.115"/>
  </r>
  <r>
    <s v="SALE1284"/>
    <d v="2024-06-08T00:00:00"/>
    <s v="CUST1110"/>
    <s v="Ashley Griffin"/>
    <s v="PROD8"/>
    <s v="Electronics"/>
    <s v="STORE7"/>
    <n v="1"/>
    <n v="162.13999999999999"/>
    <n v="7.0000000000000007E-2"/>
    <x v="1"/>
    <n v="150.7902"/>
  </r>
  <r>
    <s v="SALE1285"/>
    <d v="2024-07-05T00:00:00"/>
    <s v="CUST1147"/>
    <s v="Rhonda Young"/>
    <s v="PROD52"/>
    <s v="Sports"/>
    <s v="STORE16"/>
    <n v="1"/>
    <n v="893.14"/>
    <n v="0.09"/>
    <x v="0"/>
    <n v="812.75739999999996"/>
  </r>
  <r>
    <s v="SALE1286"/>
    <d v="2024-08-24T00:00:00"/>
    <s v="CUST1103"/>
    <s v="Steven Stein"/>
    <s v="PROD89"/>
    <s v="Beauty"/>
    <s v="STORE8"/>
    <n v="4"/>
    <n v="349.07"/>
    <n v="0.28000000000000003"/>
    <x v="0"/>
    <n v="1005.3216"/>
  </r>
  <r>
    <s v="SALE1287"/>
    <d v="2024-05-06T00:00:00"/>
    <s v="CUST1283"/>
    <s v="Bryan Garcia"/>
    <s v="PROD70"/>
    <s v="Home"/>
    <s v="STORE13"/>
    <n v="1"/>
    <n v="747.9"/>
    <n v="0.21"/>
    <x v="2"/>
    <n v="590.84100000000001"/>
  </r>
  <r>
    <s v="SALE1288"/>
    <d v="2024-07-05T00:00:00"/>
    <s v="CUST1031"/>
    <s v="Sarah Vance"/>
    <s v="PROD62"/>
    <s v="Electronics"/>
    <s v="STORE6"/>
    <n v="3"/>
    <n v="438.92"/>
    <n v="0.21"/>
    <x v="0"/>
    <n v="1040.2403999999999"/>
  </r>
  <r>
    <s v="SALE1289"/>
    <d v="2023-11-02T00:00:00"/>
    <s v="CUST1123"/>
    <s v="Erin Hopkins"/>
    <s v="PROD12"/>
    <s v="Beauty"/>
    <s v="STORE4"/>
    <n v="4"/>
    <n v="665.38"/>
    <n v="0.18"/>
    <x v="0"/>
    <n v="2182.4463999999998"/>
  </r>
  <r>
    <s v="SALE1290"/>
    <d v="2024-11-20T00:00:00"/>
    <s v="CUST1003"/>
    <s v="Jeremy Harris"/>
    <s v="PROD0"/>
    <s v="Electronics"/>
    <s v="STORE18"/>
    <n v="1"/>
    <n v="146.49"/>
    <n v="0.28000000000000003"/>
    <x v="0"/>
    <n v="105.47280000000001"/>
  </r>
  <r>
    <s v="SALE1291"/>
    <d v="2025-04-27T00:00:00"/>
    <s v="CUST1139"/>
    <s v="Brian Holder"/>
    <s v="PROD15"/>
    <s v="Electronics"/>
    <s v="STORE15"/>
    <n v="2"/>
    <n v="235.39"/>
    <n v="0.27"/>
    <x v="2"/>
    <n v="343.6694"/>
  </r>
  <r>
    <s v="SALE1292"/>
    <d v="2024-12-25T00:00:00"/>
    <s v="CUST1028"/>
    <s v="Joshua Ryan"/>
    <s v="PROD5"/>
    <s v="Clothing"/>
    <s v="STORE5"/>
    <n v="3"/>
    <n v="38.07"/>
    <n v="0.09"/>
    <x v="1"/>
    <n v="103.9311"/>
  </r>
  <r>
    <s v="SALE1293"/>
    <d v="2025-09-02T00:00:00"/>
    <s v="CUST1403"/>
    <s v="Justin Ingram"/>
    <s v="PROD17"/>
    <s v="Sports"/>
    <s v="STORE4"/>
    <n v="2"/>
    <n v="511.7"/>
    <n v="0.12"/>
    <x v="2"/>
    <n v="900.59199999999998"/>
  </r>
  <r>
    <s v="SALE1294"/>
    <d v="2024-04-19T00:00:00"/>
    <s v="CUST1092"/>
    <s v="Robert Jackson"/>
    <s v="PROD10"/>
    <s v="Home"/>
    <s v="STORE8"/>
    <n v="4"/>
    <n v="488.72"/>
    <n v="0.23"/>
    <x v="1"/>
    <n v="1505.2575999999999"/>
  </r>
  <r>
    <s v="SALE1295"/>
    <d v="2025-03-01T00:00:00"/>
    <s v="CUST1391"/>
    <s v="Heidi Tyler"/>
    <s v="PROD29"/>
    <s v="Home"/>
    <s v="STORE12"/>
    <n v="2"/>
    <n v="520.45000000000005"/>
    <n v="0.11"/>
    <x v="2"/>
    <n v="926.40100000000007"/>
  </r>
  <r>
    <s v="SALE1296"/>
    <d v="2024-03-25T00:00:00"/>
    <s v="CUST1432"/>
    <s v="Summer Weiss"/>
    <s v="PROD16"/>
    <s v="Beauty"/>
    <s v="STORE5"/>
    <n v="1"/>
    <n v="340.9"/>
    <n v="0.28999999999999998"/>
    <x v="0"/>
    <n v="242.03899999999999"/>
  </r>
  <r>
    <s v="SALE1297"/>
    <d v="2024-10-11T00:00:00"/>
    <s v="CUST1346"/>
    <s v="John Jordan"/>
    <s v="PROD76"/>
    <s v="Electronics"/>
    <s v="STORE8"/>
    <n v="3"/>
    <n v="653.59"/>
    <n v="0.17"/>
    <x v="2"/>
    <n v="1627.4391000000001"/>
  </r>
  <r>
    <s v="SALE1298"/>
    <d v="2025-09-06T00:00:00"/>
    <s v="CUST1021"/>
    <s v="Jeff Martinez"/>
    <s v="PROD26"/>
    <s v="Electronics"/>
    <s v="STORE18"/>
    <n v="1"/>
    <n v="179.77"/>
    <n v="0.23"/>
    <x v="2"/>
    <n v="138.4229"/>
  </r>
  <r>
    <s v="SALE1299"/>
    <d v="2024-08-19T00:00:00"/>
    <s v="CUST1008"/>
    <s v="Melissa Howard"/>
    <s v="PROD30"/>
    <s v="Home"/>
    <s v="STORE9"/>
    <n v="2"/>
    <n v="943.8"/>
    <n v="0.06"/>
    <x v="0"/>
    <n v="1774.3440000000001"/>
  </r>
  <r>
    <s v="SALE1300"/>
    <d v="2023-11-04T00:00:00"/>
    <s v="CUST1409"/>
    <s v="Sarah Smith"/>
    <s v="PROD97"/>
    <s v="Sports"/>
    <s v="STORE15"/>
    <n v="2"/>
    <n v="985"/>
    <n v="0.25"/>
    <x v="0"/>
    <n v="1477.5"/>
  </r>
  <r>
    <s v="SALE1301"/>
    <d v="2024-04-23T00:00:00"/>
    <s v="CUST1485"/>
    <s v="Sara Ingram"/>
    <s v="PROD26"/>
    <s v="Electronics"/>
    <s v="STORE10"/>
    <n v="4"/>
    <n v="216.81"/>
    <n v="0.28999999999999998"/>
    <x v="0"/>
    <n v="615.74040000000002"/>
  </r>
  <r>
    <s v="SALE1302"/>
    <d v="2023-10-24T00:00:00"/>
    <s v="CUST1117"/>
    <s v="Colleen Mccarthy"/>
    <s v="PROD97"/>
    <s v="Sports"/>
    <s v="STORE2"/>
    <n v="4"/>
    <n v="950.21"/>
    <n v="0.27"/>
    <x v="2"/>
    <n v="2774.6131999999998"/>
  </r>
  <r>
    <s v="SALE1303"/>
    <d v="2025-06-30T00:00:00"/>
    <s v="CUST1256"/>
    <s v="Kristen Fischer"/>
    <s v="PROD34"/>
    <s v="Electronics"/>
    <s v="STORE7"/>
    <n v="2"/>
    <n v="271.39999999999998"/>
    <n v="0.17"/>
    <x v="1"/>
    <n v="450.52399999999989"/>
  </r>
  <r>
    <s v="SALE1304"/>
    <d v="2025-08-14T00:00:00"/>
    <s v="CUST1168"/>
    <s v="Daniel Contreras"/>
    <s v="PROD72"/>
    <s v="Sports"/>
    <s v="STORE8"/>
    <n v="4"/>
    <n v="708.19"/>
    <n v="0.1"/>
    <x v="1"/>
    <n v="2549.4839999999999"/>
  </r>
  <r>
    <s v="SALE1305"/>
    <d v="2025-05-11T00:00:00"/>
    <s v="CUST1444"/>
    <s v="Cheryl Carr"/>
    <s v="PROD10"/>
    <s v="Home"/>
    <s v="STORE3"/>
    <n v="3"/>
    <n v="477.05"/>
    <n v="0.05"/>
    <x v="1"/>
    <n v="1359.5925"/>
  </r>
  <r>
    <s v="SALE1306"/>
    <d v="2024-04-01T00:00:00"/>
    <s v="CUST1307"/>
    <s v="Brandy Thompson"/>
    <s v="PROD93"/>
    <s v="Electronics"/>
    <s v="STORE9"/>
    <n v="3"/>
    <n v="627.29"/>
    <n v="0.27"/>
    <x v="2"/>
    <n v="1373.7651000000001"/>
  </r>
  <r>
    <s v="SALE1307"/>
    <d v="2024-02-13T00:00:00"/>
    <s v="CUST1304"/>
    <s v="Miss Alexandria Li Dvm"/>
    <s v="PROD50"/>
    <s v="Sports"/>
    <s v="STORE11"/>
    <n v="3"/>
    <n v="206.84"/>
    <n v="0.19"/>
    <x v="1"/>
    <n v="502.62119999999999"/>
  </r>
  <r>
    <s v="SALE1308"/>
    <d v="2024-01-13T00:00:00"/>
    <s v="CUST1251"/>
    <s v="Tyler Garner"/>
    <s v="PROD9"/>
    <s v="Sports"/>
    <s v="STORE1"/>
    <n v="4"/>
    <n v="629.04999999999995"/>
    <n v="0.26"/>
    <x v="0"/>
    <n v="1861.9880000000001"/>
  </r>
  <r>
    <s v="SALE1309"/>
    <d v="2024-09-08T00:00:00"/>
    <s v="CUST1438"/>
    <s v="Monica Flynn"/>
    <s v="PROD63"/>
    <s v="Beauty"/>
    <s v="STORE17"/>
    <n v="4"/>
    <n v="529.04"/>
    <n v="0.1"/>
    <x v="1"/>
    <n v="1904.5440000000001"/>
  </r>
  <r>
    <s v="SALE1310"/>
    <d v="2024-02-04T00:00:00"/>
    <s v="CUST1349"/>
    <s v="Heather Valenzuela"/>
    <s v="PROD71"/>
    <s v="Beauty"/>
    <s v="STORE17"/>
    <n v="1"/>
    <n v="350.67"/>
    <n v="0.22"/>
    <x v="1"/>
    <n v="273.52260000000001"/>
  </r>
  <r>
    <s v="SALE1311"/>
    <d v="2024-07-25T00:00:00"/>
    <s v="CUST1371"/>
    <s v="Michael Garner"/>
    <s v="PROD67"/>
    <s v="Electronics"/>
    <s v="STORE1"/>
    <n v="1"/>
    <n v="128.93"/>
    <n v="0.26"/>
    <x v="0"/>
    <n v="95.408200000000008"/>
  </r>
  <r>
    <s v="SALE1312"/>
    <d v="2024-09-09T00:00:00"/>
    <s v="CUST1145"/>
    <s v="Cameron Simpson"/>
    <s v="PROD69"/>
    <s v="Clothing"/>
    <s v="STORE15"/>
    <n v="2"/>
    <n v="384.92"/>
    <n v="0.09"/>
    <x v="0"/>
    <n v="700.5544000000001"/>
  </r>
  <r>
    <s v="SALE1313"/>
    <d v="2023-12-08T00:00:00"/>
    <s v="CUST1334"/>
    <s v="Mr. Christopher Sims"/>
    <s v="PROD71"/>
    <s v="Beauty"/>
    <s v="STORE8"/>
    <n v="3"/>
    <n v="120.77"/>
    <n v="0.28999999999999998"/>
    <x v="1"/>
    <n v="257.24009999999998"/>
  </r>
  <r>
    <s v="SALE1314"/>
    <d v="2025-06-16T00:00:00"/>
    <s v="CUST1222"/>
    <s v="Alejandro Doyle"/>
    <s v="PROD46"/>
    <s v="Clothing"/>
    <s v="STORE17"/>
    <n v="4"/>
    <n v="661.39"/>
    <n v="7.0000000000000007E-2"/>
    <x v="0"/>
    <n v="2460.3708000000001"/>
  </r>
  <r>
    <s v="SALE1315"/>
    <d v="2023-12-01T00:00:00"/>
    <s v="CUST1449"/>
    <s v="William Cortez"/>
    <s v="PROD98"/>
    <s v="Electronics"/>
    <s v="STORE2"/>
    <n v="1"/>
    <n v="195.24"/>
    <n v="0.27"/>
    <x v="1"/>
    <n v="142.52520000000001"/>
  </r>
  <r>
    <s v="SALE1316"/>
    <d v="2023-11-03T00:00:00"/>
    <s v="CUST1004"/>
    <s v="Caroline Collins"/>
    <s v="PROD47"/>
    <s v="Beauty"/>
    <s v="STORE18"/>
    <n v="2"/>
    <n v="177.4"/>
    <n v="0.19"/>
    <x v="1"/>
    <n v="287.38799999999998"/>
  </r>
  <r>
    <s v="SALE1317"/>
    <d v="2025-01-16T00:00:00"/>
    <s v="CUST1057"/>
    <s v="Jay Patel"/>
    <s v="PROD38"/>
    <s v="Sports"/>
    <s v="STORE11"/>
    <n v="4"/>
    <n v="862.67"/>
    <n v="0.2"/>
    <x v="1"/>
    <n v="2760.5439999999999"/>
  </r>
  <r>
    <s v="SALE1318"/>
    <d v="2024-09-30T00:00:00"/>
    <s v="CUST1444"/>
    <s v="Cheryl Carr"/>
    <s v="PROD10"/>
    <s v="Home"/>
    <s v="STORE6"/>
    <n v="1"/>
    <n v="55.04"/>
    <n v="0.01"/>
    <x v="2"/>
    <n v="54.489600000000003"/>
  </r>
  <r>
    <s v="SALE1319"/>
    <d v="2024-12-20T00:00:00"/>
    <s v="CUST1049"/>
    <s v="Timothy Weaver"/>
    <s v="PROD48"/>
    <s v="Electronics"/>
    <s v="STORE0"/>
    <n v="2"/>
    <n v="905.47"/>
    <n v="0.2"/>
    <x v="2"/>
    <n v="1448.752"/>
  </r>
  <r>
    <s v="SALE1320"/>
    <d v="2024-09-04T00:00:00"/>
    <s v="CUST1461"/>
    <s v="Paul Cox"/>
    <s v="PROD65"/>
    <s v="Sports"/>
    <s v="STORE13"/>
    <n v="3"/>
    <n v="217.13"/>
    <n v="0.28000000000000003"/>
    <x v="0"/>
    <n v="469.00080000000003"/>
  </r>
  <r>
    <s v="SALE1321"/>
    <d v="2025-10-06T00:00:00"/>
    <s v="CUST1389"/>
    <s v="Cynthia Lopez"/>
    <s v="PROD91"/>
    <s v="Clothing"/>
    <s v="STORE0"/>
    <n v="3"/>
    <n v="580.45000000000005"/>
    <n v="0"/>
    <x v="1"/>
    <n v="1741.35"/>
  </r>
  <r>
    <s v="SALE1322"/>
    <d v="2025-07-16T00:00:00"/>
    <s v="CUST1103"/>
    <s v="Steven Stein"/>
    <s v="PROD89"/>
    <s v="Beauty"/>
    <s v="STORE17"/>
    <n v="2"/>
    <n v="892.88"/>
    <n v="0.17"/>
    <x v="1"/>
    <n v="1482.1808000000001"/>
  </r>
  <r>
    <s v="SALE1323"/>
    <d v="2025-10-06T00:00:00"/>
    <s v="CUST1091"/>
    <s v="Donna Gregory"/>
    <s v="PROD46"/>
    <s v="Clothing"/>
    <s v="STORE18"/>
    <n v="2"/>
    <n v="356.28"/>
    <n v="0.11"/>
    <x v="2"/>
    <n v="634.17840000000001"/>
  </r>
  <r>
    <s v="SALE1324"/>
    <d v="2025-09-21T00:00:00"/>
    <s v="CUST1384"/>
    <s v="Andrew Mason"/>
    <s v="PROD74"/>
    <s v="Electronics"/>
    <s v="STORE2"/>
    <n v="4"/>
    <n v="806.99"/>
    <n v="0.06"/>
    <x v="0"/>
    <n v="3034.2824000000001"/>
  </r>
  <r>
    <s v="SALE1325"/>
    <d v="2025-07-17T00:00:00"/>
    <s v="CUST1439"/>
    <s v="John Compton"/>
    <s v="PROD20"/>
    <s v="Sports"/>
    <s v="STORE1"/>
    <n v="3"/>
    <n v="684.22"/>
    <n v="0.09"/>
    <x v="0"/>
    <n v="1867.9205999999999"/>
  </r>
  <r>
    <s v="SALE1326"/>
    <d v="2025-06-29T00:00:00"/>
    <s v="CUST1443"/>
    <s v="Adam Castro"/>
    <s v="PROD34"/>
    <s v="Electronics"/>
    <s v="STORE7"/>
    <n v="4"/>
    <n v="763.34"/>
    <n v="7.0000000000000007E-2"/>
    <x v="1"/>
    <n v="2839.6248000000001"/>
  </r>
  <r>
    <s v="SALE1327"/>
    <d v="2025-03-22T00:00:00"/>
    <s v="CUST1361"/>
    <s v="Natalie Johnson"/>
    <s v="PROD76"/>
    <s v="Electronics"/>
    <s v="STORE3"/>
    <n v="3"/>
    <n v="721.94"/>
    <n v="0.26"/>
    <x v="0"/>
    <n v="1602.7067999999999"/>
  </r>
  <r>
    <s v="SALE1328"/>
    <d v="2024-02-01T00:00:00"/>
    <s v="CUST1406"/>
    <s v="David Lozano"/>
    <s v="PROD16"/>
    <s v="Beauty"/>
    <s v="STORE1"/>
    <n v="3"/>
    <n v="760.38"/>
    <n v="0"/>
    <x v="2"/>
    <n v="2281.14"/>
  </r>
  <r>
    <s v="SALE1329"/>
    <d v="2024-03-11T00:00:00"/>
    <s v="CUST1298"/>
    <s v="Tracy Stephens"/>
    <s v="PROD73"/>
    <s v="Sports"/>
    <s v="STORE6"/>
    <n v="3"/>
    <n v="612.53"/>
    <n v="0.21"/>
    <x v="2"/>
    <n v="1451.6960999999999"/>
  </r>
  <r>
    <s v="SALE1330"/>
    <d v="2024-09-09T00:00:00"/>
    <s v="CUST1041"/>
    <s v="James Gibbs"/>
    <s v="PROD22"/>
    <s v="Sports"/>
    <s v="STORE16"/>
    <n v="3"/>
    <n v="841.37"/>
    <n v="0.28999999999999998"/>
    <x v="1"/>
    <n v="1792.1180999999999"/>
  </r>
  <r>
    <s v="SALE1331"/>
    <d v="2023-11-19T00:00:00"/>
    <s v="CUST1261"/>
    <s v="Carol Bishop"/>
    <s v="PROD42"/>
    <s v="Electronics"/>
    <s v="STORE9"/>
    <n v="2"/>
    <n v="636.51"/>
    <n v="0.25"/>
    <x v="0"/>
    <n v="954.76499999999999"/>
  </r>
  <r>
    <s v="SALE1332"/>
    <d v="2025-01-02T00:00:00"/>
    <s v="CUST1091"/>
    <s v="Donna Gregory"/>
    <s v="PROD46"/>
    <s v="Clothing"/>
    <s v="STORE8"/>
    <n v="2"/>
    <n v="732.37"/>
    <n v="0.22"/>
    <x v="2"/>
    <n v="1142.4972"/>
  </r>
  <r>
    <s v="SALE1333"/>
    <d v="2025-09-27T00:00:00"/>
    <s v="CUST1164"/>
    <s v="Daniel Rivas"/>
    <s v="PROD48"/>
    <s v="Electronics"/>
    <s v="STORE16"/>
    <n v="3"/>
    <n v="183.44"/>
    <n v="0.28000000000000003"/>
    <x v="2"/>
    <n v="396.23039999999992"/>
  </r>
  <r>
    <s v="SALE1334"/>
    <d v="2024-03-22T00:00:00"/>
    <s v="CUST1065"/>
    <s v="Michael Thomas"/>
    <s v="PROD24"/>
    <s v="Sports"/>
    <s v="STORE13"/>
    <n v="4"/>
    <n v="898.58"/>
    <n v="0.16"/>
    <x v="1"/>
    <n v="3019.2287999999999"/>
  </r>
  <r>
    <s v="SALE1335"/>
    <d v="2024-08-25T00:00:00"/>
    <s v="CUST1390"/>
    <s v="Daniel Bell"/>
    <s v="PROD11"/>
    <s v="Electronics"/>
    <s v="STORE2"/>
    <n v="3"/>
    <n v="152.41"/>
    <n v="0.25"/>
    <x v="0"/>
    <n v="342.92250000000001"/>
  </r>
  <r>
    <s v="SALE1336"/>
    <d v="2025-08-03T00:00:00"/>
    <s v="CUST1223"/>
    <s v="Robert Harris"/>
    <s v="PROD72"/>
    <s v="Sports"/>
    <s v="STORE14"/>
    <n v="3"/>
    <n v="972.58"/>
    <n v="0.28000000000000003"/>
    <x v="2"/>
    <n v="2100.7728000000002"/>
  </r>
  <r>
    <s v="SALE1337"/>
    <d v="2023-12-07T00:00:00"/>
    <s v="CUST1466"/>
    <s v="Cynthia Parrish"/>
    <s v="PROD48"/>
    <s v="Electronics"/>
    <s v="STORE11"/>
    <n v="4"/>
    <n v="136.4"/>
    <n v="0.04"/>
    <x v="2"/>
    <n v="523.77599999999995"/>
  </r>
  <r>
    <s v="SALE1338"/>
    <d v="2025-08-25T00:00:00"/>
    <s v="CUST1400"/>
    <s v="Mark Rogers"/>
    <s v="PROD39"/>
    <s v="Electronics"/>
    <s v="STORE15"/>
    <n v="1"/>
    <n v="509.63"/>
    <n v="0.27"/>
    <x v="2"/>
    <n v="372.0299"/>
  </r>
  <r>
    <s v="SALE1339"/>
    <d v="2024-02-09T00:00:00"/>
    <s v="CUST1003"/>
    <s v="Jeremy Harris"/>
    <s v="PROD0"/>
    <s v="Electronics"/>
    <s v="STORE3"/>
    <n v="4"/>
    <n v="360.28"/>
    <n v="0.09"/>
    <x v="2"/>
    <n v="1311.4192"/>
  </r>
  <r>
    <s v="SALE1340"/>
    <d v="2025-09-10T00:00:00"/>
    <s v="CUST1080"/>
    <s v="Jennifer Garcia"/>
    <s v="PROD34"/>
    <s v="Electronics"/>
    <s v="STORE15"/>
    <n v="3"/>
    <n v="882.05"/>
    <n v="0.06"/>
    <x v="1"/>
    <n v="2487.3809999999989"/>
  </r>
  <r>
    <s v="SALE1341"/>
    <d v="2024-09-29T00:00:00"/>
    <s v="CUST1195"/>
    <s v="Anthony Garcia"/>
    <s v="PROD19"/>
    <s v="Sports"/>
    <s v="STORE8"/>
    <n v="3"/>
    <n v="141.54"/>
    <n v="0.12"/>
    <x v="1"/>
    <n v="373.66559999999998"/>
  </r>
  <r>
    <s v="SALE1342"/>
    <d v="2024-06-18T00:00:00"/>
    <s v="CUST1043"/>
    <s v="Joseph Snow"/>
    <s v="PROD39"/>
    <s v="Electronics"/>
    <s v="STORE4"/>
    <n v="3"/>
    <n v="83.5"/>
    <n v="0.23"/>
    <x v="2"/>
    <n v="192.88499999999999"/>
  </r>
  <r>
    <s v="SALE1343"/>
    <d v="2023-11-28T00:00:00"/>
    <s v="CUST1123"/>
    <s v="Erin Hopkins"/>
    <s v="PROD12"/>
    <s v="Beauty"/>
    <s v="STORE6"/>
    <n v="2"/>
    <n v="629.73"/>
    <n v="7.0000000000000007E-2"/>
    <x v="1"/>
    <n v="1171.2978000000001"/>
  </r>
  <r>
    <s v="SALE1344"/>
    <d v="2023-10-29T00:00:00"/>
    <s v="CUST1012"/>
    <s v="Kenneth Lambert"/>
    <s v="PROD27"/>
    <s v="Home"/>
    <s v="STORE6"/>
    <n v="2"/>
    <n v="159.93"/>
    <n v="0.2"/>
    <x v="2"/>
    <n v="255.88800000000001"/>
  </r>
  <r>
    <s v="SALE1345"/>
    <d v="2025-07-20T00:00:00"/>
    <s v="CUST1012"/>
    <s v="Kenneth Lambert"/>
    <s v="PROD27"/>
    <s v="Home"/>
    <s v="STORE18"/>
    <n v="1"/>
    <n v="459.89"/>
    <n v="0.18"/>
    <x v="2"/>
    <n v="377.10980000000001"/>
  </r>
  <r>
    <s v="SALE1346"/>
    <d v="2024-08-28T00:00:00"/>
    <s v="CUST1188"/>
    <s v="Kimberly Brooks"/>
    <s v="PROD30"/>
    <s v="Home"/>
    <s v="STORE19"/>
    <n v="4"/>
    <n v="885.57"/>
    <n v="0.27"/>
    <x v="0"/>
    <n v="2585.8643999999999"/>
  </r>
  <r>
    <s v="SALE1347"/>
    <d v="2024-06-11T00:00:00"/>
    <s v="CUST1402"/>
    <s v="Cassandra Perez"/>
    <s v="PROD21"/>
    <s v="Home"/>
    <s v="STORE15"/>
    <n v="3"/>
    <n v="789.05"/>
    <n v="0"/>
    <x v="1"/>
    <n v="2367.15"/>
  </r>
  <r>
    <s v="SALE1348"/>
    <d v="2023-11-14T00:00:00"/>
    <s v="CUST1154"/>
    <s v="Julie Hale"/>
    <s v="PROD63"/>
    <s v="Beauty"/>
    <s v="STORE0"/>
    <n v="1"/>
    <n v="570.52"/>
    <n v="0"/>
    <x v="1"/>
    <n v="570.52"/>
  </r>
  <r>
    <s v="SALE1349"/>
    <d v="2024-01-31T00:00:00"/>
    <s v="CUST1179"/>
    <s v="Nicholas Bradshaw"/>
    <s v="PROD34"/>
    <s v="Electronics"/>
    <s v="STORE16"/>
    <n v="4"/>
    <n v="310.79000000000002"/>
    <n v="0.22"/>
    <x v="2"/>
    <n v="969.66480000000013"/>
  </r>
  <r>
    <s v="SALE1350"/>
    <d v="2025-04-10T00:00:00"/>
    <s v="CUST1057"/>
    <s v="Jay Patel"/>
    <s v="PROD38"/>
    <s v="Sports"/>
    <s v="STORE17"/>
    <n v="4"/>
    <n v="255.67"/>
    <n v="0.17"/>
    <x v="0"/>
    <n v="848.82439999999997"/>
  </r>
  <r>
    <s v="SALE1351"/>
    <d v="2024-04-15T00:00:00"/>
    <s v="CUST1129"/>
    <s v="Jessica Mitchell"/>
    <s v="PROD91"/>
    <s v="Clothing"/>
    <s v="STORE16"/>
    <n v="2"/>
    <n v="270.66000000000003"/>
    <n v="0.1"/>
    <x v="2"/>
    <n v="487.18799999999999"/>
  </r>
  <r>
    <s v="SALE1352"/>
    <d v="2025-09-14T00:00:00"/>
    <s v="CUST1299"/>
    <s v="Stephanie Jacobs"/>
    <s v="PROD23"/>
    <s v="Clothing"/>
    <s v="STORE17"/>
    <n v="3"/>
    <n v="373.35"/>
    <n v="0.2"/>
    <x v="2"/>
    <n v="896.04000000000019"/>
  </r>
  <r>
    <s v="SALE1353"/>
    <d v="2024-05-20T00:00:00"/>
    <s v="CUST1036"/>
    <s v="Thomas Phillips"/>
    <s v="PROD90"/>
    <s v="Electronics"/>
    <s v="STORE11"/>
    <n v="2"/>
    <n v="23.58"/>
    <n v="0.02"/>
    <x v="1"/>
    <n v="46.216799999999999"/>
  </r>
  <r>
    <s v="SALE1354"/>
    <d v="2025-05-21T00:00:00"/>
    <s v="CUST1005"/>
    <s v="Christine Vaughn"/>
    <s v="PROD61"/>
    <s v="Sports"/>
    <s v="STORE7"/>
    <n v="4"/>
    <n v="185.67"/>
    <n v="0.21"/>
    <x v="1"/>
    <n v="586.71719999999993"/>
  </r>
  <r>
    <s v="SALE1355"/>
    <d v="2024-04-14T00:00:00"/>
    <s v="CUST1120"/>
    <s v="Jacob Hopkins"/>
    <s v="PROD73"/>
    <s v="Sports"/>
    <s v="STORE13"/>
    <n v="3"/>
    <n v="928.74"/>
    <n v="0.27"/>
    <x v="1"/>
    <n v="2033.9405999999999"/>
  </r>
  <r>
    <s v="SALE1356"/>
    <d v="2023-11-05T00:00:00"/>
    <s v="CUST1029"/>
    <s v="David Arnold"/>
    <s v="PROD86"/>
    <s v="Home"/>
    <s v="STORE5"/>
    <n v="3"/>
    <n v="923.38"/>
    <n v="7.0000000000000007E-2"/>
    <x v="2"/>
    <n v="2576.2302"/>
  </r>
  <r>
    <s v="SALE1357"/>
    <d v="2024-07-26T00:00:00"/>
    <s v="CUST1462"/>
    <s v="Beth Martin"/>
    <s v="PROD33"/>
    <s v="Home"/>
    <s v="STORE9"/>
    <n v="2"/>
    <n v="409.26"/>
    <n v="0.1"/>
    <x v="1"/>
    <n v="736.66800000000001"/>
  </r>
  <r>
    <s v="SALE1358"/>
    <d v="2023-12-12T00:00:00"/>
    <s v="CUST1254"/>
    <s v="Linda Kline"/>
    <s v="PROD23"/>
    <s v="Clothing"/>
    <s v="STORE7"/>
    <n v="2"/>
    <n v="608.46"/>
    <n v="0.16"/>
    <x v="0"/>
    <n v="1022.2128"/>
  </r>
  <r>
    <s v="SALE1359"/>
    <d v="2025-05-08T00:00:00"/>
    <s v="CUST1212"/>
    <s v="Blake Harrison"/>
    <s v="PROD13"/>
    <s v="Electronics"/>
    <s v="STORE19"/>
    <n v="4"/>
    <n v="150.47999999999999"/>
    <n v="0.09"/>
    <x v="0"/>
    <n v="547.74720000000002"/>
  </r>
  <r>
    <s v="SALE1360"/>
    <d v="2024-08-30T00:00:00"/>
    <s v="CUST1245"/>
    <s v="Laura Soto"/>
    <s v="PROD39"/>
    <s v="Electronics"/>
    <s v="STORE14"/>
    <n v="4"/>
    <n v="207.41"/>
    <n v="0.02"/>
    <x v="0"/>
    <n v="813.04719999999998"/>
  </r>
  <r>
    <s v="SALE1361"/>
    <d v="2025-05-26T00:00:00"/>
    <s v="CUST1172"/>
    <s v="Thomas Rhodes"/>
    <s v="PROD79"/>
    <s v="Home"/>
    <s v="STORE6"/>
    <n v="1"/>
    <n v="56.59"/>
    <n v="0.15"/>
    <x v="1"/>
    <n v="48.101500000000001"/>
  </r>
  <r>
    <s v="SALE1362"/>
    <d v="2025-01-10T00:00:00"/>
    <s v="CUST1405"/>
    <s v="Eric Wolfe"/>
    <s v="PROD48"/>
    <s v="Electronics"/>
    <s v="STORE4"/>
    <n v="4"/>
    <n v="995.4"/>
    <n v="0.27"/>
    <x v="0"/>
    <n v="2906.5680000000002"/>
  </r>
  <r>
    <s v="SALE1363"/>
    <d v="2024-12-30T00:00:00"/>
    <s v="CUST1064"/>
    <s v="Mr. Mason Butler"/>
    <s v="PROD47"/>
    <s v="Beauty"/>
    <s v="STORE12"/>
    <n v="2"/>
    <n v="591.33000000000004"/>
    <n v="0.24"/>
    <x v="0"/>
    <n v="898.8216000000001"/>
  </r>
  <r>
    <s v="SALE1364"/>
    <d v="2025-07-31T00:00:00"/>
    <s v="CUST1378"/>
    <s v="Frank Stewart"/>
    <s v="PROD91"/>
    <s v="Clothing"/>
    <s v="STORE17"/>
    <n v="2"/>
    <n v="204.89"/>
    <n v="0.24"/>
    <x v="0"/>
    <n v="311.43279999999999"/>
  </r>
  <r>
    <s v="SALE1365"/>
    <d v="2024-09-14T00:00:00"/>
    <s v="CUST1090"/>
    <s v="Oscar Moon"/>
    <s v="PROD65"/>
    <s v="Sports"/>
    <s v="STORE14"/>
    <n v="2"/>
    <n v="546.41"/>
    <n v="0.08"/>
    <x v="2"/>
    <n v="1005.3944"/>
  </r>
  <r>
    <s v="SALE1366"/>
    <d v="2024-04-27T00:00:00"/>
    <s v="CUST1056"/>
    <s v="Christopher Sutton"/>
    <s v="PROD49"/>
    <s v="Beauty"/>
    <s v="STORE12"/>
    <n v="4"/>
    <n v="455.49"/>
    <n v="0.17"/>
    <x v="0"/>
    <n v="1512.2267999999999"/>
  </r>
  <r>
    <s v="SALE1367"/>
    <d v="2024-03-23T00:00:00"/>
    <s v="CUST1422"/>
    <s v="Brittany Edwards Dds"/>
    <s v="PROD49"/>
    <s v="Beauty"/>
    <s v="STORE16"/>
    <n v="2"/>
    <n v="700.27"/>
    <n v="0.16"/>
    <x v="0"/>
    <n v="1176.4536000000001"/>
  </r>
  <r>
    <s v="SALE1368"/>
    <d v="2023-12-22T00:00:00"/>
    <s v="CUST1345"/>
    <s v="Daniel Nelson"/>
    <s v="PROD22"/>
    <s v="Sports"/>
    <s v="STORE17"/>
    <n v="2"/>
    <n v="160.21"/>
    <n v="0.09"/>
    <x v="0"/>
    <n v="291.5822"/>
  </r>
  <r>
    <s v="SALE1369"/>
    <d v="2025-03-26T00:00:00"/>
    <s v="CUST1031"/>
    <s v="Sarah Vance"/>
    <s v="PROD62"/>
    <s v="Electronics"/>
    <s v="STORE11"/>
    <n v="1"/>
    <n v="713.63"/>
    <n v="0.28000000000000003"/>
    <x v="2"/>
    <n v="513.81359999999995"/>
  </r>
  <r>
    <s v="SALE1370"/>
    <d v="2024-06-04T00:00:00"/>
    <s v="CUST1227"/>
    <s v="Gregory Pham"/>
    <s v="PROD93"/>
    <s v="Electronics"/>
    <s v="STORE7"/>
    <n v="2"/>
    <n v="224.69"/>
    <n v="0.2"/>
    <x v="2"/>
    <n v="359.50400000000002"/>
  </r>
  <r>
    <s v="SALE1371"/>
    <d v="2025-03-17T00:00:00"/>
    <s v="CUST1453"/>
    <s v="April Phillips"/>
    <s v="PROD12"/>
    <s v="Beauty"/>
    <s v="STORE14"/>
    <n v="2"/>
    <n v="740.57"/>
    <n v="0.06"/>
    <x v="0"/>
    <n v="1392.2716"/>
  </r>
  <r>
    <s v="SALE1372"/>
    <d v="2024-03-22T00:00:00"/>
    <s v="CUST1142"/>
    <s v="Maria Ramirez"/>
    <s v="PROD69"/>
    <s v="Clothing"/>
    <s v="STORE3"/>
    <n v="3"/>
    <n v="250.14"/>
    <n v="0.23"/>
    <x v="1"/>
    <n v="577.82339999999999"/>
  </r>
  <r>
    <s v="SALE1373"/>
    <d v="2024-12-29T00:00:00"/>
    <s v="CUST1020"/>
    <s v="Bridget Allen"/>
    <s v="PROD70"/>
    <s v="Home"/>
    <s v="STORE19"/>
    <n v="3"/>
    <n v="34.97"/>
    <n v="0.01"/>
    <x v="0"/>
    <n v="103.8609"/>
  </r>
  <r>
    <s v="SALE1374"/>
    <d v="2025-07-30T00:00:00"/>
    <s v="CUST1304"/>
    <s v="Miss Alexandria Li Dvm"/>
    <s v="PROD50"/>
    <s v="Sports"/>
    <s v="STORE16"/>
    <n v="1"/>
    <n v="653.91"/>
    <n v="0.3"/>
    <x v="1"/>
    <n v="457.73700000000002"/>
  </r>
  <r>
    <s v="SALE1375"/>
    <d v="2024-02-16T00:00:00"/>
    <s v="CUST1363"/>
    <s v="Elizabeth Smith"/>
    <s v="PROD91"/>
    <s v="Clothing"/>
    <s v="STORE3"/>
    <n v="1"/>
    <n v="997.87"/>
    <n v="0.24"/>
    <x v="0"/>
    <n v="758.38120000000004"/>
  </r>
  <r>
    <s v="SALE1376"/>
    <d v="2024-02-27T00:00:00"/>
    <s v="CUST1208"/>
    <s v="John Perez"/>
    <s v="PROD34"/>
    <s v="Electronics"/>
    <s v="STORE14"/>
    <n v="1"/>
    <n v="174.27"/>
    <n v="0.27"/>
    <x v="2"/>
    <n v="127.2171"/>
  </r>
  <r>
    <s v="SALE1377"/>
    <d v="2024-03-17T00:00:00"/>
    <s v="CUST1115"/>
    <s v="Tyler Conrad"/>
    <s v="PROD21"/>
    <s v="Home"/>
    <s v="STORE7"/>
    <n v="3"/>
    <n v="847.44"/>
    <n v="0.17"/>
    <x v="0"/>
    <n v="2110.1255999999998"/>
  </r>
  <r>
    <s v="SALE1378"/>
    <d v="2023-11-13T00:00:00"/>
    <s v="CUST1428"/>
    <s v="Samuel Mullins"/>
    <s v="PROD63"/>
    <s v="Beauty"/>
    <s v="STORE2"/>
    <n v="1"/>
    <n v="493.45"/>
    <n v="0.09"/>
    <x v="0"/>
    <n v="449.03949999999998"/>
  </r>
  <r>
    <s v="SALE1379"/>
    <d v="2024-10-12T00:00:00"/>
    <s v="CUST1232"/>
    <s v="Christy Hill"/>
    <s v="PROD95"/>
    <s v="Sports"/>
    <s v="STORE2"/>
    <n v="4"/>
    <n v="111.66"/>
    <n v="0.14000000000000001"/>
    <x v="0"/>
    <n v="384.11040000000003"/>
  </r>
  <r>
    <s v="SALE1380"/>
    <d v="2024-02-21T00:00:00"/>
    <s v="CUST1278"/>
    <s v="Stephen Fowler"/>
    <s v="PROD88"/>
    <s v="Sports"/>
    <s v="STORE11"/>
    <n v="1"/>
    <n v="413.65"/>
    <n v="0.1"/>
    <x v="2"/>
    <n v="372.28500000000003"/>
  </r>
  <r>
    <s v="SALE1381"/>
    <d v="2025-03-28T00:00:00"/>
    <s v="CUST1475"/>
    <s v="Barbara Berry"/>
    <s v="PROD73"/>
    <s v="Sports"/>
    <s v="STORE9"/>
    <n v="1"/>
    <n v="317.14999999999998"/>
    <n v="0.24"/>
    <x v="2"/>
    <n v="241.03399999999999"/>
  </r>
  <r>
    <s v="SALE1382"/>
    <d v="2025-08-04T00:00:00"/>
    <s v="CUST1359"/>
    <s v="Melanie Lam"/>
    <s v="PROD59"/>
    <s v="Beauty"/>
    <s v="STORE1"/>
    <n v="3"/>
    <n v="642.94000000000005"/>
    <n v="0.05"/>
    <x v="2"/>
    <n v="1832.3789999999999"/>
  </r>
  <r>
    <s v="SALE1383"/>
    <d v="2024-11-05T00:00:00"/>
    <s v="CUST1133"/>
    <s v="Hayley Pope"/>
    <s v="PROD36"/>
    <s v="Clothing"/>
    <s v="STORE10"/>
    <n v="4"/>
    <n v="559.59"/>
    <n v="0.19"/>
    <x v="2"/>
    <n v="1813.0716"/>
  </r>
  <r>
    <s v="SALE1384"/>
    <d v="2024-06-15T00:00:00"/>
    <s v="CUST1114"/>
    <s v="Ryan Hernandez"/>
    <s v="PROD59"/>
    <s v="Beauty"/>
    <s v="STORE18"/>
    <n v="1"/>
    <n v="758.54"/>
    <n v="0.28999999999999998"/>
    <x v="1"/>
    <n v="538.5634"/>
  </r>
  <r>
    <s v="SALE1385"/>
    <d v="2024-12-23T00:00:00"/>
    <s v="CUST1462"/>
    <s v="Beth Martin"/>
    <s v="PROD33"/>
    <s v="Home"/>
    <s v="STORE15"/>
    <n v="4"/>
    <n v="643.96"/>
    <n v="0.16"/>
    <x v="1"/>
    <n v="2163.7055999999998"/>
  </r>
  <r>
    <s v="SALE1386"/>
    <d v="2024-12-27T00:00:00"/>
    <s v="CUST1243"/>
    <s v="Brian Hammond"/>
    <s v="PROD69"/>
    <s v="Clothing"/>
    <s v="STORE9"/>
    <n v="1"/>
    <n v="882.73"/>
    <n v="0.1"/>
    <x v="0"/>
    <n v="794.45699999999999"/>
  </r>
  <r>
    <s v="SALE1387"/>
    <d v="2024-03-27T00:00:00"/>
    <s v="CUST1325"/>
    <s v="Andrew Smith"/>
    <s v="PROD54"/>
    <s v="Sports"/>
    <s v="STORE19"/>
    <n v="2"/>
    <n v="600.03"/>
    <n v="0.26"/>
    <x v="1"/>
    <n v="888.0444"/>
  </r>
  <r>
    <s v="SALE1388"/>
    <d v="2024-12-12T00:00:00"/>
    <s v="CUST1157"/>
    <s v="Paul Zamora"/>
    <s v="PROD55"/>
    <s v="Home"/>
    <s v="STORE5"/>
    <n v="2"/>
    <n v="628.83000000000004"/>
    <n v="7.0000000000000007E-2"/>
    <x v="1"/>
    <n v="1169.6238000000001"/>
  </r>
  <r>
    <s v="SALE1389"/>
    <d v="2023-12-17T00:00:00"/>
    <s v="CUST1175"/>
    <s v="Michelle Rogers"/>
    <s v="PROD49"/>
    <s v="Beauty"/>
    <s v="STORE9"/>
    <n v="3"/>
    <n v="113.87"/>
    <n v="0.21"/>
    <x v="2"/>
    <n v="269.87189999999998"/>
  </r>
  <r>
    <s v="SALE1390"/>
    <d v="2024-02-29T00:00:00"/>
    <s v="CUST1418"/>
    <s v="Luke Parks"/>
    <s v="PROD89"/>
    <s v="Beauty"/>
    <s v="STORE7"/>
    <n v="4"/>
    <n v="282.07"/>
    <n v="0.18"/>
    <x v="1"/>
    <n v="925.18960000000004"/>
  </r>
  <r>
    <s v="SALE1391"/>
    <d v="2023-12-30T00:00:00"/>
    <s v="CUST1156"/>
    <s v="Maria Sanchez"/>
    <s v="PROD49"/>
    <s v="Beauty"/>
    <s v="STORE6"/>
    <n v="3"/>
    <n v="676.77"/>
    <n v="0.17"/>
    <x v="1"/>
    <n v="1685.1573000000001"/>
  </r>
  <r>
    <s v="SALE1392"/>
    <d v="2024-12-12T00:00:00"/>
    <s v="CUST1220"/>
    <s v="George Davis"/>
    <s v="PROD29"/>
    <s v="Home"/>
    <s v="STORE16"/>
    <n v="2"/>
    <n v="362.7"/>
    <n v="0.09"/>
    <x v="0"/>
    <n v="660.11400000000003"/>
  </r>
  <r>
    <s v="SALE1393"/>
    <d v="2025-01-22T00:00:00"/>
    <s v="CUST1135"/>
    <s v="Matthew Hanna"/>
    <s v="PROD44"/>
    <s v="Sports"/>
    <s v="STORE2"/>
    <n v="1"/>
    <n v="908.5"/>
    <n v="0.2"/>
    <x v="2"/>
    <n v="726.80000000000007"/>
  </r>
  <r>
    <s v="SALE1394"/>
    <d v="2024-01-05T00:00:00"/>
    <s v="CUST1067"/>
    <s v="Amber Mcclain"/>
    <s v="PROD46"/>
    <s v="Clothing"/>
    <s v="STORE15"/>
    <n v="2"/>
    <n v="795.37"/>
    <n v="0.2"/>
    <x v="2"/>
    <n v="1272.5920000000001"/>
  </r>
  <r>
    <s v="SALE1395"/>
    <d v="2025-04-13T00:00:00"/>
    <s v="CUST1144"/>
    <s v="Justin Cross"/>
    <s v="PROD72"/>
    <s v="Sports"/>
    <s v="STORE4"/>
    <n v="2"/>
    <n v="326.85000000000002"/>
    <n v="0.17"/>
    <x v="2"/>
    <n v="542.57100000000003"/>
  </r>
  <r>
    <s v="SALE1396"/>
    <d v="2024-11-07T00:00:00"/>
    <s v="CUST1350"/>
    <s v="Charles Miller"/>
    <s v="PROD92"/>
    <s v="Home"/>
    <s v="STORE14"/>
    <n v="3"/>
    <n v="169.43"/>
    <n v="0.19"/>
    <x v="0"/>
    <n v="411.71490000000011"/>
  </r>
  <r>
    <s v="SALE1397"/>
    <d v="2024-05-01T00:00:00"/>
    <s v="CUST1163"/>
    <s v="Joseph Jones"/>
    <s v="PROD97"/>
    <s v="Sports"/>
    <s v="STORE6"/>
    <n v="1"/>
    <n v="254.47"/>
    <n v="0.1"/>
    <x v="0"/>
    <n v="229.023"/>
  </r>
  <r>
    <s v="SALE1398"/>
    <d v="2024-08-02T00:00:00"/>
    <s v="CUST1418"/>
    <s v="Luke Parks"/>
    <s v="PROD89"/>
    <s v="Beauty"/>
    <s v="STORE16"/>
    <n v="4"/>
    <n v="627.73"/>
    <n v="0.11"/>
    <x v="2"/>
    <n v="2234.7188000000001"/>
  </r>
  <r>
    <s v="SALE1399"/>
    <d v="2024-04-12T00:00:00"/>
    <s v="CUST1371"/>
    <s v="Michael Garner"/>
    <s v="PROD67"/>
    <s v="Electronics"/>
    <s v="STORE19"/>
    <n v="4"/>
    <n v="327.25"/>
    <n v="0.13"/>
    <x v="2"/>
    <n v="1138.83"/>
  </r>
  <r>
    <s v="SALE1400"/>
    <d v="2025-04-08T00:00:00"/>
    <s v="CUST1145"/>
    <s v="Cameron Simpson"/>
    <s v="PROD69"/>
    <s v="Clothing"/>
    <s v="STORE11"/>
    <n v="4"/>
    <n v="511.43"/>
    <n v="0.18"/>
    <x v="2"/>
    <n v="1677.4903999999999"/>
  </r>
  <r>
    <s v="SALE1401"/>
    <d v="2024-06-30T00:00:00"/>
    <s v="CUST1165"/>
    <s v="Jason Wheeler"/>
    <s v="PROD27"/>
    <s v="Home"/>
    <s v="STORE17"/>
    <n v="4"/>
    <n v="194.67"/>
    <n v="0.23"/>
    <x v="1"/>
    <n v="599.58359999999993"/>
  </r>
  <r>
    <s v="SALE1402"/>
    <d v="2024-01-13T00:00:00"/>
    <s v="CUST1059"/>
    <s v="Alyssa Vargas"/>
    <s v="PROD94"/>
    <s v="Beauty"/>
    <s v="STORE1"/>
    <n v="2"/>
    <n v="54.51"/>
    <n v="7.0000000000000007E-2"/>
    <x v="0"/>
    <n v="101.3886"/>
  </r>
  <r>
    <s v="SALE1403"/>
    <d v="2024-09-22T00:00:00"/>
    <s v="CUST1076"/>
    <s v="Nathan Campbell"/>
    <s v="PROD32"/>
    <s v="Beauty"/>
    <s v="STORE11"/>
    <n v="4"/>
    <n v="964"/>
    <n v="0.14000000000000001"/>
    <x v="1"/>
    <n v="3316.16"/>
  </r>
  <r>
    <s v="SALE1404"/>
    <d v="2024-08-23T00:00:00"/>
    <s v="CUST1040"/>
    <s v="Eric Vega"/>
    <s v="PROD17"/>
    <s v="Sports"/>
    <s v="STORE4"/>
    <n v="1"/>
    <n v="170.12"/>
    <n v="0.26"/>
    <x v="1"/>
    <n v="125.8888"/>
  </r>
  <r>
    <s v="SALE1405"/>
    <d v="2025-08-06T00:00:00"/>
    <s v="CUST1152"/>
    <s v="Patrick Roberts"/>
    <s v="PROD70"/>
    <s v="Home"/>
    <s v="STORE19"/>
    <n v="2"/>
    <n v="664.5"/>
    <n v="0.23"/>
    <x v="0"/>
    <n v="1023.33"/>
  </r>
  <r>
    <s v="SALE1406"/>
    <d v="2025-10-06T00:00:00"/>
    <s v="CUST1371"/>
    <s v="Michael Garner"/>
    <s v="PROD67"/>
    <s v="Electronics"/>
    <s v="STORE10"/>
    <n v="4"/>
    <n v="557.51"/>
    <n v="0.11"/>
    <x v="0"/>
    <n v="1984.7356"/>
  </r>
  <r>
    <s v="SALE1407"/>
    <d v="2025-05-30T00:00:00"/>
    <s v="CUST1397"/>
    <s v="Charles Norman Phd"/>
    <s v="PROD94"/>
    <s v="Beauty"/>
    <s v="STORE1"/>
    <n v="2"/>
    <n v="410"/>
    <n v="0.13"/>
    <x v="2"/>
    <n v="713.4"/>
  </r>
  <r>
    <s v="SALE1408"/>
    <d v="2024-06-30T00:00:00"/>
    <s v="CUST1306"/>
    <s v="Angela Robinson"/>
    <s v="PROD5"/>
    <s v="Clothing"/>
    <s v="STORE5"/>
    <n v="2"/>
    <n v="879.93"/>
    <n v="0.28999999999999998"/>
    <x v="2"/>
    <n v="1249.5006000000001"/>
  </r>
  <r>
    <s v="SALE1409"/>
    <d v="2025-01-07T00:00:00"/>
    <s v="CUST1007"/>
    <s v="Daniel Boyd"/>
    <s v="PROD67"/>
    <s v="Electronics"/>
    <s v="STORE18"/>
    <n v="1"/>
    <n v="350.58"/>
    <n v="0.03"/>
    <x v="2"/>
    <n v="340.06259999999997"/>
  </r>
  <r>
    <s v="SALE1410"/>
    <d v="2024-12-07T00:00:00"/>
    <s v="CUST1350"/>
    <s v="Charles Miller"/>
    <s v="PROD92"/>
    <s v="Home"/>
    <s v="STORE3"/>
    <n v="4"/>
    <n v="348.58"/>
    <n v="0.16"/>
    <x v="0"/>
    <n v="1171.2288000000001"/>
  </r>
  <r>
    <s v="SALE1411"/>
    <d v="2024-09-13T00:00:00"/>
    <s v="CUST1459"/>
    <s v="John Perez"/>
    <s v="PROD54"/>
    <s v="Sports"/>
    <s v="STORE3"/>
    <n v="3"/>
    <n v="247.66"/>
    <n v="0.02"/>
    <x v="2"/>
    <n v="728.12040000000002"/>
  </r>
  <r>
    <s v="SALE1412"/>
    <d v="2023-11-14T00:00:00"/>
    <s v="CUST1388"/>
    <s v="Timothy Valenzuela"/>
    <s v="PROD82"/>
    <s v="Sports"/>
    <s v="STORE15"/>
    <n v="3"/>
    <n v="836.27"/>
    <n v="0.16"/>
    <x v="0"/>
    <n v="2107.4004"/>
  </r>
  <r>
    <s v="SALE1413"/>
    <d v="2025-04-06T00:00:00"/>
    <s v="CUST1195"/>
    <s v="Anthony Garcia"/>
    <s v="PROD19"/>
    <s v="Sports"/>
    <s v="STORE10"/>
    <n v="3"/>
    <n v="696.74"/>
    <n v="0.13"/>
    <x v="2"/>
    <n v="1818.4914000000001"/>
  </r>
  <r>
    <s v="SALE1414"/>
    <d v="2025-05-27T00:00:00"/>
    <s v="CUST1245"/>
    <s v="Laura Soto"/>
    <s v="PROD39"/>
    <s v="Electronics"/>
    <s v="STORE13"/>
    <n v="2"/>
    <n v="822.59"/>
    <n v="0.22"/>
    <x v="1"/>
    <n v="1283.2403999999999"/>
  </r>
  <r>
    <s v="SALE1415"/>
    <d v="2023-12-03T00:00:00"/>
    <s v="CUST1222"/>
    <s v="Alejandro Doyle"/>
    <s v="PROD46"/>
    <s v="Clothing"/>
    <s v="STORE2"/>
    <n v="1"/>
    <n v="462.23"/>
    <n v="0.3"/>
    <x v="1"/>
    <n v="323.56099999999998"/>
  </r>
  <r>
    <s v="SALE1416"/>
    <d v="2025-09-06T00:00:00"/>
    <s v="CUST1447"/>
    <s v="Monica Wright"/>
    <s v="PROD42"/>
    <s v="Electronics"/>
    <s v="STORE17"/>
    <n v="1"/>
    <n v="361.09"/>
    <n v="0.06"/>
    <x v="1"/>
    <n v="339.42459999999988"/>
  </r>
  <r>
    <s v="SALE1417"/>
    <d v="2023-11-13T00:00:00"/>
    <s v="CUST1383"/>
    <s v="Kristine Higgins"/>
    <s v="PROD58"/>
    <s v="Clothing"/>
    <s v="STORE19"/>
    <n v="3"/>
    <n v="59.37"/>
    <n v="0.03"/>
    <x v="1"/>
    <n v="172.76669999999999"/>
  </r>
  <r>
    <s v="SALE1418"/>
    <d v="2025-01-29T00:00:00"/>
    <s v="CUST1036"/>
    <s v="Thomas Phillips"/>
    <s v="PROD90"/>
    <s v="Electronics"/>
    <s v="STORE1"/>
    <n v="3"/>
    <n v="765.21"/>
    <n v="0.14000000000000001"/>
    <x v="2"/>
    <n v="1974.2418"/>
  </r>
  <r>
    <s v="SALE1419"/>
    <d v="2024-06-29T00:00:00"/>
    <s v="CUST1243"/>
    <s v="Brian Hammond"/>
    <s v="PROD69"/>
    <s v="Clothing"/>
    <s v="STORE12"/>
    <n v="4"/>
    <n v="303.56"/>
    <n v="0.2"/>
    <x v="2"/>
    <n v="971.39200000000005"/>
  </r>
  <r>
    <s v="SALE1420"/>
    <d v="2025-05-02T00:00:00"/>
    <s v="CUST1443"/>
    <s v="Adam Castro"/>
    <s v="PROD34"/>
    <s v="Electronics"/>
    <s v="STORE0"/>
    <n v="1"/>
    <n v="640.92999999999995"/>
    <n v="0.19"/>
    <x v="1"/>
    <n v="519.15329999999994"/>
  </r>
  <r>
    <s v="SALE1421"/>
    <d v="2025-06-22T00:00:00"/>
    <s v="CUST1174"/>
    <s v="Maria Davis"/>
    <s v="PROD86"/>
    <s v="Home"/>
    <s v="STORE10"/>
    <n v="2"/>
    <n v="611.25"/>
    <n v="0.22"/>
    <x v="0"/>
    <n v="953.55000000000007"/>
  </r>
  <r>
    <s v="SALE1422"/>
    <d v="2025-04-09T00:00:00"/>
    <s v="CUST1461"/>
    <s v="Paul Cox"/>
    <s v="PROD65"/>
    <s v="Sports"/>
    <s v="STORE1"/>
    <n v="1"/>
    <n v="209.93"/>
    <n v="0.21"/>
    <x v="0"/>
    <n v="165.84469999999999"/>
  </r>
  <r>
    <s v="SALE1423"/>
    <d v="2025-07-09T00:00:00"/>
    <s v="CUST1110"/>
    <s v="Ashley Griffin"/>
    <s v="PROD8"/>
    <s v="Electronics"/>
    <s v="STORE10"/>
    <n v="3"/>
    <n v="130.38999999999999"/>
    <n v="0.24"/>
    <x v="1"/>
    <n v="297.28919999999999"/>
  </r>
  <r>
    <s v="SALE1424"/>
    <d v="2024-01-31T00:00:00"/>
    <s v="CUST1291"/>
    <s v="James Powell"/>
    <s v="PROD93"/>
    <s v="Electronics"/>
    <s v="STORE7"/>
    <n v="2"/>
    <n v="846.18"/>
    <n v="0.1"/>
    <x v="2"/>
    <n v="1523.124"/>
  </r>
  <r>
    <s v="SALE1425"/>
    <d v="2025-06-21T00:00:00"/>
    <s v="CUST1354"/>
    <s v="Ryan Torres"/>
    <s v="PROD61"/>
    <s v="Sports"/>
    <s v="STORE14"/>
    <n v="2"/>
    <n v="424.53"/>
    <n v="0.14000000000000001"/>
    <x v="2"/>
    <n v="730.19159999999999"/>
  </r>
  <r>
    <s v="SALE1426"/>
    <d v="2024-09-04T00:00:00"/>
    <s v="CUST1258"/>
    <s v="Sarah Stewart"/>
    <s v="PROD88"/>
    <s v="Sports"/>
    <s v="STORE14"/>
    <n v="4"/>
    <n v="450.42"/>
    <n v="0.08"/>
    <x v="2"/>
    <n v="1657.5455999999999"/>
  </r>
  <r>
    <s v="SALE1427"/>
    <d v="2025-08-24T00:00:00"/>
    <s v="CUST1156"/>
    <s v="Maria Sanchez"/>
    <s v="PROD49"/>
    <s v="Beauty"/>
    <s v="STORE9"/>
    <n v="4"/>
    <n v="896.91"/>
    <n v="0.1"/>
    <x v="0"/>
    <n v="3228.8760000000002"/>
  </r>
  <r>
    <s v="SALE1428"/>
    <d v="2025-06-06T00:00:00"/>
    <s v="CUST1485"/>
    <s v="Sara Ingram"/>
    <s v="PROD26"/>
    <s v="Electronics"/>
    <s v="STORE10"/>
    <n v="3"/>
    <n v="679.38"/>
    <n v="0.3"/>
    <x v="2"/>
    <n v="1426.6980000000001"/>
  </r>
  <r>
    <s v="SALE1429"/>
    <d v="2024-10-06T00:00:00"/>
    <s v="CUST1016"/>
    <s v="John Scott"/>
    <s v="PROD56"/>
    <s v="Home"/>
    <s v="STORE16"/>
    <n v="3"/>
    <n v="483.63"/>
    <n v="0"/>
    <x v="0"/>
    <n v="1450.89"/>
  </r>
  <r>
    <s v="SALE1430"/>
    <d v="2024-09-07T00:00:00"/>
    <s v="CUST1030"/>
    <s v="Jessica Acevedo"/>
    <s v="PROD35"/>
    <s v="Home"/>
    <s v="STORE0"/>
    <n v="3"/>
    <n v="158.27000000000001"/>
    <n v="0.24"/>
    <x v="2"/>
    <n v="360.85559999999998"/>
  </r>
  <r>
    <s v="SALE1431"/>
    <d v="2025-04-11T00:00:00"/>
    <s v="CUST1115"/>
    <s v="Tyler Conrad"/>
    <s v="PROD21"/>
    <s v="Home"/>
    <s v="STORE15"/>
    <n v="4"/>
    <n v="601.5"/>
    <n v="0.18"/>
    <x v="0"/>
    <n v="1972.92"/>
  </r>
  <r>
    <s v="SALE1432"/>
    <d v="2025-02-21T00:00:00"/>
    <s v="CUST1069"/>
    <s v="Roy Cole"/>
    <s v="PROD73"/>
    <s v="Sports"/>
    <s v="STORE18"/>
    <n v="2"/>
    <n v="46.39"/>
    <n v="7.0000000000000007E-2"/>
    <x v="0"/>
    <n v="86.285399999999996"/>
  </r>
  <r>
    <s v="SALE1433"/>
    <d v="2024-10-22T00:00:00"/>
    <s v="CUST1119"/>
    <s v="Michael Jones"/>
    <s v="PROD90"/>
    <s v="Electronics"/>
    <s v="STORE8"/>
    <n v="4"/>
    <n v="892.28"/>
    <n v="0.23"/>
    <x v="0"/>
    <n v="2748.2224000000001"/>
  </r>
  <r>
    <s v="SALE1434"/>
    <d v="2024-07-21T00:00:00"/>
    <s v="CUST1221"/>
    <s v="Lisa Young"/>
    <s v="PROD83"/>
    <s v="Beauty"/>
    <s v="STORE7"/>
    <n v="2"/>
    <n v="164.23"/>
    <n v="0.17"/>
    <x v="0"/>
    <n v="272.62180000000001"/>
  </r>
  <r>
    <s v="SALE1435"/>
    <d v="2024-01-14T00:00:00"/>
    <s v="CUST1452"/>
    <s v="Jeffery Wolf"/>
    <s v="PROD59"/>
    <s v="Beauty"/>
    <s v="STORE7"/>
    <n v="1"/>
    <n v="484.23"/>
    <n v="0.12"/>
    <x v="2"/>
    <n v="426.12240000000003"/>
  </r>
  <r>
    <s v="SALE1436"/>
    <d v="2024-04-01T00:00:00"/>
    <s v="CUST1005"/>
    <s v="Christine Vaughn"/>
    <s v="PROD61"/>
    <s v="Sports"/>
    <s v="STORE18"/>
    <n v="3"/>
    <n v="341.51"/>
    <n v="0.22"/>
    <x v="2"/>
    <n v="799.13340000000005"/>
  </r>
  <r>
    <s v="SALE1437"/>
    <d v="2025-05-11T00:00:00"/>
    <s v="CUST1109"/>
    <s v="Amy Walker"/>
    <s v="PROD34"/>
    <s v="Electronics"/>
    <s v="STORE13"/>
    <n v="3"/>
    <n v="758.87"/>
    <n v="0.11"/>
    <x v="1"/>
    <n v="2026.1829"/>
  </r>
  <r>
    <s v="SALE1438"/>
    <d v="2025-07-17T00:00:00"/>
    <s v="CUST1470"/>
    <s v="Manuel Fisher"/>
    <s v="PROD59"/>
    <s v="Beauty"/>
    <s v="STORE12"/>
    <n v="3"/>
    <n v="560.52"/>
    <n v="0.17"/>
    <x v="0"/>
    <n v="1395.6948"/>
  </r>
  <r>
    <s v="SALE1439"/>
    <d v="2024-08-29T00:00:00"/>
    <s v="CUST1351"/>
    <s v="Jeffrey Mccarthy"/>
    <s v="PROD26"/>
    <s v="Electronics"/>
    <s v="STORE17"/>
    <n v="2"/>
    <n v="977.18"/>
    <n v="0.19"/>
    <x v="0"/>
    <n v="1583.0316"/>
  </r>
  <r>
    <s v="SALE1440"/>
    <d v="2025-04-16T00:00:00"/>
    <s v="CUST1236"/>
    <s v="Joshua Wilson"/>
    <s v="PROD16"/>
    <s v="Beauty"/>
    <s v="STORE14"/>
    <n v="4"/>
    <n v="761.35"/>
    <n v="0.08"/>
    <x v="0"/>
    <n v="2801.768"/>
  </r>
  <r>
    <s v="SALE1441"/>
    <d v="2025-08-31T00:00:00"/>
    <s v="CUST1179"/>
    <s v="Nicholas Bradshaw"/>
    <s v="PROD34"/>
    <s v="Electronics"/>
    <s v="STORE18"/>
    <n v="2"/>
    <n v="947.56"/>
    <n v="0.02"/>
    <x v="2"/>
    <n v="1857.2175999999999"/>
  </r>
  <r>
    <s v="SALE1442"/>
    <d v="2025-10-13T00:00:00"/>
    <s v="CUST1238"/>
    <s v="Steven Smith"/>
    <s v="PROD43"/>
    <s v="Electronics"/>
    <s v="STORE18"/>
    <n v="4"/>
    <n v="975.47"/>
    <n v="0.04"/>
    <x v="0"/>
    <n v="3745.8047999999999"/>
  </r>
  <r>
    <s v="SALE1443"/>
    <d v="2024-06-05T00:00:00"/>
    <s v="CUST1477"/>
    <s v="Andrea Harris"/>
    <s v="PROD76"/>
    <s v="Electronics"/>
    <s v="STORE9"/>
    <n v="3"/>
    <n v="769.06"/>
    <n v="0.23"/>
    <x v="2"/>
    <n v="1776.5286000000001"/>
  </r>
  <r>
    <s v="SALE1444"/>
    <d v="2025-09-29T00:00:00"/>
    <s v="CUST1486"/>
    <s v="Eric Lee"/>
    <s v="PROD40"/>
    <s v="Electronics"/>
    <s v="STORE2"/>
    <n v="3"/>
    <n v="824.75"/>
    <n v="0.23"/>
    <x v="0"/>
    <n v="1905.1724999999999"/>
  </r>
  <r>
    <s v="SALE1445"/>
    <d v="2024-07-05T00:00:00"/>
    <s v="CUST1401"/>
    <s v="Terry Moses"/>
    <s v="PROD34"/>
    <s v="Electronics"/>
    <s v="STORE4"/>
    <n v="2"/>
    <n v="821.35"/>
    <n v="0.11"/>
    <x v="1"/>
    <n v="1462.0029999999999"/>
  </r>
  <r>
    <s v="SALE1446"/>
    <d v="2025-03-07T00:00:00"/>
    <s v="CUST1405"/>
    <s v="Eric Wolfe"/>
    <s v="PROD48"/>
    <s v="Electronics"/>
    <s v="STORE10"/>
    <n v="1"/>
    <n v="120.57"/>
    <n v="0.06"/>
    <x v="1"/>
    <n v="113.33580000000001"/>
  </r>
  <r>
    <s v="SALE1447"/>
    <d v="2023-11-10T00:00:00"/>
    <s v="CUST1335"/>
    <s v="Jennifer Woods"/>
    <s v="PROD29"/>
    <s v="Home"/>
    <s v="STORE1"/>
    <n v="1"/>
    <n v="122.27"/>
    <n v="0.26"/>
    <x v="1"/>
    <n v="90.479799999999997"/>
  </r>
  <r>
    <s v="SALE1448"/>
    <d v="2025-08-21T00:00:00"/>
    <s v="CUST1170"/>
    <s v="Christopher Garcia Dds"/>
    <s v="PROD83"/>
    <s v="Beauty"/>
    <s v="STORE2"/>
    <n v="2"/>
    <n v="182.89"/>
    <n v="0.11"/>
    <x v="0"/>
    <n v="325.54419999999999"/>
  </r>
  <r>
    <s v="SALE1449"/>
    <d v="2025-05-19T00:00:00"/>
    <s v="CUST1371"/>
    <s v="Michael Garner"/>
    <s v="PROD67"/>
    <s v="Electronics"/>
    <s v="STORE4"/>
    <n v="1"/>
    <n v="695.26"/>
    <n v="0.23"/>
    <x v="1"/>
    <n v="535.35019999999997"/>
  </r>
  <r>
    <s v="SALE1450"/>
    <d v="2025-08-26T00:00:00"/>
    <s v="CUST1027"/>
    <s v="Leslie Johnson"/>
    <s v="PROD24"/>
    <s v="Sports"/>
    <s v="STORE6"/>
    <n v="2"/>
    <n v="408.8"/>
    <n v="0.17"/>
    <x v="2"/>
    <n v="678.60799999999995"/>
  </r>
  <r>
    <s v="SALE1451"/>
    <d v="2025-01-19T00:00:00"/>
    <s v="CUST1226"/>
    <s v="Alexis Castaneda"/>
    <s v="PROD49"/>
    <s v="Beauty"/>
    <s v="STORE8"/>
    <n v="3"/>
    <n v="512.15"/>
    <n v="0.12"/>
    <x v="0"/>
    <n v="1352.076"/>
  </r>
  <r>
    <s v="SALE1452"/>
    <d v="2024-10-03T00:00:00"/>
    <s v="CUST1409"/>
    <s v="Sarah Smith"/>
    <s v="PROD97"/>
    <s v="Sports"/>
    <s v="STORE8"/>
    <n v="3"/>
    <n v="136.4"/>
    <n v="0.15"/>
    <x v="1"/>
    <n v="347.82000000000011"/>
  </r>
  <r>
    <s v="SALE1453"/>
    <d v="2023-12-12T00:00:00"/>
    <s v="CUST1175"/>
    <s v="Michelle Rogers"/>
    <s v="PROD49"/>
    <s v="Beauty"/>
    <s v="STORE3"/>
    <n v="2"/>
    <n v="42.51"/>
    <n v="0.04"/>
    <x v="2"/>
    <n v="81.619199999999992"/>
  </r>
  <r>
    <s v="SALE1454"/>
    <d v="2025-03-02T00:00:00"/>
    <s v="CUST1359"/>
    <s v="Melanie Lam"/>
    <s v="PROD59"/>
    <s v="Beauty"/>
    <s v="STORE7"/>
    <n v="3"/>
    <n v="582.1"/>
    <n v="0.12"/>
    <x v="1"/>
    <n v="1536.7439999999999"/>
  </r>
  <r>
    <s v="SALE1455"/>
    <d v="2024-03-05T00:00:00"/>
    <s v="CUST1219"/>
    <s v="Jordan Wells"/>
    <s v="PROD37"/>
    <s v="Clothing"/>
    <s v="STORE17"/>
    <n v="4"/>
    <n v="461.52"/>
    <n v="0"/>
    <x v="2"/>
    <n v="1846.08"/>
  </r>
  <r>
    <s v="SALE1456"/>
    <d v="2024-09-17T00:00:00"/>
    <s v="CUST1496"/>
    <s v="Christopher Ford"/>
    <s v="PROD51"/>
    <s v="Electronics"/>
    <s v="STORE11"/>
    <n v="1"/>
    <n v="558.41999999999996"/>
    <n v="0.03"/>
    <x v="0"/>
    <n v="541.66739999999993"/>
  </r>
  <r>
    <s v="SALE1457"/>
    <d v="2023-12-28T00:00:00"/>
    <s v="CUST1263"/>
    <s v="Crystal Davis"/>
    <s v="PROD65"/>
    <s v="Sports"/>
    <s v="STORE18"/>
    <n v="4"/>
    <n v="700.98"/>
    <n v="0.12"/>
    <x v="1"/>
    <n v="2467.4495999999999"/>
  </r>
  <r>
    <s v="SALE1458"/>
    <d v="2024-11-09T00:00:00"/>
    <s v="CUST1405"/>
    <s v="Eric Wolfe"/>
    <s v="PROD48"/>
    <s v="Electronics"/>
    <s v="STORE18"/>
    <n v="2"/>
    <n v="227.97"/>
    <n v="0.08"/>
    <x v="2"/>
    <n v="419.46480000000003"/>
  </r>
  <r>
    <s v="SALE1459"/>
    <d v="2024-08-12T00:00:00"/>
    <s v="CUST1474"/>
    <s v="Joshua Howard"/>
    <s v="PROD99"/>
    <s v="Home"/>
    <s v="STORE11"/>
    <n v="4"/>
    <n v="278.70999999999998"/>
    <n v="0.2"/>
    <x v="1"/>
    <n v="891.87199999999996"/>
  </r>
  <r>
    <s v="SALE1460"/>
    <d v="2024-03-28T00:00:00"/>
    <s v="CUST1259"/>
    <s v="Beth Allen"/>
    <s v="PROD13"/>
    <s v="Electronics"/>
    <s v="STORE8"/>
    <n v="2"/>
    <n v="916.12"/>
    <n v="0.05"/>
    <x v="1"/>
    <n v="1740.6279999999999"/>
  </r>
  <r>
    <s v="SALE1461"/>
    <d v="2024-10-02T00:00:00"/>
    <s v="CUST1133"/>
    <s v="Hayley Pope"/>
    <s v="PROD36"/>
    <s v="Clothing"/>
    <s v="STORE12"/>
    <n v="4"/>
    <n v="228.98"/>
    <n v="0.22"/>
    <x v="1"/>
    <n v="714.41759999999999"/>
  </r>
  <r>
    <s v="SALE1462"/>
    <d v="2024-08-06T00:00:00"/>
    <s v="CUST1234"/>
    <s v="Nathaniel Hill"/>
    <s v="PROD98"/>
    <s v="Electronics"/>
    <s v="STORE15"/>
    <n v="4"/>
    <n v="904.82"/>
    <n v="0.09"/>
    <x v="1"/>
    <n v="3293.5448000000001"/>
  </r>
  <r>
    <s v="SALE1463"/>
    <d v="2025-05-29T00:00:00"/>
    <s v="CUST1081"/>
    <s v="Krystal Ford"/>
    <s v="PROD45"/>
    <s v="Sports"/>
    <s v="STORE11"/>
    <n v="1"/>
    <n v="588.61"/>
    <n v="0.1"/>
    <x v="1"/>
    <n v="529.74900000000002"/>
  </r>
  <r>
    <s v="SALE1464"/>
    <d v="2023-11-10T00:00:00"/>
    <s v="CUST1113"/>
    <s v="Edward Hall"/>
    <s v="PROD47"/>
    <s v="Beauty"/>
    <s v="STORE3"/>
    <n v="4"/>
    <n v="695.97"/>
    <n v="0.02"/>
    <x v="0"/>
    <n v="2728.2024000000001"/>
  </r>
  <r>
    <s v="SALE1465"/>
    <d v="2024-01-18T00:00:00"/>
    <s v="CUST1301"/>
    <s v="Ryan Kane"/>
    <s v="PROD84"/>
    <s v="Home"/>
    <s v="STORE11"/>
    <n v="2"/>
    <n v="181.42"/>
    <n v="0.08"/>
    <x v="1"/>
    <n v="333.81279999999998"/>
  </r>
  <r>
    <s v="SALE1466"/>
    <d v="2024-03-24T00:00:00"/>
    <s v="CUST1023"/>
    <s v="Jonathan Steele"/>
    <s v="PROD68"/>
    <s v="Home"/>
    <s v="STORE13"/>
    <n v="1"/>
    <n v="439.55"/>
    <n v="0.28999999999999998"/>
    <x v="2"/>
    <n v="312.08049999999997"/>
  </r>
  <r>
    <s v="SALE1467"/>
    <d v="2025-03-17T00:00:00"/>
    <s v="CUST1114"/>
    <s v="Ryan Hernandez"/>
    <s v="PROD59"/>
    <s v="Beauty"/>
    <s v="STORE18"/>
    <n v="3"/>
    <n v="471.27"/>
    <n v="0.27"/>
    <x v="2"/>
    <n v="1032.0813000000001"/>
  </r>
  <r>
    <s v="SALE1468"/>
    <d v="2024-05-23T00:00:00"/>
    <s v="CUST1044"/>
    <s v="Denise Williams"/>
    <s v="PROD1"/>
    <s v="Clothing"/>
    <s v="STORE12"/>
    <n v="1"/>
    <n v="758.89"/>
    <n v="0.1"/>
    <x v="0"/>
    <n v="683.00099999999998"/>
  </r>
  <r>
    <s v="SALE1469"/>
    <d v="2025-07-26T00:00:00"/>
    <s v="CUST1485"/>
    <s v="Sara Ingram"/>
    <s v="PROD26"/>
    <s v="Electronics"/>
    <s v="STORE15"/>
    <n v="4"/>
    <n v="918.1"/>
    <n v="0.19"/>
    <x v="2"/>
    <n v="2974.6439999999998"/>
  </r>
  <r>
    <s v="SALE1470"/>
    <d v="2024-10-04T00:00:00"/>
    <s v="CUST1259"/>
    <s v="Beth Allen"/>
    <s v="PROD13"/>
    <s v="Electronics"/>
    <s v="STORE11"/>
    <n v="1"/>
    <n v="861.5"/>
    <n v="0.05"/>
    <x v="2"/>
    <n v="818.42499999999995"/>
  </r>
  <r>
    <s v="SALE1471"/>
    <d v="2025-01-07T00:00:00"/>
    <s v="CUST1462"/>
    <s v="Beth Martin"/>
    <s v="PROD33"/>
    <s v="Home"/>
    <s v="STORE14"/>
    <n v="1"/>
    <n v="588.29999999999995"/>
    <n v="0.26"/>
    <x v="2"/>
    <n v="435.34199999999998"/>
  </r>
  <r>
    <s v="SALE1472"/>
    <d v="2024-12-19T00:00:00"/>
    <s v="CUST1462"/>
    <s v="Beth Martin"/>
    <s v="PROD33"/>
    <s v="Home"/>
    <s v="STORE7"/>
    <n v="1"/>
    <n v="917.26"/>
    <n v="0.05"/>
    <x v="1"/>
    <n v="871.39699999999993"/>
  </r>
  <r>
    <s v="SALE1473"/>
    <d v="2024-06-06T00:00:00"/>
    <s v="CUST1233"/>
    <s v="Michelle Gonzalez"/>
    <s v="PROD88"/>
    <s v="Sports"/>
    <s v="STORE18"/>
    <n v="4"/>
    <n v="96.78"/>
    <n v="0.11"/>
    <x v="1"/>
    <n v="344.53680000000003"/>
  </r>
  <r>
    <s v="SALE1474"/>
    <d v="2024-12-03T00:00:00"/>
    <s v="CUST1478"/>
    <s v="Earl Smith Dds"/>
    <s v="PROD39"/>
    <s v="Electronics"/>
    <s v="STORE4"/>
    <n v="3"/>
    <n v="199.41"/>
    <n v="0.16"/>
    <x v="2"/>
    <n v="502.51319999999998"/>
  </r>
  <r>
    <s v="SALE1475"/>
    <d v="2025-03-23T00:00:00"/>
    <s v="CUST1019"/>
    <s v="Michael Torres"/>
    <s v="PROD76"/>
    <s v="Electronics"/>
    <s v="STORE9"/>
    <n v="1"/>
    <n v="687.91"/>
    <n v="0.25"/>
    <x v="0"/>
    <n v="515.9325"/>
  </r>
  <r>
    <s v="SALE1476"/>
    <d v="2025-07-11T00:00:00"/>
    <s v="CUST1039"/>
    <s v="Tonya Reynolds"/>
    <s v="PROD74"/>
    <s v="Electronics"/>
    <s v="STORE2"/>
    <n v="3"/>
    <n v="769.62"/>
    <n v="0.09"/>
    <x v="1"/>
    <n v="2101.0626000000002"/>
  </r>
  <r>
    <s v="SALE1477"/>
    <d v="2023-10-31T00:00:00"/>
    <s v="CUST1220"/>
    <s v="George Davis"/>
    <s v="PROD29"/>
    <s v="Home"/>
    <s v="STORE3"/>
    <n v="1"/>
    <n v="492.05"/>
    <n v="0.27"/>
    <x v="0"/>
    <n v="359.19650000000001"/>
  </r>
  <r>
    <s v="SALE1478"/>
    <d v="2024-01-01T00:00:00"/>
    <s v="CUST1104"/>
    <s v="Christopher Lester"/>
    <s v="PROD25"/>
    <s v="Clothing"/>
    <s v="STORE12"/>
    <n v="2"/>
    <n v="428.55"/>
    <n v="0"/>
    <x v="1"/>
    <n v="857.1"/>
  </r>
  <r>
    <s v="SALE1479"/>
    <d v="2023-11-21T00:00:00"/>
    <s v="CUST1229"/>
    <s v="Tanner Thompson"/>
    <s v="PROD52"/>
    <s v="Sports"/>
    <s v="STORE15"/>
    <n v="4"/>
    <n v="316.18"/>
    <n v="0.12"/>
    <x v="0"/>
    <n v="1112.9536000000001"/>
  </r>
  <r>
    <s v="SALE1480"/>
    <d v="2024-09-20T00:00:00"/>
    <s v="CUST1007"/>
    <s v="Daniel Boyd"/>
    <s v="PROD67"/>
    <s v="Electronics"/>
    <s v="STORE3"/>
    <n v="3"/>
    <n v="162.16999999999999"/>
    <n v="0.15"/>
    <x v="1"/>
    <n v="413.5335"/>
  </r>
  <r>
    <s v="SALE1481"/>
    <d v="2024-04-03T00:00:00"/>
    <s v="CUST1331"/>
    <s v="Maria Phillips"/>
    <s v="PROD4"/>
    <s v="Clothing"/>
    <s v="STORE3"/>
    <n v="3"/>
    <n v="698.14"/>
    <n v="0.04"/>
    <x v="1"/>
    <n v="2010.6432"/>
  </r>
  <r>
    <s v="SALE1482"/>
    <d v="2025-05-10T00:00:00"/>
    <s v="CUST1310"/>
    <s v="Kara Dodson"/>
    <s v="PROD17"/>
    <s v="Sports"/>
    <s v="STORE18"/>
    <n v="1"/>
    <n v="478.08"/>
    <n v="7.0000000000000007E-2"/>
    <x v="2"/>
    <n v="444.61439999999988"/>
  </r>
  <r>
    <s v="SALE1483"/>
    <d v="2025-06-14T00:00:00"/>
    <s v="CUST1208"/>
    <s v="John Perez"/>
    <s v="PROD34"/>
    <s v="Electronics"/>
    <s v="STORE7"/>
    <n v="2"/>
    <n v="958.64"/>
    <n v="0.2"/>
    <x v="1"/>
    <n v="1533.8240000000001"/>
  </r>
  <r>
    <s v="SALE1484"/>
    <d v="2024-10-25T00:00:00"/>
    <s v="CUST1464"/>
    <s v="David Pierce"/>
    <s v="PROD33"/>
    <s v="Home"/>
    <s v="STORE12"/>
    <n v="2"/>
    <n v="581.19000000000005"/>
    <n v="7.0000000000000007E-2"/>
    <x v="2"/>
    <n v="1081.0134"/>
  </r>
  <r>
    <s v="SALE1485"/>
    <d v="2024-11-22T00:00:00"/>
    <s v="CUST1112"/>
    <s v="David Cole"/>
    <s v="PROD40"/>
    <s v="Electronics"/>
    <s v="STORE11"/>
    <n v="1"/>
    <n v="736.54"/>
    <n v="0.16"/>
    <x v="1"/>
    <n v="618.69359999999995"/>
  </r>
  <r>
    <s v="SALE1486"/>
    <d v="2024-10-21T00:00:00"/>
    <s v="CUST1401"/>
    <s v="Terry Moses"/>
    <s v="PROD34"/>
    <s v="Electronics"/>
    <s v="STORE15"/>
    <n v="1"/>
    <n v="524"/>
    <n v="0.28000000000000003"/>
    <x v="0"/>
    <n v="377.28"/>
  </r>
  <r>
    <s v="SALE1487"/>
    <d v="2024-09-13T00:00:00"/>
    <s v="CUST1046"/>
    <s v="Michelle Garcia Dds"/>
    <s v="PROD23"/>
    <s v="Clothing"/>
    <s v="STORE3"/>
    <n v="4"/>
    <n v="566.09"/>
    <n v="0.28000000000000003"/>
    <x v="2"/>
    <n v="1630.3391999999999"/>
  </r>
  <r>
    <s v="SALE1488"/>
    <d v="2025-04-25T00:00:00"/>
    <s v="CUST1259"/>
    <s v="Beth Allen"/>
    <s v="PROD13"/>
    <s v="Electronics"/>
    <s v="STORE10"/>
    <n v="1"/>
    <n v="251.99"/>
    <n v="0.09"/>
    <x v="0"/>
    <n v="229.3109"/>
  </r>
  <r>
    <s v="SALE1489"/>
    <d v="2024-03-10T00:00:00"/>
    <s v="CUST1221"/>
    <s v="Lisa Young"/>
    <s v="PROD83"/>
    <s v="Beauty"/>
    <s v="STORE19"/>
    <n v="1"/>
    <n v="259.2"/>
    <n v="0.27"/>
    <x v="2"/>
    <n v="189.21600000000001"/>
  </r>
  <r>
    <s v="SALE1490"/>
    <d v="2023-11-05T00:00:00"/>
    <s v="CUST1446"/>
    <s v="Shannon Turner"/>
    <s v="PROD31"/>
    <s v="Sports"/>
    <s v="STORE15"/>
    <n v="1"/>
    <n v="935.66"/>
    <n v="0.26"/>
    <x v="1"/>
    <n v="692.38839999999993"/>
  </r>
  <r>
    <s v="SALE1491"/>
    <d v="2025-07-26T00:00:00"/>
    <s v="CUST1469"/>
    <s v="James Foster"/>
    <s v="PROD45"/>
    <s v="Sports"/>
    <s v="STORE8"/>
    <n v="4"/>
    <n v="480.75"/>
    <n v="0.02"/>
    <x v="0"/>
    <n v="1884.54"/>
  </r>
  <r>
    <s v="SALE1492"/>
    <d v="2025-01-24T00:00:00"/>
    <s v="CUST1369"/>
    <s v="Gregory Allen"/>
    <s v="PROD33"/>
    <s v="Home"/>
    <s v="STORE15"/>
    <n v="2"/>
    <n v="457.83"/>
    <n v="0.01"/>
    <x v="2"/>
    <n v="906.50339999999994"/>
  </r>
  <r>
    <s v="SALE1493"/>
    <d v="2025-09-05T00:00:00"/>
    <s v="CUST1164"/>
    <s v="Daniel Rivas"/>
    <s v="PROD48"/>
    <s v="Electronics"/>
    <s v="STORE14"/>
    <n v="1"/>
    <n v="994.63"/>
    <n v="0.28000000000000003"/>
    <x v="0"/>
    <n v="716.1336"/>
  </r>
  <r>
    <s v="SALE1494"/>
    <d v="2025-04-18T00:00:00"/>
    <s v="CUST1245"/>
    <s v="Laura Soto"/>
    <s v="PROD39"/>
    <s v="Electronics"/>
    <s v="STORE0"/>
    <n v="3"/>
    <n v="65.569999999999993"/>
    <n v="0.3"/>
    <x v="2"/>
    <n v="137.697"/>
  </r>
  <r>
    <s v="SALE1495"/>
    <d v="2025-06-13T00:00:00"/>
    <s v="CUST1160"/>
    <s v="John Lawson"/>
    <s v="PROD47"/>
    <s v="Beauty"/>
    <s v="STORE17"/>
    <n v="3"/>
    <n v="622.98"/>
    <n v="0.28000000000000003"/>
    <x v="1"/>
    <n v="1345.6368"/>
  </r>
  <r>
    <s v="SALE1496"/>
    <d v="2025-02-03T00:00:00"/>
    <s v="CUST1250"/>
    <s v="Veronica Newman"/>
    <s v="PROD55"/>
    <s v="Home"/>
    <s v="STORE13"/>
    <n v="1"/>
    <n v="170.68"/>
    <n v="0.13"/>
    <x v="1"/>
    <n v="148.49160000000001"/>
  </r>
  <r>
    <s v="SALE1497"/>
    <d v="2025-07-22T00:00:00"/>
    <s v="CUST1096"/>
    <s v="Samantha Walker"/>
    <s v="PROD65"/>
    <s v="Sports"/>
    <s v="STORE8"/>
    <n v="4"/>
    <n v="797.83"/>
    <n v="0.08"/>
    <x v="0"/>
    <n v="2936.0144"/>
  </r>
  <r>
    <s v="SALE1498"/>
    <d v="2025-09-22T00:00:00"/>
    <s v="CUST1098"/>
    <s v="Brittney Morgan"/>
    <s v="PROD62"/>
    <s v="Electronics"/>
    <s v="STORE16"/>
    <n v="1"/>
    <n v="372.75"/>
    <n v="0.12"/>
    <x v="0"/>
    <n v="328.02"/>
  </r>
  <r>
    <s v="SALE1499"/>
    <d v="2024-07-04T00:00:00"/>
    <s v="CUST1396"/>
    <s v="Alexander Byrd"/>
    <s v="PROD43"/>
    <s v="Electronics"/>
    <s v="STORE4"/>
    <n v="1"/>
    <n v="994.18"/>
    <n v="0.05"/>
    <x v="1"/>
    <n v="944.47099999999989"/>
  </r>
  <r>
    <s v="SALE1500"/>
    <d v="2024-07-31T00:00:00"/>
    <s v="CUST1422"/>
    <s v="Brittany Edwards Dds"/>
    <s v="PROD49"/>
    <s v="Beauty"/>
    <s v="STORE13"/>
    <n v="1"/>
    <n v="136.12"/>
    <n v="7.0000000000000007E-2"/>
    <x v="0"/>
    <n v="126.5916"/>
  </r>
  <r>
    <s v="SALE1501"/>
    <d v="2025-07-24T00:00:00"/>
    <s v="CUST1030"/>
    <s v="Jessica Acevedo"/>
    <s v="PROD35"/>
    <s v="Home"/>
    <s v="STORE18"/>
    <n v="3"/>
    <n v="634.45000000000005"/>
    <n v="0.17"/>
    <x v="1"/>
    <n v="1579.7805000000001"/>
  </r>
  <r>
    <s v="SALE1502"/>
    <d v="2024-10-14T00:00:00"/>
    <s v="CUST1329"/>
    <s v="Victor Mcintosh"/>
    <s v="PROD57"/>
    <s v="Sports"/>
    <s v="STORE0"/>
    <n v="4"/>
    <n v="179.62"/>
    <n v="0.05"/>
    <x v="0"/>
    <n v="682.55600000000004"/>
  </r>
  <r>
    <s v="SALE1503"/>
    <d v="2025-01-01T00:00:00"/>
    <s v="CUST1294"/>
    <s v="Lisa Chandler"/>
    <s v="PROD82"/>
    <s v="Sports"/>
    <s v="STORE18"/>
    <n v="4"/>
    <n v="558.83000000000004"/>
    <n v="0.16"/>
    <x v="1"/>
    <n v="1877.6687999999999"/>
  </r>
  <r>
    <s v="SALE1504"/>
    <d v="2025-01-07T00:00:00"/>
    <s v="CUST1171"/>
    <s v="Amy Wilson"/>
    <s v="PROD90"/>
    <s v="Electronics"/>
    <s v="STORE6"/>
    <n v="2"/>
    <n v="859.74"/>
    <n v="0.25"/>
    <x v="2"/>
    <n v="1289.6099999999999"/>
  </r>
  <r>
    <s v="SALE1505"/>
    <d v="2025-10-06T00:00:00"/>
    <s v="CUST1106"/>
    <s v="Howard Summers"/>
    <s v="PROD65"/>
    <s v="Sports"/>
    <s v="STORE16"/>
    <n v="3"/>
    <n v="578.47"/>
    <n v="0.06"/>
    <x v="2"/>
    <n v="1631.2854"/>
  </r>
  <r>
    <s v="SALE1506"/>
    <d v="2024-02-22T00:00:00"/>
    <s v="CUST1055"/>
    <s v="Wayne Mcpherson"/>
    <s v="PROD15"/>
    <s v="Electronics"/>
    <s v="STORE12"/>
    <n v="1"/>
    <n v="440.48"/>
    <n v="0.11"/>
    <x v="2"/>
    <n v="392.02720000000011"/>
  </r>
  <r>
    <s v="SALE1507"/>
    <d v="2024-02-07T00:00:00"/>
    <s v="CUST1016"/>
    <s v="John Scott"/>
    <s v="PROD56"/>
    <s v="Home"/>
    <s v="STORE19"/>
    <n v="2"/>
    <n v="303.67"/>
    <n v="0.05"/>
    <x v="1"/>
    <n v="576.97299999999996"/>
  </r>
  <r>
    <s v="SALE1508"/>
    <d v="2025-08-26T00:00:00"/>
    <s v="CUST1336"/>
    <s v="John Jones"/>
    <s v="PROD11"/>
    <s v="Electronics"/>
    <s v="STORE14"/>
    <n v="2"/>
    <n v="611.21"/>
    <n v="0.22"/>
    <x v="2"/>
    <n v="953.48760000000004"/>
  </r>
  <r>
    <s v="SALE1509"/>
    <d v="2023-11-09T00:00:00"/>
    <s v="CUST1202"/>
    <s v="Christina Garcia"/>
    <s v="PROD78"/>
    <s v="Home"/>
    <s v="STORE15"/>
    <n v="2"/>
    <n v="768.08"/>
    <n v="0.26"/>
    <x v="1"/>
    <n v="1136.7583999999999"/>
  </r>
  <r>
    <s v="SALE1510"/>
    <d v="2024-01-05T00:00:00"/>
    <s v="CUST1296"/>
    <s v="Jared Moran"/>
    <s v="PROD14"/>
    <s v="Home"/>
    <s v="STORE18"/>
    <n v="1"/>
    <n v="616.82000000000005"/>
    <n v="0.24"/>
    <x v="0"/>
    <n v="468.78320000000002"/>
  </r>
  <r>
    <s v="SALE1511"/>
    <d v="2025-01-15T00:00:00"/>
    <s v="CUST1183"/>
    <s v="Mario Jacobs"/>
    <s v="PROD38"/>
    <s v="Sports"/>
    <s v="STORE18"/>
    <n v="1"/>
    <n v="470.34"/>
    <n v="0.18"/>
    <x v="2"/>
    <n v="385.67880000000002"/>
  </r>
  <r>
    <s v="SALE1512"/>
    <d v="2024-07-26T00:00:00"/>
    <s v="CUST1219"/>
    <s v="Jordan Wells"/>
    <s v="PROD37"/>
    <s v="Clothing"/>
    <s v="STORE8"/>
    <n v="2"/>
    <n v="616.36"/>
    <n v="0.12"/>
    <x v="1"/>
    <n v="1084.7936"/>
  </r>
  <r>
    <s v="SALE1513"/>
    <d v="2024-05-22T00:00:00"/>
    <s v="CUST1082"/>
    <s v="George Rosario"/>
    <s v="PROD92"/>
    <s v="Home"/>
    <s v="STORE9"/>
    <n v="3"/>
    <n v="657.24"/>
    <n v="0.18"/>
    <x v="1"/>
    <n v="1616.8104000000001"/>
  </r>
  <r>
    <s v="SALE1514"/>
    <d v="2025-08-24T00:00:00"/>
    <s v="CUST1034"/>
    <s v="Christopher Olson"/>
    <s v="PROD28"/>
    <s v="Sports"/>
    <s v="STORE19"/>
    <n v="2"/>
    <n v="392.45"/>
    <n v="0.04"/>
    <x v="1"/>
    <n v="753.50399999999991"/>
  </r>
  <r>
    <s v="SALE1515"/>
    <d v="2024-02-24T00:00:00"/>
    <s v="CUST1245"/>
    <s v="Laura Soto"/>
    <s v="PROD39"/>
    <s v="Electronics"/>
    <s v="STORE14"/>
    <n v="3"/>
    <n v="62.03"/>
    <n v="0.01"/>
    <x v="2"/>
    <n v="184.22909999999999"/>
  </r>
  <r>
    <s v="SALE1516"/>
    <d v="2024-11-17T00:00:00"/>
    <s v="CUST1092"/>
    <s v="Robert Jackson"/>
    <s v="PROD10"/>
    <s v="Home"/>
    <s v="STORE3"/>
    <n v="4"/>
    <n v="933.73"/>
    <n v="0.25"/>
    <x v="1"/>
    <n v="2801.19"/>
  </r>
  <r>
    <s v="SALE1517"/>
    <d v="2025-09-28T00:00:00"/>
    <s v="CUST1155"/>
    <s v="Curtis Haynes"/>
    <s v="PROD72"/>
    <s v="Sports"/>
    <s v="STORE16"/>
    <n v="3"/>
    <n v="615.30999999999995"/>
    <n v="0.14000000000000001"/>
    <x v="1"/>
    <n v="1587.4998000000001"/>
  </r>
  <r>
    <s v="SALE1518"/>
    <d v="2024-11-23T00:00:00"/>
    <s v="CUST1373"/>
    <s v="James Orozco"/>
    <s v="PROD72"/>
    <s v="Sports"/>
    <s v="STORE18"/>
    <n v="4"/>
    <n v="790.38"/>
    <n v="0.22"/>
    <x v="2"/>
    <n v="2465.9856"/>
  </r>
  <r>
    <s v="SALE1519"/>
    <d v="2024-08-29T00:00:00"/>
    <s v="CUST1269"/>
    <s v="Tyrone Olson"/>
    <s v="PROD77"/>
    <s v="Electronics"/>
    <s v="STORE17"/>
    <n v="2"/>
    <n v="102.85"/>
    <n v="0.08"/>
    <x v="1"/>
    <n v="189.244"/>
  </r>
  <r>
    <s v="SALE1520"/>
    <d v="2025-05-04T00:00:00"/>
    <s v="CUST1039"/>
    <s v="Tonya Reynolds"/>
    <s v="PROD74"/>
    <s v="Electronics"/>
    <s v="STORE16"/>
    <n v="3"/>
    <n v="866.78"/>
    <n v="0.27"/>
    <x v="1"/>
    <n v="1898.2482"/>
  </r>
  <r>
    <s v="SALE1521"/>
    <d v="2024-03-27T00:00:00"/>
    <s v="CUST1208"/>
    <s v="John Perez"/>
    <s v="PROD34"/>
    <s v="Electronics"/>
    <s v="STORE16"/>
    <n v="3"/>
    <n v="392.84"/>
    <n v="0.27"/>
    <x v="1"/>
    <n v="860.31959999999992"/>
  </r>
  <r>
    <s v="SALE1522"/>
    <d v="2025-01-31T00:00:00"/>
    <s v="CUST1323"/>
    <s v="Kristy Dunlap"/>
    <s v="PROD49"/>
    <s v="Beauty"/>
    <s v="STORE5"/>
    <n v="2"/>
    <n v="753.1"/>
    <n v="0.19"/>
    <x v="1"/>
    <n v="1220.0219999999999"/>
  </r>
  <r>
    <s v="SALE1523"/>
    <d v="2025-09-27T00:00:00"/>
    <s v="CUST1007"/>
    <s v="Daniel Boyd"/>
    <s v="PROD67"/>
    <s v="Electronics"/>
    <s v="STORE17"/>
    <n v="2"/>
    <n v="700.91"/>
    <n v="0.1"/>
    <x v="1"/>
    <n v="1261.6379999999999"/>
  </r>
  <r>
    <s v="SALE1524"/>
    <d v="2025-04-28T00:00:00"/>
    <s v="CUST1072"/>
    <s v="Tonya Burch"/>
    <s v="PROD26"/>
    <s v="Electronics"/>
    <s v="STORE12"/>
    <n v="4"/>
    <n v="935.98"/>
    <n v="0.11"/>
    <x v="1"/>
    <n v="3332.0888"/>
  </r>
  <r>
    <s v="SALE1525"/>
    <d v="2025-07-11T00:00:00"/>
    <s v="CUST1485"/>
    <s v="Sara Ingram"/>
    <s v="PROD26"/>
    <s v="Electronics"/>
    <s v="STORE16"/>
    <n v="1"/>
    <n v="539.9"/>
    <n v="7.0000000000000007E-2"/>
    <x v="0"/>
    <n v="502.10700000000003"/>
  </r>
  <r>
    <s v="SALE1526"/>
    <d v="2024-10-08T00:00:00"/>
    <s v="CUST1171"/>
    <s v="Amy Wilson"/>
    <s v="PROD90"/>
    <s v="Electronics"/>
    <s v="STORE6"/>
    <n v="1"/>
    <n v="312.81"/>
    <n v="0.14000000000000001"/>
    <x v="1"/>
    <n v="269.01659999999998"/>
  </r>
  <r>
    <s v="SALE1527"/>
    <d v="2024-03-05T00:00:00"/>
    <s v="CUST1249"/>
    <s v="Lauren George"/>
    <s v="PROD19"/>
    <s v="Sports"/>
    <s v="STORE7"/>
    <n v="3"/>
    <n v="855.96"/>
    <n v="0.28999999999999998"/>
    <x v="2"/>
    <n v="1823.1948"/>
  </r>
  <r>
    <s v="SALE1528"/>
    <d v="2024-02-04T00:00:00"/>
    <s v="CUST1355"/>
    <s v="Carlos Flores"/>
    <s v="PROD91"/>
    <s v="Clothing"/>
    <s v="STORE11"/>
    <n v="3"/>
    <n v="305"/>
    <n v="0.01"/>
    <x v="2"/>
    <n v="905.85"/>
  </r>
  <r>
    <s v="SALE1529"/>
    <d v="2024-03-10T00:00:00"/>
    <s v="CUST1468"/>
    <s v="Gregory Curtis"/>
    <s v="PROD75"/>
    <s v="Clothing"/>
    <s v="STORE12"/>
    <n v="3"/>
    <n v="831.15"/>
    <n v="0.19"/>
    <x v="0"/>
    <n v="2019.6945000000001"/>
  </r>
  <r>
    <s v="SALE1530"/>
    <d v="2025-09-26T00:00:00"/>
    <s v="CUST1207"/>
    <s v="Jacqueline Pacheco"/>
    <s v="PROD96"/>
    <s v="Clothing"/>
    <s v="STORE3"/>
    <n v="2"/>
    <n v="644.97"/>
    <n v="0.24"/>
    <x v="2"/>
    <n v="980.35440000000006"/>
  </r>
  <r>
    <s v="SALE1531"/>
    <d v="2025-07-01T00:00:00"/>
    <s v="CUST1095"/>
    <s v="Amy Fowler"/>
    <s v="PROD40"/>
    <s v="Electronics"/>
    <s v="STORE1"/>
    <n v="1"/>
    <n v="149.56"/>
    <n v="0.09"/>
    <x v="0"/>
    <n v="136.09960000000001"/>
  </r>
  <r>
    <s v="SALE1532"/>
    <d v="2024-05-22T00:00:00"/>
    <s v="CUST1217"/>
    <s v="Kathy Copeland"/>
    <s v="PROD43"/>
    <s v="Electronics"/>
    <s v="STORE19"/>
    <n v="1"/>
    <n v="661.77"/>
    <n v="0.03"/>
    <x v="1"/>
    <n v="641.91689999999994"/>
  </r>
  <r>
    <s v="SALE1533"/>
    <d v="2025-06-11T00:00:00"/>
    <s v="CUST1108"/>
    <s v="Travis Holland"/>
    <s v="PROD30"/>
    <s v="Home"/>
    <s v="STORE7"/>
    <n v="3"/>
    <n v="99.67"/>
    <n v="0.17"/>
    <x v="0"/>
    <n v="248.17830000000001"/>
  </r>
  <r>
    <s v="SALE1534"/>
    <d v="2024-09-18T00:00:00"/>
    <s v="CUST1221"/>
    <s v="Lisa Young"/>
    <s v="PROD83"/>
    <s v="Beauty"/>
    <s v="STORE1"/>
    <n v="3"/>
    <n v="103.66"/>
    <n v="0.26"/>
    <x v="2"/>
    <n v="230.12520000000001"/>
  </r>
  <r>
    <s v="SALE1535"/>
    <d v="2023-11-28T00:00:00"/>
    <s v="CUST1436"/>
    <s v="Sharon Simpson"/>
    <s v="PROD52"/>
    <s v="Sports"/>
    <s v="STORE2"/>
    <n v="4"/>
    <n v="54.4"/>
    <n v="0.22"/>
    <x v="0"/>
    <n v="169.72800000000001"/>
  </r>
  <r>
    <s v="SALE1536"/>
    <d v="2024-05-23T00:00:00"/>
    <s v="CUST1490"/>
    <s v="Scott Harris"/>
    <s v="PROD47"/>
    <s v="Beauty"/>
    <s v="STORE14"/>
    <n v="1"/>
    <n v="46.66"/>
    <n v="0.2"/>
    <x v="0"/>
    <n v="37.328000000000003"/>
  </r>
  <r>
    <s v="SALE1537"/>
    <d v="2024-06-04T00:00:00"/>
    <s v="CUST1007"/>
    <s v="Daniel Boyd"/>
    <s v="PROD67"/>
    <s v="Electronics"/>
    <s v="STORE11"/>
    <n v="4"/>
    <n v="871.2"/>
    <n v="0.28999999999999998"/>
    <x v="0"/>
    <n v="2474.2080000000001"/>
  </r>
  <r>
    <s v="SALE1538"/>
    <d v="2025-03-08T00:00:00"/>
    <s v="CUST1379"/>
    <s v="Tanya Lopez"/>
    <s v="PROD20"/>
    <s v="Sports"/>
    <s v="STORE14"/>
    <n v="4"/>
    <n v="317.11"/>
    <n v="0.16"/>
    <x v="1"/>
    <n v="1065.4896000000001"/>
  </r>
  <r>
    <s v="SALE1539"/>
    <d v="2024-02-16T00:00:00"/>
    <s v="CUST1258"/>
    <s v="Sarah Stewart"/>
    <s v="PROD88"/>
    <s v="Sports"/>
    <s v="STORE13"/>
    <n v="2"/>
    <n v="388.34"/>
    <n v="0.09"/>
    <x v="1"/>
    <n v="706.77879999999993"/>
  </r>
  <r>
    <s v="SALE1540"/>
    <d v="2023-11-22T00:00:00"/>
    <s v="CUST1319"/>
    <s v="Casey Simpson"/>
    <s v="PROD49"/>
    <s v="Beauty"/>
    <s v="STORE6"/>
    <n v="4"/>
    <n v="998.2"/>
    <n v="0.15"/>
    <x v="0"/>
    <n v="3393.88"/>
  </r>
  <r>
    <s v="SALE1541"/>
    <d v="2024-11-10T00:00:00"/>
    <s v="CUST1493"/>
    <s v="Amanda Powell"/>
    <s v="PROD59"/>
    <s v="Beauty"/>
    <s v="STORE0"/>
    <n v="1"/>
    <n v="887.38"/>
    <n v="0.01"/>
    <x v="2"/>
    <n v="878.50620000000004"/>
  </r>
  <r>
    <s v="SALE1542"/>
    <d v="2024-08-20T00:00:00"/>
    <s v="CUST1312"/>
    <s v="Jason Mullins"/>
    <s v="PROD74"/>
    <s v="Electronics"/>
    <s v="STORE12"/>
    <n v="4"/>
    <n v="332.97"/>
    <n v="0.28000000000000003"/>
    <x v="0"/>
    <n v="958.95360000000005"/>
  </r>
  <r>
    <s v="SALE1543"/>
    <d v="2025-10-04T00:00:00"/>
    <s v="CUST1021"/>
    <s v="Jeff Martinez"/>
    <s v="PROD26"/>
    <s v="Electronics"/>
    <s v="STORE0"/>
    <n v="2"/>
    <n v="157.91"/>
    <n v="0.09"/>
    <x v="2"/>
    <n v="287.39620000000002"/>
  </r>
  <r>
    <s v="SALE1544"/>
    <d v="2024-09-04T00:00:00"/>
    <s v="CUST1356"/>
    <s v="Steve Hunt"/>
    <s v="PROD88"/>
    <s v="Sports"/>
    <s v="STORE18"/>
    <n v="1"/>
    <n v="548.15"/>
    <n v="0.11"/>
    <x v="0"/>
    <n v="487.8535"/>
  </r>
  <r>
    <s v="SALE1545"/>
    <d v="2024-09-20T00:00:00"/>
    <s v="CUST1209"/>
    <s v="Joan Johnson"/>
    <s v="PROD42"/>
    <s v="Electronics"/>
    <s v="STORE15"/>
    <n v="1"/>
    <n v="135.13"/>
    <n v="0.04"/>
    <x v="0"/>
    <n v="129.72479999999999"/>
  </r>
  <r>
    <s v="SALE1546"/>
    <d v="2023-12-21T00:00:00"/>
    <s v="CUST1219"/>
    <s v="Jordan Wells"/>
    <s v="PROD37"/>
    <s v="Clothing"/>
    <s v="STORE3"/>
    <n v="3"/>
    <n v="579.26"/>
    <n v="0.19"/>
    <x v="0"/>
    <n v="1407.6017999999999"/>
  </r>
  <r>
    <s v="SALE1547"/>
    <d v="2024-10-17T00:00:00"/>
    <s v="CUST1389"/>
    <s v="Cynthia Lopez"/>
    <s v="PROD91"/>
    <s v="Clothing"/>
    <s v="STORE0"/>
    <n v="1"/>
    <n v="465.63"/>
    <n v="0.25"/>
    <x v="0"/>
    <n v="349.22250000000003"/>
  </r>
  <r>
    <s v="SALE1548"/>
    <d v="2024-03-21T00:00:00"/>
    <s v="CUST1047"/>
    <s v="Gina Knight"/>
    <s v="PROD64"/>
    <s v="Beauty"/>
    <s v="STORE16"/>
    <n v="2"/>
    <n v="675.61"/>
    <n v="0.08"/>
    <x v="2"/>
    <n v="1243.1224"/>
  </r>
  <r>
    <s v="SALE1549"/>
    <d v="2024-06-15T00:00:00"/>
    <s v="CUST1416"/>
    <s v="Jennifer Myers"/>
    <s v="PROD49"/>
    <s v="Beauty"/>
    <s v="STORE6"/>
    <n v="1"/>
    <n v="718.99"/>
    <n v="0.08"/>
    <x v="1"/>
    <n v="661.47080000000005"/>
  </r>
  <r>
    <s v="SALE1550"/>
    <d v="2025-10-13T00:00:00"/>
    <s v="CUST1376"/>
    <s v="Michele Burke"/>
    <s v="PROD85"/>
    <s v="Clothing"/>
    <s v="STORE10"/>
    <n v="2"/>
    <n v="675.65"/>
    <n v="0.2"/>
    <x v="2"/>
    <n v="1081.04"/>
  </r>
  <r>
    <s v="SALE1551"/>
    <d v="2024-03-23T00:00:00"/>
    <s v="CUST1336"/>
    <s v="John Jones"/>
    <s v="PROD11"/>
    <s v="Electronics"/>
    <s v="STORE15"/>
    <n v="4"/>
    <n v="284.24"/>
    <n v="0.1"/>
    <x v="0"/>
    <n v="1023.264"/>
  </r>
  <r>
    <s v="SALE1552"/>
    <d v="2024-03-23T00:00:00"/>
    <s v="CUST1213"/>
    <s v="Stuart Johnson"/>
    <s v="PROD21"/>
    <s v="Home"/>
    <s v="STORE3"/>
    <n v="1"/>
    <n v="94.26"/>
    <n v="0.18"/>
    <x v="1"/>
    <n v="77.293200000000013"/>
  </r>
  <r>
    <s v="SALE1553"/>
    <d v="2025-05-12T00:00:00"/>
    <s v="CUST1416"/>
    <s v="Jennifer Myers"/>
    <s v="PROD49"/>
    <s v="Beauty"/>
    <s v="STORE10"/>
    <n v="4"/>
    <n v="458.58"/>
    <n v="0.28999999999999998"/>
    <x v="2"/>
    <n v="1302.3671999999999"/>
  </r>
  <r>
    <s v="SALE1554"/>
    <d v="2024-06-09T00:00:00"/>
    <s v="CUST1113"/>
    <s v="Edward Hall"/>
    <s v="PROD47"/>
    <s v="Beauty"/>
    <s v="STORE10"/>
    <n v="4"/>
    <n v="704.49"/>
    <n v="0.05"/>
    <x v="2"/>
    <n v="2677.0619999999999"/>
  </r>
  <r>
    <s v="SALE1555"/>
    <d v="2023-12-24T00:00:00"/>
    <s v="CUST1032"/>
    <s v="Mike Jennings"/>
    <s v="PROD16"/>
    <s v="Beauty"/>
    <s v="STORE19"/>
    <n v="4"/>
    <n v="822.32"/>
    <n v="0.26"/>
    <x v="1"/>
    <n v="2434.0672"/>
  </r>
  <r>
    <s v="SALE1556"/>
    <d v="2024-02-03T00:00:00"/>
    <s v="CUST1245"/>
    <s v="Laura Soto"/>
    <s v="PROD39"/>
    <s v="Electronics"/>
    <s v="STORE13"/>
    <n v="4"/>
    <n v="785.41"/>
    <n v="0.13"/>
    <x v="2"/>
    <n v="2733.2267999999999"/>
  </r>
  <r>
    <s v="SALE1557"/>
    <d v="2024-06-22T00:00:00"/>
    <s v="CUST1031"/>
    <s v="Sarah Vance"/>
    <s v="PROD62"/>
    <s v="Electronics"/>
    <s v="STORE14"/>
    <n v="1"/>
    <n v="405.8"/>
    <n v="0.11"/>
    <x v="1"/>
    <n v="361.16199999999998"/>
  </r>
  <r>
    <s v="SALE1558"/>
    <d v="2024-11-16T00:00:00"/>
    <s v="CUST1433"/>
    <s v="Thomas Moore"/>
    <s v="PROD64"/>
    <s v="Beauty"/>
    <s v="STORE9"/>
    <n v="2"/>
    <n v="976.83"/>
    <n v="0.1"/>
    <x v="1"/>
    <n v="1758.2940000000001"/>
  </r>
  <r>
    <s v="SALE1559"/>
    <d v="2024-06-29T00:00:00"/>
    <s v="CUST1273"/>
    <s v="Samantha Robinson"/>
    <s v="PROD20"/>
    <s v="Sports"/>
    <s v="STORE2"/>
    <n v="1"/>
    <n v="644.15"/>
    <n v="0.06"/>
    <x v="0"/>
    <n v="605.50099999999998"/>
  </r>
  <r>
    <s v="SALE1560"/>
    <d v="2025-08-28T00:00:00"/>
    <s v="CUST1337"/>
    <s v="Carol Lewis"/>
    <s v="PROD71"/>
    <s v="Beauty"/>
    <s v="STORE13"/>
    <n v="1"/>
    <n v="470.55"/>
    <n v="0.23"/>
    <x v="1"/>
    <n v="362.32350000000002"/>
  </r>
  <r>
    <s v="SALE1561"/>
    <d v="2023-11-11T00:00:00"/>
    <s v="CUST1478"/>
    <s v="Earl Smith Dds"/>
    <s v="PROD39"/>
    <s v="Electronics"/>
    <s v="STORE6"/>
    <n v="3"/>
    <n v="598.82000000000005"/>
    <n v="0.19"/>
    <x v="2"/>
    <n v="1455.1325999999999"/>
  </r>
  <r>
    <s v="SALE1562"/>
    <d v="2025-07-13T00:00:00"/>
    <s v="CUST1101"/>
    <s v="Colleen Maynard"/>
    <s v="PROD89"/>
    <s v="Beauty"/>
    <s v="STORE12"/>
    <n v="4"/>
    <n v="659.17"/>
    <n v="0.12"/>
    <x v="0"/>
    <n v="2320.2784000000001"/>
  </r>
  <r>
    <s v="SALE1563"/>
    <d v="2024-10-07T00:00:00"/>
    <s v="CUST1104"/>
    <s v="Christopher Lester"/>
    <s v="PROD25"/>
    <s v="Clothing"/>
    <s v="STORE1"/>
    <n v="2"/>
    <n v="216.02"/>
    <n v="0.25"/>
    <x v="0"/>
    <n v="324.02999999999997"/>
  </r>
  <r>
    <s v="SALE1564"/>
    <d v="2025-04-27T00:00:00"/>
    <s v="CUST1030"/>
    <s v="Jessica Acevedo"/>
    <s v="PROD35"/>
    <s v="Home"/>
    <s v="STORE10"/>
    <n v="2"/>
    <n v="613.47"/>
    <n v="0.02"/>
    <x v="1"/>
    <n v="1202.4012"/>
  </r>
  <r>
    <s v="SALE1565"/>
    <d v="2025-09-21T00:00:00"/>
    <s v="CUST1098"/>
    <s v="Brittney Morgan"/>
    <s v="PROD62"/>
    <s v="Electronics"/>
    <s v="STORE12"/>
    <n v="2"/>
    <n v="485.17"/>
    <n v="0.11"/>
    <x v="1"/>
    <n v="863.60260000000005"/>
  </r>
  <r>
    <s v="SALE1566"/>
    <d v="2023-12-08T00:00:00"/>
    <s v="CUST1307"/>
    <s v="Brandy Thompson"/>
    <s v="PROD93"/>
    <s v="Electronics"/>
    <s v="STORE10"/>
    <n v="1"/>
    <n v="209.7"/>
    <n v="0.2"/>
    <x v="1"/>
    <n v="167.76"/>
  </r>
  <r>
    <s v="SALE1567"/>
    <d v="2024-04-20T00:00:00"/>
    <s v="CUST1326"/>
    <s v="Robert King"/>
    <s v="PROD37"/>
    <s v="Clothing"/>
    <s v="STORE0"/>
    <n v="1"/>
    <n v="681.47"/>
    <n v="0.15"/>
    <x v="0"/>
    <n v="579.24950000000001"/>
  </r>
  <r>
    <s v="SALE1568"/>
    <d v="2025-01-10T00:00:00"/>
    <s v="CUST1440"/>
    <s v="Tammy Trevino"/>
    <s v="PROD64"/>
    <s v="Beauty"/>
    <s v="STORE17"/>
    <n v="2"/>
    <n v="877.21"/>
    <n v="0.1"/>
    <x v="0"/>
    <n v="1578.9780000000001"/>
  </r>
  <r>
    <s v="SALE1569"/>
    <d v="2025-09-02T00:00:00"/>
    <s v="CUST1318"/>
    <s v="Madison Wright"/>
    <s v="PROD78"/>
    <s v="Home"/>
    <s v="STORE5"/>
    <n v="2"/>
    <n v="479.77"/>
    <n v="0.21"/>
    <x v="1"/>
    <n v="758.03660000000002"/>
  </r>
  <r>
    <s v="SALE1570"/>
    <d v="2024-10-24T00:00:00"/>
    <s v="CUST1322"/>
    <s v="Samuel Arias"/>
    <s v="PROD6"/>
    <s v="Beauty"/>
    <s v="STORE15"/>
    <n v="1"/>
    <n v="140.72"/>
    <n v="0"/>
    <x v="2"/>
    <n v="140.72"/>
  </r>
  <r>
    <s v="SALE1571"/>
    <d v="2025-01-11T00:00:00"/>
    <s v="CUST1027"/>
    <s v="Leslie Johnson"/>
    <s v="PROD24"/>
    <s v="Sports"/>
    <s v="STORE6"/>
    <n v="2"/>
    <n v="764.25"/>
    <n v="0.23"/>
    <x v="1"/>
    <n v="1176.9449999999999"/>
  </r>
  <r>
    <s v="SALE1572"/>
    <d v="2024-01-09T00:00:00"/>
    <s v="CUST1222"/>
    <s v="Alejandro Doyle"/>
    <s v="PROD46"/>
    <s v="Clothing"/>
    <s v="STORE5"/>
    <n v="3"/>
    <n v="107.8"/>
    <n v="0.28999999999999998"/>
    <x v="1"/>
    <n v="229.614"/>
  </r>
  <r>
    <s v="SALE1573"/>
    <d v="2025-04-10T00:00:00"/>
    <s v="CUST1147"/>
    <s v="Rhonda Young"/>
    <s v="PROD52"/>
    <s v="Sports"/>
    <s v="STORE8"/>
    <n v="4"/>
    <n v="565.37"/>
    <n v="7.0000000000000007E-2"/>
    <x v="1"/>
    <n v="2103.1763999999998"/>
  </r>
  <r>
    <s v="SALE1574"/>
    <d v="2023-11-05T00:00:00"/>
    <s v="CUST1034"/>
    <s v="Christopher Olson"/>
    <s v="PROD28"/>
    <s v="Sports"/>
    <s v="STORE4"/>
    <n v="3"/>
    <n v="811.45"/>
    <n v="0.26"/>
    <x v="0"/>
    <n v="1801.4190000000001"/>
  </r>
  <r>
    <s v="SALE1575"/>
    <d v="2025-04-02T00:00:00"/>
    <s v="CUST1410"/>
    <s v="Jackie Thompson"/>
    <s v="PROD96"/>
    <s v="Clothing"/>
    <s v="STORE19"/>
    <n v="4"/>
    <n v="62.25"/>
    <n v="0.11"/>
    <x v="1"/>
    <n v="221.61"/>
  </r>
  <r>
    <s v="SALE1576"/>
    <d v="2025-05-30T00:00:00"/>
    <s v="CUST1025"/>
    <s v="Diana Taylor"/>
    <s v="PROD95"/>
    <s v="Sports"/>
    <s v="STORE10"/>
    <n v="1"/>
    <n v="749.78"/>
    <n v="0.03"/>
    <x v="0"/>
    <n v="727.28659999999991"/>
  </r>
  <r>
    <s v="SALE1577"/>
    <d v="2024-07-23T00:00:00"/>
    <s v="CUST1350"/>
    <s v="Charles Miller"/>
    <s v="PROD92"/>
    <s v="Home"/>
    <s v="STORE5"/>
    <n v="3"/>
    <n v="630.28"/>
    <n v="7.0000000000000007E-2"/>
    <x v="2"/>
    <n v="1758.4811999999999"/>
  </r>
  <r>
    <s v="SALE1578"/>
    <d v="2024-03-04T00:00:00"/>
    <s v="CUST1143"/>
    <s v="Carlos Skinner"/>
    <s v="PROD17"/>
    <s v="Sports"/>
    <s v="STORE16"/>
    <n v="1"/>
    <n v="101.84"/>
    <n v="0.17"/>
    <x v="0"/>
    <n v="84.527199999999993"/>
  </r>
  <r>
    <s v="SALE1579"/>
    <d v="2023-11-26T00:00:00"/>
    <s v="CUST1055"/>
    <s v="Wayne Mcpherson"/>
    <s v="PROD15"/>
    <s v="Electronics"/>
    <s v="STORE18"/>
    <n v="4"/>
    <n v="641.45000000000005"/>
    <n v="0.16"/>
    <x v="2"/>
    <n v="2155.2719999999999"/>
  </r>
  <r>
    <s v="SALE1580"/>
    <d v="2025-07-11T00:00:00"/>
    <s v="CUST1471"/>
    <s v="Debra Mccullough"/>
    <s v="PROD17"/>
    <s v="Sports"/>
    <s v="STORE1"/>
    <n v="1"/>
    <n v="135.87"/>
    <n v="0.23"/>
    <x v="1"/>
    <n v="104.6199"/>
  </r>
  <r>
    <s v="SALE1581"/>
    <d v="2024-02-22T00:00:00"/>
    <s v="CUST1095"/>
    <s v="Amy Fowler"/>
    <s v="PROD40"/>
    <s v="Electronics"/>
    <s v="STORE6"/>
    <n v="1"/>
    <n v="388.35"/>
    <n v="0.01"/>
    <x v="1"/>
    <n v="384.4665"/>
  </r>
  <r>
    <s v="SALE1582"/>
    <d v="2024-03-16T00:00:00"/>
    <s v="CUST1486"/>
    <s v="Eric Lee"/>
    <s v="PROD40"/>
    <s v="Electronics"/>
    <s v="STORE9"/>
    <n v="2"/>
    <n v="999.08"/>
    <n v="0.3"/>
    <x v="1"/>
    <n v="1398.712"/>
  </r>
  <r>
    <s v="SALE1583"/>
    <d v="2025-08-18T00:00:00"/>
    <s v="CUST1170"/>
    <s v="Christopher Garcia Dds"/>
    <s v="PROD83"/>
    <s v="Beauty"/>
    <s v="STORE17"/>
    <n v="3"/>
    <n v="453.19"/>
    <n v="0.08"/>
    <x v="2"/>
    <n v="1250.8044"/>
  </r>
  <r>
    <s v="SALE1584"/>
    <d v="2024-10-02T00:00:00"/>
    <s v="CUST1235"/>
    <s v="Jon Ortiz"/>
    <s v="PROD91"/>
    <s v="Clothing"/>
    <s v="STORE10"/>
    <n v="2"/>
    <n v="61.31"/>
    <n v="0.15"/>
    <x v="2"/>
    <n v="104.227"/>
  </r>
  <r>
    <s v="SALE1585"/>
    <d v="2023-10-24T00:00:00"/>
    <s v="CUST1342"/>
    <s v="Michelle Cunningham"/>
    <s v="PROD61"/>
    <s v="Sports"/>
    <s v="STORE10"/>
    <n v="2"/>
    <n v="870.13"/>
    <n v="0.23"/>
    <x v="0"/>
    <n v="1340.0001999999999"/>
  </r>
  <r>
    <s v="SALE1586"/>
    <d v="2025-01-07T00:00:00"/>
    <s v="CUST1067"/>
    <s v="Amber Mcclain"/>
    <s v="PROD46"/>
    <s v="Clothing"/>
    <s v="STORE19"/>
    <n v="1"/>
    <n v="336.51"/>
    <n v="0.11"/>
    <x v="1"/>
    <n v="299.4939"/>
  </r>
  <r>
    <s v="SALE1587"/>
    <d v="2024-01-22T00:00:00"/>
    <s v="CUST1181"/>
    <s v="Erin Ward"/>
    <s v="PROD63"/>
    <s v="Beauty"/>
    <s v="STORE0"/>
    <n v="1"/>
    <n v="305.70999999999998"/>
    <n v="0.26"/>
    <x v="2"/>
    <n v="226.22540000000001"/>
  </r>
  <r>
    <s v="SALE1588"/>
    <d v="2023-10-25T00:00:00"/>
    <s v="CUST1121"/>
    <s v="Joel Robinson"/>
    <s v="PROD33"/>
    <s v="Home"/>
    <s v="STORE18"/>
    <n v="2"/>
    <n v="635.39"/>
    <n v="0.28999999999999998"/>
    <x v="2"/>
    <n v="902.25379999999996"/>
  </r>
  <r>
    <s v="SALE1589"/>
    <d v="2024-07-18T00:00:00"/>
    <s v="CUST1116"/>
    <s v="Anthony Phillips"/>
    <s v="PROD15"/>
    <s v="Electronics"/>
    <s v="STORE19"/>
    <n v="2"/>
    <n v="253.87"/>
    <n v="0.23"/>
    <x v="2"/>
    <n v="390.95979999999997"/>
  </r>
  <r>
    <s v="SALE1590"/>
    <d v="2024-06-29T00:00:00"/>
    <s v="CUST1484"/>
    <s v="Jessica Castro"/>
    <s v="PROD77"/>
    <s v="Electronics"/>
    <s v="STORE17"/>
    <n v="3"/>
    <n v="915.81"/>
    <n v="0.17"/>
    <x v="2"/>
    <n v="2280.3669"/>
  </r>
  <r>
    <s v="SALE1591"/>
    <d v="2025-05-18T00:00:00"/>
    <s v="CUST1209"/>
    <s v="Joan Johnson"/>
    <s v="PROD42"/>
    <s v="Electronics"/>
    <s v="STORE8"/>
    <n v="3"/>
    <n v="779.5"/>
    <n v="0.02"/>
    <x v="0"/>
    <n v="2291.73"/>
  </r>
  <r>
    <s v="SALE1592"/>
    <d v="2024-06-27T00:00:00"/>
    <s v="CUST1469"/>
    <s v="James Foster"/>
    <s v="PROD45"/>
    <s v="Sports"/>
    <s v="STORE16"/>
    <n v="2"/>
    <n v="780.57"/>
    <n v="0.26"/>
    <x v="0"/>
    <n v="1155.2436"/>
  </r>
  <r>
    <s v="SALE1593"/>
    <d v="2024-04-08T00:00:00"/>
    <s v="CUST1383"/>
    <s v="Kristine Higgins"/>
    <s v="PROD58"/>
    <s v="Clothing"/>
    <s v="STORE19"/>
    <n v="1"/>
    <n v="511.35"/>
    <n v="0"/>
    <x v="0"/>
    <n v="511.35"/>
  </r>
  <r>
    <s v="SALE1594"/>
    <d v="2025-05-26T00:00:00"/>
    <s v="CUST1016"/>
    <s v="John Scott"/>
    <s v="PROD56"/>
    <s v="Home"/>
    <s v="STORE3"/>
    <n v="4"/>
    <n v="44.07"/>
    <n v="0.28999999999999998"/>
    <x v="2"/>
    <n v="125.1588"/>
  </r>
  <r>
    <s v="SALE1595"/>
    <d v="2024-01-29T00:00:00"/>
    <s v="CUST1197"/>
    <s v="Andrea Jacobs"/>
    <s v="PROD37"/>
    <s v="Clothing"/>
    <s v="STORE11"/>
    <n v="2"/>
    <n v="895.92"/>
    <n v="0.15"/>
    <x v="0"/>
    <n v="1523.0640000000001"/>
  </r>
  <r>
    <s v="SALE1596"/>
    <d v="2024-11-23T00:00:00"/>
    <s v="CUST1305"/>
    <s v="Roberta Green"/>
    <s v="PROD28"/>
    <s v="Sports"/>
    <s v="STORE2"/>
    <n v="4"/>
    <n v="456.32"/>
    <n v="0.22"/>
    <x v="2"/>
    <n v="1423.7184"/>
  </r>
  <r>
    <s v="SALE1597"/>
    <d v="2025-04-30T00:00:00"/>
    <s v="CUST1420"/>
    <s v="Dr. Tamara White Md"/>
    <s v="PROD21"/>
    <s v="Home"/>
    <s v="STORE0"/>
    <n v="1"/>
    <n v="905.5"/>
    <n v="0.28999999999999998"/>
    <x v="2"/>
    <n v="642.90499999999997"/>
  </r>
  <r>
    <s v="SALE1598"/>
    <d v="2024-08-19T00:00:00"/>
    <s v="CUST1204"/>
    <s v="Tiffany Herrera"/>
    <s v="PROD44"/>
    <s v="Sports"/>
    <s v="STORE13"/>
    <n v="3"/>
    <n v="63.19"/>
    <n v="0.08"/>
    <x v="0"/>
    <n v="174.40440000000001"/>
  </r>
  <r>
    <s v="SALE1599"/>
    <d v="2024-12-02T00:00:00"/>
    <s v="CUST1050"/>
    <s v="Matthew Hunter Jr."/>
    <s v="PROD99"/>
    <s v="Home"/>
    <s v="STORE7"/>
    <n v="3"/>
    <n v="687.66"/>
    <n v="0.06"/>
    <x v="1"/>
    <n v="1939.2012"/>
  </r>
  <r>
    <s v="SALE1600"/>
    <d v="2025-03-26T00:00:00"/>
    <s v="CUST1219"/>
    <s v="Jordan Wells"/>
    <s v="PROD37"/>
    <s v="Clothing"/>
    <s v="STORE9"/>
    <n v="4"/>
    <n v="639.05999999999995"/>
    <n v="0.12"/>
    <x v="1"/>
    <n v="2249.4911999999999"/>
  </r>
  <r>
    <s v="SALE1601"/>
    <d v="2024-06-13T00:00:00"/>
    <s v="CUST1067"/>
    <s v="Amber Mcclain"/>
    <s v="PROD46"/>
    <s v="Clothing"/>
    <s v="STORE7"/>
    <n v="1"/>
    <n v="475.15"/>
    <n v="0.04"/>
    <x v="2"/>
    <n v="456.14399999999989"/>
  </r>
  <r>
    <s v="SALE1602"/>
    <d v="2024-08-30T00:00:00"/>
    <s v="CUST1190"/>
    <s v="Christopher Stewart"/>
    <s v="PROD27"/>
    <s v="Home"/>
    <s v="STORE6"/>
    <n v="1"/>
    <n v="62.38"/>
    <n v="0.08"/>
    <x v="2"/>
    <n v="57.389600000000002"/>
  </r>
  <r>
    <s v="SALE1603"/>
    <d v="2024-03-24T00:00:00"/>
    <s v="CUST1354"/>
    <s v="Ryan Torres"/>
    <s v="PROD61"/>
    <s v="Sports"/>
    <s v="STORE7"/>
    <n v="1"/>
    <n v="977.02"/>
    <n v="0.2"/>
    <x v="2"/>
    <n v="781.61599999999999"/>
  </r>
  <r>
    <s v="SALE1604"/>
    <d v="2024-09-11T00:00:00"/>
    <s v="CUST1074"/>
    <s v="John Mayer"/>
    <s v="PROD83"/>
    <s v="Beauty"/>
    <s v="STORE4"/>
    <n v="2"/>
    <n v="898.81"/>
    <n v="0.25"/>
    <x v="0"/>
    <n v="1348.2149999999999"/>
  </r>
  <r>
    <s v="SALE1605"/>
    <d v="2025-04-22T00:00:00"/>
    <s v="CUST1351"/>
    <s v="Jeffrey Mccarthy"/>
    <s v="PROD26"/>
    <s v="Electronics"/>
    <s v="STORE3"/>
    <n v="2"/>
    <n v="422.13"/>
    <n v="0.28000000000000003"/>
    <x v="0"/>
    <n v="607.86720000000003"/>
  </r>
  <r>
    <s v="SALE1606"/>
    <d v="2024-08-20T00:00:00"/>
    <s v="CUST1050"/>
    <s v="Matthew Hunter Jr."/>
    <s v="PROD99"/>
    <s v="Home"/>
    <s v="STORE11"/>
    <n v="1"/>
    <n v="324.56"/>
    <n v="0.03"/>
    <x v="2"/>
    <n v="314.82319999999999"/>
  </r>
  <r>
    <s v="SALE1607"/>
    <d v="2024-08-27T00:00:00"/>
    <s v="CUST1468"/>
    <s v="Gregory Curtis"/>
    <s v="PROD75"/>
    <s v="Clothing"/>
    <s v="STORE16"/>
    <n v="4"/>
    <n v="570.38"/>
    <n v="0.26"/>
    <x v="1"/>
    <n v="1688.3248000000001"/>
  </r>
  <r>
    <s v="SALE1608"/>
    <d v="2024-07-06T00:00:00"/>
    <s v="CUST1394"/>
    <s v="Alejandro Evans"/>
    <s v="PROD89"/>
    <s v="Beauty"/>
    <s v="STORE15"/>
    <n v="2"/>
    <n v="223.73"/>
    <n v="0.11"/>
    <x v="1"/>
    <n v="398.23939999999999"/>
  </r>
  <r>
    <s v="SALE1609"/>
    <d v="2025-07-30T00:00:00"/>
    <s v="CUST1351"/>
    <s v="Jeffrey Mccarthy"/>
    <s v="PROD26"/>
    <s v="Electronics"/>
    <s v="STORE16"/>
    <n v="4"/>
    <n v="164.93"/>
    <n v="0.11"/>
    <x v="0"/>
    <n v="587.1508"/>
  </r>
  <r>
    <s v="SALE1610"/>
    <d v="2024-10-04T00:00:00"/>
    <s v="CUST1249"/>
    <s v="Lauren George"/>
    <s v="PROD19"/>
    <s v="Sports"/>
    <s v="STORE7"/>
    <n v="3"/>
    <n v="326.66000000000003"/>
    <n v="0.28000000000000003"/>
    <x v="2"/>
    <n v="705.5856"/>
  </r>
  <r>
    <s v="SALE1611"/>
    <d v="2024-03-31T00:00:00"/>
    <s v="CUST1182"/>
    <s v="Melissa Hamilton"/>
    <s v="PROD34"/>
    <s v="Electronics"/>
    <s v="STORE15"/>
    <n v="2"/>
    <n v="462.93"/>
    <n v="0.17"/>
    <x v="1"/>
    <n v="768.46379999999999"/>
  </r>
  <r>
    <s v="SALE1612"/>
    <d v="2025-08-16T00:00:00"/>
    <s v="CUST1147"/>
    <s v="Rhonda Young"/>
    <s v="PROD52"/>
    <s v="Sports"/>
    <s v="STORE16"/>
    <n v="3"/>
    <n v="60.26"/>
    <n v="0.04"/>
    <x v="0"/>
    <n v="173.5488"/>
  </r>
  <r>
    <s v="SALE1613"/>
    <d v="2025-06-21T00:00:00"/>
    <s v="CUST1071"/>
    <s v="Andrea Perez"/>
    <s v="PROD83"/>
    <s v="Beauty"/>
    <s v="STORE9"/>
    <n v="3"/>
    <n v="109.5"/>
    <n v="0.06"/>
    <x v="2"/>
    <n v="308.79000000000002"/>
  </r>
  <r>
    <s v="SALE1614"/>
    <d v="2025-03-05T00:00:00"/>
    <s v="CUST1382"/>
    <s v="Martha Brown"/>
    <s v="PROD4"/>
    <s v="Clothing"/>
    <s v="STORE16"/>
    <n v="1"/>
    <n v="505.83"/>
    <n v="0.14000000000000001"/>
    <x v="2"/>
    <n v="435.0138"/>
  </r>
  <r>
    <s v="SALE1615"/>
    <d v="2024-08-07T00:00:00"/>
    <s v="CUST1163"/>
    <s v="Joseph Jones"/>
    <s v="PROD97"/>
    <s v="Sports"/>
    <s v="STORE10"/>
    <n v="2"/>
    <n v="443.15"/>
    <n v="0.27"/>
    <x v="1"/>
    <n v="646.99899999999991"/>
  </r>
  <r>
    <s v="SALE1616"/>
    <d v="2025-03-23T00:00:00"/>
    <s v="CUST1497"/>
    <s v="Sarah Marsh"/>
    <s v="PROD33"/>
    <s v="Home"/>
    <s v="STORE7"/>
    <n v="2"/>
    <n v="784.26"/>
    <n v="0.23"/>
    <x v="1"/>
    <n v="1207.7603999999999"/>
  </r>
  <r>
    <s v="SALE1617"/>
    <d v="2024-08-29T00:00:00"/>
    <s v="CUST1455"/>
    <s v="Tyler Weber"/>
    <s v="PROD83"/>
    <s v="Beauty"/>
    <s v="STORE11"/>
    <n v="3"/>
    <n v="590.30999999999995"/>
    <n v="0.17"/>
    <x v="1"/>
    <n v="1469.8719000000001"/>
  </r>
  <r>
    <s v="SALE1618"/>
    <d v="2024-09-18T00:00:00"/>
    <s v="CUST1120"/>
    <s v="Jacob Hopkins"/>
    <s v="PROD73"/>
    <s v="Sports"/>
    <s v="STORE16"/>
    <n v="1"/>
    <n v="696.13"/>
    <n v="0.06"/>
    <x v="2"/>
    <n v="654.36219999999992"/>
  </r>
  <r>
    <s v="SALE1619"/>
    <d v="2024-02-19T00:00:00"/>
    <s v="CUST1104"/>
    <s v="Christopher Lester"/>
    <s v="PROD25"/>
    <s v="Clothing"/>
    <s v="STORE6"/>
    <n v="4"/>
    <n v="194.39"/>
    <n v="0.25"/>
    <x v="0"/>
    <n v="583.16999999999996"/>
  </r>
  <r>
    <s v="SALE1620"/>
    <d v="2024-05-18T00:00:00"/>
    <s v="CUST1330"/>
    <s v="Pamela Mcguire"/>
    <s v="PROD42"/>
    <s v="Electronics"/>
    <s v="STORE1"/>
    <n v="1"/>
    <n v="339.7"/>
    <n v="0.1"/>
    <x v="0"/>
    <n v="305.73"/>
  </r>
  <r>
    <s v="SALE1621"/>
    <d v="2025-09-12T00:00:00"/>
    <s v="CUST1048"/>
    <s v="April Mullins"/>
    <s v="PROD95"/>
    <s v="Sports"/>
    <s v="STORE13"/>
    <n v="4"/>
    <n v="463.16"/>
    <n v="0.27"/>
    <x v="1"/>
    <n v="1352.4272000000001"/>
  </r>
  <r>
    <s v="SALE1622"/>
    <d v="2025-02-21T00:00:00"/>
    <s v="CUST1107"/>
    <s v="Erica Carney"/>
    <s v="PROD75"/>
    <s v="Clothing"/>
    <s v="STORE10"/>
    <n v="2"/>
    <n v="824.91"/>
    <n v="0.09"/>
    <x v="0"/>
    <n v="1501.3362"/>
  </r>
  <r>
    <s v="SALE1623"/>
    <d v="2024-08-16T00:00:00"/>
    <s v="CUST1070"/>
    <s v="Eric Singh"/>
    <s v="PROD78"/>
    <s v="Home"/>
    <s v="STORE2"/>
    <n v="4"/>
    <n v="796.89"/>
    <n v="0.17"/>
    <x v="0"/>
    <n v="2645.6747999999998"/>
  </r>
  <r>
    <s v="SALE1624"/>
    <d v="2024-07-05T00:00:00"/>
    <s v="CUST1240"/>
    <s v="William Hull"/>
    <s v="PROD92"/>
    <s v="Home"/>
    <s v="STORE17"/>
    <n v="3"/>
    <n v="543.92999999999995"/>
    <n v="0.3"/>
    <x v="2"/>
    <n v="1142.2529999999999"/>
  </r>
  <r>
    <s v="SALE1625"/>
    <d v="2024-07-23T00:00:00"/>
    <s v="CUST1173"/>
    <s v="Teresa Stokes"/>
    <s v="PROD20"/>
    <s v="Sports"/>
    <s v="STORE7"/>
    <n v="2"/>
    <n v="44.65"/>
    <n v="0.03"/>
    <x v="1"/>
    <n v="86.620999999999995"/>
  </r>
  <r>
    <s v="SALE1626"/>
    <d v="2025-03-26T00:00:00"/>
    <s v="CUST1250"/>
    <s v="Veronica Newman"/>
    <s v="PROD55"/>
    <s v="Home"/>
    <s v="STORE0"/>
    <n v="4"/>
    <n v="827.39"/>
    <n v="0.06"/>
    <x v="2"/>
    <n v="3110.9863999999998"/>
  </r>
  <r>
    <s v="SALE1627"/>
    <d v="2024-01-10T00:00:00"/>
    <s v="CUST1308"/>
    <s v="Jennifer Zamora"/>
    <s v="PROD14"/>
    <s v="Home"/>
    <s v="STORE12"/>
    <n v="2"/>
    <n v="403.2"/>
    <n v="0.21"/>
    <x v="1"/>
    <n v="637.05600000000004"/>
  </r>
  <r>
    <s v="SALE1628"/>
    <d v="2024-09-12T00:00:00"/>
    <s v="CUST1017"/>
    <s v="Adam Cruz"/>
    <s v="PROD41"/>
    <s v="Sports"/>
    <s v="STORE13"/>
    <n v="4"/>
    <n v="292.31"/>
    <n v="0.27"/>
    <x v="1"/>
    <n v="853.54520000000002"/>
  </r>
  <r>
    <s v="SALE1629"/>
    <d v="2025-05-29T00:00:00"/>
    <s v="CUST1492"/>
    <s v="Darrell Miller"/>
    <s v="PROD10"/>
    <s v="Home"/>
    <s v="STORE10"/>
    <n v="1"/>
    <n v="948.33"/>
    <n v="0.11"/>
    <x v="0"/>
    <n v="844.01370000000009"/>
  </r>
  <r>
    <s v="SALE1630"/>
    <d v="2024-01-03T00:00:00"/>
    <s v="CUST1343"/>
    <s v="Ryan Moore"/>
    <s v="PROD17"/>
    <s v="Sports"/>
    <s v="STORE5"/>
    <n v="1"/>
    <n v="702.27"/>
    <n v="0.17"/>
    <x v="2"/>
    <n v="582.88409999999999"/>
  </r>
  <r>
    <s v="SALE1631"/>
    <d v="2025-08-06T00:00:00"/>
    <s v="CUST1041"/>
    <s v="James Gibbs"/>
    <s v="PROD22"/>
    <s v="Sports"/>
    <s v="STORE3"/>
    <n v="2"/>
    <n v="379.28"/>
    <n v="0.26"/>
    <x v="0"/>
    <n v="561.33439999999996"/>
  </r>
  <r>
    <s v="SALE1632"/>
    <d v="2025-01-12T00:00:00"/>
    <s v="CUST1132"/>
    <s v="Miguel Reynolds"/>
    <s v="PROD47"/>
    <s v="Beauty"/>
    <s v="STORE0"/>
    <n v="4"/>
    <n v="92.35"/>
    <n v="0.15"/>
    <x v="0"/>
    <n v="313.99"/>
  </r>
  <r>
    <s v="SALE1633"/>
    <d v="2024-11-10T00:00:00"/>
    <s v="CUST1219"/>
    <s v="Jordan Wells"/>
    <s v="PROD37"/>
    <s v="Clothing"/>
    <s v="STORE12"/>
    <n v="4"/>
    <n v="721.54"/>
    <n v="0.21"/>
    <x v="0"/>
    <n v="2280.0664000000002"/>
  </r>
  <r>
    <s v="SALE1634"/>
    <d v="2025-05-10T00:00:00"/>
    <s v="CUST1053"/>
    <s v="Sharon Brown"/>
    <s v="PROD37"/>
    <s v="Clothing"/>
    <s v="STORE9"/>
    <n v="1"/>
    <n v="228.69"/>
    <n v="0.14000000000000001"/>
    <x v="0"/>
    <n v="196.67339999999999"/>
  </r>
  <r>
    <s v="SALE1635"/>
    <d v="2025-09-29T00:00:00"/>
    <s v="CUST1355"/>
    <s v="Carlos Flores"/>
    <s v="PROD91"/>
    <s v="Clothing"/>
    <s v="STORE10"/>
    <n v="1"/>
    <n v="899.09"/>
    <n v="0.2"/>
    <x v="1"/>
    <n v="719.27200000000005"/>
  </r>
  <r>
    <s v="SALE1636"/>
    <d v="2024-03-28T00:00:00"/>
    <s v="CUST1384"/>
    <s v="Andrew Mason"/>
    <s v="PROD74"/>
    <s v="Electronics"/>
    <s v="STORE8"/>
    <n v="4"/>
    <n v="195.75"/>
    <n v="0.17"/>
    <x v="0"/>
    <n v="649.89"/>
  </r>
  <r>
    <s v="SALE1637"/>
    <d v="2024-08-28T00:00:00"/>
    <s v="CUST1426"/>
    <s v="Jeanette Nichols"/>
    <s v="PROD63"/>
    <s v="Beauty"/>
    <s v="STORE15"/>
    <n v="3"/>
    <n v="199.13"/>
    <n v="0.24"/>
    <x v="0"/>
    <n v="454.01639999999998"/>
  </r>
  <r>
    <s v="SALE1638"/>
    <d v="2024-06-23T00:00:00"/>
    <s v="CUST1160"/>
    <s v="John Lawson"/>
    <s v="PROD47"/>
    <s v="Beauty"/>
    <s v="STORE14"/>
    <n v="2"/>
    <n v="833.62"/>
    <n v="0.18"/>
    <x v="0"/>
    <n v="1367.1368"/>
  </r>
  <r>
    <s v="SALE1639"/>
    <d v="2024-04-13T00:00:00"/>
    <s v="CUST1484"/>
    <s v="Jessica Castro"/>
    <s v="PROD77"/>
    <s v="Electronics"/>
    <s v="STORE0"/>
    <n v="1"/>
    <n v="676.26"/>
    <n v="0.14000000000000001"/>
    <x v="0"/>
    <n v="581.58359999999993"/>
  </r>
  <r>
    <s v="SALE1640"/>
    <d v="2025-02-20T00:00:00"/>
    <s v="CUST1032"/>
    <s v="Mike Jennings"/>
    <s v="PROD16"/>
    <s v="Beauty"/>
    <s v="STORE9"/>
    <n v="2"/>
    <n v="666.49"/>
    <n v="0.06"/>
    <x v="0"/>
    <n v="1253.0011999999999"/>
  </r>
  <r>
    <s v="SALE1641"/>
    <d v="2025-03-19T00:00:00"/>
    <s v="CUST1460"/>
    <s v="Justin Johnson"/>
    <s v="PROD15"/>
    <s v="Electronics"/>
    <s v="STORE4"/>
    <n v="3"/>
    <n v="471.19"/>
    <n v="0.28000000000000003"/>
    <x v="2"/>
    <n v="1017.7704"/>
  </r>
  <r>
    <s v="SALE1642"/>
    <d v="2023-11-07T00:00:00"/>
    <s v="CUST1119"/>
    <s v="Michael Jones"/>
    <s v="PROD90"/>
    <s v="Electronics"/>
    <s v="STORE3"/>
    <n v="4"/>
    <n v="555.65"/>
    <n v="0.25"/>
    <x v="2"/>
    <n v="1666.95"/>
  </r>
  <r>
    <s v="SALE1643"/>
    <d v="2023-12-22T00:00:00"/>
    <s v="CUST1035"/>
    <s v="Rachel Myers"/>
    <s v="PROD97"/>
    <s v="Sports"/>
    <s v="STORE14"/>
    <n v="2"/>
    <n v="100.42"/>
    <n v="0.06"/>
    <x v="0"/>
    <n v="188.78960000000001"/>
  </r>
  <r>
    <s v="SALE1644"/>
    <d v="2024-02-15T00:00:00"/>
    <s v="CUST1050"/>
    <s v="Matthew Hunter Jr."/>
    <s v="PROD99"/>
    <s v="Home"/>
    <s v="STORE18"/>
    <n v="3"/>
    <n v="981.69"/>
    <n v="0.05"/>
    <x v="2"/>
    <n v="2797.8164999999999"/>
  </r>
  <r>
    <s v="SALE1645"/>
    <d v="2024-01-19T00:00:00"/>
    <s v="CUST1327"/>
    <s v="Reginald Willis"/>
    <s v="PROD1"/>
    <s v="Clothing"/>
    <s v="STORE16"/>
    <n v="2"/>
    <n v="848.87"/>
    <n v="0.09"/>
    <x v="2"/>
    <n v="1544.9434000000001"/>
  </r>
  <r>
    <s v="SALE1646"/>
    <d v="2023-10-31T00:00:00"/>
    <s v="CUST1375"/>
    <s v="Joshua Bell"/>
    <s v="PROD28"/>
    <s v="Sports"/>
    <s v="STORE10"/>
    <n v="3"/>
    <n v="582.32000000000005"/>
    <n v="0"/>
    <x v="1"/>
    <n v="1746.96"/>
  </r>
  <r>
    <s v="SALE1647"/>
    <d v="2024-02-19T00:00:00"/>
    <s v="CUST1171"/>
    <s v="Amy Wilson"/>
    <s v="PROD90"/>
    <s v="Electronics"/>
    <s v="STORE17"/>
    <n v="2"/>
    <n v="869.43"/>
    <n v="0.24"/>
    <x v="2"/>
    <n v="1321.5336"/>
  </r>
  <r>
    <s v="SALE1648"/>
    <d v="2024-05-28T00:00:00"/>
    <s v="CUST1021"/>
    <s v="Jeff Martinez"/>
    <s v="PROD26"/>
    <s v="Electronics"/>
    <s v="STORE4"/>
    <n v="1"/>
    <n v="62.26"/>
    <n v="0.03"/>
    <x v="2"/>
    <n v="60.392200000000003"/>
  </r>
  <r>
    <s v="SALE1649"/>
    <d v="2025-05-21T00:00:00"/>
    <s v="CUST1152"/>
    <s v="Patrick Roberts"/>
    <s v="PROD70"/>
    <s v="Home"/>
    <s v="STORE14"/>
    <n v="3"/>
    <n v="343.97"/>
    <n v="0.04"/>
    <x v="2"/>
    <n v="990.6336"/>
  </r>
  <r>
    <s v="SALE1650"/>
    <d v="2024-01-02T00:00:00"/>
    <s v="CUST1303"/>
    <s v="John Sloan"/>
    <s v="PROD20"/>
    <s v="Sports"/>
    <s v="STORE12"/>
    <n v="3"/>
    <n v="304.67"/>
    <n v="0.11"/>
    <x v="0"/>
    <n v="813.46889999999996"/>
  </r>
  <r>
    <s v="SALE1651"/>
    <d v="2024-01-05T00:00:00"/>
    <s v="CUST1365"/>
    <s v="Brandon Mcbride"/>
    <s v="PROD45"/>
    <s v="Sports"/>
    <s v="STORE9"/>
    <n v="4"/>
    <n v="208.34"/>
    <n v="0.01"/>
    <x v="1"/>
    <n v="825.02639999999997"/>
  </r>
  <r>
    <s v="SALE1652"/>
    <d v="2025-07-22T00:00:00"/>
    <s v="CUST1312"/>
    <s v="Jason Mullins"/>
    <s v="PROD74"/>
    <s v="Electronics"/>
    <s v="STORE1"/>
    <n v="1"/>
    <n v="119.04"/>
    <n v="0.13"/>
    <x v="2"/>
    <n v="103.56480000000001"/>
  </r>
  <r>
    <s v="SALE1653"/>
    <d v="2025-07-05T00:00:00"/>
    <s v="CUST1321"/>
    <s v="Darren Burton"/>
    <s v="PROD99"/>
    <s v="Home"/>
    <s v="STORE9"/>
    <n v="4"/>
    <n v="791.65"/>
    <n v="0.06"/>
    <x v="2"/>
    <n v="2976.6039999999998"/>
  </r>
  <r>
    <s v="SALE1654"/>
    <d v="2025-07-24T00:00:00"/>
    <s v="CUST1052"/>
    <s v="Debra Liu"/>
    <s v="PROD51"/>
    <s v="Electronics"/>
    <s v="STORE2"/>
    <n v="2"/>
    <n v="414.86"/>
    <n v="0.23"/>
    <x v="0"/>
    <n v="638.88440000000003"/>
  </r>
  <r>
    <s v="SALE1655"/>
    <d v="2024-04-03T00:00:00"/>
    <s v="CUST1478"/>
    <s v="Earl Smith Dds"/>
    <s v="PROD39"/>
    <s v="Electronics"/>
    <s v="STORE12"/>
    <n v="2"/>
    <n v="960.81"/>
    <n v="0.28000000000000003"/>
    <x v="1"/>
    <n v="1383.5663999999999"/>
  </r>
  <r>
    <s v="SALE1656"/>
    <d v="2025-01-11T00:00:00"/>
    <s v="CUST1212"/>
    <s v="Blake Harrison"/>
    <s v="PROD13"/>
    <s v="Electronics"/>
    <s v="STORE4"/>
    <n v="4"/>
    <n v="943.36"/>
    <n v="0.18"/>
    <x v="1"/>
    <n v="3094.2208000000001"/>
  </r>
  <r>
    <s v="SALE1657"/>
    <d v="2024-09-26T00:00:00"/>
    <s v="CUST1213"/>
    <s v="Stuart Johnson"/>
    <s v="PROD21"/>
    <s v="Home"/>
    <s v="STORE13"/>
    <n v="1"/>
    <n v="830.42"/>
    <n v="0.26"/>
    <x v="2"/>
    <n v="614.51080000000002"/>
  </r>
  <r>
    <s v="SALE1658"/>
    <d v="2024-12-11T00:00:00"/>
    <s v="CUST1353"/>
    <s v="Laura Green"/>
    <s v="PROD48"/>
    <s v="Electronics"/>
    <s v="STORE17"/>
    <n v="1"/>
    <n v="762.55"/>
    <n v="0.19"/>
    <x v="0"/>
    <n v="617.66549999999995"/>
  </r>
  <r>
    <s v="SALE1659"/>
    <d v="2025-07-01T00:00:00"/>
    <s v="CUST1343"/>
    <s v="Ryan Moore"/>
    <s v="PROD17"/>
    <s v="Sports"/>
    <s v="STORE18"/>
    <n v="2"/>
    <n v="464.43"/>
    <n v="0.24"/>
    <x v="2"/>
    <n v="705.93360000000007"/>
  </r>
  <r>
    <s v="SALE1660"/>
    <d v="2025-07-13T00:00:00"/>
    <s v="CUST1016"/>
    <s v="John Scott"/>
    <s v="PROD56"/>
    <s v="Home"/>
    <s v="STORE18"/>
    <n v="1"/>
    <n v="711.08"/>
    <n v="0.24"/>
    <x v="1"/>
    <n v="540.42079999999999"/>
  </r>
  <r>
    <s v="SALE1661"/>
    <d v="2024-12-30T00:00:00"/>
    <s v="CUST1251"/>
    <s v="Tyler Garner"/>
    <s v="PROD9"/>
    <s v="Sports"/>
    <s v="STORE14"/>
    <n v="2"/>
    <n v="984.96"/>
    <n v="0.16"/>
    <x v="1"/>
    <n v="1654.7328"/>
  </r>
  <r>
    <s v="SALE1662"/>
    <d v="2025-04-12T00:00:00"/>
    <s v="CUST1343"/>
    <s v="Ryan Moore"/>
    <s v="PROD17"/>
    <s v="Sports"/>
    <s v="STORE12"/>
    <n v="1"/>
    <n v="21.14"/>
    <n v="0.06"/>
    <x v="2"/>
    <n v="19.871600000000001"/>
  </r>
  <r>
    <s v="SALE1663"/>
    <d v="2025-01-22T00:00:00"/>
    <s v="CUST1106"/>
    <s v="Howard Summers"/>
    <s v="PROD65"/>
    <s v="Sports"/>
    <s v="STORE8"/>
    <n v="1"/>
    <n v="343.03"/>
    <n v="0.16"/>
    <x v="0"/>
    <n v="288.14519999999999"/>
  </r>
  <r>
    <s v="SALE1664"/>
    <d v="2023-11-07T00:00:00"/>
    <s v="CUST1247"/>
    <s v="Douglas Rhodes"/>
    <s v="PROD10"/>
    <s v="Home"/>
    <s v="STORE18"/>
    <n v="3"/>
    <n v="94.83"/>
    <n v="0.16"/>
    <x v="2"/>
    <n v="238.9716"/>
  </r>
  <r>
    <s v="SALE1665"/>
    <d v="2025-05-13T00:00:00"/>
    <s v="CUST1018"/>
    <s v="Rhonda Moss"/>
    <s v="PROD80"/>
    <s v="Home"/>
    <s v="STORE19"/>
    <n v="3"/>
    <n v="74.66"/>
    <n v="0.03"/>
    <x v="1"/>
    <n v="217.26060000000001"/>
  </r>
  <r>
    <s v="SALE1666"/>
    <d v="2023-12-08T00:00:00"/>
    <s v="CUST1136"/>
    <s v="Patrick Coleman"/>
    <s v="PROD35"/>
    <s v="Home"/>
    <s v="STORE15"/>
    <n v="3"/>
    <n v="281.95999999999998"/>
    <n v="0.01"/>
    <x v="2"/>
    <n v="837.42119999999989"/>
  </r>
  <r>
    <s v="SALE1667"/>
    <d v="2025-01-07T00:00:00"/>
    <s v="CUST1236"/>
    <s v="Joshua Wilson"/>
    <s v="PROD16"/>
    <s v="Beauty"/>
    <s v="STORE18"/>
    <n v="4"/>
    <n v="622.27"/>
    <n v="0.02"/>
    <x v="1"/>
    <n v="2439.2984000000001"/>
  </r>
  <r>
    <s v="SALE1668"/>
    <d v="2024-07-02T00:00:00"/>
    <s v="CUST1102"/>
    <s v="Sarah Schneider"/>
    <s v="PROD98"/>
    <s v="Electronics"/>
    <s v="STORE7"/>
    <n v="2"/>
    <n v="78.27"/>
    <n v="0.28999999999999998"/>
    <x v="2"/>
    <n v="111.1434"/>
  </r>
  <r>
    <s v="SALE1669"/>
    <d v="2025-07-07T00:00:00"/>
    <s v="CUST1012"/>
    <s v="Kenneth Lambert"/>
    <s v="PROD27"/>
    <s v="Home"/>
    <s v="STORE13"/>
    <n v="4"/>
    <n v="676.58"/>
    <n v="0.23"/>
    <x v="2"/>
    <n v="2083.8663999999999"/>
  </r>
  <r>
    <s v="SALE1670"/>
    <d v="2024-06-03T00:00:00"/>
    <s v="CUST1486"/>
    <s v="Eric Lee"/>
    <s v="PROD40"/>
    <s v="Electronics"/>
    <s v="STORE1"/>
    <n v="2"/>
    <n v="938.6"/>
    <n v="0.04"/>
    <x v="1"/>
    <n v="1802.1120000000001"/>
  </r>
  <r>
    <s v="SALE1671"/>
    <d v="2025-04-14T00:00:00"/>
    <s v="CUST1355"/>
    <s v="Carlos Flores"/>
    <s v="PROD91"/>
    <s v="Clothing"/>
    <s v="STORE14"/>
    <n v="2"/>
    <n v="859.47"/>
    <n v="0.01"/>
    <x v="0"/>
    <n v="1701.7506000000001"/>
  </r>
  <r>
    <s v="SALE1672"/>
    <d v="2024-03-12T00:00:00"/>
    <s v="CUST1057"/>
    <s v="Jay Patel"/>
    <s v="PROD38"/>
    <s v="Sports"/>
    <s v="STORE14"/>
    <n v="3"/>
    <n v="672.98"/>
    <n v="0.23"/>
    <x v="1"/>
    <n v="1554.5838000000001"/>
  </r>
  <r>
    <s v="SALE1673"/>
    <d v="2024-05-08T00:00:00"/>
    <s v="CUST1206"/>
    <s v="Ronald Jones"/>
    <s v="PROD94"/>
    <s v="Beauty"/>
    <s v="STORE18"/>
    <n v="1"/>
    <n v="75.8"/>
    <n v="0.28999999999999998"/>
    <x v="1"/>
    <n v="53.817999999999998"/>
  </r>
  <r>
    <s v="SALE1674"/>
    <d v="2024-09-01T00:00:00"/>
    <s v="CUST1034"/>
    <s v="Christopher Olson"/>
    <s v="PROD28"/>
    <s v="Sports"/>
    <s v="STORE15"/>
    <n v="4"/>
    <n v="742.15"/>
    <n v="0.1"/>
    <x v="2"/>
    <n v="2671.74"/>
  </r>
  <r>
    <s v="SALE1675"/>
    <d v="2024-06-02T00:00:00"/>
    <s v="CUST1072"/>
    <s v="Tonya Burch"/>
    <s v="PROD26"/>
    <s v="Electronics"/>
    <s v="STORE7"/>
    <n v="1"/>
    <n v="637.39"/>
    <n v="0.22"/>
    <x v="1"/>
    <n v="497.16419999999999"/>
  </r>
  <r>
    <s v="SALE1676"/>
    <d v="2023-10-31T00:00:00"/>
    <s v="CUST1391"/>
    <s v="Heidi Tyler"/>
    <s v="PROD29"/>
    <s v="Home"/>
    <s v="STORE17"/>
    <n v="1"/>
    <n v="631"/>
    <n v="0.04"/>
    <x v="0"/>
    <n v="605.76"/>
  </r>
  <r>
    <s v="SALE1677"/>
    <d v="2025-09-16T00:00:00"/>
    <s v="CUST1393"/>
    <s v="Michael Mcneil"/>
    <s v="PROD80"/>
    <s v="Home"/>
    <s v="STORE3"/>
    <n v="4"/>
    <n v="983.98"/>
    <n v="0.11"/>
    <x v="2"/>
    <n v="3502.9688000000001"/>
  </r>
  <r>
    <s v="SALE1678"/>
    <d v="2024-03-02T00:00:00"/>
    <s v="CUST1054"/>
    <s v="Katherine Dorsey"/>
    <s v="PROD88"/>
    <s v="Sports"/>
    <s v="STORE11"/>
    <n v="4"/>
    <n v="73.69"/>
    <n v="0.08"/>
    <x v="0"/>
    <n v="271.17919999999998"/>
  </r>
  <r>
    <s v="SALE1679"/>
    <d v="2024-07-17T00:00:00"/>
    <s v="CUST1433"/>
    <s v="Thomas Moore"/>
    <s v="PROD64"/>
    <s v="Beauty"/>
    <s v="STORE7"/>
    <n v="3"/>
    <n v="110.99"/>
    <n v="0.21"/>
    <x v="0"/>
    <n v="263.04629999999997"/>
  </r>
  <r>
    <s v="SALE1680"/>
    <d v="2025-07-12T00:00:00"/>
    <s v="CUST1083"/>
    <s v="Thomas Robinson"/>
    <s v="PROD45"/>
    <s v="Sports"/>
    <s v="STORE7"/>
    <n v="1"/>
    <n v="66.86"/>
    <n v="0.22"/>
    <x v="2"/>
    <n v="52.150799999999997"/>
  </r>
  <r>
    <s v="SALE1681"/>
    <d v="2024-08-11T00:00:00"/>
    <s v="CUST1417"/>
    <s v="Karen King"/>
    <s v="PROD97"/>
    <s v="Sports"/>
    <s v="STORE18"/>
    <n v="1"/>
    <n v="980.26"/>
    <n v="0.14000000000000001"/>
    <x v="1"/>
    <n v="843.02359999999999"/>
  </r>
  <r>
    <s v="SALE1682"/>
    <d v="2024-01-31T00:00:00"/>
    <s v="CUST1037"/>
    <s v="Christopher Carter"/>
    <s v="PROD45"/>
    <s v="Sports"/>
    <s v="STORE18"/>
    <n v="1"/>
    <n v="235.28"/>
    <n v="0.05"/>
    <x v="1"/>
    <n v="223.51599999999999"/>
  </r>
  <r>
    <s v="SALE1683"/>
    <d v="2024-09-07T00:00:00"/>
    <s v="CUST1416"/>
    <s v="Jennifer Myers"/>
    <s v="PROD49"/>
    <s v="Beauty"/>
    <s v="STORE15"/>
    <n v="3"/>
    <n v="407.39"/>
    <n v="0.08"/>
    <x v="1"/>
    <n v="1124.3964000000001"/>
  </r>
  <r>
    <s v="SALE1684"/>
    <d v="2025-01-18T00:00:00"/>
    <s v="CUST1068"/>
    <s v="Mr. Mark Beasley"/>
    <s v="PROD52"/>
    <s v="Sports"/>
    <s v="STORE14"/>
    <n v="4"/>
    <n v="459.83"/>
    <n v="0.12"/>
    <x v="2"/>
    <n v="1618.6016"/>
  </r>
  <r>
    <s v="SALE1685"/>
    <d v="2024-02-11T00:00:00"/>
    <s v="CUST1147"/>
    <s v="Rhonda Young"/>
    <s v="PROD52"/>
    <s v="Sports"/>
    <s v="STORE4"/>
    <n v="3"/>
    <n v="706.6"/>
    <n v="0.17"/>
    <x v="1"/>
    <n v="1759.434"/>
  </r>
  <r>
    <s v="SALE1686"/>
    <d v="2025-06-11T00:00:00"/>
    <s v="CUST1462"/>
    <s v="Beth Martin"/>
    <s v="PROD33"/>
    <s v="Home"/>
    <s v="STORE19"/>
    <n v="3"/>
    <n v="811.16"/>
    <n v="0.1"/>
    <x v="2"/>
    <n v="2190.1320000000001"/>
  </r>
  <r>
    <s v="SALE1687"/>
    <d v="2023-12-08T00:00:00"/>
    <s v="CUST1217"/>
    <s v="Kathy Copeland"/>
    <s v="PROD43"/>
    <s v="Electronics"/>
    <s v="STORE7"/>
    <n v="2"/>
    <n v="985.79"/>
    <n v="0.04"/>
    <x v="1"/>
    <n v="1892.7167999999999"/>
  </r>
  <r>
    <s v="SALE1688"/>
    <d v="2024-08-17T00:00:00"/>
    <s v="CUST1187"/>
    <s v="Dr. Suzanne Bullock"/>
    <s v="PROD13"/>
    <s v="Electronics"/>
    <s v="STORE14"/>
    <n v="1"/>
    <n v="255.02"/>
    <n v="0.3"/>
    <x v="0"/>
    <n v="178.51400000000001"/>
  </r>
  <r>
    <s v="SALE1689"/>
    <d v="2025-02-05T00:00:00"/>
    <s v="CUST1095"/>
    <s v="Amy Fowler"/>
    <s v="PROD40"/>
    <s v="Electronics"/>
    <s v="STORE8"/>
    <n v="1"/>
    <n v="153.57"/>
    <n v="0.01"/>
    <x v="1"/>
    <n v="152.0343"/>
  </r>
  <r>
    <s v="SALE1690"/>
    <d v="2025-03-18T00:00:00"/>
    <s v="CUST1253"/>
    <s v="Dr. Ashley Yates Md"/>
    <s v="PROD71"/>
    <s v="Beauty"/>
    <s v="STORE18"/>
    <n v="3"/>
    <n v="962.98"/>
    <n v="0.21"/>
    <x v="0"/>
    <n v="2282.2626"/>
  </r>
  <r>
    <s v="SALE1691"/>
    <d v="2024-03-26T00:00:00"/>
    <s v="CUST1057"/>
    <s v="Jay Patel"/>
    <s v="PROD38"/>
    <s v="Sports"/>
    <s v="STORE8"/>
    <n v="3"/>
    <n v="884.46"/>
    <n v="0.25"/>
    <x v="0"/>
    <n v="1990.0350000000001"/>
  </r>
  <r>
    <s v="SALE1692"/>
    <d v="2025-05-01T00:00:00"/>
    <s v="CUST1437"/>
    <s v="Melinda Rivera"/>
    <s v="PROD88"/>
    <s v="Sports"/>
    <s v="STORE10"/>
    <n v="4"/>
    <n v="359.71"/>
    <n v="0.05"/>
    <x v="1"/>
    <n v="1366.8979999999999"/>
  </r>
  <r>
    <s v="SALE1693"/>
    <d v="2025-02-27T00:00:00"/>
    <s v="CUST1051"/>
    <s v="Sarah Rodgers"/>
    <s v="PROD21"/>
    <s v="Home"/>
    <s v="STORE4"/>
    <n v="3"/>
    <n v="766.47"/>
    <n v="0.18"/>
    <x v="0"/>
    <n v="1885.5162"/>
  </r>
  <r>
    <s v="SALE1694"/>
    <d v="2024-07-19T00:00:00"/>
    <s v="CUST1223"/>
    <s v="Robert Harris"/>
    <s v="PROD72"/>
    <s v="Sports"/>
    <s v="STORE18"/>
    <n v="1"/>
    <n v="772.07"/>
    <n v="0.26"/>
    <x v="1"/>
    <n v="571.33180000000004"/>
  </r>
  <r>
    <s v="SALE1695"/>
    <d v="2024-01-01T00:00:00"/>
    <s v="CUST1277"/>
    <s v="Jeffrey Gomez"/>
    <s v="PROD93"/>
    <s v="Electronics"/>
    <s v="STORE5"/>
    <n v="3"/>
    <n v="108.31"/>
    <n v="0.26"/>
    <x v="2"/>
    <n v="240.44820000000001"/>
  </r>
  <r>
    <s v="SALE1696"/>
    <d v="2024-01-25T00:00:00"/>
    <s v="CUST1218"/>
    <s v="Julia Jackson"/>
    <s v="PROD16"/>
    <s v="Beauty"/>
    <s v="STORE6"/>
    <n v="1"/>
    <n v="502.53"/>
    <n v="0"/>
    <x v="1"/>
    <n v="502.53"/>
  </r>
  <r>
    <s v="SALE1697"/>
    <d v="2024-09-13T00:00:00"/>
    <s v="CUST1076"/>
    <s v="Nathan Campbell"/>
    <s v="PROD32"/>
    <s v="Beauty"/>
    <s v="STORE16"/>
    <n v="2"/>
    <n v="508.52"/>
    <n v="0.11"/>
    <x v="2"/>
    <n v="905.16559999999993"/>
  </r>
  <r>
    <s v="SALE1698"/>
    <d v="2024-10-07T00:00:00"/>
    <s v="CUST1468"/>
    <s v="Gregory Curtis"/>
    <s v="PROD75"/>
    <s v="Clothing"/>
    <s v="STORE3"/>
    <n v="1"/>
    <n v="492"/>
    <n v="0.26"/>
    <x v="1"/>
    <n v="364.08"/>
  </r>
  <r>
    <s v="SALE1699"/>
    <d v="2024-02-25T00:00:00"/>
    <s v="CUST1485"/>
    <s v="Sara Ingram"/>
    <s v="PROD26"/>
    <s v="Electronics"/>
    <s v="STORE14"/>
    <n v="4"/>
    <n v="746.36"/>
    <n v="0.02"/>
    <x v="0"/>
    <n v="2925.7312000000002"/>
  </r>
  <r>
    <s v="SALE1700"/>
    <d v="2025-06-15T00:00:00"/>
    <s v="CUST1433"/>
    <s v="Thomas Moore"/>
    <s v="PROD64"/>
    <s v="Beauty"/>
    <s v="STORE1"/>
    <n v="1"/>
    <n v="120.83"/>
    <n v="0.08"/>
    <x v="0"/>
    <n v="111.1636"/>
  </r>
  <r>
    <s v="SALE1701"/>
    <d v="2024-04-12T00:00:00"/>
    <s v="CUST1399"/>
    <s v="John Donaldson"/>
    <s v="PROD66"/>
    <s v="Beauty"/>
    <s v="STORE18"/>
    <n v="2"/>
    <n v="68.31"/>
    <n v="0.28999999999999998"/>
    <x v="2"/>
    <n v="97.000199999999992"/>
  </r>
  <r>
    <s v="SALE1702"/>
    <d v="2023-12-05T00:00:00"/>
    <s v="CUST1062"/>
    <s v="James Bean"/>
    <s v="PROD84"/>
    <s v="Home"/>
    <s v="STORE18"/>
    <n v="2"/>
    <n v="761.71"/>
    <n v="0.02"/>
    <x v="1"/>
    <n v="1492.9516000000001"/>
  </r>
  <r>
    <s v="SALE1703"/>
    <d v="2023-12-01T00:00:00"/>
    <s v="CUST1066"/>
    <s v="Cody Diaz"/>
    <s v="PROD94"/>
    <s v="Beauty"/>
    <s v="STORE3"/>
    <n v="4"/>
    <n v="346.37"/>
    <n v="0.18"/>
    <x v="2"/>
    <n v="1136.0935999999999"/>
  </r>
  <r>
    <s v="SALE1704"/>
    <d v="2025-02-14T00:00:00"/>
    <s v="CUST1007"/>
    <s v="Daniel Boyd"/>
    <s v="PROD67"/>
    <s v="Electronics"/>
    <s v="STORE12"/>
    <n v="1"/>
    <n v="846.3"/>
    <n v="0.14000000000000001"/>
    <x v="1"/>
    <n v="727.81799999999998"/>
  </r>
  <r>
    <s v="SALE1705"/>
    <d v="2024-11-28T00:00:00"/>
    <s v="CUST1432"/>
    <s v="Summer Weiss"/>
    <s v="PROD16"/>
    <s v="Beauty"/>
    <s v="STORE19"/>
    <n v="1"/>
    <n v="458.97"/>
    <n v="0.1"/>
    <x v="1"/>
    <n v="413.07299999999998"/>
  </r>
  <r>
    <s v="SALE1706"/>
    <d v="2025-03-20T00:00:00"/>
    <s v="CUST1289"/>
    <s v="Jennifer Figueroa"/>
    <s v="PROD43"/>
    <s v="Electronics"/>
    <s v="STORE7"/>
    <n v="2"/>
    <n v="536.61"/>
    <n v="0.14000000000000001"/>
    <x v="0"/>
    <n v="922.9692"/>
  </r>
  <r>
    <s v="SALE1707"/>
    <d v="2025-02-21T00:00:00"/>
    <s v="CUST1420"/>
    <s v="Dr. Tamara White Md"/>
    <s v="PROD21"/>
    <s v="Home"/>
    <s v="STORE0"/>
    <n v="3"/>
    <n v="130.41"/>
    <n v="0.14000000000000001"/>
    <x v="1"/>
    <n v="336.45780000000002"/>
  </r>
  <r>
    <s v="SALE1708"/>
    <d v="2025-03-22T00:00:00"/>
    <s v="CUST1496"/>
    <s v="Christopher Ford"/>
    <s v="PROD51"/>
    <s v="Electronics"/>
    <s v="STORE12"/>
    <n v="4"/>
    <n v="706.67"/>
    <n v="0.01"/>
    <x v="0"/>
    <n v="2798.4132"/>
  </r>
  <r>
    <s v="SALE1709"/>
    <d v="2025-01-28T00:00:00"/>
    <s v="CUST1392"/>
    <s v="Jacqueline Payne"/>
    <s v="PROD52"/>
    <s v="Sports"/>
    <s v="STORE3"/>
    <n v="3"/>
    <n v="523.45000000000005"/>
    <n v="0.17"/>
    <x v="0"/>
    <n v="1303.3905"/>
  </r>
  <r>
    <s v="SALE1710"/>
    <d v="2025-02-13T00:00:00"/>
    <s v="CUST1009"/>
    <s v="Ms. Maria Leach"/>
    <s v="PROD78"/>
    <s v="Home"/>
    <s v="STORE18"/>
    <n v="3"/>
    <n v="482.2"/>
    <n v="0.23"/>
    <x v="2"/>
    <n v="1113.8820000000001"/>
  </r>
  <r>
    <s v="SALE1711"/>
    <d v="2025-03-29T00:00:00"/>
    <s v="CUST1124"/>
    <s v="Donald Lee"/>
    <s v="PROD22"/>
    <s v="Sports"/>
    <s v="STORE5"/>
    <n v="4"/>
    <n v="688.86"/>
    <n v="0.02"/>
    <x v="2"/>
    <n v="2700.3312000000001"/>
  </r>
  <r>
    <s v="SALE1712"/>
    <d v="2023-10-15T00:00:00"/>
    <s v="CUST1023"/>
    <s v="Jonathan Steele"/>
    <s v="PROD68"/>
    <s v="Home"/>
    <s v="STORE0"/>
    <n v="1"/>
    <n v="145.47999999999999"/>
    <n v="0.1"/>
    <x v="2"/>
    <n v="130.93199999999999"/>
  </r>
  <r>
    <s v="SALE1713"/>
    <d v="2024-09-12T00:00:00"/>
    <s v="CUST1052"/>
    <s v="Debra Liu"/>
    <s v="PROD51"/>
    <s v="Electronics"/>
    <s v="STORE11"/>
    <n v="4"/>
    <n v="862.25"/>
    <n v="0.28000000000000003"/>
    <x v="1"/>
    <n v="2483.2800000000002"/>
  </r>
  <r>
    <s v="SALE1714"/>
    <d v="2024-01-05T00:00:00"/>
    <s v="CUST1292"/>
    <s v="Ricardo Jones"/>
    <s v="PROD99"/>
    <s v="Home"/>
    <s v="STORE14"/>
    <n v="4"/>
    <n v="146.12"/>
    <n v="0.12"/>
    <x v="2"/>
    <n v="514.3424"/>
  </r>
  <r>
    <s v="SALE1715"/>
    <d v="2024-09-14T00:00:00"/>
    <s v="CUST1478"/>
    <s v="Earl Smith Dds"/>
    <s v="PROD39"/>
    <s v="Electronics"/>
    <s v="STORE18"/>
    <n v="2"/>
    <n v="695.02"/>
    <n v="0.3"/>
    <x v="2"/>
    <n v="973.02799999999991"/>
  </r>
  <r>
    <s v="SALE1716"/>
    <d v="2023-11-01T00:00:00"/>
    <s v="CUST1219"/>
    <s v="Jordan Wells"/>
    <s v="PROD37"/>
    <s v="Clothing"/>
    <s v="STORE10"/>
    <n v="2"/>
    <n v="886.67"/>
    <n v="0.24"/>
    <x v="1"/>
    <n v="1347.7384"/>
  </r>
  <r>
    <s v="SALE1717"/>
    <d v="2024-12-02T00:00:00"/>
    <s v="CUST1054"/>
    <s v="Katherine Dorsey"/>
    <s v="PROD88"/>
    <s v="Sports"/>
    <s v="STORE18"/>
    <n v="2"/>
    <n v="864.09"/>
    <n v="0.06"/>
    <x v="2"/>
    <n v="1624.4892"/>
  </r>
  <r>
    <s v="SALE1718"/>
    <d v="2025-07-24T00:00:00"/>
    <s v="CUST1003"/>
    <s v="Jeremy Harris"/>
    <s v="PROD0"/>
    <s v="Electronics"/>
    <s v="STORE9"/>
    <n v="1"/>
    <n v="437.65"/>
    <n v="0.02"/>
    <x v="1"/>
    <n v="428.89699999999999"/>
  </r>
  <r>
    <s v="SALE1719"/>
    <d v="2025-07-05T00:00:00"/>
    <s v="CUST1202"/>
    <s v="Christina Garcia"/>
    <s v="PROD78"/>
    <s v="Home"/>
    <s v="STORE13"/>
    <n v="2"/>
    <n v="208.09"/>
    <n v="0.27"/>
    <x v="0"/>
    <n v="303.81139999999999"/>
  </r>
  <r>
    <s v="SALE1720"/>
    <d v="2024-07-09T00:00:00"/>
    <s v="CUST1054"/>
    <s v="Katherine Dorsey"/>
    <s v="PROD88"/>
    <s v="Sports"/>
    <s v="STORE17"/>
    <n v="4"/>
    <n v="825.78"/>
    <n v="0.02"/>
    <x v="0"/>
    <n v="3237.0576000000001"/>
  </r>
  <r>
    <s v="SALE1721"/>
    <d v="2024-01-22T00:00:00"/>
    <s v="CUST1116"/>
    <s v="Anthony Phillips"/>
    <s v="PROD15"/>
    <s v="Electronics"/>
    <s v="STORE17"/>
    <n v="3"/>
    <n v="849.77"/>
    <n v="0.12"/>
    <x v="1"/>
    <n v="2243.3928000000001"/>
  </r>
  <r>
    <s v="SALE1722"/>
    <d v="2024-01-23T00:00:00"/>
    <s v="CUST1344"/>
    <s v="Evelyn Brown"/>
    <s v="PROD89"/>
    <s v="Beauty"/>
    <s v="STORE4"/>
    <n v="1"/>
    <n v="88.78"/>
    <n v="0.18"/>
    <x v="0"/>
    <n v="72.799600000000012"/>
  </r>
  <r>
    <s v="SALE1723"/>
    <d v="2024-08-22T00:00:00"/>
    <s v="CUST1191"/>
    <s v="Todd Poole"/>
    <s v="PROD17"/>
    <s v="Sports"/>
    <s v="STORE4"/>
    <n v="4"/>
    <n v="507.22"/>
    <n v="0.14000000000000001"/>
    <x v="1"/>
    <n v="1744.8368"/>
  </r>
  <r>
    <s v="SALE1724"/>
    <d v="2025-08-18T00:00:00"/>
    <s v="CUST1316"/>
    <s v="Robert House"/>
    <s v="PROD25"/>
    <s v="Clothing"/>
    <s v="STORE0"/>
    <n v="3"/>
    <n v="330.98"/>
    <n v="0.11"/>
    <x v="0"/>
    <n v="883.71660000000008"/>
  </r>
  <r>
    <s v="SALE1725"/>
    <d v="2024-09-27T00:00:00"/>
    <s v="CUST1051"/>
    <s v="Sarah Rodgers"/>
    <s v="PROD21"/>
    <s v="Home"/>
    <s v="STORE19"/>
    <n v="4"/>
    <n v="442.87"/>
    <n v="0.08"/>
    <x v="0"/>
    <n v="1629.7616"/>
  </r>
  <r>
    <s v="SALE1726"/>
    <d v="2025-08-11T00:00:00"/>
    <s v="CUST1009"/>
    <s v="Ms. Maria Leach"/>
    <s v="PROD78"/>
    <s v="Home"/>
    <s v="STORE2"/>
    <n v="2"/>
    <n v="939.66"/>
    <n v="0.14000000000000001"/>
    <x v="1"/>
    <n v="1616.2152000000001"/>
  </r>
  <r>
    <s v="SALE1727"/>
    <d v="2024-09-21T00:00:00"/>
    <s v="CUST1293"/>
    <s v="Gloria Taylor"/>
    <s v="PROD20"/>
    <s v="Sports"/>
    <s v="STORE3"/>
    <n v="1"/>
    <n v="24.13"/>
    <n v="0"/>
    <x v="0"/>
    <n v="24.13"/>
  </r>
  <r>
    <s v="SALE1728"/>
    <d v="2024-03-04T00:00:00"/>
    <s v="CUST1364"/>
    <s v="Chloe Aguilar"/>
    <s v="PROD65"/>
    <s v="Sports"/>
    <s v="STORE3"/>
    <n v="3"/>
    <n v="239.54"/>
    <n v="0.28999999999999998"/>
    <x v="2"/>
    <n v="510.22019999999998"/>
  </r>
  <r>
    <s v="SALE1729"/>
    <d v="2023-11-14T00:00:00"/>
    <s v="CUST1482"/>
    <s v="Sheri Joyce"/>
    <s v="PROD68"/>
    <s v="Home"/>
    <s v="STORE14"/>
    <n v="1"/>
    <n v="588.53"/>
    <n v="0.1"/>
    <x v="0"/>
    <n v="529.67700000000002"/>
  </r>
  <r>
    <s v="SALE1730"/>
    <d v="2025-07-25T00:00:00"/>
    <s v="CUST1288"/>
    <s v="Misty Ferguson"/>
    <s v="PROD3"/>
    <s v="Clothing"/>
    <s v="STORE15"/>
    <n v="1"/>
    <n v="145.96"/>
    <n v="0.3"/>
    <x v="0"/>
    <n v="102.172"/>
  </r>
  <r>
    <s v="SALE1731"/>
    <d v="2024-10-08T00:00:00"/>
    <s v="CUST1101"/>
    <s v="Colleen Maynard"/>
    <s v="PROD89"/>
    <s v="Beauty"/>
    <s v="STORE4"/>
    <n v="4"/>
    <n v="640.91"/>
    <n v="0.06"/>
    <x v="0"/>
    <n v="2409.8216000000002"/>
  </r>
  <r>
    <s v="SALE1732"/>
    <d v="2025-05-15T00:00:00"/>
    <s v="CUST1042"/>
    <s v="William Martin"/>
    <s v="PROD51"/>
    <s v="Electronics"/>
    <s v="STORE11"/>
    <n v="3"/>
    <n v="773.86"/>
    <n v="0.22"/>
    <x v="0"/>
    <n v="1810.8324"/>
  </r>
  <r>
    <s v="SALE1733"/>
    <d v="2025-03-28T00:00:00"/>
    <s v="CUST1463"/>
    <s v="Samantha Lee"/>
    <s v="PROD8"/>
    <s v="Electronics"/>
    <s v="STORE15"/>
    <n v="2"/>
    <n v="31.28"/>
    <n v="0.2"/>
    <x v="2"/>
    <n v="50.048000000000002"/>
  </r>
  <r>
    <s v="SALE1734"/>
    <d v="2025-07-04T00:00:00"/>
    <s v="CUST1373"/>
    <s v="James Orozco"/>
    <s v="PROD72"/>
    <s v="Sports"/>
    <s v="STORE6"/>
    <n v="4"/>
    <n v="389.22"/>
    <n v="0.18"/>
    <x v="0"/>
    <n v="1276.6415999999999"/>
  </r>
  <r>
    <s v="SALE1735"/>
    <d v="2024-07-29T00:00:00"/>
    <s v="CUST1015"/>
    <s v="Laura Alvarez"/>
    <s v="PROD18"/>
    <s v="Clothing"/>
    <s v="STORE15"/>
    <n v="3"/>
    <n v="543.44000000000005"/>
    <n v="0.13"/>
    <x v="1"/>
    <n v="1418.3784000000001"/>
  </r>
  <r>
    <s v="SALE1736"/>
    <d v="2024-01-05T00:00:00"/>
    <s v="CUST1257"/>
    <s v="Christopher David"/>
    <s v="PROD85"/>
    <s v="Clothing"/>
    <s v="STORE19"/>
    <n v="4"/>
    <n v="715.42"/>
    <n v="0.28999999999999998"/>
    <x v="1"/>
    <n v="2031.7927999999999"/>
  </r>
  <r>
    <s v="SALE1737"/>
    <d v="2025-08-17T00:00:00"/>
    <s v="CUST1051"/>
    <s v="Sarah Rodgers"/>
    <s v="PROD21"/>
    <s v="Home"/>
    <s v="STORE4"/>
    <n v="4"/>
    <n v="676.14"/>
    <n v="0.11"/>
    <x v="2"/>
    <n v="2407.0583999999999"/>
  </r>
  <r>
    <s v="SALE1738"/>
    <d v="2024-05-13T00:00:00"/>
    <s v="CUST1089"/>
    <s v="Jamie Yoder"/>
    <s v="PROD57"/>
    <s v="Sports"/>
    <s v="STORE1"/>
    <n v="4"/>
    <n v="352.72"/>
    <n v="0.25"/>
    <x v="0"/>
    <n v="1058.1600000000001"/>
  </r>
  <r>
    <s v="SALE1739"/>
    <d v="2025-05-20T00:00:00"/>
    <s v="CUST1173"/>
    <s v="Teresa Stokes"/>
    <s v="PROD20"/>
    <s v="Sports"/>
    <s v="STORE12"/>
    <n v="1"/>
    <n v="470.18"/>
    <n v="0.19"/>
    <x v="1"/>
    <n v="380.84580000000011"/>
  </r>
  <r>
    <s v="SALE1740"/>
    <d v="2025-08-29T00:00:00"/>
    <s v="CUST1230"/>
    <s v="Timothy Sanders"/>
    <s v="PROD68"/>
    <s v="Home"/>
    <s v="STORE11"/>
    <n v="1"/>
    <n v="891.79"/>
    <n v="0.03"/>
    <x v="0"/>
    <n v="865.03629999999998"/>
  </r>
  <r>
    <s v="SALE1741"/>
    <d v="2024-04-08T00:00:00"/>
    <s v="CUST1348"/>
    <s v="Sherry Cabrera"/>
    <s v="PROD24"/>
    <s v="Sports"/>
    <s v="STORE17"/>
    <n v="2"/>
    <n v="433.07"/>
    <n v="0.25"/>
    <x v="2"/>
    <n v="649.60500000000002"/>
  </r>
  <r>
    <s v="SALE1742"/>
    <d v="2024-03-04T00:00:00"/>
    <s v="CUST1012"/>
    <s v="Kenneth Lambert"/>
    <s v="PROD27"/>
    <s v="Home"/>
    <s v="STORE19"/>
    <n v="3"/>
    <n v="626.71"/>
    <n v="7.0000000000000007E-2"/>
    <x v="2"/>
    <n v="1748.5209"/>
  </r>
  <r>
    <s v="SALE1743"/>
    <d v="2025-09-16T00:00:00"/>
    <s v="CUST1076"/>
    <s v="Nathan Campbell"/>
    <s v="PROD32"/>
    <s v="Beauty"/>
    <s v="STORE0"/>
    <n v="2"/>
    <n v="324.18"/>
    <n v="0.06"/>
    <x v="2"/>
    <n v="609.45839999999998"/>
  </r>
  <r>
    <s v="SALE1744"/>
    <d v="2024-06-05T00:00:00"/>
    <s v="CUST1013"/>
    <s v="Nathan Hernandez"/>
    <s v="PROD24"/>
    <s v="Sports"/>
    <s v="STORE17"/>
    <n v="4"/>
    <n v="839.74"/>
    <n v="0.13"/>
    <x v="1"/>
    <n v="2922.2952"/>
  </r>
  <r>
    <s v="SALE1745"/>
    <d v="2024-04-20T00:00:00"/>
    <s v="CUST1156"/>
    <s v="Maria Sanchez"/>
    <s v="PROD49"/>
    <s v="Beauty"/>
    <s v="STORE15"/>
    <n v="3"/>
    <n v="252.63"/>
    <n v="0.28000000000000003"/>
    <x v="0"/>
    <n v="545.68079999999998"/>
  </r>
  <r>
    <s v="SALE1746"/>
    <d v="2024-10-16T00:00:00"/>
    <s v="CUST1255"/>
    <s v="Damon Perez"/>
    <s v="PROD72"/>
    <s v="Sports"/>
    <s v="STORE19"/>
    <n v="2"/>
    <n v="60.53"/>
    <n v="0.18"/>
    <x v="0"/>
    <n v="99.269200000000012"/>
  </r>
  <r>
    <s v="SALE1747"/>
    <d v="2024-11-14T00:00:00"/>
    <s v="CUST1054"/>
    <s v="Katherine Dorsey"/>
    <s v="PROD88"/>
    <s v="Sports"/>
    <s v="STORE13"/>
    <n v="4"/>
    <n v="341.95"/>
    <n v="0.25"/>
    <x v="0"/>
    <n v="1025.8499999999999"/>
  </r>
  <r>
    <s v="SALE1748"/>
    <d v="2024-05-26T00:00:00"/>
    <s v="CUST1283"/>
    <s v="Bryan Garcia"/>
    <s v="PROD70"/>
    <s v="Home"/>
    <s v="STORE16"/>
    <n v="4"/>
    <n v="300.12"/>
    <n v="0.05"/>
    <x v="1"/>
    <n v="1140.4559999999999"/>
  </r>
  <r>
    <s v="SALE1749"/>
    <d v="2025-02-17T00:00:00"/>
    <s v="CUST1115"/>
    <s v="Tyler Conrad"/>
    <s v="PROD21"/>
    <s v="Home"/>
    <s v="STORE17"/>
    <n v="2"/>
    <n v="289.14"/>
    <n v="0.12"/>
    <x v="2"/>
    <n v="508.88639999999998"/>
  </r>
  <r>
    <s v="SALE1750"/>
    <d v="2025-02-07T00:00:00"/>
    <s v="CUST1045"/>
    <s v="Jordan Jackson Dds"/>
    <s v="PROD33"/>
    <s v="Home"/>
    <s v="STORE0"/>
    <n v="2"/>
    <n v="596.84"/>
    <n v="0.01"/>
    <x v="1"/>
    <n v="1181.7431999999999"/>
  </r>
  <r>
    <s v="SALE1751"/>
    <d v="2024-10-06T00:00:00"/>
    <s v="CUST1436"/>
    <s v="Sharon Simpson"/>
    <s v="PROD52"/>
    <s v="Sports"/>
    <s v="STORE8"/>
    <n v="4"/>
    <n v="466.24"/>
    <n v="0.16"/>
    <x v="0"/>
    <n v="1566.5663999999999"/>
  </r>
  <r>
    <s v="SALE1752"/>
    <d v="2024-09-09T00:00:00"/>
    <s v="CUST1252"/>
    <s v="John Mccoy"/>
    <s v="PROD13"/>
    <s v="Electronics"/>
    <s v="STORE16"/>
    <n v="2"/>
    <n v="330.59"/>
    <n v="0.14000000000000001"/>
    <x v="0"/>
    <n v="568.61479999999995"/>
  </r>
  <r>
    <s v="SALE1753"/>
    <d v="2024-12-28T00:00:00"/>
    <s v="CUST1493"/>
    <s v="Amanda Powell"/>
    <s v="PROD59"/>
    <s v="Beauty"/>
    <s v="STORE6"/>
    <n v="2"/>
    <n v="616.42999999999995"/>
    <n v="0.02"/>
    <x v="2"/>
    <n v="1208.2028"/>
  </r>
  <r>
    <s v="SALE1754"/>
    <d v="2024-10-24T00:00:00"/>
    <s v="CUST1403"/>
    <s v="Justin Ingram"/>
    <s v="PROD17"/>
    <s v="Sports"/>
    <s v="STORE6"/>
    <n v="3"/>
    <n v="195.89"/>
    <n v="0.16"/>
    <x v="1"/>
    <n v="493.64280000000002"/>
  </r>
  <r>
    <s v="SALE1755"/>
    <d v="2024-07-14T00:00:00"/>
    <s v="CUST1343"/>
    <s v="Ryan Moore"/>
    <s v="PROD17"/>
    <s v="Sports"/>
    <s v="STORE10"/>
    <n v="4"/>
    <n v="614.76"/>
    <n v="0.16"/>
    <x v="0"/>
    <n v="2065.5936000000002"/>
  </r>
  <r>
    <s v="SALE1756"/>
    <d v="2024-05-06T00:00:00"/>
    <s v="CUST1404"/>
    <s v="David Ross"/>
    <s v="PROD23"/>
    <s v="Clothing"/>
    <s v="STORE7"/>
    <n v="1"/>
    <n v="224.49"/>
    <n v="0.11"/>
    <x v="1"/>
    <n v="199.7961"/>
  </r>
  <r>
    <s v="SALE1757"/>
    <d v="2024-02-16T00:00:00"/>
    <s v="CUST1356"/>
    <s v="Steve Hunt"/>
    <s v="PROD88"/>
    <s v="Sports"/>
    <s v="STORE12"/>
    <n v="1"/>
    <n v="967.76"/>
    <n v="0.09"/>
    <x v="0"/>
    <n v="880.66160000000002"/>
  </r>
  <r>
    <s v="SALE1758"/>
    <d v="2024-08-03T00:00:00"/>
    <s v="CUST1067"/>
    <s v="Amber Mcclain"/>
    <s v="PROD46"/>
    <s v="Clothing"/>
    <s v="STORE19"/>
    <n v="2"/>
    <n v="56.52"/>
    <n v="0.17"/>
    <x v="1"/>
    <n v="93.8232"/>
  </r>
  <r>
    <s v="SALE1759"/>
    <d v="2023-12-15T00:00:00"/>
    <s v="CUST1490"/>
    <s v="Scott Harris"/>
    <s v="PROD47"/>
    <s v="Beauty"/>
    <s v="STORE1"/>
    <n v="4"/>
    <n v="921.84"/>
    <n v="0.04"/>
    <x v="0"/>
    <n v="3539.8656000000001"/>
  </r>
  <r>
    <s v="SALE1760"/>
    <d v="2024-01-28T00:00:00"/>
    <s v="CUST1328"/>
    <s v="Mario Harvey Jr."/>
    <s v="PROD20"/>
    <s v="Sports"/>
    <s v="STORE16"/>
    <n v="3"/>
    <n v="738.47"/>
    <n v="0.28000000000000003"/>
    <x v="0"/>
    <n v="1595.0952"/>
  </r>
  <r>
    <s v="SALE1761"/>
    <d v="2024-11-24T00:00:00"/>
    <s v="CUST1328"/>
    <s v="Mario Harvey Jr."/>
    <s v="PROD20"/>
    <s v="Sports"/>
    <s v="STORE0"/>
    <n v="4"/>
    <n v="477.83"/>
    <n v="0.05"/>
    <x v="2"/>
    <n v="1815.7539999999999"/>
  </r>
  <r>
    <s v="SALE1762"/>
    <d v="2025-06-23T00:00:00"/>
    <s v="CUST1168"/>
    <s v="Daniel Contreras"/>
    <s v="PROD72"/>
    <s v="Sports"/>
    <s v="STORE12"/>
    <n v="3"/>
    <n v="605.83000000000004"/>
    <n v="0.28000000000000003"/>
    <x v="2"/>
    <n v="1308.5927999999999"/>
  </r>
  <r>
    <s v="SALE1763"/>
    <d v="2024-03-22T00:00:00"/>
    <s v="CUST1067"/>
    <s v="Amber Mcclain"/>
    <s v="PROD46"/>
    <s v="Clothing"/>
    <s v="STORE3"/>
    <n v="2"/>
    <n v="521.44000000000005"/>
    <n v="0.25"/>
    <x v="2"/>
    <n v="782.16000000000008"/>
  </r>
  <r>
    <s v="SALE1764"/>
    <d v="2025-07-25T00:00:00"/>
    <s v="CUST1373"/>
    <s v="James Orozco"/>
    <s v="PROD72"/>
    <s v="Sports"/>
    <s v="STORE7"/>
    <n v="4"/>
    <n v="499.02"/>
    <n v="0.06"/>
    <x v="0"/>
    <n v="1876.3152"/>
  </r>
  <r>
    <s v="SALE1765"/>
    <d v="2025-04-11T00:00:00"/>
    <s v="CUST1153"/>
    <s v="Joseph Faulkner"/>
    <s v="PROD72"/>
    <s v="Sports"/>
    <s v="STORE18"/>
    <n v="4"/>
    <n v="299.45999999999998"/>
    <n v="0.18"/>
    <x v="2"/>
    <n v="982.22879999999998"/>
  </r>
  <r>
    <s v="SALE1766"/>
    <d v="2023-12-25T00:00:00"/>
    <s v="CUST1457"/>
    <s v="Christina Robertson"/>
    <s v="PROD43"/>
    <s v="Electronics"/>
    <s v="STORE0"/>
    <n v="1"/>
    <n v="609.29"/>
    <n v="0.15"/>
    <x v="0"/>
    <n v="517.89649999999995"/>
  </r>
  <r>
    <s v="SALE1767"/>
    <d v="2024-12-30T00:00:00"/>
    <s v="CUST1101"/>
    <s v="Colleen Maynard"/>
    <s v="PROD89"/>
    <s v="Beauty"/>
    <s v="STORE8"/>
    <n v="1"/>
    <n v="213.74"/>
    <n v="7.0000000000000007E-2"/>
    <x v="2"/>
    <n v="198.7782"/>
  </r>
  <r>
    <s v="SALE1768"/>
    <d v="2025-03-02T00:00:00"/>
    <s v="CUST1153"/>
    <s v="Joseph Faulkner"/>
    <s v="PROD72"/>
    <s v="Sports"/>
    <s v="STORE16"/>
    <n v="4"/>
    <n v="613.16999999999996"/>
    <n v="0.26"/>
    <x v="0"/>
    <n v="1814.9831999999999"/>
  </r>
  <r>
    <s v="SALE1769"/>
    <d v="2024-01-02T00:00:00"/>
    <s v="CUST1357"/>
    <s v="Manuel Castillo"/>
    <s v="PROD17"/>
    <s v="Sports"/>
    <s v="STORE11"/>
    <n v="2"/>
    <n v="687.36"/>
    <n v="7.0000000000000007E-2"/>
    <x v="2"/>
    <n v="1278.4896000000001"/>
  </r>
  <r>
    <s v="SALE1770"/>
    <d v="2025-09-15T00:00:00"/>
    <s v="CUST1326"/>
    <s v="Robert King"/>
    <s v="PROD37"/>
    <s v="Clothing"/>
    <s v="STORE13"/>
    <n v="3"/>
    <n v="115.39"/>
    <n v="0.02"/>
    <x v="1"/>
    <n v="339.2466"/>
  </r>
  <r>
    <s v="SALE1771"/>
    <d v="2024-03-08T00:00:00"/>
    <s v="CUST1179"/>
    <s v="Nicholas Bradshaw"/>
    <s v="PROD34"/>
    <s v="Electronics"/>
    <s v="STORE12"/>
    <n v="2"/>
    <n v="722.06"/>
    <n v="7.0000000000000007E-2"/>
    <x v="0"/>
    <n v="1343.0316"/>
  </r>
  <r>
    <s v="SALE1772"/>
    <d v="2024-12-26T00:00:00"/>
    <s v="CUST1425"/>
    <s v="Bryce Hawkins"/>
    <s v="PROD75"/>
    <s v="Clothing"/>
    <s v="STORE15"/>
    <n v="1"/>
    <n v="384.57"/>
    <n v="0.06"/>
    <x v="1"/>
    <n v="361.49579999999997"/>
  </r>
  <r>
    <s v="SALE1773"/>
    <d v="2025-03-19T00:00:00"/>
    <s v="CUST1210"/>
    <s v="Antonio Jones"/>
    <s v="PROD60"/>
    <s v="Beauty"/>
    <s v="STORE13"/>
    <n v="2"/>
    <n v="194.09"/>
    <n v="0.18"/>
    <x v="1"/>
    <n v="318.30759999999998"/>
  </r>
  <r>
    <s v="SALE1774"/>
    <d v="2024-10-14T00:00:00"/>
    <s v="CUST1172"/>
    <s v="Thomas Rhodes"/>
    <s v="PROD79"/>
    <s v="Home"/>
    <s v="STORE3"/>
    <n v="2"/>
    <n v="403.91"/>
    <n v="7.0000000000000007E-2"/>
    <x v="0"/>
    <n v="751.27260000000001"/>
  </r>
  <r>
    <s v="SALE1775"/>
    <d v="2025-03-05T00:00:00"/>
    <s v="CUST1076"/>
    <s v="Nathan Campbell"/>
    <s v="PROD32"/>
    <s v="Beauty"/>
    <s v="STORE14"/>
    <n v="1"/>
    <n v="878.69"/>
    <n v="0.3"/>
    <x v="1"/>
    <n v="615.08299999999997"/>
  </r>
  <r>
    <s v="SALE1776"/>
    <d v="2024-06-03T00:00:00"/>
    <s v="CUST1381"/>
    <s v="Erika Padilla"/>
    <s v="PROD5"/>
    <s v="Clothing"/>
    <s v="STORE15"/>
    <n v="1"/>
    <n v="161.16999999999999"/>
    <n v="0.05"/>
    <x v="0"/>
    <n v="153.11150000000001"/>
  </r>
  <r>
    <s v="SALE1777"/>
    <d v="2024-04-05T00:00:00"/>
    <s v="CUST1214"/>
    <s v="Eric Todd"/>
    <s v="PROD91"/>
    <s v="Clothing"/>
    <s v="STORE14"/>
    <n v="2"/>
    <n v="720.15"/>
    <n v="0.22"/>
    <x v="2"/>
    <n v="1123.434"/>
  </r>
  <r>
    <s v="SALE1778"/>
    <d v="2023-10-23T00:00:00"/>
    <s v="CUST1347"/>
    <s v="Justin Mason Dds"/>
    <s v="PROD37"/>
    <s v="Clothing"/>
    <s v="STORE8"/>
    <n v="1"/>
    <n v="361.8"/>
    <n v="0.02"/>
    <x v="2"/>
    <n v="354.56400000000002"/>
  </r>
  <r>
    <s v="SALE1779"/>
    <d v="2024-04-20T00:00:00"/>
    <s v="CUST1230"/>
    <s v="Timothy Sanders"/>
    <s v="PROD68"/>
    <s v="Home"/>
    <s v="STORE6"/>
    <n v="1"/>
    <n v="779.84"/>
    <n v="0.28999999999999998"/>
    <x v="1"/>
    <n v="553.68640000000005"/>
  </r>
  <r>
    <s v="SALE1780"/>
    <d v="2024-06-12T00:00:00"/>
    <s v="CUST1004"/>
    <s v="Caroline Collins"/>
    <s v="PROD47"/>
    <s v="Beauty"/>
    <s v="STORE4"/>
    <n v="2"/>
    <n v="649.89"/>
    <n v="0.17"/>
    <x v="2"/>
    <n v="1078.8173999999999"/>
  </r>
  <r>
    <s v="SALE1781"/>
    <d v="2025-08-08T00:00:00"/>
    <s v="CUST1204"/>
    <s v="Tiffany Herrera"/>
    <s v="PROD44"/>
    <s v="Sports"/>
    <s v="STORE6"/>
    <n v="1"/>
    <n v="952.73"/>
    <n v="0.17"/>
    <x v="0"/>
    <n v="790.76589999999999"/>
  </r>
  <r>
    <s v="SALE1782"/>
    <d v="2025-08-06T00:00:00"/>
    <s v="CUST1084"/>
    <s v="Christy Hoffman"/>
    <s v="PROD25"/>
    <s v="Clothing"/>
    <s v="STORE16"/>
    <n v="4"/>
    <n v="820.78"/>
    <n v="0.25"/>
    <x v="0"/>
    <n v="2462.34"/>
  </r>
  <r>
    <s v="SALE1783"/>
    <d v="2024-10-27T00:00:00"/>
    <s v="CUST1342"/>
    <s v="Michelle Cunningham"/>
    <s v="PROD61"/>
    <s v="Sports"/>
    <s v="STORE3"/>
    <n v="4"/>
    <n v="247.55"/>
    <n v="0.05"/>
    <x v="0"/>
    <n v="940.69"/>
  </r>
  <r>
    <s v="SALE1784"/>
    <d v="2024-03-18T00:00:00"/>
    <s v="CUST1227"/>
    <s v="Gregory Pham"/>
    <s v="PROD93"/>
    <s v="Electronics"/>
    <s v="STORE8"/>
    <n v="3"/>
    <n v="561.44000000000005"/>
    <n v="0.2"/>
    <x v="2"/>
    <n v="1347.4559999999999"/>
  </r>
  <r>
    <s v="SALE1785"/>
    <d v="2023-11-19T00:00:00"/>
    <s v="CUST1281"/>
    <s v="Brittany Watson"/>
    <s v="PROD55"/>
    <s v="Home"/>
    <s v="STORE8"/>
    <n v="4"/>
    <n v="214.37"/>
    <n v="0.11"/>
    <x v="2"/>
    <n v="763.15719999999999"/>
  </r>
  <r>
    <s v="SALE1786"/>
    <d v="2025-03-25T00:00:00"/>
    <s v="CUST1417"/>
    <s v="Karen King"/>
    <s v="PROD97"/>
    <s v="Sports"/>
    <s v="STORE16"/>
    <n v="3"/>
    <n v="123.74"/>
    <n v="0.23"/>
    <x v="1"/>
    <n v="285.83940000000001"/>
  </r>
  <r>
    <s v="SALE1787"/>
    <d v="2024-05-15T00:00:00"/>
    <s v="CUST1013"/>
    <s v="Nathan Hernandez"/>
    <s v="PROD24"/>
    <s v="Sports"/>
    <s v="STORE11"/>
    <n v="4"/>
    <n v="645.71"/>
    <n v="0.1"/>
    <x v="1"/>
    <n v="2324.556"/>
  </r>
  <r>
    <s v="SALE1788"/>
    <d v="2025-03-20T00:00:00"/>
    <s v="CUST1033"/>
    <s v="Robert Jones Dds"/>
    <s v="PROD46"/>
    <s v="Clothing"/>
    <s v="STORE12"/>
    <n v="3"/>
    <n v="587.12"/>
    <n v="0.3"/>
    <x v="0"/>
    <n v="1232.952"/>
  </r>
  <r>
    <s v="SALE1789"/>
    <d v="2025-10-11T00:00:00"/>
    <s v="CUST1241"/>
    <s v="Mr. William Horton"/>
    <s v="PROD15"/>
    <s v="Electronics"/>
    <s v="STORE18"/>
    <n v="1"/>
    <n v="401.18"/>
    <n v="0.15"/>
    <x v="2"/>
    <n v="341.00299999999999"/>
  </r>
  <r>
    <s v="SALE1790"/>
    <d v="2024-07-13T00:00:00"/>
    <s v="CUST1366"/>
    <s v="Mallory Allen"/>
    <s v="PROD73"/>
    <s v="Sports"/>
    <s v="STORE18"/>
    <n v="3"/>
    <n v="658.33"/>
    <n v="0.12"/>
    <x v="2"/>
    <n v="1737.9911999999999"/>
  </r>
  <r>
    <s v="SALE1791"/>
    <d v="2024-07-01T00:00:00"/>
    <s v="CUST1201"/>
    <s v="Mary Boyd"/>
    <s v="PROD87"/>
    <s v="Home"/>
    <s v="STORE11"/>
    <n v="4"/>
    <n v="450.3"/>
    <n v="0.02"/>
    <x v="0"/>
    <n v="1765.1759999999999"/>
  </r>
  <r>
    <s v="SALE1792"/>
    <d v="2025-04-10T00:00:00"/>
    <s v="CUST1145"/>
    <s v="Cameron Simpson"/>
    <s v="PROD69"/>
    <s v="Clothing"/>
    <s v="STORE10"/>
    <n v="4"/>
    <n v="33.630000000000003"/>
    <n v="0.05"/>
    <x v="0"/>
    <n v="127.794"/>
  </r>
  <r>
    <s v="SALE1793"/>
    <d v="2024-07-02T00:00:00"/>
    <s v="CUST1035"/>
    <s v="Rachel Myers"/>
    <s v="PROD97"/>
    <s v="Sports"/>
    <s v="STORE0"/>
    <n v="3"/>
    <n v="168.89"/>
    <n v="0.03"/>
    <x v="2"/>
    <n v="491.46989999999988"/>
  </r>
  <r>
    <s v="SALE1794"/>
    <d v="2024-09-11T00:00:00"/>
    <s v="CUST1095"/>
    <s v="Amy Fowler"/>
    <s v="PROD40"/>
    <s v="Electronics"/>
    <s v="STORE11"/>
    <n v="1"/>
    <n v="141.85"/>
    <n v="0.06"/>
    <x v="1"/>
    <n v="133.339"/>
  </r>
  <r>
    <s v="SALE1795"/>
    <d v="2024-08-16T00:00:00"/>
    <s v="CUST1306"/>
    <s v="Angela Robinson"/>
    <s v="PROD5"/>
    <s v="Clothing"/>
    <s v="STORE7"/>
    <n v="1"/>
    <n v="617.4"/>
    <n v="0.21"/>
    <x v="0"/>
    <n v="487.74599999999998"/>
  </r>
  <r>
    <s v="SALE1796"/>
    <d v="2024-08-30T00:00:00"/>
    <s v="CUST1147"/>
    <s v="Rhonda Young"/>
    <s v="PROD52"/>
    <s v="Sports"/>
    <s v="STORE1"/>
    <n v="3"/>
    <n v="841.47"/>
    <n v="0.15"/>
    <x v="2"/>
    <n v="2145.7485000000001"/>
  </r>
  <r>
    <s v="SALE1797"/>
    <d v="2024-02-12T00:00:00"/>
    <s v="CUST1059"/>
    <s v="Alyssa Vargas"/>
    <s v="PROD94"/>
    <s v="Beauty"/>
    <s v="STORE13"/>
    <n v="2"/>
    <n v="960.41"/>
    <n v="0.18"/>
    <x v="0"/>
    <n v="1575.0724"/>
  </r>
  <r>
    <s v="SALE1798"/>
    <d v="2023-12-29T00:00:00"/>
    <s v="CUST1451"/>
    <s v="Ashley Roberts"/>
    <s v="PROD90"/>
    <s v="Electronics"/>
    <s v="STORE18"/>
    <n v="3"/>
    <n v="717.22"/>
    <n v="0.24"/>
    <x v="1"/>
    <n v="1635.2616"/>
  </r>
  <r>
    <s v="SALE1799"/>
    <d v="2025-06-24T00:00:00"/>
    <s v="CUST1115"/>
    <s v="Tyler Conrad"/>
    <s v="PROD21"/>
    <s v="Home"/>
    <s v="STORE0"/>
    <n v="1"/>
    <n v="281.83"/>
    <n v="0.16"/>
    <x v="2"/>
    <n v="236.7372"/>
  </r>
  <r>
    <s v="SALE1800"/>
    <d v="2024-04-18T00:00:00"/>
    <s v="CUST1204"/>
    <s v="Tiffany Herrera"/>
    <s v="PROD44"/>
    <s v="Sports"/>
    <s v="STORE14"/>
    <n v="1"/>
    <n v="509.08"/>
    <n v="0.04"/>
    <x v="1"/>
    <n v="488.71679999999998"/>
  </r>
  <r>
    <s v="SALE1801"/>
    <d v="2025-09-30T00:00:00"/>
    <s v="CUST1400"/>
    <s v="Mark Rogers"/>
    <s v="PROD39"/>
    <s v="Electronics"/>
    <s v="STORE2"/>
    <n v="4"/>
    <n v="827.09"/>
    <n v="0.3"/>
    <x v="0"/>
    <n v="2315.8519999999999"/>
  </r>
  <r>
    <s v="SALE1802"/>
    <d v="2025-10-05T00:00:00"/>
    <s v="CUST1210"/>
    <s v="Antonio Jones"/>
    <s v="PROD60"/>
    <s v="Beauty"/>
    <s v="STORE4"/>
    <n v="2"/>
    <n v="823.36"/>
    <n v="0.23"/>
    <x v="0"/>
    <n v="1267.9744000000001"/>
  </r>
  <r>
    <s v="SALE1803"/>
    <d v="2025-06-06T00:00:00"/>
    <s v="CUST1137"/>
    <s v="Rick Dominguez"/>
    <s v="PROD26"/>
    <s v="Electronics"/>
    <s v="STORE5"/>
    <n v="4"/>
    <n v="282.18"/>
    <n v="0.13"/>
    <x v="2"/>
    <n v="981.9864"/>
  </r>
  <r>
    <s v="SALE1804"/>
    <d v="2024-02-01T00:00:00"/>
    <s v="CUST1172"/>
    <s v="Thomas Rhodes"/>
    <s v="PROD79"/>
    <s v="Home"/>
    <s v="STORE1"/>
    <n v="1"/>
    <n v="486.39"/>
    <n v="0.09"/>
    <x v="2"/>
    <n v="442.61489999999998"/>
  </r>
  <r>
    <s v="SALE1805"/>
    <d v="2024-01-21T00:00:00"/>
    <s v="CUST1044"/>
    <s v="Denise Williams"/>
    <s v="PROD1"/>
    <s v="Clothing"/>
    <s v="STORE3"/>
    <n v="2"/>
    <n v="603.62"/>
    <n v="0.18"/>
    <x v="2"/>
    <n v="989.93680000000006"/>
  </r>
  <r>
    <s v="SALE1806"/>
    <d v="2024-09-19T00:00:00"/>
    <s v="CUST1147"/>
    <s v="Rhonda Young"/>
    <s v="PROD52"/>
    <s v="Sports"/>
    <s v="STORE8"/>
    <n v="3"/>
    <n v="204.17"/>
    <n v="0.1"/>
    <x v="1"/>
    <n v="551.25900000000001"/>
  </r>
  <r>
    <s v="SALE1807"/>
    <d v="2024-01-19T00:00:00"/>
    <s v="CUST1137"/>
    <s v="Rick Dominguez"/>
    <s v="PROD26"/>
    <s v="Electronics"/>
    <s v="STORE15"/>
    <n v="1"/>
    <n v="43.58"/>
    <n v="0.01"/>
    <x v="2"/>
    <n v="43.144199999999998"/>
  </r>
  <r>
    <s v="SALE1808"/>
    <d v="2024-10-29T00:00:00"/>
    <s v="CUST1332"/>
    <s v="Dr. Lindsay Hanna"/>
    <s v="PROD32"/>
    <s v="Beauty"/>
    <s v="STORE2"/>
    <n v="3"/>
    <n v="469.33"/>
    <n v="0.14000000000000001"/>
    <x v="1"/>
    <n v="1210.8714"/>
  </r>
  <r>
    <s v="SALE1809"/>
    <d v="2025-07-02T00:00:00"/>
    <s v="CUST1209"/>
    <s v="Joan Johnson"/>
    <s v="PROD42"/>
    <s v="Electronics"/>
    <s v="STORE8"/>
    <n v="4"/>
    <n v="836.23"/>
    <n v="0.12"/>
    <x v="0"/>
    <n v="2943.5295999999998"/>
  </r>
  <r>
    <s v="SALE1810"/>
    <d v="2024-09-14T00:00:00"/>
    <s v="CUST1178"/>
    <s v="Michelle Myers"/>
    <s v="PROD97"/>
    <s v="Sports"/>
    <s v="STORE19"/>
    <n v="2"/>
    <n v="661.53"/>
    <n v="0.2"/>
    <x v="1"/>
    <n v="1058.4480000000001"/>
  </r>
  <r>
    <s v="SALE1811"/>
    <d v="2025-09-03T00:00:00"/>
    <s v="CUST1118"/>
    <s v="Earl Allen"/>
    <s v="PROD83"/>
    <s v="Beauty"/>
    <s v="STORE16"/>
    <n v="3"/>
    <n v="753.47"/>
    <n v="0.25"/>
    <x v="1"/>
    <n v="1695.3074999999999"/>
  </r>
  <r>
    <s v="SALE1812"/>
    <d v="2025-01-16T00:00:00"/>
    <s v="CUST1156"/>
    <s v="Maria Sanchez"/>
    <s v="PROD49"/>
    <s v="Beauty"/>
    <s v="STORE0"/>
    <n v="3"/>
    <n v="713.95"/>
    <n v="0"/>
    <x v="0"/>
    <n v="2141.85"/>
  </r>
  <r>
    <s v="SALE1813"/>
    <d v="2024-04-13T00:00:00"/>
    <s v="CUST1099"/>
    <s v="Sheila Wilson"/>
    <s v="PROD26"/>
    <s v="Electronics"/>
    <s v="STORE5"/>
    <n v="3"/>
    <n v="596"/>
    <n v="0.28000000000000003"/>
    <x v="2"/>
    <n v="1287.3599999999999"/>
  </r>
  <r>
    <s v="SALE1814"/>
    <d v="2024-03-28T00:00:00"/>
    <s v="CUST1334"/>
    <s v="Mr. Christopher Sims"/>
    <s v="PROD71"/>
    <s v="Beauty"/>
    <s v="STORE9"/>
    <n v="2"/>
    <n v="169.46"/>
    <n v="0.03"/>
    <x v="1"/>
    <n v="328.75240000000002"/>
  </r>
  <r>
    <s v="SALE1815"/>
    <d v="2025-07-22T00:00:00"/>
    <s v="CUST1300"/>
    <s v="Matthew Avery"/>
    <s v="PROD36"/>
    <s v="Clothing"/>
    <s v="STORE14"/>
    <n v="4"/>
    <n v="611.91999999999996"/>
    <n v="0.2"/>
    <x v="1"/>
    <n v="1958.144"/>
  </r>
  <r>
    <s v="SALE1816"/>
    <d v="2025-02-16T00:00:00"/>
    <s v="CUST1003"/>
    <s v="Jeremy Harris"/>
    <s v="PROD0"/>
    <s v="Electronics"/>
    <s v="STORE15"/>
    <n v="2"/>
    <n v="25.3"/>
    <n v="0.21"/>
    <x v="0"/>
    <n v="39.973999999999997"/>
  </r>
  <r>
    <s v="SALE1817"/>
    <d v="2024-02-05T00:00:00"/>
    <s v="CUST1433"/>
    <s v="Thomas Moore"/>
    <s v="PROD64"/>
    <s v="Beauty"/>
    <s v="STORE10"/>
    <n v="4"/>
    <n v="166.93"/>
    <n v="0.02"/>
    <x v="1"/>
    <n v="654.36559999999997"/>
  </r>
  <r>
    <s v="SALE1818"/>
    <d v="2025-03-05T00:00:00"/>
    <s v="CUST1280"/>
    <s v="Antonio Leon"/>
    <s v="PROD91"/>
    <s v="Clothing"/>
    <s v="STORE11"/>
    <n v="4"/>
    <n v="861.55"/>
    <n v="0.12"/>
    <x v="0"/>
    <n v="3032.6559999999999"/>
  </r>
  <r>
    <s v="SALE1819"/>
    <d v="2025-07-04T00:00:00"/>
    <s v="CUST1360"/>
    <s v="Denise Tate"/>
    <s v="PROD73"/>
    <s v="Sports"/>
    <s v="STORE5"/>
    <n v="3"/>
    <n v="56.17"/>
    <n v="0.01"/>
    <x v="2"/>
    <n v="166.82490000000001"/>
  </r>
  <r>
    <s v="SALE1820"/>
    <d v="2025-07-24T00:00:00"/>
    <s v="CUST1266"/>
    <s v="Cynthia Payne"/>
    <s v="PROD15"/>
    <s v="Electronics"/>
    <s v="STORE19"/>
    <n v="1"/>
    <n v="582.29"/>
    <n v="0.2"/>
    <x v="0"/>
    <n v="465.83199999999999"/>
  </r>
  <r>
    <s v="SALE1821"/>
    <d v="2025-01-24T00:00:00"/>
    <s v="CUST1261"/>
    <s v="Carol Bishop"/>
    <s v="PROD42"/>
    <s v="Electronics"/>
    <s v="STORE0"/>
    <n v="3"/>
    <n v="63.96"/>
    <n v="0.02"/>
    <x v="0"/>
    <n v="188.04239999999999"/>
  </r>
  <r>
    <s v="SALE1822"/>
    <d v="2024-04-10T00:00:00"/>
    <s v="CUST1065"/>
    <s v="Michael Thomas"/>
    <s v="PROD24"/>
    <s v="Sports"/>
    <s v="STORE12"/>
    <n v="1"/>
    <n v="829.83"/>
    <n v="0.26"/>
    <x v="2"/>
    <n v="614.07420000000002"/>
  </r>
  <r>
    <s v="SALE1823"/>
    <d v="2024-10-21T00:00:00"/>
    <s v="CUST1370"/>
    <s v="James Holloway Jr."/>
    <s v="PROD37"/>
    <s v="Clothing"/>
    <s v="STORE16"/>
    <n v="2"/>
    <n v="858.15"/>
    <n v="0.03"/>
    <x v="0"/>
    <n v="1664.8109999999999"/>
  </r>
  <r>
    <s v="SALE1824"/>
    <d v="2024-02-18T00:00:00"/>
    <s v="CUST1359"/>
    <s v="Melanie Lam"/>
    <s v="PROD59"/>
    <s v="Beauty"/>
    <s v="STORE13"/>
    <n v="3"/>
    <n v="717.32"/>
    <n v="0.23"/>
    <x v="2"/>
    <n v="1657.0092"/>
  </r>
  <r>
    <s v="SALE1825"/>
    <d v="2025-07-15T00:00:00"/>
    <s v="CUST1428"/>
    <s v="Samuel Mullins"/>
    <s v="PROD63"/>
    <s v="Beauty"/>
    <s v="STORE12"/>
    <n v="1"/>
    <n v="163.19999999999999"/>
    <n v="0.22"/>
    <x v="1"/>
    <n v="127.29600000000001"/>
  </r>
  <r>
    <s v="SALE1826"/>
    <d v="2024-07-16T00:00:00"/>
    <s v="CUST1126"/>
    <s v="James Wolfe"/>
    <s v="PROD89"/>
    <s v="Beauty"/>
    <s v="STORE12"/>
    <n v="2"/>
    <n v="966.71"/>
    <n v="0.11"/>
    <x v="0"/>
    <n v="1720.7438"/>
  </r>
  <r>
    <s v="SALE1827"/>
    <d v="2025-04-14T00:00:00"/>
    <s v="CUST1348"/>
    <s v="Sherry Cabrera"/>
    <s v="PROD24"/>
    <s v="Sports"/>
    <s v="STORE13"/>
    <n v="2"/>
    <n v="873.94"/>
    <n v="0.14000000000000001"/>
    <x v="2"/>
    <n v="1503.1768"/>
  </r>
  <r>
    <s v="SALE1828"/>
    <d v="2024-03-28T00:00:00"/>
    <s v="CUST1149"/>
    <s v="Denise Griffin"/>
    <s v="PROD90"/>
    <s v="Electronics"/>
    <s v="STORE3"/>
    <n v="1"/>
    <n v="140.24"/>
    <n v="0.27"/>
    <x v="0"/>
    <n v="102.37520000000001"/>
  </r>
  <r>
    <s v="SALE1829"/>
    <d v="2025-02-28T00:00:00"/>
    <s v="CUST1201"/>
    <s v="Mary Boyd"/>
    <s v="PROD87"/>
    <s v="Home"/>
    <s v="STORE5"/>
    <n v="2"/>
    <n v="549.91999999999996"/>
    <n v="0.28000000000000003"/>
    <x v="0"/>
    <n v="791.88479999999993"/>
  </r>
  <r>
    <s v="SALE1830"/>
    <d v="2024-03-13T00:00:00"/>
    <s v="CUST1111"/>
    <s v="Julie Farmer"/>
    <s v="PROD17"/>
    <s v="Sports"/>
    <s v="STORE5"/>
    <n v="4"/>
    <n v="715.88"/>
    <n v="0.19"/>
    <x v="1"/>
    <n v="2319.4512"/>
  </r>
  <r>
    <s v="SALE1831"/>
    <d v="2025-04-05T00:00:00"/>
    <s v="CUST1371"/>
    <s v="Michael Garner"/>
    <s v="PROD67"/>
    <s v="Electronics"/>
    <s v="STORE8"/>
    <n v="3"/>
    <n v="591.9"/>
    <n v="0.27"/>
    <x v="0"/>
    <n v="1296.261"/>
  </r>
  <r>
    <s v="SALE1832"/>
    <d v="2025-08-14T00:00:00"/>
    <s v="CUST1375"/>
    <s v="Joshua Bell"/>
    <s v="PROD28"/>
    <s v="Sports"/>
    <s v="STORE10"/>
    <n v="2"/>
    <n v="523.14"/>
    <n v="0.13"/>
    <x v="1"/>
    <n v="910.2636"/>
  </r>
  <r>
    <s v="SALE1833"/>
    <d v="2024-07-04T00:00:00"/>
    <s v="CUST1226"/>
    <s v="Alexis Castaneda"/>
    <s v="PROD49"/>
    <s v="Beauty"/>
    <s v="STORE14"/>
    <n v="2"/>
    <n v="478.62"/>
    <n v="0.17"/>
    <x v="2"/>
    <n v="794.50919999999996"/>
  </r>
  <r>
    <s v="SALE1834"/>
    <d v="2024-09-21T00:00:00"/>
    <s v="CUST1299"/>
    <s v="Stephanie Jacobs"/>
    <s v="PROD23"/>
    <s v="Clothing"/>
    <s v="STORE1"/>
    <n v="4"/>
    <n v="740.5"/>
    <n v="0.17"/>
    <x v="1"/>
    <n v="2458.46"/>
  </r>
  <r>
    <s v="SALE1835"/>
    <d v="2024-06-22T00:00:00"/>
    <s v="CUST1112"/>
    <s v="David Cole"/>
    <s v="PROD40"/>
    <s v="Electronics"/>
    <s v="STORE2"/>
    <n v="1"/>
    <n v="780.24"/>
    <n v="0.04"/>
    <x v="2"/>
    <n v="749.03039999999999"/>
  </r>
  <r>
    <s v="SALE1836"/>
    <d v="2024-09-17T00:00:00"/>
    <s v="CUST1107"/>
    <s v="Erica Carney"/>
    <s v="PROD75"/>
    <s v="Clothing"/>
    <s v="STORE16"/>
    <n v="4"/>
    <n v="579.24"/>
    <n v="0.04"/>
    <x v="2"/>
    <n v="2224.2815999999998"/>
  </r>
  <r>
    <s v="SALE1837"/>
    <d v="2024-12-09T00:00:00"/>
    <s v="CUST1371"/>
    <s v="Michael Garner"/>
    <s v="PROD67"/>
    <s v="Electronics"/>
    <s v="STORE2"/>
    <n v="3"/>
    <n v="268.95"/>
    <n v="0.04"/>
    <x v="1"/>
    <n v="774.57599999999991"/>
  </r>
  <r>
    <s v="SALE1838"/>
    <d v="2025-03-24T00:00:00"/>
    <s v="CUST1305"/>
    <s v="Roberta Green"/>
    <s v="PROD28"/>
    <s v="Sports"/>
    <s v="STORE4"/>
    <n v="1"/>
    <n v="47.47"/>
    <n v="0.28000000000000003"/>
    <x v="0"/>
    <n v="34.178400000000003"/>
  </r>
  <r>
    <s v="SALE1839"/>
    <d v="2025-05-19T00:00:00"/>
    <s v="CUST1257"/>
    <s v="Christopher David"/>
    <s v="PROD85"/>
    <s v="Clothing"/>
    <s v="STORE17"/>
    <n v="3"/>
    <n v="858.81"/>
    <n v="7.0000000000000007E-2"/>
    <x v="0"/>
    <n v="2396.0799000000002"/>
  </r>
  <r>
    <s v="SALE1840"/>
    <d v="2025-02-22T00:00:00"/>
    <s v="CUST1310"/>
    <s v="Kara Dodson"/>
    <s v="PROD17"/>
    <s v="Sports"/>
    <s v="STORE10"/>
    <n v="3"/>
    <n v="569.98"/>
    <n v="0.05"/>
    <x v="0"/>
    <n v="1624.443"/>
  </r>
  <r>
    <s v="SALE1841"/>
    <d v="2024-10-31T00:00:00"/>
    <s v="CUST1327"/>
    <s v="Reginald Willis"/>
    <s v="PROD1"/>
    <s v="Clothing"/>
    <s v="STORE12"/>
    <n v="3"/>
    <n v="306.52"/>
    <n v="0.01"/>
    <x v="2"/>
    <n v="910.36439999999993"/>
  </r>
  <r>
    <s v="SALE1842"/>
    <d v="2024-03-03T00:00:00"/>
    <s v="CUST1064"/>
    <s v="Mr. Mason Butler"/>
    <s v="PROD47"/>
    <s v="Beauty"/>
    <s v="STORE13"/>
    <n v="3"/>
    <n v="184.67"/>
    <n v="0.03"/>
    <x v="2"/>
    <n v="537.38969999999995"/>
  </r>
  <r>
    <s v="SALE1843"/>
    <d v="2024-05-16T00:00:00"/>
    <s v="CUST1482"/>
    <s v="Sheri Joyce"/>
    <s v="PROD68"/>
    <s v="Home"/>
    <s v="STORE5"/>
    <n v="4"/>
    <n v="189.56"/>
    <n v="0"/>
    <x v="2"/>
    <n v="758.24"/>
  </r>
  <r>
    <s v="SALE1844"/>
    <d v="2024-08-07T00:00:00"/>
    <s v="CUST1208"/>
    <s v="John Perez"/>
    <s v="PROD34"/>
    <s v="Electronics"/>
    <s v="STORE5"/>
    <n v="1"/>
    <n v="805.24"/>
    <n v="0.04"/>
    <x v="1"/>
    <n v="773.03039999999999"/>
  </r>
  <r>
    <s v="SALE1845"/>
    <d v="2024-09-14T00:00:00"/>
    <s v="CUST1188"/>
    <s v="Kimberly Brooks"/>
    <s v="PROD30"/>
    <s v="Home"/>
    <s v="STORE17"/>
    <n v="3"/>
    <n v="683.74"/>
    <n v="0.24"/>
    <x v="0"/>
    <n v="1558.9272000000001"/>
  </r>
  <r>
    <s v="SALE1846"/>
    <d v="2024-10-08T00:00:00"/>
    <s v="CUST1210"/>
    <s v="Antonio Jones"/>
    <s v="PROD60"/>
    <s v="Beauty"/>
    <s v="STORE18"/>
    <n v="3"/>
    <n v="439.21"/>
    <n v="0.28000000000000003"/>
    <x v="2"/>
    <n v="948.69359999999983"/>
  </r>
  <r>
    <s v="SALE1847"/>
    <d v="2025-09-04T00:00:00"/>
    <s v="CUST1119"/>
    <s v="Michael Jones"/>
    <s v="PROD90"/>
    <s v="Electronics"/>
    <s v="STORE6"/>
    <n v="1"/>
    <n v="126.92"/>
    <n v="0.24"/>
    <x v="2"/>
    <n v="96.459199999999996"/>
  </r>
  <r>
    <s v="SALE1848"/>
    <d v="2024-07-16T00:00:00"/>
    <s v="CUST1004"/>
    <s v="Caroline Collins"/>
    <s v="PROD47"/>
    <s v="Beauty"/>
    <s v="STORE4"/>
    <n v="4"/>
    <n v="834.7"/>
    <n v="0.14000000000000001"/>
    <x v="0"/>
    <n v="2871.3679999999999"/>
  </r>
  <r>
    <s v="SALE1849"/>
    <d v="2025-09-09T00:00:00"/>
    <s v="CUST1341"/>
    <s v="Angela Williams"/>
    <s v="PROD41"/>
    <s v="Sports"/>
    <s v="STORE11"/>
    <n v="2"/>
    <n v="271.88"/>
    <n v="0.11"/>
    <x v="2"/>
    <n v="483.94639999999998"/>
  </r>
  <r>
    <s v="SALE1850"/>
    <d v="2025-03-04T00:00:00"/>
    <s v="CUST1480"/>
    <s v="Jordan Medina"/>
    <s v="PROD65"/>
    <s v="Sports"/>
    <s v="STORE1"/>
    <n v="4"/>
    <n v="972.14"/>
    <n v="0.25"/>
    <x v="0"/>
    <n v="2916.42"/>
  </r>
  <r>
    <s v="SALE1851"/>
    <d v="2025-06-23T00:00:00"/>
    <s v="CUST1093"/>
    <s v="Christy Vasquez"/>
    <s v="PROD5"/>
    <s v="Clothing"/>
    <s v="STORE4"/>
    <n v="3"/>
    <n v="523.66"/>
    <n v="0.27"/>
    <x v="1"/>
    <n v="1146.8154"/>
  </r>
  <r>
    <s v="SALE1852"/>
    <d v="2024-11-06T00:00:00"/>
    <s v="CUST1148"/>
    <s v="Theresa Campbell"/>
    <s v="PROD13"/>
    <s v="Electronics"/>
    <s v="STORE2"/>
    <n v="4"/>
    <n v="838.99"/>
    <n v="0.16"/>
    <x v="0"/>
    <n v="2819.0064000000002"/>
  </r>
  <r>
    <s v="SALE1853"/>
    <d v="2025-03-06T00:00:00"/>
    <s v="CUST1135"/>
    <s v="Matthew Hanna"/>
    <s v="PROD44"/>
    <s v="Sports"/>
    <s v="STORE17"/>
    <n v="4"/>
    <n v="838.7"/>
    <n v="0.21"/>
    <x v="2"/>
    <n v="2650.2919999999999"/>
  </r>
  <r>
    <s v="SALE1854"/>
    <d v="2025-05-17T00:00:00"/>
    <s v="CUST1420"/>
    <s v="Dr. Tamara White Md"/>
    <s v="PROD21"/>
    <s v="Home"/>
    <s v="STORE8"/>
    <n v="3"/>
    <n v="943.24"/>
    <n v="0.21"/>
    <x v="0"/>
    <n v="2235.4787999999999"/>
  </r>
  <r>
    <s v="SALE1855"/>
    <d v="2025-01-02T00:00:00"/>
    <s v="CUST1299"/>
    <s v="Stephanie Jacobs"/>
    <s v="PROD23"/>
    <s v="Clothing"/>
    <s v="STORE17"/>
    <n v="2"/>
    <n v="310.33"/>
    <n v="0.26"/>
    <x v="0"/>
    <n v="459.28840000000002"/>
  </r>
  <r>
    <s v="SALE1856"/>
    <d v="2024-07-28T00:00:00"/>
    <s v="CUST1346"/>
    <s v="John Jordan"/>
    <s v="PROD76"/>
    <s v="Electronics"/>
    <s v="STORE0"/>
    <n v="3"/>
    <n v="201.05"/>
    <n v="0.23"/>
    <x v="1"/>
    <n v="464.42550000000011"/>
  </r>
  <r>
    <s v="SALE1857"/>
    <d v="2024-04-26T00:00:00"/>
    <s v="CUST1252"/>
    <s v="John Mccoy"/>
    <s v="PROD13"/>
    <s v="Electronics"/>
    <s v="STORE17"/>
    <n v="1"/>
    <n v="803.37"/>
    <n v="0.3"/>
    <x v="1"/>
    <n v="562.35899999999992"/>
  </r>
  <r>
    <s v="SALE1858"/>
    <d v="2025-08-17T00:00:00"/>
    <s v="CUST1036"/>
    <s v="Thomas Phillips"/>
    <s v="PROD90"/>
    <s v="Electronics"/>
    <s v="STORE15"/>
    <n v="3"/>
    <n v="259.98"/>
    <n v="7.0000000000000007E-2"/>
    <x v="2"/>
    <n v="725.3442"/>
  </r>
  <r>
    <s v="SALE1859"/>
    <d v="2024-05-14T00:00:00"/>
    <s v="CUST1124"/>
    <s v="Donald Lee"/>
    <s v="PROD22"/>
    <s v="Sports"/>
    <s v="STORE3"/>
    <n v="4"/>
    <n v="591.9"/>
    <n v="0.2"/>
    <x v="1"/>
    <n v="1894.08"/>
  </r>
  <r>
    <s v="SALE1860"/>
    <d v="2025-03-14T00:00:00"/>
    <s v="CUST1031"/>
    <s v="Sarah Vance"/>
    <s v="PROD62"/>
    <s v="Electronics"/>
    <s v="STORE12"/>
    <n v="2"/>
    <n v="396.9"/>
    <n v="0.18"/>
    <x v="1"/>
    <n v="650.91600000000005"/>
  </r>
  <r>
    <s v="SALE1861"/>
    <d v="2025-03-15T00:00:00"/>
    <s v="CUST1453"/>
    <s v="April Phillips"/>
    <s v="PROD12"/>
    <s v="Beauty"/>
    <s v="STORE2"/>
    <n v="1"/>
    <n v="176.84"/>
    <n v="0.19"/>
    <x v="0"/>
    <n v="143.24039999999999"/>
  </r>
  <r>
    <s v="SALE1862"/>
    <d v="2023-12-12T00:00:00"/>
    <s v="CUST1254"/>
    <s v="Linda Kline"/>
    <s v="PROD23"/>
    <s v="Clothing"/>
    <s v="STORE0"/>
    <n v="2"/>
    <n v="614.21"/>
    <n v="0.11"/>
    <x v="1"/>
    <n v="1093.2937999999999"/>
  </r>
  <r>
    <s v="SALE1863"/>
    <d v="2024-10-19T00:00:00"/>
    <s v="CUST1108"/>
    <s v="Travis Holland"/>
    <s v="PROD30"/>
    <s v="Home"/>
    <s v="STORE7"/>
    <n v="3"/>
    <n v="604.66"/>
    <n v="0.18"/>
    <x v="2"/>
    <n v="1487.4636"/>
  </r>
  <r>
    <s v="SALE1864"/>
    <d v="2024-08-30T00:00:00"/>
    <s v="CUST1498"/>
    <s v="Traci Gonzalez"/>
    <s v="PROD8"/>
    <s v="Electronics"/>
    <s v="STORE12"/>
    <n v="3"/>
    <n v="24.29"/>
    <n v="0.12"/>
    <x v="1"/>
    <n v="64.125600000000006"/>
  </r>
  <r>
    <s v="SALE1865"/>
    <d v="2024-07-09T00:00:00"/>
    <s v="CUST1121"/>
    <s v="Joel Robinson"/>
    <s v="PROD33"/>
    <s v="Home"/>
    <s v="STORE11"/>
    <n v="1"/>
    <n v="503.95"/>
    <n v="0.24"/>
    <x v="1"/>
    <n v="383.00200000000001"/>
  </r>
  <r>
    <s v="SALE1866"/>
    <d v="2024-07-02T00:00:00"/>
    <s v="CUST1319"/>
    <s v="Casey Simpson"/>
    <s v="PROD49"/>
    <s v="Beauty"/>
    <s v="STORE14"/>
    <n v="4"/>
    <n v="860.78"/>
    <n v="0.03"/>
    <x v="0"/>
    <n v="3339.8263999999999"/>
  </r>
  <r>
    <s v="SALE1867"/>
    <d v="2023-11-04T00:00:00"/>
    <s v="CUST1197"/>
    <s v="Andrea Jacobs"/>
    <s v="PROD37"/>
    <s v="Clothing"/>
    <s v="STORE3"/>
    <n v="3"/>
    <n v="41.97"/>
    <n v="0.03"/>
    <x v="2"/>
    <n v="122.1327"/>
  </r>
  <r>
    <s v="SALE1868"/>
    <d v="2024-04-15T00:00:00"/>
    <s v="CUST1033"/>
    <s v="Robert Jones Dds"/>
    <s v="PROD46"/>
    <s v="Clothing"/>
    <s v="STORE5"/>
    <n v="1"/>
    <n v="649.59"/>
    <n v="0.12"/>
    <x v="2"/>
    <n v="571.63920000000007"/>
  </r>
  <r>
    <s v="SALE1869"/>
    <d v="2024-07-29T00:00:00"/>
    <s v="CUST1053"/>
    <s v="Sharon Brown"/>
    <s v="PROD37"/>
    <s v="Clothing"/>
    <s v="STORE9"/>
    <n v="2"/>
    <n v="386.09"/>
    <n v="0.19"/>
    <x v="1"/>
    <n v="625.46579999999994"/>
  </r>
  <r>
    <s v="SALE1870"/>
    <d v="2024-12-18T00:00:00"/>
    <s v="CUST1099"/>
    <s v="Sheila Wilson"/>
    <s v="PROD26"/>
    <s v="Electronics"/>
    <s v="STORE12"/>
    <n v="1"/>
    <n v="891.62"/>
    <n v="0.06"/>
    <x v="1"/>
    <n v="838.12279999999998"/>
  </r>
  <r>
    <s v="SALE1871"/>
    <d v="2024-11-21T00:00:00"/>
    <s v="CUST1381"/>
    <s v="Erika Padilla"/>
    <s v="PROD5"/>
    <s v="Clothing"/>
    <s v="STORE15"/>
    <n v="2"/>
    <n v="558.9"/>
    <n v="0.05"/>
    <x v="2"/>
    <n v="1061.9100000000001"/>
  </r>
  <r>
    <s v="SALE1872"/>
    <d v="2025-05-20T00:00:00"/>
    <s v="CUST1352"/>
    <s v="Michael Greene"/>
    <s v="PROD43"/>
    <s v="Electronics"/>
    <s v="STORE3"/>
    <n v="2"/>
    <n v="99.04"/>
    <n v="0.26"/>
    <x v="2"/>
    <n v="146.57919999999999"/>
  </r>
  <r>
    <s v="SALE1873"/>
    <d v="2025-03-24T00:00:00"/>
    <s v="CUST1291"/>
    <s v="James Powell"/>
    <s v="PROD93"/>
    <s v="Electronics"/>
    <s v="STORE8"/>
    <n v="4"/>
    <n v="625.13"/>
    <n v="0.06"/>
    <x v="0"/>
    <n v="2350.4888000000001"/>
  </r>
  <r>
    <s v="SALE1874"/>
    <d v="2025-06-16T00:00:00"/>
    <s v="CUST1036"/>
    <s v="Thomas Phillips"/>
    <s v="PROD90"/>
    <s v="Electronics"/>
    <s v="STORE18"/>
    <n v="4"/>
    <n v="38.380000000000003"/>
    <n v="0.16"/>
    <x v="2"/>
    <n v="128.95679999999999"/>
  </r>
  <r>
    <s v="SALE1875"/>
    <d v="2024-04-22T00:00:00"/>
    <s v="CUST1492"/>
    <s v="Darrell Miller"/>
    <s v="PROD10"/>
    <s v="Home"/>
    <s v="STORE10"/>
    <n v="4"/>
    <n v="731.72"/>
    <n v="0.22"/>
    <x v="2"/>
    <n v="2282.9663999999998"/>
  </r>
  <r>
    <s v="SALE1876"/>
    <d v="2025-09-16T00:00:00"/>
    <s v="CUST1457"/>
    <s v="Christina Robertson"/>
    <s v="PROD43"/>
    <s v="Electronics"/>
    <s v="STORE19"/>
    <n v="3"/>
    <n v="825.33"/>
    <n v="0.21"/>
    <x v="0"/>
    <n v="1956.0320999999999"/>
  </r>
  <r>
    <s v="SALE1877"/>
    <d v="2023-12-09T00:00:00"/>
    <s v="CUST1059"/>
    <s v="Alyssa Vargas"/>
    <s v="PROD94"/>
    <s v="Beauty"/>
    <s v="STORE14"/>
    <n v="2"/>
    <n v="47.3"/>
    <n v="0.01"/>
    <x v="1"/>
    <n v="93.653999999999996"/>
  </r>
  <r>
    <s v="SALE1878"/>
    <d v="2024-07-20T00:00:00"/>
    <s v="CUST1171"/>
    <s v="Amy Wilson"/>
    <s v="PROD90"/>
    <s v="Electronics"/>
    <s v="STORE17"/>
    <n v="1"/>
    <n v="389.12"/>
    <n v="0.18"/>
    <x v="1"/>
    <n v="319.07839999999999"/>
  </r>
  <r>
    <s v="SALE1879"/>
    <d v="2024-09-23T00:00:00"/>
    <s v="CUST1458"/>
    <s v="Kelly Garrett"/>
    <s v="PROD2"/>
    <s v="Clothing"/>
    <s v="STORE18"/>
    <n v="3"/>
    <n v="543.83000000000004"/>
    <n v="0.05"/>
    <x v="0"/>
    <n v="1549.9155000000001"/>
  </r>
  <r>
    <s v="SALE1880"/>
    <d v="2024-05-11T00:00:00"/>
    <s v="CUST1024"/>
    <s v="Heather Collins"/>
    <s v="PROD3"/>
    <s v="Clothing"/>
    <s v="STORE1"/>
    <n v="2"/>
    <n v="660.27"/>
    <n v="0.01"/>
    <x v="1"/>
    <n v="1307.3345999999999"/>
  </r>
  <r>
    <s v="SALE1881"/>
    <d v="2025-05-03T00:00:00"/>
    <s v="CUST1434"/>
    <s v="Monique Castro"/>
    <s v="PROD13"/>
    <s v="Electronics"/>
    <s v="STORE8"/>
    <n v="4"/>
    <n v="729.31"/>
    <n v="0.03"/>
    <x v="0"/>
    <n v="2829.7228"/>
  </r>
  <r>
    <s v="SALE1882"/>
    <d v="2024-02-23T00:00:00"/>
    <s v="CUST1421"/>
    <s v="Holly Robinson"/>
    <s v="PROD81"/>
    <s v="Sports"/>
    <s v="STORE6"/>
    <n v="2"/>
    <n v="152.91"/>
    <n v="0.24"/>
    <x v="1"/>
    <n v="232.42320000000001"/>
  </r>
  <r>
    <s v="SALE1883"/>
    <d v="2024-02-22T00:00:00"/>
    <s v="CUST1461"/>
    <s v="Paul Cox"/>
    <s v="PROD65"/>
    <s v="Sports"/>
    <s v="STORE15"/>
    <n v="4"/>
    <n v="592.14"/>
    <n v="0.12"/>
    <x v="2"/>
    <n v="2084.3328000000001"/>
  </r>
  <r>
    <s v="SALE1884"/>
    <d v="2024-08-21T00:00:00"/>
    <s v="CUST1062"/>
    <s v="James Bean"/>
    <s v="PROD84"/>
    <s v="Home"/>
    <s v="STORE12"/>
    <n v="1"/>
    <n v="984.37"/>
    <n v="0"/>
    <x v="1"/>
    <n v="984.37"/>
  </r>
  <r>
    <s v="SALE1885"/>
    <d v="2024-02-07T00:00:00"/>
    <s v="CUST1292"/>
    <s v="Ricardo Jones"/>
    <s v="PROD99"/>
    <s v="Home"/>
    <s v="STORE12"/>
    <n v="2"/>
    <n v="237.59"/>
    <n v="0.12"/>
    <x v="0"/>
    <n v="418.15839999999997"/>
  </r>
  <r>
    <s v="SALE1886"/>
    <d v="2023-11-20T00:00:00"/>
    <s v="CUST1431"/>
    <s v="John Smith"/>
    <s v="PROD94"/>
    <s v="Beauty"/>
    <s v="STORE8"/>
    <n v="1"/>
    <n v="52.06"/>
    <n v="0.27"/>
    <x v="2"/>
    <n v="38.003799999999998"/>
  </r>
  <r>
    <s v="SALE1887"/>
    <d v="2025-02-03T00:00:00"/>
    <s v="CUST1455"/>
    <s v="Tyler Weber"/>
    <s v="PROD83"/>
    <s v="Beauty"/>
    <s v="STORE1"/>
    <n v="2"/>
    <n v="594.63"/>
    <n v="0.12"/>
    <x v="0"/>
    <n v="1046.5488"/>
  </r>
  <r>
    <s v="SALE1888"/>
    <d v="2024-12-18T00:00:00"/>
    <s v="CUST1167"/>
    <s v="Antonio Wade"/>
    <s v="PROD47"/>
    <s v="Beauty"/>
    <s v="STORE0"/>
    <n v="3"/>
    <n v="476.1"/>
    <n v="0.05"/>
    <x v="2"/>
    <n v="1356.885"/>
  </r>
  <r>
    <s v="SALE1889"/>
    <d v="2024-08-10T00:00:00"/>
    <s v="CUST1061"/>
    <s v="Kristin Stein"/>
    <s v="PROD51"/>
    <s v="Electronics"/>
    <s v="STORE6"/>
    <n v="1"/>
    <n v="546.47"/>
    <n v="0.08"/>
    <x v="2"/>
    <n v="502.75240000000002"/>
  </r>
  <r>
    <s v="SALE1890"/>
    <d v="2025-04-13T00:00:00"/>
    <s v="CUST1176"/>
    <s v="John Bradford"/>
    <s v="PROD52"/>
    <s v="Sports"/>
    <s v="STORE12"/>
    <n v="1"/>
    <n v="979.49"/>
    <n v="0.19"/>
    <x v="2"/>
    <n v="793.38690000000008"/>
  </r>
  <r>
    <s v="SALE1891"/>
    <d v="2023-12-29T00:00:00"/>
    <s v="CUST1193"/>
    <s v="David Roberts"/>
    <s v="PROD64"/>
    <s v="Beauty"/>
    <s v="STORE2"/>
    <n v="3"/>
    <n v="988.53"/>
    <n v="0.3"/>
    <x v="2"/>
    <n v="2075.913"/>
  </r>
  <r>
    <s v="SALE1892"/>
    <d v="2025-02-16T00:00:00"/>
    <s v="CUST1255"/>
    <s v="Damon Perez"/>
    <s v="PROD72"/>
    <s v="Sports"/>
    <s v="STORE3"/>
    <n v="4"/>
    <n v="849.29"/>
    <n v="0.26"/>
    <x v="0"/>
    <n v="2513.8984"/>
  </r>
  <r>
    <s v="SALE1893"/>
    <d v="2024-01-27T00:00:00"/>
    <s v="CUST1343"/>
    <s v="Ryan Moore"/>
    <s v="PROD17"/>
    <s v="Sports"/>
    <s v="STORE14"/>
    <n v="2"/>
    <n v="452.29"/>
    <n v="0.01"/>
    <x v="2"/>
    <n v="895.53420000000006"/>
  </r>
  <r>
    <s v="SALE1894"/>
    <d v="2024-07-22T00:00:00"/>
    <s v="CUST1445"/>
    <s v="Gene Lee"/>
    <s v="PROD2"/>
    <s v="Clothing"/>
    <s v="STORE18"/>
    <n v="2"/>
    <n v="810.81"/>
    <n v="0.11"/>
    <x v="2"/>
    <n v="1443.2418"/>
  </r>
  <r>
    <s v="SALE1895"/>
    <d v="2024-09-25T00:00:00"/>
    <s v="CUST1031"/>
    <s v="Sarah Vance"/>
    <s v="PROD62"/>
    <s v="Electronics"/>
    <s v="STORE8"/>
    <n v="1"/>
    <n v="846.67"/>
    <n v="0.1"/>
    <x v="2"/>
    <n v="762.00299999999993"/>
  </r>
  <r>
    <s v="SALE1896"/>
    <d v="2024-03-16T00:00:00"/>
    <s v="CUST1017"/>
    <s v="Adam Cruz"/>
    <s v="PROD41"/>
    <s v="Sports"/>
    <s v="STORE6"/>
    <n v="4"/>
    <n v="73.55"/>
    <n v="0.24"/>
    <x v="2"/>
    <n v="223.59200000000001"/>
  </r>
  <r>
    <s v="SALE1897"/>
    <d v="2025-07-23T00:00:00"/>
    <s v="CUST1278"/>
    <s v="Stephen Fowler"/>
    <s v="PROD88"/>
    <s v="Sports"/>
    <s v="STORE6"/>
    <n v="1"/>
    <n v="882.03"/>
    <n v="0.04"/>
    <x v="2"/>
    <n v="846.74879999999996"/>
  </r>
  <r>
    <s v="SALE1898"/>
    <d v="2024-10-24T00:00:00"/>
    <s v="CUST1008"/>
    <s v="Melissa Howard"/>
    <s v="PROD30"/>
    <s v="Home"/>
    <s v="STORE14"/>
    <n v="1"/>
    <n v="958.44"/>
    <n v="0.21"/>
    <x v="0"/>
    <n v="757.16760000000011"/>
  </r>
  <r>
    <s v="SALE1899"/>
    <d v="2024-09-25T00:00:00"/>
    <s v="CUST1008"/>
    <s v="Melissa Howard"/>
    <s v="PROD30"/>
    <s v="Home"/>
    <s v="STORE2"/>
    <n v="1"/>
    <n v="716.29"/>
    <n v="0.01"/>
    <x v="1"/>
    <n v="709.12709999999993"/>
  </r>
  <r>
    <s v="SALE1900"/>
    <d v="2024-04-26T00:00:00"/>
    <s v="CUST1323"/>
    <s v="Kristy Dunlap"/>
    <s v="PROD49"/>
    <s v="Beauty"/>
    <s v="STORE16"/>
    <n v="2"/>
    <n v="409.14"/>
    <n v="0.01"/>
    <x v="1"/>
    <n v="810.09719999999993"/>
  </r>
  <r>
    <s v="SALE1901"/>
    <d v="2025-02-26T00:00:00"/>
    <s v="CUST1084"/>
    <s v="Christy Hoffman"/>
    <s v="PROD25"/>
    <s v="Clothing"/>
    <s v="STORE9"/>
    <n v="4"/>
    <n v="261.73"/>
    <n v="0.1"/>
    <x v="1"/>
    <n v="942.22800000000007"/>
  </r>
  <r>
    <s v="SALE1902"/>
    <d v="2025-01-04T00:00:00"/>
    <s v="CUST1466"/>
    <s v="Cynthia Parrish"/>
    <s v="PROD48"/>
    <s v="Electronics"/>
    <s v="STORE0"/>
    <n v="2"/>
    <n v="687.35"/>
    <n v="0.2"/>
    <x v="2"/>
    <n v="1099.76"/>
  </r>
  <r>
    <s v="SALE1903"/>
    <d v="2025-09-21T00:00:00"/>
    <s v="CUST1207"/>
    <s v="Jacqueline Pacheco"/>
    <s v="PROD96"/>
    <s v="Clothing"/>
    <s v="STORE8"/>
    <n v="2"/>
    <n v="30.14"/>
    <n v="0.21"/>
    <x v="0"/>
    <n v="47.621200000000002"/>
  </r>
  <r>
    <s v="SALE1904"/>
    <d v="2024-12-25T00:00:00"/>
    <s v="CUST1099"/>
    <s v="Sheila Wilson"/>
    <s v="PROD26"/>
    <s v="Electronics"/>
    <s v="STORE8"/>
    <n v="3"/>
    <n v="570.12"/>
    <n v="0.12"/>
    <x v="1"/>
    <n v="1505.1168"/>
  </r>
  <r>
    <s v="SALE1905"/>
    <d v="2025-08-14T00:00:00"/>
    <s v="CUST1281"/>
    <s v="Brittany Watson"/>
    <s v="PROD55"/>
    <s v="Home"/>
    <s v="STORE19"/>
    <n v="3"/>
    <n v="401.87"/>
    <n v="0.28999999999999998"/>
    <x v="2"/>
    <n v="855.98310000000004"/>
  </r>
  <r>
    <s v="SALE1906"/>
    <d v="2024-11-28T00:00:00"/>
    <s v="CUST1496"/>
    <s v="Christopher Ford"/>
    <s v="PROD51"/>
    <s v="Electronics"/>
    <s v="STORE12"/>
    <n v="4"/>
    <n v="619.35"/>
    <n v="0.3"/>
    <x v="0"/>
    <n v="1734.18"/>
  </r>
  <r>
    <s v="SALE1907"/>
    <d v="2023-12-16T00:00:00"/>
    <s v="CUST1247"/>
    <s v="Douglas Rhodes"/>
    <s v="PROD10"/>
    <s v="Home"/>
    <s v="STORE17"/>
    <n v="4"/>
    <n v="569.36"/>
    <n v="0.27"/>
    <x v="1"/>
    <n v="1662.5311999999999"/>
  </r>
  <r>
    <s v="SALE1908"/>
    <d v="2024-02-22T00:00:00"/>
    <s v="CUST1476"/>
    <s v="Elizabeth Foster"/>
    <s v="PROD69"/>
    <s v="Clothing"/>
    <s v="STORE4"/>
    <n v="2"/>
    <n v="846.35"/>
    <n v="0.3"/>
    <x v="2"/>
    <n v="1184.8900000000001"/>
  </r>
  <r>
    <s v="SALE1909"/>
    <d v="2025-07-11T00:00:00"/>
    <s v="CUST1434"/>
    <s v="Monique Castro"/>
    <s v="PROD13"/>
    <s v="Electronics"/>
    <s v="STORE2"/>
    <n v="1"/>
    <n v="788.45"/>
    <n v="0.28999999999999998"/>
    <x v="1"/>
    <n v="559.79949999999997"/>
  </r>
  <r>
    <s v="SALE1910"/>
    <d v="2025-08-11T00:00:00"/>
    <s v="CUST1360"/>
    <s v="Denise Tate"/>
    <s v="PROD73"/>
    <s v="Sports"/>
    <s v="STORE12"/>
    <n v="2"/>
    <n v="338.81"/>
    <n v="7.0000000000000007E-2"/>
    <x v="2"/>
    <n v="630.1866"/>
  </r>
  <r>
    <s v="SALE1911"/>
    <d v="2025-09-07T00:00:00"/>
    <s v="CUST1026"/>
    <s v="Amber Carlson"/>
    <s v="PROD1"/>
    <s v="Clothing"/>
    <s v="STORE5"/>
    <n v="4"/>
    <n v="94.48"/>
    <n v="0.06"/>
    <x v="2"/>
    <n v="355.2448"/>
  </r>
  <r>
    <s v="SALE1912"/>
    <d v="2024-09-10T00:00:00"/>
    <s v="CUST1477"/>
    <s v="Andrea Harris"/>
    <s v="PROD76"/>
    <s v="Electronics"/>
    <s v="STORE13"/>
    <n v="3"/>
    <n v="941.85"/>
    <n v="0.16"/>
    <x v="1"/>
    <n v="2373.462"/>
  </r>
  <r>
    <s v="SALE1913"/>
    <d v="2023-11-27T00:00:00"/>
    <s v="CUST1161"/>
    <s v="Cynthia Morris"/>
    <s v="PROD97"/>
    <s v="Sports"/>
    <s v="STORE5"/>
    <n v="2"/>
    <n v="336.97"/>
    <n v="0.14000000000000001"/>
    <x v="1"/>
    <n v="579.58840000000009"/>
  </r>
  <r>
    <s v="SALE1914"/>
    <d v="2024-06-23T00:00:00"/>
    <s v="CUST1310"/>
    <s v="Kara Dodson"/>
    <s v="PROD17"/>
    <s v="Sports"/>
    <s v="STORE5"/>
    <n v="2"/>
    <n v="344.16"/>
    <n v="0.09"/>
    <x v="1"/>
    <n v="626.37120000000004"/>
  </r>
  <r>
    <s v="SALE1915"/>
    <d v="2025-07-09T00:00:00"/>
    <s v="CUST1300"/>
    <s v="Matthew Avery"/>
    <s v="PROD36"/>
    <s v="Clothing"/>
    <s v="STORE9"/>
    <n v="1"/>
    <n v="841.53"/>
    <n v="0.15"/>
    <x v="0"/>
    <n v="715.30049999999994"/>
  </r>
  <r>
    <s v="SALE1916"/>
    <d v="2025-06-17T00:00:00"/>
    <s v="CUST1424"/>
    <s v="Edwin Barnes"/>
    <s v="PROD92"/>
    <s v="Home"/>
    <s v="STORE17"/>
    <n v="3"/>
    <n v="63.36"/>
    <n v="0.28999999999999998"/>
    <x v="2"/>
    <n v="134.95679999999999"/>
  </r>
  <r>
    <s v="SALE1917"/>
    <d v="2025-07-01T00:00:00"/>
    <s v="CUST1496"/>
    <s v="Christopher Ford"/>
    <s v="PROD51"/>
    <s v="Electronics"/>
    <s v="STORE8"/>
    <n v="2"/>
    <n v="552.49"/>
    <n v="0.1"/>
    <x v="0"/>
    <n v="994.48200000000008"/>
  </r>
  <r>
    <s v="SALE1918"/>
    <d v="2025-03-04T00:00:00"/>
    <s v="CUST1236"/>
    <s v="Joshua Wilson"/>
    <s v="PROD16"/>
    <s v="Beauty"/>
    <s v="STORE6"/>
    <n v="3"/>
    <n v="447.38"/>
    <n v="0.03"/>
    <x v="0"/>
    <n v="1301.8758"/>
  </r>
  <r>
    <s v="SALE1919"/>
    <d v="2023-11-20T00:00:00"/>
    <s v="CUST1450"/>
    <s v="Shane Mills"/>
    <s v="PROD63"/>
    <s v="Beauty"/>
    <s v="STORE19"/>
    <n v="1"/>
    <n v="727.7"/>
    <n v="0.21"/>
    <x v="2"/>
    <n v="574.88300000000004"/>
  </r>
  <r>
    <s v="SALE1920"/>
    <d v="2023-11-28T00:00:00"/>
    <s v="CUST1436"/>
    <s v="Sharon Simpson"/>
    <s v="PROD52"/>
    <s v="Sports"/>
    <s v="STORE7"/>
    <n v="4"/>
    <n v="581.34"/>
    <n v="0.08"/>
    <x v="0"/>
    <n v="2139.3312000000001"/>
  </r>
  <r>
    <s v="SALE1921"/>
    <d v="2025-05-16T00:00:00"/>
    <s v="CUST1096"/>
    <s v="Samantha Walker"/>
    <s v="PROD65"/>
    <s v="Sports"/>
    <s v="STORE1"/>
    <n v="1"/>
    <n v="338.83"/>
    <n v="0.19"/>
    <x v="1"/>
    <n v="274.45229999999998"/>
  </r>
  <r>
    <s v="SALE1922"/>
    <d v="2023-12-05T00:00:00"/>
    <s v="CUST1285"/>
    <s v="Donna Guerra"/>
    <s v="PROD6"/>
    <s v="Beauty"/>
    <s v="STORE13"/>
    <n v="4"/>
    <n v="568.80999999999995"/>
    <n v="0.25"/>
    <x v="0"/>
    <n v="1706.43"/>
  </r>
  <r>
    <s v="SALE1923"/>
    <d v="2024-11-11T00:00:00"/>
    <s v="CUST1375"/>
    <s v="Joshua Bell"/>
    <s v="PROD28"/>
    <s v="Sports"/>
    <s v="STORE17"/>
    <n v="2"/>
    <n v="352.63"/>
    <n v="0.15"/>
    <x v="1"/>
    <n v="599.471"/>
  </r>
  <r>
    <s v="SALE1924"/>
    <d v="2024-03-31T00:00:00"/>
    <s v="CUST1156"/>
    <s v="Maria Sanchez"/>
    <s v="PROD49"/>
    <s v="Beauty"/>
    <s v="STORE13"/>
    <n v="2"/>
    <n v="629.86"/>
    <n v="0.15"/>
    <x v="1"/>
    <n v="1070.7619999999999"/>
  </r>
  <r>
    <s v="SALE1925"/>
    <d v="2025-05-16T00:00:00"/>
    <s v="CUST1493"/>
    <s v="Amanda Powell"/>
    <s v="PROD59"/>
    <s v="Beauty"/>
    <s v="STORE3"/>
    <n v="3"/>
    <n v="212.08"/>
    <n v="7.0000000000000007E-2"/>
    <x v="0"/>
    <n v="591.70319999999992"/>
  </r>
  <r>
    <s v="SALE1926"/>
    <d v="2024-10-25T00:00:00"/>
    <s v="CUST1161"/>
    <s v="Cynthia Morris"/>
    <s v="PROD97"/>
    <s v="Sports"/>
    <s v="STORE2"/>
    <n v="3"/>
    <n v="878.62"/>
    <n v="0.05"/>
    <x v="1"/>
    <n v="2504.067"/>
  </r>
  <r>
    <s v="SALE1927"/>
    <d v="2025-01-22T00:00:00"/>
    <s v="CUST1261"/>
    <s v="Carol Bishop"/>
    <s v="PROD42"/>
    <s v="Electronics"/>
    <s v="STORE10"/>
    <n v="4"/>
    <n v="87.83"/>
    <n v="0.23"/>
    <x v="1"/>
    <n v="270.51639999999998"/>
  </r>
  <r>
    <s v="SALE1928"/>
    <d v="2025-06-06T00:00:00"/>
    <s v="CUST1275"/>
    <s v="Shannon Miller"/>
    <s v="PROD69"/>
    <s v="Clothing"/>
    <s v="STORE9"/>
    <n v="3"/>
    <n v="442.64"/>
    <n v="0.15"/>
    <x v="2"/>
    <n v="1128.732"/>
  </r>
  <r>
    <s v="SALE1929"/>
    <d v="2025-05-18T00:00:00"/>
    <s v="CUST1093"/>
    <s v="Christy Vasquez"/>
    <s v="PROD5"/>
    <s v="Clothing"/>
    <s v="STORE2"/>
    <n v="3"/>
    <n v="410.04"/>
    <n v="0.09"/>
    <x v="2"/>
    <n v="1119.4092000000001"/>
  </r>
  <r>
    <s v="SALE1930"/>
    <d v="2025-05-20T00:00:00"/>
    <s v="CUST1133"/>
    <s v="Hayley Pope"/>
    <s v="PROD36"/>
    <s v="Clothing"/>
    <s v="STORE17"/>
    <n v="1"/>
    <n v="355.31"/>
    <n v="0.27"/>
    <x v="0"/>
    <n v="259.37630000000001"/>
  </r>
  <r>
    <s v="SALE1931"/>
    <d v="2024-11-11T00:00:00"/>
    <s v="CUST1376"/>
    <s v="Michele Burke"/>
    <s v="PROD85"/>
    <s v="Clothing"/>
    <s v="STORE13"/>
    <n v="4"/>
    <n v="243.13"/>
    <n v="0.25"/>
    <x v="2"/>
    <n v="729.39"/>
  </r>
  <r>
    <s v="SALE1932"/>
    <d v="2024-11-18T00:00:00"/>
    <s v="CUST1229"/>
    <s v="Tanner Thompson"/>
    <s v="PROD52"/>
    <s v="Sports"/>
    <s v="STORE11"/>
    <n v="2"/>
    <n v="410.63"/>
    <n v="0.28000000000000003"/>
    <x v="2"/>
    <n v="591.30719999999997"/>
  </r>
  <r>
    <s v="SALE1933"/>
    <d v="2024-01-02T00:00:00"/>
    <s v="CUST1425"/>
    <s v="Bryce Hawkins"/>
    <s v="PROD75"/>
    <s v="Clothing"/>
    <s v="STORE10"/>
    <n v="4"/>
    <n v="101.25"/>
    <n v="0.16"/>
    <x v="1"/>
    <n v="340.2"/>
  </r>
  <r>
    <s v="SALE1934"/>
    <d v="2024-01-10T00:00:00"/>
    <s v="CUST1226"/>
    <s v="Alexis Castaneda"/>
    <s v="PROD49"/>
    <s v="Beauty"/>
    <s v="STORE17"/>
    <n v="4"/>
    <n v="716.39"/>
    <n v="0.03"/>
    <x v="1"/>
    <n v="2779.5931999999998"/>
  </r>
  <r>
    <s v="SALE1935"/>
    <d v="2024-01-20T00:00:00"/>
    <s v="CUST1094"/>
    <s v="David Patterson"/>
    <s v="PROD39"/>
    <s v="Electronics"/>
    <s v="STORE1"/>
    <n v="1"/>
    <n v="721.74"/>
    <n v="0.24"/>
    <x v="1"/>
    <n v="548.52240000000006"/>
  </r>
  <r>
    <s v="SALE1936"/>
    <d v="2025-02-14T00:00:00"/>
    <s v="CUST1054"/>
    <s v="Katherine Dorsey"/>
    <s v="PROD88"/>
    <s v="Sports"/>
    <s v="STORE11"/>
    <n v="2"/>
    <n v="527.91"/>
    <n v="0.02"/>
    <x v="0"/>
    <n v="1034.7036000000001"/>
  </r>
  <r>
    <s v="SALE1937"/>
    <d v="2024-08-21T00:00:00"/>
    <s v="CUST1319"/>
    <s v="Casey Simpson"/>
    <s v="PROD49"/>
    <s v="Beauty"/>
    <s v="STORE13"/>
    <n v="2"/>
    <n v="945.92"/>
    <n v="0.19"/>
    <x v="2"/>
    <n v="1532.3904"/>
  </r>
  <r>
    <s v="SALE1938"/>
    <d v="2025-05-03T00:00:00"/>
    <s v="CUST1081"/>
    <s v="Krystal Ford"/>
    <s v="PROD45"/>
    <s v="Sports"/>
    <s v="STORE17"/>
    <n v="2"/>
    <n v="981.35"/>
    <n v="0.16"/>
    <x v="1"/>
    <n v="1648.6679999999999"/>
  </r>
  <r>
    <s v="SALE1939"/>
    <d v="2025-06-11T00:00:00"/>
    <s v="CUST1223"/>
    <s v="Robert Harris"/>
    <s v="PROD72"/>
    <s v="Sports"/>
    <s v="STORE3"/>
    <n v="1"/>
    <n v="913.99"/>
    <n v="0.14000000000000001"/>
    <x v="0"/>
    <n v="786.03139999999996"/>
  </r>
  <r>
    <s v="SALE1940"/>
    <d v="2025-07-25T00:00:00"/>
    <s v="CUST1011"/>
    <s v="Brian Lopez"/>
    <s v="PROD31"/>
    <s v="Sports"/>
    <s v="STORE8"/>
    <n v="4"/>
    <n v="270.69"/>
    <n v="0.18"/>
    <x v="1"/>
    <n v="887.86320000000001"/>
  </r>
  <r>
    <s v="SALE1941"/>
    <d v="2025-01-30T00:00:00"/>
    <s v="CUST1161"/>
    <s v="Cynthia Morris"/>
    <s v="PROD97"/>
    <s v="Sports"/>
    <s v="STORE6"/>
    <n v="3"/>
    <n v="998.58"/>
    <n v="0.02"/>
    <x v="0"/>
    <n v="2935.8252000000002"/>
  </r>
  <r>
    <s v="SALE1942"/>
    <d v="2025-05-29T00:00:00"/>
    <s v="CUST1456"/>
    <s v="Julie Powell"/>
    <s v="PROD88"/>
    <s v="Sports"/>
    <s v="STORE9"/>
    <n v="3"/>
    <n v="765.12"/>
    <n v="0.18"/>
    <x v="0"/>
    <n v="1882.1952000000001"/>
  </r>
  <r>
    <s v="SALE1943"/>
    <d v="2023-10-17T00:00:00"/>
    <s v="CUST1072"/>
    <s v="Tonya Burch"/>
    <s v="PROD26"/>
    <s v="Electronics"/>
    <s v="STORE19"/>
    <n v="3"/>
    <n v="449.99"/>
    <n v="0.17"/>
    <x v="2"/>
    <n v="1120.4751000000001"/>
  </r>
  <r>
    <s v="SALE1944"/>
    <d v="2024-12-13T00:00:00"/>
    <s v="CUST1252"/>
    <s v="John Mccoy"/>
    <s v="PROD13"/>
    <s v="Electronics"/>
    <s v="STORE11"/>
    <n v="2"/>
    <n v="249.02"/>
    <n v="0.01"/>
    <x v="2"/>
    <n v="493.05959999999999"/>
  </r>
  <r>
    <s v="SALE1945"/>
    <d v="2024-06-11T00:00:00"/>
    <s v="CUST1137"/>
    <s v="Rick Dominguez"/>
    <s v="PROD26"/>
    <s v="Electronics"/>
    <s v="STORE19"/>
    <n v="3"/>
    <n v="223.64"/>
    <n v="0.05"/>
    <x v="0"/>
    <n v="637.37399999999991"/>
  </r>
  <r>
    <s v="SALE1946"/>
    <d v="2025-10-04T00:00:00"/>
    <s v="CUST1106"/>
    <s v="Howard Summers"/>
    <s v="PROD65"/>
    <s v="Sports"/>
    <s v="STORE4"/>
    <n v="2"/>
    <n v="92.94"/>
    <n v="0.12"/>
    <x v="0"/>
    <n v="163.5744"/>
  </r>
  <r>
    <s v="SALE1947"/>
    <d v="2024-04-19T00:00:00"/>
    <s v="CUST1361"/>
    <s v="Natalie Johnson"/>
    <s v="PROD76"/>
    <s v="Electronics"/>
    <s v="STORE2"/>
    <n v="4"/>
    <n v="268.3"/>
    <n v="0.02"/>
    <x v="2"/>
    <n v="1051.7360000000001"/>
  </r>
  <r>
    <s v="SALE1948"/>
    <d v="2025-04-23T00:00:00"/>
    <s v="CUST1442"/>
    <s v="Kelli Smith"/>
    <s v="PROD56"/>
    <s v="Home"/>
    <s v="STORE19"/>
    <n v="4"/>
    <n v="835.61"/>
    <n v="0.03"/>
    <x v="0"/>
    <n v="3242.1668"/>
  </r>
  <r>
    <s v="SALE1949"/>
    <d v="2024-04-23T00:00:00"/>
    <s v="CUST1382"/>
    <s v="Martha Brown"/>
    <s v="PROD4"/>
    <s v="Clothing"/>
    <s v="STORE5"/>
    <n v="3"/>
    <n v="120.97"/>
    <n v="0.11"/>
    <x v="0"/>
    <n v="322.98989999999998"/>
  </r>
  <r>
    <s v="SALE1950"/>
    <d v="2024-05-12T00:00:00"/>
    <s v="CUST1030"/>
    <s v="Jessica Acevedo"/>
    <s v="PROD35"/>
    <s v="Home"/>
    <s v="STORE9"/>
    <n v="2"/>
    <n v="26.36"/>
    <n v="0.03"/>
    <x v="2"/>
    <n v="51.138399999999997"/>
  </r>
  <r>
    <s v="SALE1951"/>
    <d v="2025-08-12T00:00:00"/>
    <s v="CUST1033"/>
    <s v="Robert Jones Dds"/>
    <s v="PROD46"/>
    <s v="Clothing"/>
    <s v="STORE6"/>
    <n v="1"/>
    <n v="918.87"/>
    <n v="0.11"/>
    <x v="1"/>
    <n v="817.79430000000002"/>
  </r>
  <r>
    <s v="SALE1952"/>
    <d v="2025-05-17T00:00:00"/>
    <s v="CUST1031"/>
    <s v="Sarah Vance"/>
    <s v="PROD62"/>
    <s v="Electronics"/>
    <s v="STORE11"/>
    <n v="2"/>
    <n v="924.73"/>
    <n v="0.28999999999999998"/>
    <x v="1"/>
    <n v="1313.1166000000001"/>
  </r>
  <r>
    <s v="SALE1953"/>
    <d v="2025-01-08T00:00:00"/>
    <s v="CUST1021"/>
    <s v="Jeff Martinez"/>
    <s v="PROD26"/>
    <s v="Electronics"/>
    <s v="STORE10"/>
    <n v="3"/>
    <n v="195.31"/>
    <n v="0.13"/>
    <x v="2"/>
    <n v="509.75909999999999"/>
  </r>
  <r>
    <s v="SALE1954"/>
    <d v="2025-05-16T00:00:00"/>
    <s v="CUST1142"/>
    <s v="Maria Ramirez"/>
    <s v="PROD69"/>
    <s v="Clothing"/>
    <s v="STORE8"/>
    <n v="1"/>
    <n v="91.38"/>
    <n v="0.14000000000000001"/>
    <x v="0"/>
    <n v="78.586799999999997"/>
  </r>
  <r>
    <s v="SALE1955"/>
    <d v="2024-09-28T00:00:00"/>
    <s v="CUST1483"/>
    <s v="Sarah Smith"/>
    <s v="PROD12"/>
    <s v="Beauty"/>
    <s v="STORE11"/>
    <n v="2"/>
    <n v="494.35"/>
    <n v="0.1"/>
    <x v="0"/>
    <n v="889.83"/>
  </r>
  <r>
    <s v="SALE1956"/>
    <d v="2024-10-12T00:00:00"/>
    <s v="CUST1255"/>
    <s v="Damon Perez"/>
    <s v="PROD72"/>
    <s v="Sports"/>
    <s v="STORE10"/>
    <n v="1"/>
    <n v="412.2"/>
    <n v="0.11"/>
    <x v="0"/>
    <n v="366.858"/>
  </r>
  <r>
    <s v="SALE1957"/>
    <d v="2024-06-23T00:00:00"/>
    <s v="CUST1394"/>
    <s v="Alejandro Evans"/>
    <s v="PROD89"/>
    <s v="Beauty"/>
    <s v="STORE16"/>
    <n v="1"/>
    <n v="650.47"/>
    <n v="0.13"/>
    <x v="1"/>
    <n v="565.90890000000002"/>
  </r>
  <r>
    <s v="SALE1958"/>
    <d v="2023-11-26T00:00:00"/>
    <s v="CUST1155"/>
    <s v="Curtis Haynes"/>
    <s v="PROD72"/>
    <s v="Sports"/>
    <s v="STORE12"/>
    <n v="1"/>
    <n v="68.209999999999994"/>
    <n v="0.05"/>
    <x v="1"/>
    <n v="64.799499999999995"/>
  </r>
  <r>
    <s v="SALE1959"/>
    <d v="2025-08-17T00:00:00"/>
    <s v="CUST1135"/>
    <s v="Matthew Hanna"/>
    <s v="PROD44"/>
    <s v="Sports"/>
    <s v="STORE7"/>
    <n v="2"/>
    <n v="842.89"/>
    <n v="0.25"/>
    <x v="2"/>
    <n v="1264.335"/>
  </r>
  <r>
    <s v="SALE1960"/>
    <d v="2024-04-08T00:00:00"/>
    <s v="CUST1300"/>
    <s v="Matthew Avery"/>
    <s v="PROD36"/>
    <s v="Clothing"/>
    <s v="STORE4"/>
    <n v="2"/>
    <n v="227.95"/>
    <n v="0.24"/>
    <x v="2"/>
    <n v="346.48399999999998"/>
  </r>
  <r>
    <s v="SALE1961"/>
    <d v="2024-04-06T00:00:00"/>
    <s v="CUST1192"/>
    <s v="Jacob Wood"/>
    <s v="PROD46"/>
    <s v="Clothing"/>
    <s v="STORE12"/>
    <n v="3"/>
    <n v="685.97"/>
    <n v="0.24"/>
    <x v="1"/>
    <n v="1564.0116"/>
  </r>
  <r>
    <s v="SALE1962"/>
    <d v="2025-05-16T00:00:00"/>
    <s v="CUST1365"/>
    <s v="Brandon Mcbride"/>
    <s v="PROD45"/>
    <s v="Sports"/>
    <s v="STORE2"/>
    <n v="1"/>
    <n v="722.57"/>
    <n v="0.18"/>
    <x v="0"/>
    <n v="592.50740000000008"/>
  </r>
  <r>
    <s v="SALE1963"/>
    <d v="2024-11-19T00:00:00"/>
    <s v="CUST1140"/>
    <s v="Patty Francis"/>
    <s v="PROD35"/>
    <s v="Home"/>
    <s v="STORE5"/>
    <n v="3"/>
    <n v="585.54999999999995"/>
    <n v="0.14000000000000001"/>
    <x v="2"/>
    <n v="1510.7190000000001"/>
  </r>
  <r>
    <s v="SALE1964"/>
    <d v="2025-01-09T00:00:00"/>
    <s v="CUST1309"/>
    <s v="Stacy Collins"/>
    <s v="PROD61"/>
    <s v="Sports"/>
    <s v="STORE13"/>
    <n v="2"/>
    <n v="635.80999999999995"/>
    <n v="0.13"/>
    <x v="1"/>
    <n v="1106.3094000000001"/>
  </r>
  <r>
    <s v="SALE1965"/>
    <d v="2024-12-18T00:00:00"/>
    <s v="CUST1277"/>
    <s v="Jeffrey Gomez"/>
    <s v="PROD93"/>
    <s v="Electronics"/>
    <s v="STORE4"/>
    <n v="2"/>
    <n v="353.74"/>
    <n v="0.01"/>
    <x v="0"/>
    <n v="700.40520000000004"/>
  </r>
  <r>
    <s v="SALE1966"/>
    <d v="2024-12-22T00:00:00"/>
    <s v="CUST1264"/>
    <s v="Matthew Payne"/>
    <s v="PROD22"/>
    <s v="Sports"/>
    <s v="STORE7"/>
    <n v="1"/>
    <n v="377.52"/>
    <n v="0.15"/>
    <x v="0"/>
    <n v="320.892"/>
  </r>
  <r>
    <s v="SALE1967"/>
    <d v="2024-07-27T00:00:00"/>
    <s v="CUST1205"/>
    <s v="Michelle Carpenter"/>
    <s v="PROD84"/>
    <s v="Home"/>
    <s v="STORE2"/>
    <n v="3"/>
    <n v="901.49"/>
    <n v="0"/>
    <x v="0"/>
    <n v="2704.47"/>
  </r>
  <r>
    <s v="SALE1968"/>
    <d v="2025-05-29T00:00:00"/>
    <s v="CUST1200"/>
    <s v="Anna Perez"/>
    <s v="PROD77"/>
    <s v="Electronics"/>
    <s v="STORE5"/>
    <n v="1"/>
    <n v="563.01"/>
    <n v="0.1"/>
    <x v="0"/>
    <n v="506.709"/>
  </r>
  <r>
    <s v="SALE1969"/>
    <d v="2024-03-14T00:00:00"/>
    <s v="CUST1052"/>
    <s v="Debra Liu"/>
    <s v="PROD51"/>
    <s v="Electronics"/>
    <s v="STORE6"/>
    <n v="4"/>
    <n v="167.25"/>
    <n v="0.11"/>
    <x v="0"/>
    <n v="595.41"/>
  </r>
  <r>
    <s v="SALE1970"/>
    <d v="2023-10-30T00:00:00"/>
    <s v="CUST1454"/>
    <s v="John Berg"/>
    <s v="PROD60"/>
    <s v="Beauty"/>
    <s v="STORE18"/>
    <n v="3"/>
    <n v="345.43"/>
    <n v="0.08"/>
    <x v="2"/>
    <n v="953.38679999999999"/>
  </r>
  <r>
    <s v="SALE1971"/>
    <d v="2024-02-27T00:00:00"/>
    <s v="CUST1308"/>
    <s v="Jennifer Zamora"/>
    <s v="PROD14"/>
    <s v="Home"/>
    <s v="STORE9"/>
    <n v="4"/>
    <n v="752.48"/>
    <n v="0.23"/>
    <x v="0"/>
    <n v="2317.6383999999998"/>
  </r>
  <r>
    <s v="SALE1972"/>
    <d v="2025-08-17T00:00:00"/>
    <s v="CUST1449"/>
    <s v="William Cortez"/>
    <s v="PROD98"/>
    <s v="Electronics"/>
    <s v="STORE19"/>
    <n v="1"/>
    <n v="120.02"/>
    <n v="0.26"/>
    <x v="0"/>
    <n v="88.814799999999991"/>
  </r>
  <r>
    <s v="SALE1973"/>
    <d v="2024-03-08T00:00:00"/>
    <s v="CUST1323"/>
    <s v="Kristy Dunlap"/>
    <s v="PROD49"/>
    <s v="Beauty"/>
    <s v="STORE8"/>
    <n v="3"/>
    <n v="146.71"/>
    <n v="0.28000000000000003"/>
    <x v="0"/>
    <n v="316.89359999999999"/>
  </r>
  <r>
    <s v="SALE1974"/>
    <d v="2025-03-14T00:00:00"/>
    <s v="CUST1082"/>
    <s v="George Rosario"/>
    <s v="PROD92"/>
    <s v="Home"/>
    <s v="STORE0"/>
    <n v="2"/>
    <n v="358.87"/>
    <n v="0.24"/>
    <x v="0"/>
    <n v="545.48239999999998"/>
  </r>
  <r>
    <s v="SALE1975"/>
    <d v="2024-06-13T00:00:00"/>
    <s v="CUST1241"/>
    <s v="Mr. William Horton"/>
    <s v="PROD15"/>
    <s v="Electronics"/>
    <s v="STORE3"/>
    <n v="4"/>
    <n v="212.75"/>
    <n v="0.11"/>
    <x v="2"/>
    <n v="757.39"/>
  </r>
  <r>
    <s v="SALE1976"/>
    <d v="2024-06-07T00:00:00"/>
    <s v="CUST1327"/>
    <s v="Reginald Willis"/>
    <s v="PROD1"/>
    <s v="Clothing"/>
    <s v="STORE11"/>
    <n v="1"/>
    <n v="183.47"/>
    <n v="0.17"/>
    <x v="1"/>
    <n v="152.2801"/>
  </r>
  <r>
    <s v="SALE1977"/>
    <d v="2024-07-20T00:00:00"/>
    <s v="CUST1068"/>
    <s v="Mr. Mark Beasley"/>
    <s v="PROD52"/>
    <s v="Sports"/>
    <s v="STORE15"/>
    <n v="4"/>
    <n v="569.98"/>
    <n v="0.23"/>
    <x v="0"/>
    <n v="1755.5383999999999"/>
  </r>
  <r>
    <s v="SALE1978"/>
    <d v="2023-12-14T00:00:00"/>
    <s v="CUST1472"/>
    <s v="Philip Mendoza"/>
    <s v="PROD34"/>
    <s v="Electronics"/>
    <s v="STORE12"/>
    <n v="3"/>
    <n v="984.12"/>
    <n v="0.27"/>
    <x v="0"/>
    <n v="2155.2228"/>
  </r>
  <r>
    <s v="SALE1979"/>
    <d v="2025-07-06T00:00:00"/>
    <s v="CUST1473"/>
    <s v="Laura Mathews"/>
    <s v="PROD50"/>
    <s v="Sports"/>
    <s v="STORE8"/>
    <n v="1"/>
    <n v="905.23"/>
    <n v="0"/>
    <x v="0"/>
    <n v="905.23"/>
  </r>
  <r>
    <s v="SALE1980"/>
    <d v="2023-12-04T00:00:00"/>
    <s v="CUST1186"/>
    <s v="Jennifer Pruitt"/>
    <s v="PROD67"/>
    <s v="Electronics"/>
    <s v="STORE19"/>
    <n v="3"/>
    <n v="112.77"/>
    <n v="0.19"/>
    <x v="0"/>
    <n v="274.03109999999998"/>
  </r>
  <r>
    <s v="SALE1981"/>
    <d v="2025-04-26T00:00:00"/>
    <s v="CUST1161"/>
    <s v="Cynthia Morris"/>
    <s v="PROD97"/>
    <s v="Sports"/>
    <s v="STORE8"/>
    <n v="3"/>
    <n v="875.99"/>
    <n v="0.09"/>
    <x v="1"/>
    <n v="2391.4526999999998"/>
  </r>
  <r>
    <s v="SALE1982"/>
    <d v="2024-06-17T00:00:00"/>
    <s v="CUST1128"/>
    <s v="Susan Mcdonald"/>
    <s v="PROD25"/>
    <s v="Clothing"/>
    <s v="STORE10"/>
    <n v="2"/>
    <n v="685.31"/>
    <n v="0.26"/>
    <x v="1"/>
    <n v="1014.2588"/>
  </r>
  <r>
    <s v="SALE1983"/>
    <d v="2024-11-11T00:00:00"/>
    <s v="CUST1052"/>
    <s v="Debra Liu"/>
    <s v="PROD51"/>
    <s v="Electronics"/>
    <s v="STORE11"/>
    <n v="3"/>
    <n v="945.37"/>
    <n v="0.05"/>
    <x v="0"/>
    <n v="2694.3045000000002"/>
  </r>
  <r>
    <s v="SALE1984"/>
    <d v="2023-12-07T00:00:00"/>
    <s v="CUST1023"/>
    <s v="Jonathan Steele"/>
    <s v="PROD68"/>
    <s v="Home"/>
    <s v="STORE19"/>
    <n v="3"/>
    <n v="68.45"/>
    <n v="0.17"/>
    <x v="1"/>
    <n v="170.44049999999999"/>
  </r>
  <r>
    <m/>
    <m/>
    <m/>
    <m/>
    <m/>
    <m/>
    <m/>
    <m/>
    <m/>
    <m/>
    <x v="3"/>
    <n v="2155273.747600000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heena Bonilla  "/>
    <n v="55"/>
    <x v="0"/>
    <x v="0"/>
    <s v="Donaldton"/>
    <s v="North Carolina"/>
    <s v="USA"/>
    <s v="Standard"/>
  </r>
  <r>
    <x v="1"/>
    <s v="Eugene Nelson"/>
    <n v="26"/>
    <x v="1"/>
    <x v="1"/>
    <s v="Phillipsmouth"/>
    <s v="North Dakota"/>
    <s v="USA"/>
    <s v="Platinum"/>
  </r>
  <r>
    <x v="2"/>
    <s v="Dr. Benjamin Price"/>
    <n v="29"/>
    <x v="1"/>
    <x v="1"/>
    <s v="Kylebury"/>
    <s v="Alabama"/>
    <s v="USA"/>
    <s v="Platinum"/>
  </r>
  <r>
    <x v="3"/>
    <s v="Jeremy Harris"/>
    <n v="59"/>
    <x v="0"/>
    <x v="1"/>
    <s v="Thomastown"/>
    <s v="Ohio"/>
    <s v="USA"/>
    <s v="Bronze"/>
  </r>
  <r>
    <x v="4"/>
    <s v="Caroline Collins"/>
    <n v="64"/>
    <x v="0"/>
    <x v="1"/>
    <s v="Nicholasshire"/>
    <s v="California"/>
    <s v="USA"/>
    <s v="Silver"/>
  </r>
  <r>
    <x v="5"/>
    <s v="Christine Vaughn"/>
    <n v="24"/>
    <x v="1"/>
    <x v="0"/>
    <s v="East Amandamouth"/>
    <s v="Oregon"/>
    <s v="USA"/>
    <s v="Bronze"/>
  </r>
  <r>
    <x v="6"/>
    <s v="Amber Jackson"/>
    <n v="29"/>
    <x v="1"/>
    <x v="1"/>
    <s v="Deborahborough"/>
    <s v="South Dakota"/>
    <s v="USA"/>
    <s v="Platinum"/>
  </r>
  <r>
    <x v="7"/>
    <s v="Daniel Boyd"/>
    <n v="29"/>
    <x v="1"/>
    <x v="1"/>
    <s v="West Pamelafurt"/>
    <s v="West Virginia"/>
    <s v="USA"/>
    <s v="Bronze"/>
  </r>
  <r>
    <x v="8"/>
    <s v="Melissa Howard"/>
    <n v="53"/>
    <x v="0"/>
    <x v="1"/>
    <s v="Maynardton"/>
    <s v="New Hampshire"/>
    <s v="USA"/>
    <s v="Gold"/>
  </r>
  <r>
    <x v="9"/>
    <s v="Ms. Maria Leach"/>
    <n v="64"/>
    <x v="0"/>
    <x v="0"/>
    <s v="Melissashire"/>
    <s v="Pennsylvania"/>
    <s v="USA"/>
    <s v="Platinum"/>
  </r>
  <r>
    <x v="10"/>
    <s v="Dominic Page"/>
    <n v="53"/>
    <x v="0"/>
    <x v="0"/>
    <s v="Port Michaelburgh"/>
    <s v="Pennsylvania"/>
    <s v="USA"/>
    <s v="Bronze"/>
  </r>
  <r>
    <x v="11"/>
    <s v="Brian Lopez"/>
    <n v="28"/>
    <x v="1"/>
    <x v="1"/>
    <s v="East Krista"/>
    <s v="New York"/>
    <s v="USA"/>
    <s v="Gold"/>
  </r>
  <r>
    <x v="12"/>
    <s v="Kenneth Lambert"/>
    <n v="55"/>
    <x v="0"/>
    <x v="1"/>
    <s v="North Kathryn"/>
    <s v="Kansas"/>
    <s v="USA"/>
    <s v="Platinum"/>
  </r>
  <r>
    <x v="13"/>
    <s v="Nathan Hernandez"/>
    <n v="32"/>
    <x v="2"/>
    <x v="1"/>
    <s v="New Becky"/>
    <s v="Montana"/>
    <s v="USA"/>
    <s v="Silver"/>
  </r>
  <r>
    <x v="14"/>
    <s v="Ashley Cohen"/>
    <n v="53"/>
    <x v="0"/>
    <x v="1"/>
    <s v="Lake Kristamouth"/>
    <s v="Nebraska"/>
    <s v="USA"/>
    <s v="Silver"/>
  </r>
  <r>
    <x v="15"/>
    <s v="Laura Alvarez"/>
    <n v="49"/>
    <x v="2"/>
    <x v="1"/>
    <s v="Lawsonhaven"/>
    <s v="Washington"/>
    <s v="USA"/>
    <s v="Platinum"/>
  </r>
  <r>
    <x v="16"/>
    <s v="John Scott"/>
    <n v="24"/>
    <x v="1"/>
    <x v="1"/>
    <s v="South Christopher"/>
    <s v="Pennsylvania"/>
    <s v="USA"/>
    <s v="Bronze"/>
  </r>
  <r>
    <x v="17"/>
    <s v="Adam Cruz"/>
    <n v="60"/>
    <x v="0"/>
    <x v="1"/>
    <s v="Brandonville"/>
    <s v="Georgia"/>
    <s v="USA"/>
    <s v="Platinum"/>
  </r>
  <r>
    <x v="18"/>
    <s v="Rhonda Moss"/>
    <n v="43"/>
    <x v="2"/>
    <x v="0"/>
    <s v="South William"/>
    <s v="Kansas"/>
    <s v="USA"/>
    <s v="Standard"/>
  </r>
  <r>
    <x v="19"/>
    <s v="Michael Torres"/>
    <n v="46"/>
    <x v="2"/>
    <x v="1"/>
    <s v="Gonzalezfort"/>
    <s v="New Jersey"/>
    <s v="USA"/>
    <s v="Platinum"/>
  </r>
  <r>
    <x v="20"/>
    <s v="Bridget Allen"/>
    <n v="59"/>
    <x v="0"/>
    <x v="0"/>
    <s v="Lake Shaneburgh"/>
    <s v="Delaware"/>
    <s v="USA"/>
    <s v="Silver"/>
  </r>
  <r>
    <x v="21"/>
    <s v="Jeff Martinez"/>
    <n v="36"/>
    <x v="2"/>
    <x v="1"/>
    <s v="Smithburgh"/>
    <s v="Oklahoma"/>
    <s v="USA"/>
    <s v="Gold"/>
  </r>
  <r>
    <x v="22"/>
    <s v="Paul Fox"/>
    <n v="33"/>
    <x v="2"/>
    <x v="1"/>
    <s v="Michaelton"/>
    <s v="Hawaii"/>
    <s v="USA"/>
    <s v="Silver"/>
  </r>
  <r>
    <x v="23"/>
    <s v="Jonathan Steele"/>
    <n v="52"/>
    <x v="0"/>
    <x v="1"/>
    <s v="Molinabury"/>
    <s v="Oregon"/>
    <s v="USA"/>
    <s v="Silver"/>
  </r>
  <r>
    <x v="24"/>
    <s v="Heather Collins"/>
    <n v="40"/>
    <x v="2"/>
    <x v="0"/>
    <s v="Rogerschester"/>
    <s v="Idaho"/>
    <s v="USA"/>
    <s v="Platinum"/>
  </r>
  <r>
    <x v="25"/>
    <s v="Diana Taylor"/>
    <n v="59"/>
    <x v="0"/>
    <x v="1"/>
    <s v="Vasqueztown"/>
    <s v="California"/>
    <s v="USA"/>
    <s v="Bronze"/>
  </r>
  <r>
    <x v="26"/>
    <s v="Amber Carlson"/>
    <n v="18"/>
    <x v="1"/>
    <x v="1"/>
    <s v="East Michellemouth"/>
    <s v="Missouri"/>
    <s v="USA"/>
    <s v="Gold"/>
  </r>
  <r>
    <x v="27"/>
    <s v="Leslie Johnson"/>
    <n v="31"/>
    <x v="2"/>
    <x v="0"/>
    <s v="Mollyshire"/>
    <s v="Utah"/>
    <s v="USA"/>
    <s v="Standard"/>
  </r>
  <r>
    <x v="28"/>
    <s v="Joshua Ryan"/>
    <n v="27"/>
    <x v="1"/>
    <x v="1"/>
    <s v="New David"/>
    <s v="New Jersey"/>
    <s v="USA"/>
    <s v="Platinum"/>
  </r>
  <r>
    <x v="29"/>
    <s v="David Arnold"/>
    <n v="54"/>
    <x v="0"/>
    <x v="1"/>
    <s v="East Jennifer"/>
    <s v="California"/>
    <s v="USA"/>
    <s v="Silver"/>
  </r>
  <r>
    <x v="30"/>
    <s v="Jessica Acevedo"/>
    <n v="64"/>
    <x v="0"/>
    <x v="1"/>
    <s v="Amybury"/>
    <s v="Pennsylvania"/>
    <s v="USA"/>
    <s v="Bronze"/>
  </r>
  <r>
    <x v="31"/>
    <s v="Sarah Vance"/>
    <n v="41"/>
    <x v="2"/>
    <x v="0"/>
    <s v="Johnsonville"/>
    <s v="Oregon"/>
    <s v="USA"/>
    <s v="Silver"/>
  </r>
  <r>
    <x v="32"/>
    <s v="Mike Jennings"/>
    <n v="48"/>
    <x v="2"/>
    <x v="1"/>
    <s v="Fostermouth"/>
    <s v="Arizona"/>
    <s v="USA"/>
    <s v="Gold"/>
  </r>
  <r>
    <x v="33"/>
    <s v="Robert Jones Dds"/>
    <n v="25"/>
    <x v="1"/>
    <x v="0"/>
    <s v="Tristanton"/>
    <s v="Oklahoma"/>
    <s v="USA"/>
    <s v="Platinum"/>
  </r>
  <r>
    <x v="34"/>
    <s v="Christopher Olson"/>
    <n v="27"/>
    <x v="1"/>
    <x v="1"/>
    <s v="West Richard"/>
    <s v="Maryland"/>
    <s v="USA"/>
    <s v="Platinum"/>
  </r>
  <r>
    <x v="35"/>
    <s v="Rachel Myers"/>
    <n v="52"/>
    <x v="0"/>
    <x v="0"/>
    <s v="Robertberg"/>
    <s v="North Dakota"/>
    <s v="USA"/>
    <s v="Silver"/>
  </r>
  <r>
    <x v="36"/>
    <s v="Thomas Phillips"/>
    <n v="20"/>
    <x v="1"/>
    <x v="1"/>
    <s v="Luisfurt"/>
    <s v="Georgia"/>
    <s v="USA"/>
    <s v="Gold"/>
  </r>
  <r>
    <x v="37"/>
    <s v="Christopher Carter"/>
    <n v="27"/>
    <x v="1"/>
    <x v="1"/>
    <s v="Brendastad"/>
    <s v="South Dakota"/>
    <s v="USA"/>
    <s v="Standard"/>
  </r>
  <r>
    <x v="38"/>
    <s v="Deanna Simpson"/>
    <n v="35"/>
    <x v="2"/>
    <x v="1"/>
    <s v="Brownport"/>
    <s v="North Dakota"/>
    <s v="USA"/>
    <s v="Bronze"/>
  </r>
  <r>
    <x v="39"/>
    <s v="Tonya Reynolds"/>
    <n v="55"/>
    <x v="0"/>
    <x v="1"/>
    <s v="Darleneton"/>
    <s v="Michigan"/>
    <s v="USA"/>
    <s v="Gold"/>
  </r>
  <r>
    <x v="40"/>
    <s v="Eric Vega"/>
    <n v="50"/>
    <x v="2"/>
    <x v="0"/>
    <s v="Williamsonland"/>
    <s v="Kansas"/>
    <s v="USA"/>
    <s v="Gold"/>
  </r>
  <r>
    <x v="41"/>
    <s v="James Gibbs"/>
    <n v="21"/>
    <x v="1"/>
    <x v="0"/>
    <s v="Mooneyshire"/>
    <s v="Alaska"/>
    <s v="USA"/>
    <s v="Platinum"/>
  </r>
  <r>
    <x v="42"/>
    <s v="William Martin"/>
    <n v="19"/>
    <x v="1"/>
    <x v="0"/>
    <s v="Ryanburgh"/>
    <s v="Connecticut"/>
    <s v="USA"/>
    <s v="Platinum"/>
  </r>
  <r>
    <x v="43"/>
    <s v="Joseph Snow"/>
    <n v="45"/>
    <x v="2"/>
    <x v="0"/>
    <s v="South Michaelfort"/>
    <s v="Vermont"/>
    <s v="USA"/>
    <s v="Gold"/>
  </r>
  <r>
    <x v="44"/>
    <s v="Denise Williams"/>
    <n v="34"/>
    <x v="2"/>
    <x v="0"/>
    <s v="Christianstad"/>
    <s v="Hawaii"/>
    <s v="USA"/>
    <s v="Bronze"/>
  </r>
  <r>
    <x v="45"/>
    <s v="Jordan Jackson Dds"/>
    <n v="54"/>
    <x v="0"/>
    <x v="0"/>
    <s v="North Johnview"/>
    <s v="Arizona"/>
    <s v="USA"/>
    <s v="Gold"/>
  </r>
  <r>
    <x v="46"/>
    <s v="Michelle Garcia Dds"/>
    <n v="55"/>
    <x v="0"/>
    <x v="1"/>
    <s v="Perezbury"/>
    <s v="Ohio"/>
    <s v="USA"/>
    <s v="Platinum"/>
  </r>
  <r>
    <x v="47"/>
    <s v="Gina Knight"/>
    <n v="54"/>
    <x v="0"/>
    <x v="1"/>
    <s v="Lake Roberthaven"/>
    <s v="Nevada"/>
    <s v="USA"/>
    <s v="Silver"/>
  </r>
  <r>
    <x v="48"/>
    <s v="April Mullins"/>
    <n v="54"/>
    <x v="0"/>
    <x v="0"/>
    <s v="Dawsonbury"/>
    <s v="North Carolina"/>
    <s v="USA"/>
    <s v="Platinum"/>
  </r>
  <r>
    <x v="49"/>
    <s v="Timothy Weaver"/>
    <n v="45"/>
    <x v="2"/>
    <x v="1"/>
    <s v="New Amy"/>
    <s v="Ohio"/>
    <s v="USA"/>
    <s v="Gold"/>
  </r>
  <r>
    <x v="50"/>
    <s v="Matthew Hunter Jr."/>
    <n v="61"/>
    <x v="0"/>
    <x v="1"/>
    <s v="Gregoryview"/>
    <s v="Illinois"/>
    <s v="USA"/>
    <s v="Gold"/>
  </r>
  <r>
    <x v="51"/>
    <s v="Sarah Rodgers"/>
    <n v="23"/>
    <x v="1"/>
    <x v="1"/>
    <s v="New Julia"/>
    <s v="West Virginia"/>
    <s v="USA"/>
    <s v="Gold"/>
  </r>
  <r>
    <x v="52"/>
    <s v="Debra Liu"/>
    <n v="55"/>
    <x v="0"/>
    <x v="0"/>
    <s v="South Timtown"/>
    <s v="Minnesota"/>
    <s v="USA"/>
    <s v="Bronze"/>
  </r>
  <r>
    <x v="53"/>
    <s v="Sharon Brown"/>
    <n v="37"/>
    <x v="2"/>
    <x v="1"/>
    <s v="East Andrea"/>
    <s v="Michigan"/>
    <s v="USA"/>
    <s v="Gold"/>
  </r>
  <r>
    <x v="54"/>
    <s v="Katherine Dorsey"/>
    <n v="24"/>
    <x v="1"/>
    <x v="0"/>
    <s v="Christopherland"/>
    <s v="Oklahoma"/>
    <s v="USA"/>
    <s v="Platinum"/>
  </r>
  <r>
    <x v="55"/>
    <s v="Wayne Mcpherson"/>
    <n v="56"/>
    <x v="0"/>
    <x v="1"/>
    <s v="Edwardsfort"/>
    <s v="Minnesota"/>
    <s v="USA"/>
    <s v="Bronze"/>
  </r>
  <r>
    <x v="56"/>
    <s v="Christopher Sutton"/>
    <n v="49"/>
    <x v="2"/>
    <x v="1"/>
    <s v="Deborahberg"/>
    <s v="Pennsylvania"/>
    <s v="USA"/>
    <s v="Gold"/>
  </r>
  <r>
    <x v="57"/>
    <s v="Jay Patel"/>
    <n v="43"/>
    <x v="2"/>
    <x v="1"/>
    <s v="Morrisbury"/>
    <s v="Rhode Island"/>
    <s v="USA"/>
    <s v="Platinum"/>
  </r>
  <r>
    <x v="58"/>
    <s v="Cheryl Copeland"/>
    <n v="51"/>
    <x v="0"/>
    <x v="0"/>
    <s v="Snowmouth"/>
    <s v="Maryland"/>
    <s v="USA"/>
    <s v="Platinum"/>
  </r>
  <r>
    <x v="59"/>
    <s v="Alyssa Vargas"/>
    <n v="53"/>
    <x v="0"/>
    <x v="0"/>
    <s v="New Kathrynland"/>
    <s v="Montana"/>
    <s v="USA"/>
    <s v="Platinum"/>
  </r>
  <r>
    <x v="60"/>
    <s v="Dr. David Smith"/>
    <n v="22"/>
    <x v="1"/>
    <x v="1"/>
    <s v="Schmidtchester"/>
    <s v="Alaska"/>
    <s v="USA"/>
    <s v="Silver"/>
  </r>
  <r>
    <x v="61"/>
    <s v="Kristin Stein"/>
    <n v="23"/>
    <x v="1"/>
    <x v="0"/>
    <s v="Jennifermouth"/>
    <s v="Missouri"/>
    <s v="USA"/>
    <s v="Silver"/>
  </r>
  <r>
    <x v="62"/>
    <s v="James Bean"/>
    <n v="50"/>
    <x v="2"/>
    <x v="0"/>
    <s v="Stevensonton"/>
    <s v="New Mexico"/>
    <s v="USA"/>
    <s v="Bronze"/>
  </r>
  <r>
    <x v="63"/>
    <s v="Michael Daniel"/>
    <n v="51"/>
    <x v="0"/>
    <x v="0"/>
    <s v="New Jesse"/>
    <s v="Tennessee"/>
    <s v="USA"/>
    <s v="Platinum"/>
  </r>
  <r>
    <x v="64"/>
    <s v="Mr. Mason Butler"/>
    <n v="33"/>
    <x v="2"/>
    <x v="0"/>
    <s v="Port Kathrynhaven"/>
    <s v="Arizona"/>
    <s v="USA"/>
    <s v="Gold"/>
  </r>
  <r>
    <x v="65"/>
    <s v="Michael Thomas"/>
    <n v="21"/>
    <x v="1"/>
    <x v="1"/>
    <s v="Woodmouth"/>
    <s v="Nevada"/>
    <s v="USA"/>
    <s v="Silver"/>
  </r>
  <r>
    <x v="66"/>
    <s v="Cody Diaz"/>
    <n v="27"/>
    <x v="1"/>
    <x v="1"/>
    <s v="South Aaronside"/>
    <s v="New Hampshire"/>
    <s v="USA"/>
    <s v="Silver"/>
  </r>
  <r>
    <x v="67"/>
    <s v="Amber Mcclain"/>
    <n v="58"/>
    <x v="0"/>
    <x v="0"/>
    <s v="Brendaburgh"/>
    <s v="Florida"/>
    <s v="USA"/>
    <s v="Silver"/>
  </r>
  <r>
    <x v="68"/>
    <s v="Mr. Mark Beasley"/>
    <n v="24"/>
    <x v="1"/>
    <x v="1"/>
    <s v="West Johnchester"/>
    <s v="Indiana"/>
    <s v="USA"/>
    <s v="Silver"/>
  </r>
  <r>
    <x v="69"/>
    <s v="Roy Cole"/>
    <n v="24"/>
    <x v="1"/>
    <x v="1"/>
    <s v="North Cynthiatown"/>
    <s v="New Jersey"/>
    <s v="USA"/>
    <s v="Platinum"/>
  </r>
  <r>
    <x v="70"/>
    <s v="Eric Singh"/>
    <n v="29"/>
    <x v="1"/>
    <x v="1"/>
    <s v="Port Lisa"/>
    <s v="New Mexico"/>
    <s v="USA"/>
    <s v="Gold"/>
  </r>
  <r>
    <x v="71"/>
    <s v="Andrea Perez"/>
    <n v="61"/>
    <x v="0"/>
    <x v="1"/>
    <s v="South Shaun"/>
    <s v="New Mexico"/>
    <s v="USA"/>
    <s v="Gold"/>
  </r>
  <r>
    <x v="72"/>
    <s v="Tonya Burch"/>
    <n v="39"/>
    <x v="2"/>
    <x v="1"/>
    <s v="Olsonhaven"/>
    <s v="Iowa"/>
    <s v="USA"/>
    <s v="Gold"/>
  </r>
  <r>
    <x v="73"/>
    <s v="Christopher Brown"/>
    <n v="56"/>
    <x v="0"/>
    <x v="1"/>
    <s v="Sandrastad"/>
    <s v="West Virginia"/>
    <s v="USA"/>
    <s v="Silver"/>
  </r>
  <r>
    <x v="74"/>
    <s v="John Mayer"/>
    <n v="58"/>
    <x v="0"/>
    <x v="0"/>
    <s v="Longport"/>
    <s v="Colorado"/>
    <s v="USA"/>
    <s v="Bronze"/>
  </r>
  <r>
    <x v="75"/>
    <s v="Rhonda Morales"/>
    <n v="61"/>
    <x v="0"/>
    <x v="1"/>
    <s v="Lake Barryfurt"/>
    <s v="California"/>
    <s v="USA"/>
    <s v="Gold"/>
  </r>
  <r>
    <x v="76"/>
    <s v="Nathan Campbell"/>
    <n v="37"/>
    <x v="2"/>
    <x v="0"/>
    <s v="Rodrigueztown"/>
    <s v="Oklahoma"/>
    <s v="USA"/>
    <s v="Gold"/>
  </r>
  <r>
    <x v="77"/>
    <s v="Katherine Young"/>
    <n v="29"/>
    <x v="1"/>
    <x v="0"/>
    <s v="North Valeriemouth"/>
    <s v="Vermont"/>
    <s v="USA"/>
    <s v="Gold"/>
  </r>
  <r>
    <x v="78"/>
    <s v="Cody Blake"/>
    <n v="21"/>
    <x v="1"/>
    <x v="0"/>
    <s v="North Scottport"/>
    <s v="Virginia"/>
    <s v="USA"/>
    <s v="Gold"/>
  </r>
  <r>
    <x v="79"/>
    <s v="Molly Gardner"/>
    <n v="22"/>
    <x v="1"/>
    <x v="1"/>
    <s v="Nicoleborough"/>
    <s v="Arkansas"/>
    <s v="USA"/>
    <s v="Platinum"/>
  </r>
  <r>
    <x v="80"/>
    <s v="Jennifer Garcia"/>
    <n v="61"/>
    <x v="0"/>
    <x v="1"/>
    <s v="New Sean"/>
    <s v="New Mexico"/>
    <s v="USA"/>
    <s v="Bronze"/>
  </r>
  <r>
    <x v="81"/>
    <s v="Krystal Ford"/>
    <n v="34"/>
    <x v="2"/>
    <x v="1"/>
    <s v="South David"/>
    <s v="Arizona"/>
    <s v="USA"/>
    <s v="Platinum"/>
  </r>
  <r>
    <x v="82"/>
    <s v="George Rosario"/>
    <n v="53"/>
    <x v="0"/>
    <x v="0"/>
    <s v="Leburgh"/>
    <s v="Florida"/>
    <s v="USA"/>
    <s v="Bronze"/>
  </r>
  <r>
    <x v="83"/>
    <s v="Thomas Robinson"/>
    <n v="48"/>
    <x v="2"/>
    <x v="1"/>
    <s v="Nicholastown"/>
    <s v="Georgia"/>
    <s v="USA"/>
    <s v="Bronze"/>
  </r>
  <r>
    <x v="84"/>
    <s v="Christy Hoffman"/>
    <n v="26"/>
    <x v="1"/>
    <x v="1"/>
    <s v="Garyberg"/>
    <s v="Indiana"/>
    <s v="USA"/>
    <s v="Platinum"/>
  </r>
  <r>
    <x v="85"/>
    <s v="Richard Delgado"/>
    <n v="36"/>
    <x v="2"/>
    <x v="0"/>
    <s v="West Theodorechester"/>
    <s v="Pennsylvania"/>
    <s v="USA"/>
    <s v="Silver"/>
  </r>
  <r>
    <x v="86"/>
    <s v="Tammy Miller Md"/>
    <n v="19"/>
    <x v="1"/>
    <x v="1"/>
    <s v="Austinfurt"/>
    <s v="Mississippi"/>
    <s v="USA"/>
    <s v="Gold"/>
  </r>
  <r>
    <x v="87"/>
    <s v="Melissa Duffy Md"/>
    <n v="58"/>
    <x v="0"/>
    <x v="1"/>
    <s v="East Jenna"/>
    <s v="South Carolina"/>
    <s v="USA"/>
    <s v="Bronze"/>
  </r>
  <r>
    <x v="88"/>
    <s v="Timothy Wright"/>
    <n v="58"/>
    <x v="0"/>
    <x v="0"/>
    <s v="Ashleystad"/>
    <s v="Arkansas"/>
    <s v="USA"/>
    <s v="Silver"/>
  </r>
  <r>
    <x v="89"/>
    <s v="Jamie Yoder"/>
    <n v="43"/>
    <x v="2"/>
    <x v="0"/>
    <s v="New Gabrielleville"/>
    <s v="Wisconsin"/>
    <s v="USA"/>
    <s v="Platinum"/>
  </r>
  <r>
    <x v="90"/>
    <s v="Oscar Moon"/>
    <n v="58"/>
    <x v="0"/>
    <x v="1"/>
    <s v="West Cody"/>
    <s v="Louisiana"/>
    <s v="USA"/>
    <s v="Platinum"/>
  </r>
  <r>
    <x v="91"/>
    <s v="Donna Gregory"/>
    <n v="29"/>
    <x v="1"/>
    <x v="1"/>
    <s v="South Amandahaven"/>
    <s v="Arizona"/>
    <s v="USA"/>
    <s v="Silver"/>
  </r>
  <r>
    <x v="92"/>
    <s v="Robert Jackson"/>
    <n v="44"/>
    <x v="2"/>
    <x v="1"/>
    <s v="Lake Brandy"/>
    <s v="Tennessee"/>
    <s v="USA"/>
    <s v="Platinum"/>
  </r>
  <r>
    <x v="93"/>
    <s v="Christy Vasquez"/>
    <n v="28"/>
    <x v="1"/>
    <x v="1"/>
    <s v="Port Travisstad"/>
    <s v="South Carolina"/>
    <s v="USA"/>
    <s v="Gold"/>
  </r>
  <r>
    <x v="94"/>
    <s v="David Patterson"/>
    <n v="43"/>
    <x v="2"/>
    <x v="1"/>
    <s v="New Amyport"/>
    <s v="Nevada"/>
    <s v="USA"/>
    <s v="Gold"/>
  </r>
  <r>
    <x v="95"/>
    <s v="Amy Fowler"/>
    <n v="62"/>
    <x v="0"/>
    <x v="1"/>
    <s v="West Bobbyshire"/>
    <s v="New York"/>
    <s v="USA"/>
    <s v="Platinum"/>
  </r>
  <r>
    <x v="96"/>
    <s v="Samantha Walker"/>
    <n v="30"/>
    <x v="2"/>
    <x v="1"/>
    <s v="Timothyburgh"/>
    <s v="Louisiana"/>
    <s v="USA"/>
    <s v="Platinum"/>
  </r>
  <r>
    <x v="97"/>
    <s v="David Cobb"/>
    <n v="36"/>
    <x v="2"/>
    <x v="0"/>
    <s v="Lake Thomas"/>
    <s v="South Dakota"/>
    <s v="USA"/>
    <s v="Silver"/>
  </r>
  <r>
    <x v="98"/>
    <s v="Brittney Morgan"/>
    <n v="24"/>
    <x v="1"/>
    <x v="0"/>
    <s v="Lake Kaylahaven"/>
    <s v="Alaska"/>
    <s v="USA"/>
    <s v="Gold"/>
  </r>
  <r>
    <x v="99"/>
    <s v="Sheila Wilson"/>
    <n v="35"/>
    <x v="2"/>
    <x v="0"/>
    <s v="South Dustin"/>
    <s v="Tennessee"/>
    <s v="USA"/>
    <s v="Silver"/>
  </r>
  <r>
    <x v="100"/>
    <s v="Diane Watson"/>
    <n v="53"/>
    <x v="0"/>
    <x v="1"/>
    <s v="North Codyport"/>
    <s v="Texas"/>
    <s v="USA"/>
    <s v="Platinum"/>
  </r>
  <r>
    <x v="101"/>
    <s v="Colleen Maynard"/>
    <n v="29"/>
    <x v="1"/>
    <x v="0"/>
    <s v="Singletonmouth"/>
    <s v="Utah"/>
    <s v="USA"/>
    <s v="Gold"/>
  </r>
  <r>
    <x v="102"/>
    <s v="Sarah Schneider"/>
    <n v="34"/>
    <x v="2"/>
    <x v="1"/>
    <s v="Port Joshuachester"/>
    <s v="Pennsylvania"/>
    <s v="USA"/>
    <s v="Bronze"/>
  </r>
  <r>
    <x v="103"/>
    <s v="Steven Stein"/>
    <n v="21"/>
    <x v="1"/>
    <x v="0"/>
    <s v="West Lauren"/>
    <s v="Connecticut"/>
    <s v="USA"/>
    <s v="Bronze"/>
  </r>
  <r>
    <x v="104"/>
    <s v="Christopher Lester"/>
    <n v="64"/>
    <x v="0"/>
    <x v="0"/>
    <s v="South Jenniferville"/>
    <s v="Georgia"/>
    <s v="USA"/>
    <s v="Silver"/>
  </r>
  <r>
    <x v="105"/>
    <s v="Lance Baker"/>
    <n v="50"/>
    <x v="2"/>
    <x v="1"/>
    <s v="Port Victoria"/>
    <s v="Florida"/>
    <s v="USA"/>
    <s v="Gold"/>
  </r>
  <r>
    <x v="106"/>
    <s v="Howard Summers"/>
    <n v="53"/>
    <x v="0"/>
    <x v="1"/>
    <s v="East Linda"/>
    <s v="Rhode Island"/>
    <s v="USA"/>
    <s v="Bronze"/>
  </r>
  <r>
    <x v="107"/>
    <s v="Erica Carney"/>
    <n v="62"/>
    <x v="0"/>
    <x v="1"/>
    <s v="North Justin"/>
    <s v="North Dakota"/>
    <s v="USA"/>
    <s v="Platinum"/>
  </r>
  <r>
    <x v="108"/>
    <s v="Travis Holland"/>
    <n v="38"/>
    <x v="2"/>
    <x v="0"/>
    <s v="Webstermouth"/>
    <s v="New Hampshire"/>
    <s v="USA"/>
    <s v="Bronze"/>
  </r>
  <r>
    <x v="109"/>
    <s v="Amy Walker"/>
    <n v="27"/>
    <x v="1"/>
    <x v="0"/>
    <s v="Smithland"/>
    <s v="West Virginia"/>
    <s v="USA"/>
    <s v="Silver"/>
  </r>
  <r>
    <x v="110"/>
    <s v="Ashley Griffin"/>
    <n v="40"/>
    <x v="2"/>
    <x v="1"/>
    <s v="New Dawnton"/>
    <s v="Maryland"/>
    <s v="USA"/>
    <s v="Gold"/>
  </r>
  <r>
    <x v="111"/>
    <s v="Julie Farmer"/>
    <n v="18"/>
    <x v="1"/>
    <x v="1"/>
    <s v="Rodriguezmouth"/>
    <s v="Arizona"/>
    <s v="USA"/>
    <s v="Platinum"/>
  </r>
  <r>
    <x v="112"/>
    <s v="David Cole"/>
    <n v="27"/>
    <x v="1"/>
    <x v="1"/>
    <s v="Lake Michael"/>
    <s v="Michigan"/>
    <s v="USA"/>
    <s v="Silver"/>
  </r>
  <r>
    <x v="113"/>
    <s v="Edward Hall"/>
    <n v="51"/>
    <x v="0"/>
    <x v="0"/>
    <s v="New William"/>
    <s v="New Mexico"/>
    <s v="USA"/>
    <s v="Gold"/>
  </r>
  <r>
    <x v="114"/>
    <s v="Ryan Hernandez"/>
    <n v="30"/>
    <x v="2"/>
    <x v="0"/>
    <s v="East Donna"/>
    <s v="Nevada"/>
    <s v="USA"/>
    <s v="Bronze"/>
  </r>
  <r>
    <x v="115"/>
    <s v="Tyler Conrad"/>
    <n v="53"/>
    <x v="0"/>
    <x v="1"/>
    <s v="North Curtischester"/>
    <s v="North Dakota"/>
    <s v="USA"/>
    <s v="Platinum"/>
  </r>
  <r>
    <x v="116"/>
    <s v="Anthony Phillips"/>
    <n v="18"/>
    <x v="1"/>
    <x v="1"/>
    <s v="North Davidport"/>
    <s v="Rhode Island"/>
    <s v="USA"/>
    <s v="Platinum"/>
  </r>
  <r>
    <x v="117"/>
    <s v="Colleen Mccarthy"/>
    <n v="21"/>
    <x v="1"/>
    <x v="1"/>
    <s v="North Katherine"/>
    <s v="Washington"/>
    <s v="USA"/>
    <s v="Platinum"/>
  </r>
  <r>
    <x v="118"/>
    <s v="Earl Allen"/>
    <n v="36"/>
    <x v="2"/>
    <x v="0"/>
    <s v="New Jenniferburgh"/>
    <s v="Nebraska"/>
    <s v="USA"/>
    <s v="Platinum"/>
  </r>
  <r>
    <x v="119"/>
    <s v="Michael Jones"/>
    <n v="40"/>
    <x v="2"/>
    <x v="0"/>
    <s v="North Edwardton"/>
    <s v="Tennessee"/>
    <s v="USA"/>
    <s v="Bronze"/>
  </r>
  <r>
    <x v="120"/>
    <s v="Jacob Hopkins"/>
    <n v="44"/>
    <x v="2"/>
    <x v="1"/>
    <s v="lake tylerfort"/>
    <s v="Pennsylvania"/>
    <s v="USA"/>
    <s v="Platinum"/>
  </r>
  <r>
    <x v="121"/>
    <s v="Joel Robinson"/>
    <n v="62"/>
    <x v="0"/>
    <x v="0"/>
    <s v="Lake Danielport"/>
    <s v="Hawaii"/>
    <s v="USA"/>
    <s v="Platinum"/>
  </r>
  <r>
    <x v="122"/>
    <s v="Michael Chang"/>
    <n v="50"/>
    <x v="2"/>
    <x v="0"/>
    <s v="Kathrynport"/>
    <s v="North Carolina"/>
    <s v="USA"/>
    <s v="Platinum"/>
  </r>
  <r>
    <x v="123"/>
    <s v="Erin Hopkins"/>
    <n v="40"/>
    <x v="2"/>
    <x v="0"/>
    <s v="North Sabrina"/>
    <s v="Iowa"/>
    <s v="USA"/>
    <s v="Silver"/>
  </r>
  <r>
    <x v="124"/>
    <s v="Donald Lee"/>
    <n v="26"/>
    <x v="1"/>
    <x v="0"/>
    <s v="Wongberg"/>
    <s v="Illinois"/>
    <s v="USA"/>
    <s v="Bronze"/>
  </r>
  <r>
    <x v="125"/>
    <s v="Keith Miller"/>
    <n v="64"/>
    <x v="0"/>
    <x v="1"/>
    <s v="West Jameston"/>
    <s v="Maine"/>
    <s v="USA"/>
    <s v="Platinum"/>
  </r>
  <r>
    <x v="126"/>
    <s v="James Wolfe"/>
    <n v="62"/>
    <x v="0"/>
    <x v="1"/>
    <s v="Benjaminton"/>
    <s v="Arizona"/>
    <s v="USA"/>
    <s v="Gold"/>
  </r>
  <r>
    <x v="127"/>
    <s v="John Mcknight"/>
    <n v="39"/>
    <x v="2"/>
    <x v="0"/>
    <s v="South Nathan"/>
    <s v="Vermont"/>
    <s v="USA"/>
    <s v="Platinum"/>
  </r>
  <r>
    <x v="128"/>
    <s v="Susan Mcdonald"/>
    <n v="45"/>
    <x v="2"/>
    <x v="0"/>
    <s v="East Ellen"/>
    <s v="Arkansas"/>
    <s v="USA"/>
    <s v="Silver"/>
  </r>
  <r>
    <x v="129"/>
    <s v="Jessica Mitchell"/>
    <n v="43"/>
    <x v="2"/>
    <x v="1"/>
    <s v="Matthewbury"/>
    <s v="South Dakota"/>
    <s v="USA"/>
    <s v="Silver"/>
  </r>
  <r>
    <x v="130"/>
    <s v="Jamie Reyes"/>
    <n v="29"/>
    <x v="1"/>
    <x v="0"/>
    <s v="   jonesbury "/>
    <s v="Connecticut"/>
    <b v="0"/>
    <s v="Platinum"/>
  </r>
  <r>
    <x v="131"/>
    <s v="Joseph Richards"/>
    <n v="34"/>
    <x v="2"/>
    <x v="1"/>
    <s v="Wigginsville"/>
    <s v="Alabama"/>
    <s v="USA"/>
    <s v="Bronze"/>
  </r>
  <r>
    <x v="132"/>
    <s v="Miguel Reynolds"/>
    <n v="57"/>
    <x v="0"/>
    <x v="1"/>
    <s v="Taylorberg"/>
    <s v="Ohio"/>
    <s v="USA"/>
    <s v="Gold"/>
  </r>
  <r>
    <x v="133"/>
    <s v="Hayley Pope"/>
    <n v="62"/>
    <x v="0"/>
    <x v="1"/>
    <s v="West Stephenville"/>
    <s v="Florida"/>
    <s v="USA"/>
    <s v="Bronze"/>
  </r>
  <r>
    <x v="134"/>
    <s v="Morgan Bowen"/>
    <n v="54"/>
    <x v="0"/>
    <x v="0"/>
    <s v="Parksfort"/>
    <s v="Washington"/>
    <s v="USA"/>
    <s v="Gold"/>
  </r>
  <r>
    <x v="135"/>
    <s v="Matthew Hanna"/>
    <n v="33"/>
    <x v="2"/>
    <x v="1"/>
    <s v="Gonzalezbury"/>
    <s v="Michigan"/>
    <s v="USA"/>
    <s v="Platinum"/>
  </r>
  <r>
    <x v="136"/>
    <s v="Patrick Coleman"/>
    <n v="29"/>
    <x v="1"/>
    <x v="0"/>
    <s v="New Jeffrey"/>
    <s v="Nebraska"/>
    <s v="USA"/>
    <s v="Silver"/>
  </r>
  <r>
    <x v="137"/>
    <s v="Rick Dominguez"/>
    <n v="55"/>
    <x v="0"/>
    <x v="1"/>
    <s v="North Johnbury"/>
    <s v="Ohio"/>
    <s v="USA"/>
    <s v="Platinum"/>
  </r>
  <r>
    <x v="138"/>
    <s v="Sean Roth"/>
    <n v="43"/>
    <x v="2"/>
    <x v="0"/>
    <s v="Lake Michael"/>
    <s v="Virginia"/>
    <s v="USA"/>
    <s v="Gold"/>
  </r>
  <r>
    <x v="139"/>
    <s v="Brian Holder"/>
    <n v="32"/>
    <x v="2"/>
    <x v="0"/>
    <s v="Port Travis"/>
    <s v="Utah"/>
    <s v="USA"/>
    <s v="Bronze"/>
  </r>
  <r>
    <x v="140"/>
    <s v="Patty Francis"/>
    <n v="63"/>
    <x v="0"/>
    <x v="1"/>
    <s v="South Brooke"/>
    <s v="Pennsylvania"/>
    <s v="USA"/>
    <s v="Gold"/>
  </r>
  <r>
    <x v="141"/>
    <s v="Cristian Wright"/>
    <n v="30"/>
    <x v="2"/>
    <x v="0"/>
    <s v="Port Denise"/>
    <s v="California"/>
    <b v="0"/>
    <s v="Bronze"/>
  </r>
  <r>
    <x v="142"/>
    <s v="Maria Ramirez"/>
    <n v="37"/>
    <x v="2"/>
    <x v="0"/>
    <s v="West Brandon"/>
    <s v="Montana"/>
    <s v="USA"/>
    <s v="Bronze"/>
  </r>
  <r>
    <x v="143"/>
    <s v="Carlos Skinner"/>
    <n v="46"/>
    <x v="2"/>
    <x v="0"/>
    <s v="Dwaynemouth"/>
    <s v="Alabama"/>
    <s v="USA"/>
    <s v="Bronze"/>
  </r>
  <r>
    <x v="144"/>
    <s v="Justin Cross"/>
    <n v="62"/>
    <x v="0"/>
    <x v="1"/>
    <s v="North Anthonychester"/>
    <s v="Nevada"/>
    <s v="USA"/>
    <s v="Bronze"/>
  </r>
  <r>
    <x v="145"/>
    <s v="Cameron Simpson"/>
    <n v="46"/>
    <x v="2"/>
    <x v="0"/>
    <s v="Michaelfort"/>
    <s v="Indiana"/>
    <s v="USA"/>
    <s v="Platinum"/>
  </r>
  <r>
    <x v="146"/>
    <s v="Edward Rivera"/>
    <n v="32"/>
    <x v="2"/>
    <x v="1"/>
    <s v="Chungmouth"/>
    <s v="South Carolina"/>
    <s v="USA"/>
    <s v="Gold"/>
  </r>
  <r>
    <x v="147"/>
    <s v="Rhonda Young"/>
    <n v="49"/>
    <x v="2"/>
    <x v="1"/>
    <s v="Lake Nathanfort"/>
    <s v="Alaska"/>
    <s v="USA"/>
    <s v="Platinum"/>
  </r>
  <r>
    <x v="148"/>
    <s v="Theresa Campbell"/>
    <n v="42"/>
    <x v="2"/>
    <x v="1"/>
    <s v="New Brian"/>
    <s v="Wisconsin"/>
    <s v="USA"/>
    <s v="Bronze"/>
  </r>
  <r>
    <x v="149"/>
    <s v="Denise Griffin"/>
    <n v="33"/>
    <x v="2"/>
    <x v="0"/>
    <s v="West Markhaven"/>
    <s v="Florida"/>
    <s v="USA"/>
    <s v="Platinum"/>
  </r>
  <r>
    <x v="150"/>
    <s v="Stephanie Conway"/>
    <n v="24"/>
    <x v="1"/>
    <x v="0"/>
    <s v="Port Frankmouth"/>
    <s v="Mississippi"/>
    <s v="USA"/>
    <s v="Gold"/>
  </r>
  <r>
    <x v="151"/>
    <s v="Michael Davies"/>
    <n v="25"/>
    <x v="1"/>
    <x v="1"/>
    <s v="Lake Stevenfort"/>
    <s v="Oregon"/>
    <s v="USA"/>
    <s v="Gold"/>
  </r>
  <r>
    <x v="152"/>
    <s v="Patrick Roberts"/>
    <n v="41"/>
    <x v="2"/>
    <x v="1"/>
    <s v="Jaredville"/>
    <s v="Missouri"/>
    <s v="USA"/>
    <s v="Platinum"/>
  </r>
  <r>
    <x v="153"/>
    <s v="Joseph Faulkner"/>
    <n v="31"/>
    <x v="2"/>
    <x v="0"/>
    <s v="New Leahfurt"/>
    <s v="North Dakota"/>
    <s v="USA"/>
    <s v="Bronze"/>
  </r>
  <r>
    <x v="154"/>
    <s v="Julie Hale"/>
    <n v="35"/>
    <x v="2"/>
    <x v="1"/>
    <s v="Owensview"/>
    <s v="Vermont"/>
    <s v="USA"/>
    <s v="Gold"/>
  </r>
  <r>
    <x v="155"/>
    <s v="Curtis Haynes"/>
    <n v="60"/>
    <x v="0"/>
    <x v="1"/>
    <s v="Estradaside"/>
    <s v="Iowa"/>
    <s v="USA"/>
    <s v="Gold"/>
  </r>
  <r>
    <x v="156"/>
    <s v="Maria Sanchez"/>
    <n v="46"/>
    <x v="2"/>
    <x v="0"/>
    <s v="East Peterbury"/>
    <s v="North Dakota"/>
    <s v="USA"/>
    <s v="Bronze"/>
  </r>
  <r>
    <x v="157"/>
    <s v="Paul Zamora"/>
    <n v="59"/>
    <x v="0"/>
    <x v="0"/>
    <s v="North Larryfurt"/>
    <s v="North Dakota"/>
    <s v="USA"/>
    <s v="Platinum"/>
  </r>
  <r>
    <x v="158"/>
    <s v="Sean Powell"/>
    <n v="43"/>
    <x v="2"/>
    <x v="0"/>
    <s v="South Kevin"/>
    <s v="Vermont"/>
    <s v="USA"/>
    <s v="Bronze"/>
  </r>
  <r>
    <x v="159"/>
    <s v="Brian Choi"/>
    <n v="46"/>
    <x v="2"/>
    <x v="1"/>
    <s v="Floydton"/>
    <s v="New Jersey"/>
    <s v="USA"/>
    <s v="Gold"/>
  </r>
  <r>
    <x v="160"/>
    <s v="John Lawson"/>
    <n v="41"/>
    <x v="2"/>
    <x v="1"/>
    <s v="New Juliemouth"/>
    <s v="North Carolina"/>
    <s v="USA"/>
    <s v="Platinum"/>
  </r>
  <r>
    <x v="161"/>
    <s v="Cynthia Morris"/>
    <n v="18"/>
    <x v="1"/>
    <x v="1"/>
    <s v="Hessmouth"/>
    <s v="Arizona"/>
    <s v="USA"/>
    <s v="Silver"/>
  </r>
  <r>
    <x v="162"/>
    <s v="Mariah Brown"/>
    <n v="37"/>
    <x v="2"/>
    <x v="0"/>
    <s v="Palmerbury"/>
    <s v="Tennessee"/>
    <b v="0"/>
    <s v="Silver"/>
  </r>
  <r>
    <x v="163"/>
    <s v="Joseph Jones"/>
    <n v="21"/>
    <x v="1"/>
    <x v="0"/>
    <s v="North Matthew"/>
    <s v="Illinois"/>
    <s v="USA"/>
    <s v="Bronze"/>
  </r>
  <r>
    <x v="164"/>
    <s v="Daniel Rivas"/>
    <n v="39"/>
    <x v="2"/>
    <x v="1"/>
    <s v="Dominiquefort"/>
    <s v="Georgia"/>
    <s v="USA"/>
    <s v="Silver"/>
  </r>
  <r>
    <x v="165"/>
    <s v="Jason Wheeler"/>
    <n v="47"/>
    <x v="2"/>
    <x v="1"/>
    <s v="Carolview"/>
    <s v="Illinois"/>
    <s v="USA"/>
    <s v="Platinum"/>
  </r>
  <r>
    <x v="166"/>
    <s v="Patricia Gardner"/>
    <n v="25"/>
    <x v="1"/>
    <x v="1"/>
    <s v="South Ashleyton"/>
    <s v="Michigan"/>
    <s v="USA"/>
    <s v="Silver"/>
  </r>
  <r>
    <x v="167"/>
    <s v="Antonio Wade"/>
    <n v="36"/>
    <x v="2"/>
    <x v="1"/>
    <s v="New Jasonmouth"/>
    <s v="Tennessee"/>
    <s v="USA"/>
    <s v="Gold"/>
  </r>
  <r>
    <x v="168"/>
    <s v="Daniel Contreras"/>
    <n v="36"/>
    <x v="2"/>
    <x v="1"/>
    <s v="Robertview"/>
    <s v="Florida"/>
    <s v="USA"/>
    <s v="Platinum"/>
  </r>
  <r>
    <x v="169"/>
    <s v="Steve Mclaughlin"/>
    <n v="64"/>
    <x v="0"/>
    <x v="0"/>
    <s v="Josephmouth"/>
    <s v="New Hampshire"/>
    <s v="USA"/>
    <s v="Bronze"/>
  </r>
  <r>
    <x v="170"/>
    <s v="Christopher Garcia Dds"/>
    <n v="18"/>
    <x v="1"/>
    <x v="0"/>
    <s v="New Joseph"/>
    <s v="Missouri"/>
    <s v="USA"/>
    <s v="Gold"/>
  </r>
  <r>
    <x v="171"/>
    <s v="Amy Wilson"/>
    <n v="44"/>
    <x v="2"/>
    <x v="1"/>
    <s v="Morrisburgh"/>
    <s v="Indiana"/>
    <s v="USA"/>
    <s v="Platinum"/>
  </r>
  <r>
    <x v="172"/>
    <s v="Thomas Rhodes"/>
    <n v="41"/>
    <x v="2"/>
    <x v="1"/>
    <s v="Port Richard"/>
    <s v="West Virginia"/>
    <s v="USA"/>
    <s v="Bronze"/>
  </r>
  <r>
    <x v="173"/>
    <s v="Teresa Stokes"/>
    <n v="41"/>
    <x v="2"/>
    <x v="1"/>
    <s v="New William"/>
    <s v="Iowa"/>
    <s v="USA"/>
    <s v="Platinum"/>
  </r>
  <r>
    <x v="174"/>
    <s v="Maria Davis"/>
    <n v="26"/>
    <x v="1"/>
    <x v="1"/>
    <s v="Avilahaven"/>
    <s v="Vermont"/>
    <s v="USA"/>
    <s v="Gold"/>
  </r>
  <r>
    <x v="175"/>
    <s v="Michelle Rogers"/>
    <n v="56"/>
    <x v="0"/>
    <x v="0"/>
    <s v="East Jessicaborough"/>
    <s v="Hawaii"/>
    <s v="USA"/>
    <s v="Platinum"/>
  </r>
  <r>
    <x v="176"/>
    <s v="John Bradford"/>
    <n v="48"/>
    <x v="2"/>
    <x v="0"/>
    <s v="Anabury"/>
    <s v="Vermont"/>
    <s v="USA"/>
    <s v="Silver"/>
  </r>
  <r>
    <x v="177"/>
    <s v="Curtis Lam"/>
    <n v="55"/>
    <x v="0"/>
    <x v="0"/>
    <s v="Butlerberg"/>
    <s v="Kentucky"/>
    <s v="USA"/>
    <s v="Platinum"/>
  </r>
  <r>
    <x v="178"/>
    <s v="Michelle Myers"/>
    <n v="33"/>
    <x v="2"/>
    <x v="1"/>
    <s v="West Daniel"/>
    <s v="South Carolina"/>
    <s v="USA"/>
    <s v="Bronze"/>
  </r>
  <r>
    <x v="179"/>
    <s v="Nicholas Bradshaw"/>
    <n v="43"/>
    <x v="2"/>
    <x v="1"/>
    <s v="Murphyfurt"/>
    <s v="Utah"/>
    <s v="USA"/>
    <s v="Silver"/>
  </r>
  <r>
    <x v="180"/>
    <s v="Wesley Thompson"/>
    <n v="38"/>
    <x v="2"/>
    <x v="0"/>
    <s v="East Davidmouth"/>
    <s v="Maine"/>
    <s v="USA"/>
    <s v="Bronze"/>
  </r>
  <r>
    <x v="181"/>
    <s v="Erin Ward"/>
    <n v="60"/>
    <x v="0"/>
    <x v="0"/>
    <s v="New Brianchester"/>
    <s v="New York"/>
    <s v="USA"/>
    <s v="Bronze"/>
  </r>
  <r>
    <x v="182"/>
    <s v="Melissa Hamilton"/>
    <n v="23"/>
    <x v="1"/>
    <x v="1"/>
    <s v="Hutchinsonville"/>
    <s v="Oklahoma"/>
    <s v="USA"/>
    <s v="Silver"/>
  </r>
  <r>
    <x v="183"/>
    <s v="Mario Jacobs"/>
    <n v="18"/>
    <x v="1"/>
    <x v="0"/>
    <s v="Port James"/>
    <s v="New York"/>
    <s v="USA"/>
    <s v="Platinum"/>
  </r>
  <r>
    <x v="184"/>
    <s v="Leonard Cochran"/>
    <n v="46"/>
    <x v="2"/>
    <x v="1"/>
    <s v="Port Sherryview"/>
    <s v="North Dakota"/>
    <s v="USA"/>
    <s v="Silver"/>
  </r>
  <r>
    <x v="185"/>
    <s v="Brent Rivas"/>
    <n v="54"/>
    <x v="0"/>
    <x v="1"/>
    <s v="North Kellyberg"/>
    <s v="New Jersey"/>
    <s v="USA"/>
    <s v="Platinum"/>
  </r>
  <r>
    <x v="186"/>
    <s v="Jennifer Pruitt"/>
    <n v="53"/>
    <x v="0"/>
    <x v="0"/>
    <s v="East Justin"/>
    <s v="Missouri"/>
    <s v="USA"/>
    <s v="Silver"/>
  </r>
  <r>
    <x v="187"/>
    <s v="Dr. Suzanne Bullock"/>
    <n v="60"/>
    <x v="0"/>
    <x v="1"/>
    <s v="Lake Blaketon"/>
    <s v="Alabama"/>
    <s v="USA"/>
    <s v="Platinum"/>
  </r>
  <r>
    <x v="188"/>
    <s v="Kimberly Brooks"/>
    <n v="42"/>
    <x v="2"/>
    <x v="0"/>
    <s v="Kingfort"/>
    <s v="New Mexico"/>
    <s v="USA"/>
    <s v="Silver"/>
  </r>
  <r>
    <x v="189"/>
    <s v="Daniel Austin"/>
    <n v="29"/>
    <x v="1"/>
    <x v="0"/>
    <s v="Lake Howardberg"/>
    <s v="Kentucky"/>
    <s v="USA"/>
    <s v="Gold"/>
  </r>
  <r>
    <x v="190"/>
    <s v="Christopher Stewart"/>
    <n v="21"/>
    <x v="1"/>
    <x v="0"/>
    <s v="Amandaside"/>
    <s v="New York"/>
    <s v="USA"/>
    <s v="Bronze"/>
  </r>
  <r>
    <x v="191"/>
    <s v="Todd Poole"/>
    <n v="29"/>
    <x v="1"/>
    <x v="1"/>
    <s v="Johnsonshire"/>
    <s v="Ohio"/>
    <s v="USA"/>
    <s v="Bronze"/>
  </r>
  <r>
    <x v="192"/>
    <s v="Jacob Wood"/>
    <n v="26"/>
    <x v="1"/>
    <x v="0"/>
    <s v="Lake Samanthafort"/>
    <s v="Idaho"/>
    <s v="USA"/>
    <s v="Gold"/>
  </r>
  <r>
    <x v="193"/>
    <s v="David Roberts"/>
    <n v="38"/>
    <x v="2"/>
    <x v="0"/>
    <s v="Port Amanda"/>
    <s v="Georgia"/>
    <s v="USA"/>
    <s v="Gold"/>
  </r>
  <r>
    <x v="194"/>
    <s v="Ashley Ferguson"/>
    <n v="46"/>
    <x v="2"/>
    <x v="0"/>
    <s v="Sarahmouth"/>
    <s v="Pennsylvania"/>
    <s v="USA"/>
    <s v="Gold"/>
  </r>
  <r>
    <x v="195"/>
    <s v="Anthony Garcia"/>
    <n v="60"/>
    <x v="0"/>
    <x v="0"/>
    <s v="Taraberg"/>
    <s v="Arizona"/>
    <s v="USA"/>
    <s v="Silver"/>
  </r>
  <r>
    <x v="196"/>
    <s v="Megan Greer"/>
    <n v="18"/>
    <x v="1"/>
    <x v="1"/>
    <s v="West John"/>
    <s v="Alaska"/>
    <s v="USA"/>
    <s v="Platinum"/>
  </r>
  <r>
    <x v="197"/>
    <s v="Andrea Jacobs"/>
    <n v="45"/>
    <x v="2"/>
    <x v="1"/>
    <s v="Christopherland"/>
    <s v="Minnesota"/>
    <s v="USA"/>
    <s v="Platinum"/>
  </r>
  <r>
    <x v="198"/>
    <s v="Wanda Snyder"/>
    <n v="54"/>
    <x v="0"/>
    <x v="0"/>
    <s v="Frostmouth"/>
    <s v="Vermont"/>
    <s v="USA"/>
    <s v="Bronze"/>
  </r>
  <r>
    <x v="199"/>
    <s v="Carmen Price"/>
    <n v="46"/>
    <x v="2"/>
    <x v="0"/>
    <s v="North Briannamouth"/>
    <s v="Tennessee"/>
    <s v="USA"/>
    <s v="Bronze"/>
  </r>
  <r>
    <x v="200"/>
    <s v="Anna Perez"/>
    <n v="30"/>
    <x v="2"/>
    <x v="0"/>
    <s v="South Jerry"/>
    <s v="Maine"/>
    <s v="USA"/>
    <s v="Platinum"/>
  </r>
  <r>
    <x v="201"/>
    <s v="Mary Boyd"/>
    <n v="25"/>
    <x v="1"/>
    <x v="1"/>
    <s v="New Logan"/>
    <s v="Michigan"/>
    <s v="USA"/>
    <s v="Bronze"/>
  </r>
  <r>
    <x v="202"/>
    <s v="Christina Garcia"/>
    <n v="37"/>
    <x v="2"/>
    <x v="1"/>
    <s v="Clarkeside"/>
    <s v="Kansas"/>
    <s v="USA"/>
    <s v="Platinum"/>
  </r>
  <r>
    <x v="203"/>
    <s v="Sarah Brady"/>
    <n v="47"/>
    <x v="2"/>
    <x v="0"/>
    <s v="Johnsonland"/>
    <s v="Iowa"/>
    <s v="USA"/>
    <s v="Platinum"/>
  </r>
  <r>
    <x v="204"/>
    <s v="Tiffany Herrera"/>
    <n v="52"/>
    <x v="0"/>
    <x v="0"/>
    <s v="New Dianebury"/>
    <s v="Virginia"/>
    <s v="USA"/>
    <s v="Platinum"/>
  </r>
  <r>
    <x v="205"/>
    <s v="Michelle Carpenter"/>
    <n v="44"/>
    <x v="2"/>
    <x v="1"/>
    <s v="Lake Danielleton"/>
    <s v="New Jersey"/>
    <s v="USA"/>
    <s v="Gold"/>
  </r>
  <r>
    <x v="206"/>
    <s v="Ronald Jones"/>
    <n v="26"/>
    <x v="1"/>
    <x v="1"/>
    <s v="Brownshire"/>
    <s v="Tennessee"/>
    <s v="USA"/>
    <s v="Silver"/>
  </r>
  <r>
    <x v="207"/>
    <s v="Jacqueline Pacheco"/>
    <n v="28"/>
    <x v="1"/>
    <x v="1"/>
    <s v="South Emily"/>
    <s v="New Jersey"/>
    <s v="USA"/>
    <s v="Bronze"/>
  </r>
  <r>
    <x v="208"/>
    <s v="John Perez"/>
    <n v="54"/>
    <x v="0"/>
    <x v="0"/>
    <s v="Kathrynview"/>
    <s v="Louisiana"/>
    <s v="USA"/>
    <s v="Platinum"/>
  </r>
  <r>
    <x v="209"/>
    <s v="Joan Johnson"/>
    <n v="50"/>
    <x v="2"/>
    <x v="1"/>
    <s v="Lake Josephport"/>
    <s v="Maine"/>
    <s v="USA"/>
    <s v="Platinum"/>
  </r>
  <r>
    <x v="210"/>
    <s v="Antonio Jones"/>
    <n v="48"/>
    <x v="2"/>
    <x v="0"/>
    <s v="Matthewborough"/>
    <s v="Georgia"/>
    <s v="USA"/>
    <s v="Silver"/>
  </r>
  <r>
    <x v="211"/>
    <s v="Rodney Huffman"/>
    <n v="20"/>
    <x v="1"/>
    <x v="1"/>
    <s v="Garzafort"/>
    <s v="Delaware"/>
    <s v="USA"/>
    <s v="Silver"/>
  </r>
  <r>
    <x v="212"/>
    <s v="Blake Harrison"/>
    <n v="63"/>
    <x v="0"/>
    <x v="1"/>
    <s v="Lyonsfort"/>
    <s v="Washington"/>
    <s v="USA"/>
    <s v="Platinum"/>
  </r>
  <r>
    <x v="213"/>
    <s v="Stuart Johnson"/>
    <n v="42"/>
    <x v="2"/>
    <x v="1"/>
    <s v="West Markport"/>
    <s v="North Dakota"/>
    <s v="USA"/>
    <s v="Platinum"/>
  </r>
  <r>
    <x v="214"/>
    <s v="Eric Todd"/>
    <n v="61"/>
    <x v="0"/>
    <x v="0"/>
    <s v="Danielstad"/>
    <s v="Montana"/>
    <s v="USA"/>
    <s v="Gold"/>
  </r>
  <r>
    <x v="215"/>
    <s v="Steve Medina"/>
    <n v="50"/>
    <x v="2"/>
    <x v="1"/>
    <s v="East Josephside"/>
    <s v="Oregon"/>
    <s v="USA"/>
    <s v="Gold"/>
  </r>
  <r>
    <x v="216"/>
    <s v="Kathryn Garcia"/>
    <n v="44"/>
    <x v="2"/>
    <x v="0"/>
    <s v="Morrismouth"/>
    <s v="California"/>
    <s v="USA"/>
    <s v="Platinum"/>
  </r>
  <r>
    <x v="217"/>
    <s v="Kathy Copeland"/>
    <n v="42"/>
    <x v="2"/>
    <x v="0"/>
    <s v="North Christinemouth"/>
    <s v="Missouri"/>
    <s v="USA"/>
    <s v="Silver"/>
  </r>
  <r>
    <x v="218"/>
    <s v="Julia Jackson"/>
    <n v="46"/>
    <x v="2"/>
    <x v="0"/>
    <s v="Edwardland"/>
    <s v="California"/>
    <s v="USA"/>
    <s v="Platinum"/>
  </r>
  <r>
    <x v="219"/>
    <s v="Jordan Wells"/>
    <n v="47"/>
    <x v="2"/>
    <x v="1"/>
    <s v="Phillipschester   "/>
    <s v="New Jersey"/>
    <s v="USA"/>
    <s v="Gold"/>
  </r>
  <r>
    <x v="220"/>
    <s v="George Davis"/>
    <n v="50"/>
    <x v="2"/>
    <x v="1"/>
    <s v="    lake lisa"/>
    <s v="Massachusetts"/>
    <s v="USA"/>
    <s v="Bronze"/>
  </r>
  <r>
    <x v="221"/>
    <s v="Lisa Young"/>
    <n v="38"/>
    <x v="2"/>
    <x v="0"/>
    <s v="Maybury"/>
    <s v="Georgia"/>
    <s v="USA"/>
    <s v="Platinum"/>
  </r>
  <r>
    <x v="222"/>
    <s v="Alejandro Doyle"/>
    <n v="35"/>
    <x v="2"/>
    <x v="0"/>
    <s v="East Crystalton"/>
    <s v="New Mexico"/>
    <s v="USA"/>
    <s v="Platinum"/>
  </r>
  <r>
    <x v="223"/>
    <s v="Robert Harris"/>
    <n v="50"/>
    <x v="2"/>
    <x v="0"/>
    <s v="East jeremy"/>
    <s v="Iowa"/>
    <s v="USA"/>
    <s v="Platinum"/>
  </r>
  <r>
    <x v="224"/>
    <s v="Anthony Morgan"/>
    <n v="29"/>
    <x v="1"/>
    <x v="0"/>
    <s v="New Anthonyfurt"/>
    <s v="Missouri"/>
    <s v="USA"/>
    <s v="Silver"/>
  </r>
  <r>
    <x v="225"/>
    <s v="Elizabeth Stanley"/>
    <n v="46"/>
    <x v="2"/>
    <x v="1"/>
    <s v="Bethanyton"/>
    <s v="Utah"/>
    <s v="USA"/>
    <s v="Platinum"/>
  </r>
  <r>
    <x v="226"/>
    <s v="Alexis Castaneda"/>
    <n v="54"/>
    <x v="0"/>
    <x v="0"/>
    <s v="Morrisbury"/>
    <s v="Alaska"/>
    <s v="USA"/>
    <s v="Gold"/>
  </r>
  <r>
    <x v="227"/>
    <s v="Gregory Pham"/>
    <n v="63"/>
    <x v="0"/>
    <x v="1"/>
    <s v="Pollardton"/>
    <s v="Kansas"/>
    <s v="USA"/>
    <s v="Gold"/>
  </r>
  <r>
    <x v="228"/>
    <s v="Casey Flores"/>
    <n v="52"/>
    <x v="0"/>
    <x v="1"/>
    <s v="Lake Michael"/>
    <s v="Utah"/>
    <s v="USA"/>
    <s v="Gold"/>
  </r>
  <r>
    <x v="229"/>
    <s v="Tanner Thompson"/>
    <n v="32"/>
    <x v="2"/>
    <x v="1"/>
    <s v="Port Lisashire"/>
    <s v="Maryland"/>
    <s v="USA"/>
    <s v="Bronze"/>
  </r>
  <r>
    <x v="230"/>
    <s v="Timothy Sanders"/>
    <n v="29"/>
    <x v="1"/>
    <x v="0"/>
    <s v="Aaronmouth"/>
    <s v="Florida"/>
    <s v="USA"/>
    <s v="Bronze"/>
  </r>
  <r>
    <x v="231"/>
    <s v="Timothy Juarez"/>
    <n v="22"/>
    <x v="1"/>
    <x v="1"/>
    <s v="Grahamstad"/>
    <s v="South Carolina"/>
    <s v="USA"/>
    <s v="Bronze"/>
  </r>
  <r>
    <x v="232"/>
    <s v="Christy Hill"/>
    <n v="27"/>
    <x v="1"/>
    <x v="1"/>
    <s v="Tammyton"/>
    <s v="New Jersey"/>
    <s v="USA"/>
    <s v="Platinum"/>
  </r>
  <r>
    <x v="233"/>
    <s v="Michelle Gonzalez"/>
    <n v="59"/>
    <x v="0"/>
    <x v="0"/>
    <s v="Clarkport"/>
    <s v="West Virginia"/>
    <s v="USA"/>
    <s v="Silver"/>
  </r>
  <r>
    <x v="234"/>
    <s v="Nathaniel Hill"/>
    <n v="43"/>
    <x v="2"/>
    <x v="1"/>
    <s v="Lake Mark"/>
    <s v="Kansas"/>
    <s v="USA"/>
    <s v="Gold"/>
  </r>
  <r>
    <x v="235"/>
    <s v="Jon Ortiz"/>
    <n v="28"/>
    <x v="1"/>
    <x v="1"/>
    <s v="South Angelaport"/>
    <s v="Delaware"/>
    <s v="USA"/>
    <s v="Bronze"/>
  </r>
  <r>
    <x v="236"/>
    <s v="Joshua Wilson"/>
    <n v="42"/>
    <x v="2"/>
    <x v="1"/>
    <s v="North Larryport"/>
    <s v="Virginia"/>
    <s v="USA"/>
    <s v="Bronze"/>
  </r>
  <r>
    <x v="237"/>
    <s v="Wesley Short"/>
    <n v="41"/>
    <x v="2"/>
    <x v="1"/>
    <s v="Susanstad"/>
    <s v="Montana"/>
    <s v="USA"/>
    <s v="Gold"/>
  </r>
  <r>
    <x v="238"/>
    <s v="Steven Smith"/>
    <n v="40"/>
    <x v="2"/>
    <x v="0"/>
    <s v="Port Krista"/>
    <s v="West Virginia"/>
    <s v="USA"/>
    <s v="Platinum"/>
  </r>
  <r>
    <x v="239"/>
    <s v="Maria Hill"/>
    <n v="58"/>
    <x v="0"/>
    <x v="1"/>
    <s v="Zamoraborough"/>
    <s v="Nevada"/>
    <s v="USA"/>
    <s v="Platinum"/>
  </r>
  <r>
    <x v="240"/>
    <s v="William Hull"/>
    <n v="59"/>
    <x v="0"/>
    <x v="1"/>
    <s v="Heathfort"/>
    <s v="Michigan"/>
    <s v="USA"/>
    <s v="Platinum"/>
  </r>
  <r>
    <x v="241"/>
    <s v="Mr. William Horton"/>
    <n v="31"/>
    <x v="2"/>
    <x v="0"/>
    <s v="Dawsonchester"/>
    <s v="Virginia"/>
    <s v="USA"/>
    <s v="Platinum"/>
  </r>
  <r>
    <x v="242"/>
    <s v="William Jackson"/>
    <n v="58"/>
    <x v="0"/>
    <x v="1"/>
    <s v="New Tina"/>
    <s v="Connecticut"/>
    <s v="USA"/>
    <s v="Silver"/>
  </r>
  <r>
    <x v="243"/>
    <s v="Brian Hammond"/>
    <n v="56"/>
    <x v="0"/>
    <x v="1"/>
    <s v="North Nicholas"/>
    <s v="Texas"/>
    <s v="USA"/>
    <s v="Gold"/>
  </r>
  <r>
    <x v="244"/>
    <s v="Nancy Page"/>
    <n v="19"/>
    <x v="1"/>
    <x v="0"/>
    <s v="West Julia"/>
    <s v="Utah"/>
    <s v="USA"/>
    <s v="Bronze"/>
  </r>
  <r>
    <x v="245"/>
    <s v="Laura Soto"/>
    <n v="57"/>
    <x v="0"/>
    <x v="1"/>
    <s v="Rodriguezton"/>
    <s v="Michigan"/>
    <s v="USA"/>
    <s v="Platinum"/>
  </r>
  <r>
    <x v="246"/>
    <s v="Mary Russell"/>
    <n v="58"/>
    <x v="0"/>
    <x v="0"/>
    <s v="South Regina"/>
    <s v="Arkansas"/>
    <s v="USA"/>
    <s v="Bronze"/>
  </r>
  <r>
    <x v="247"/>
    <s v="Douglas Rhodes"/>
    <n v="32"/>
    <x v="2"/>
    <x v="0"/>
    <s v="Mikehaven"/>
    <s v="New Hampshire"/>
    <s v="USA"/>
    <s v="Platinum"/>
  </r>
  <r>
    <x v="248"/>
    <s v="Nicholas Webb"/>
    <n v="19"/>
    <x v="1"/>
    <x v="0"/>
    <s v="Lake Timothy"/>
    <s v="Nevada"/>
    <s v="USA"/>
    <s v="Gold"/>
  </r>
  <r>
    <x v="249"/>
    <s v="Lauren George"/>
    <n v="41"/>
    <x v="2"/>
    <x v="1"/>
    <s v="Garciamouth"/>
    <s v="New York"/>
    <s v="USA"/>
    <s v="Gold"/>
  </r>
  <r>
    <x v="250"/>
    <s v="Veronica Newman"/>
    <n v="48"/>
    <x v="2"/>
    <x v="0"/>
    <s v="New Daniel"/>
    <s v="Delaware"/>
    <s v="USA"/>
    <s v="Platinum"/>
  </r>
  <r>
    <x v="251"/>
    <s v="Tyler Garner"/>
    <n v="64"/>
    <x v="0"/>
    <x v="0"/>
    <s v="Port Coreyfort"/>
    <s v="Alabama"/>
    <s v="USA"/>
    <s v="Silver"/>
  </r>
  <r>
    <x v="252"/>
    <s v="John Mccoy"/>
    <n v="26"/>
    <x v="1"/>
    <x v="0"/>
    <s v="Robinborough"/>
    <s v="South Dakota"/>
    <s v="USA"/>
    <s v="Silver"/>
  </r>
  <r>
    <x v="253"/>
    <s v="Dr. Ashley Yates Md"/>
    <n v="32"/>
    <x v="2"/>
    <x v="0"/>
    <s v="New Maria"/>
    <s v="Wisconsin"/>
    <s v="USA"/>
    <s v="Bronze"/>
  </r>
  <r>
    <x v="254"/>
    <s v="Linda Kline"/>
    <n v="34"/>
    <x v="2"/>
    <x v="0"/>
    <s v="Masseyland"/>
    <s v="Alaska"/>
    <s v="USA"/>
    <s v="Silver"/>
  </r>
  <r>
    <x v="255"/>
    <s v="Damon Perez"/>
    <n v="21"/>
    <x v="1"/>
    <x v="0"/>
    <s v="Jasonton"/>
    <s v="Ohio"/>
    <s v="USA"/>
    <s v="Gold"/>
  </r>
  <r>
    <x v="256"/>
    <s v="Kristen Fischer"/>
    <n v="57"/>
    <x v="0"/>
    <x v="0"/>
    <s v="Lake Christopher"/>
    <s v="Arkansas"/>
    <s v="USA"/>
    <s v="Platinum"/>
  </r>
  <r>
    <x v="257"/>
    <s v="Christopher David"/>
    <n v="42"/>
    <x v="2"/>
    <x v="0"/>
    <s v="Karenmouth"/>
    <s v="Massachusetts"/>
    <s v="USA"/>
    <s v="Silver"/>
  </r>
  <r>
    <x v="258"/>
    <s v="Sarah Stewart"/>
    <n v="24"/>
    <x v="1"/>
    <x v="1"/>
    <s v="East Richard"/>
    <s v="Texas"/>
    <s v="USA"/>
    <s v="Platinum"/>
  </r>
  <r>
    <x v="259"/>
    <s v="Beth Allen"/>
    <n v="32"/>
    <x v="2"/>
    <x v="1"/>
    <s v="South Kathrynmouth"/>
    <s v="Oklahoma"/>
    <s v="USA"/>
    <s v="Silver"/>
  </r>
  <r>
    <x v="260"/>
    <s v="Russell Lamb"/>
    <n v="63"/>
    <x v="0"/>
    <x v="1"/>
    <s v="North Jonathon"/>
    <s v="Arizona"/>
    <s v="USA"/>
    <s v="Platinum"/>
  </r>
  <r>
    <x v="261"/>
    <s v="Carol Bishop"/>
    <n v="27"/>
    <x v="1"/>
    <x v="1"/>
    <s v="Lake Saramouth"/>
    <s v="Oregon"/>
    <s v="USA"/>
    <s v="Silver"/>
  </r>
  <r>
    <x v="262"/>
    <s v="Katherine Cowan"/>
    <n v="60"/>
    <x v="0"/>
    <x v="1"/>
    <s v="New Ana"/>
    <s v="Montana"/>
    <s v="USA"/>
    <s v="Silver"/>
  </r>
  <r>
    <x v="263"/>
    <s v="Crystal Davis"/>
    <n v="50"/>
    <x v="2"/>
    <x v="0"/>
    <s v="Sallymouth"/>
    <s v="Louisiana"/>
    <s v="USA"/>
    <s v="Bronze"/>
  </r>
  <r>
    <x v="264"/>
    <s v="Matthew Payne"/>
    <n v="25"/>
    <x v="1"/>
    <x v="0"/>
    <s v="Grahamfurt"/>
    <s v="Wyoming"/>
    <s v="USA"/>
    <s v="Gold"/>
  </r>
  <r>
    <x v="265"/>
    <s v="Tracy Kelly"/>
    <n v="38"/>
    <x v="2"/>
    <x v="0"/>
    <s v="West Jamieport"/>
    <s v="Tennessee"/>
    <s v="USA"/>
    <s v="Silver"/>
  </r>
  <r>
    <x v="266"/>
    <s v="Cynthia Payne"/>
    <n v="32"/>
    <x v="2"/>
    <x v="1"/>
    <s v="South Gina"/>
    <s v="Kentucky"/>
    <s v="USA"/>
    <s v="Bronze"/>
  </r>
  <r>
    <x v="267"/>
    <s v="Zachary Shelton"/>
    <n v="18"/>
    <x v="1"/>
    <x v="0"/>
    <s v="North Nicholas"/>
    <s v="Montana"/>
    <s v="USA"/>
    <s v="Bronze"/>
  </r>
  <r>
    <x v="268"/>
    <s v="Kevin Orr"/>
    <n v="53"/>
    <x v="0"/>
    <x v="1"/>
    <s v="Ryanberg"/>
    <s v="Minnesota"/>
    <s v="USA"/>
    <s v="Bronze"/>
  </r>
  <r>
    <x v="269"/>
    <s v="Tyrone Olson"/>
    <n v="45"/>
    <x v="2"/>
    <x v="1"/>
    <s v="Emilytown"/>
    <s v="California"/>
    <s v="USA"/>
    <s v="Silver"/>
  </r>
  <r>
    <x v="270"/>
    <s v="Brian Garcia"/>
    <n v="31"/>
    <x v="2"/>
    <x v="1"/>
    <s v="Ramosmouth"/>
    <s v="Louisiana"/>
    <s v="USA"/>
    <s v="Gold"/>
  </r>
  <r>
    <x v="271"/>
    <s v="Daisy Johnson Dds"/>
    <n v="64"/>
    <x v="0"/>
    <x v="0"/>
    <s v="North Stephanie"/>
    <s v="Nebraska"/>
    <s v="USA"/>
    <s v="Platinum"/>
  </r>
  <r>
    <x v="272"/>
    <s v="Adam Rowland"/>
    <n v="48"/>
    <x v="2"/>
    <x v="1"/>
    <s v="Welchview"/>
    <s v="California"/>
    <s v="USA"/>
    <s v="Gold"/>
  </r>
  <r>
    <x v="273"/>
    <s v="Samantha Robinson"/>
    <n v="23"/>
    <x v="1"/>
    <x v="0"/>
    <s v="North Roy"/>
    <s v="Mississippi"/>
    <s v="USA"/>
    <s v="Bronze"/>
  </r>
  <r>
    <x v="274"/>
    <s v="Sarah Lane"/>
    <n v="38"/>
    <x v="2"/>
    <x v="0"/>
    <s v="Edwardborough"/>
    <s v="Vermont"/>
    <s v="USA"/>
    <s v="Silver"/>
  </r>
  <r>
    <x v="275"/>
    <s v="Shannon Miller"/>
    <n v="22"/>
    <x v="1"/>
    <x v="0"/>
    <s v="North Austinport"/>
    <s v="Kentucky"/>
    <s v="USA"/>
    <s v="Gold"/>
  </r>
  <r>
    <x v="276"/>
    <s v="Arthur Warren"/>
    <n v="38"/>
    <x v="2"/>
    <x v="0"/>
    <s v="Ericshire"/>
    <s v="Nevada"/>
    <s v="USA"/>
    <s v="Gold"/>
  </r>
  <r>
    <x v="277"/>
    <s v="Jeffrey Gomez"/>
    <n v="22"/>
    <x v="1"/>
    <x v="1"/>
    <s v="Lake Nicole"/>
    <s v="Colorado"/>
    <s v="USA"/>
    <s v="Platinum"/>
  </r>
  <r>
    <x v="278"/>
    <s v="Stephen Fowler"/>
    <n v="42"/>
    <x v="2"/>
    <x v="1"/>
    <s v="Port Mariastad"/>
    <s v="Rhode Island"/>
    <s v="USA"/>
    <s v="Platinum"/>
  </r>
  <r>
    <x v="279"/>
    <s v="Aaron Luna"/>
    <n v="21"/>
    <x v="1"/>
    <x v="1"/>
    <s v="Gilltown"/>
    <s v="Ohio"/>
    <s v="USA"/>
    <s v="Bronze"/>
  </r>
  <r>
    <x v="280"/>
    <s v="Antonio Leon"/>
    <n v="48"/>
    <x v="2"/>
    <x v="0"/>
    <s v="Morrisville"/>
    <s v="Hawaii"/>
    <s v="USA"/>
    <s v="Bronze"/>
  </r>
  <r>
    <x v="281"/>
    <s v="Brittany Watson"/>
    <n v="59"/>
    <x v="0"/>
    <x v="0"/>
    <s v="North Joshualand"/>
    <s v="Connecticut"/>
    <s v="USA"/>
    <s v="Platinum"/>
  </r>
  <r>
    <x v="282"/>
    <s v="Kristi Lopez"/>
    <n v="46"/>
    <x v="2"/>
    <x v="1"/>
    <s v="Spencermouth"/>
    <s v="New Jersey"/>
    <s v="USA"/>
    <s v="Gold"/>
  </r>
  <r>
    <x v="283"/>
    <s v="Bryan Garcia"/>
    <n v="54"/>
    <x v="0"/>
    <x v="1"/>
    <s v="Garciaborough"/>
    <s v="Wyoming"/>
    <s v="USA"/>
    <s v="Silver"/>
  </r>
  <r>
    <x v="284"/>
    <s v="Hunter Sutton"/>
    <n v="54"/>
    <x v="0"/>
    <x v="0"/>
    <s v="Patrickshire"/>
    <s v="Connecticut"/>
    <s v="USA"/>
    <s v="Gold"/>
  </r>
  <r>
    <x v="285"/>
    <s v="Donna Guerra"/>
    <n v="46"/>
    <x v="2"/>
    <x v="1"/>
    <s v="North Robert"/>
    <s v="Massachusetts"/>
    <s v="USA"/>
    <s v="Silver"/>
  </r>
  <r>
    <x v="286"/>
    <s v="Tommy Roberts"/>
    <n v="22"/>
    <x v="1"/>
    <x v="0"/>
    <s v="Port Tonyfort"/>
    <s v="South Dakota"/>
    <s v="USA"/>
    <s v="Silver"/>
  </r>
  <r>
    <x v="287"/>
    <s v="Cynthia Roberts"/>
    <n v="22"/>
    <x v="1"/>
    <x v="1"/>
    <s v="Millerfort"/>
    <s v="Vermont"/>
    <s v="USA"/>
    <s v="Gold"/>
  </r>
  <r>
    <x v="288"/>
    <s v="Misty Ferguson"/>
    <n v="58"/>
    <x v="0"/>
    <x v="0"/>
    <s v="North Joseside"/>
    <s v="Connecticut"/>
    <s v="USA"/>
    <s v="Gold"/>
  </r>
  <r>
    <x v="289"/>
    <s v="Jennifer Figueroa"/>
    <n v="45"/>
    <x v="2"/>
    <x v="0"/>
    <s v="North Brookestad"/>
    <s v="Ohio"/>
    <s v="USA"/>
    <s v="Bronze"/>
  </r>
  <r>
    <x v="290"/>
    <s v="Chase Williams Md"/>
    <n v="52"/>
    <x v="0"/>
    <x v="1"/>
    <s v="Sherimouth"/>
    <s v="Virginia"/>
    <s v="USA"/>
    <s v="Silver"/>
  </r>
  <r>
    <x v="291"/>
    <s v="James Powell"/>
    <n v="40"/>
    <x v="2"/>
    <x v="1"/>
    <s v="West Beverlymouth"/>
    <s v="Missouri"/>
    <s v="USA"/>
    <s v="Bronze"/>
  </r>
  <r>
    <x v="292"/>
    <s v="Ricardo Jones"/>
    <n v="30"/>
    <x v="2"/>
    <x v="0"/>
    <s v="Danielland"/>
    <s v="Minnesota"/>
    <s v="USA"/>
    <s v="Silver"/>
  </r>
  <r>
    <x v="293"/>
    <s v="Gloria Taylor"/>
    <n v="56"/>
    <x v="0"/>
    <x v="1"/>
    <s v="North Daniel"/>
    <s v="Louisiana"/>
    <s v="USA"/>
    <s v="Platinum"/>
  </r>
  <r>
    <x v="294"/>
    <s v="Lisa Chandler"/>
    <n v="29"/>
    <x v="1"/>
    <x v="0"/>
    <s v="Port Richard"/>
    <s v="Montana"/>
    <s v="USA"/>
    <s v="Platinum"/>
  </r>
  <r>
    <x v="295"/>
    <s v="Crystal Waters"/>
    <n v="19"/>
    <x v="1"/>
    <x v="1"/>
    <s v="North Michelleport"/>
    <s v="Kansas"/>
    <s v="USA"/>
    <s v="Bronze"/>
  </r>
  <r>
    <x v="296"/>
    <s v="Jared Moran"/>
    <n v="28"/>
    <x v="1"/>
    <x v="1"/>
    <s v="South David"/>
    <s v="West Virginia"/>
    <s v="USA"/>
    <s v="Bronze"/>
  </r>
  <r>
    <x v="297"/>
    <s v="Jennifer Carr"/>
    <n v="47"/>
    <x v="2"/>
    <x v="1"/>
    <s v="Lake Brett"/>
    <s v="Missouri"/>
    <s v="USA"/>
    <s v="Silver"/>
  </r>
  <r>
    <x v="298"/>
    <s v="Tracy Stephens"/>
    <n v="64"/>
    <x v="0"/>
    <x v="0"/>
    <s v="New Joshuatown"/>
    <s v="Maine"/>
    <s v="USA"/>
    <s v="Platinum"/>
  </r>
  <r>
    <x v="299"/>
    <s v="Stephanie Jacobs"/>
    <n v="48"/>
    <x v="2"/>
    <x v="1"/>
    <s v="West Robinmouth"/>
    <s v="Louisiana"/>
    <s v="USA"/>
    <s v="Platinum"/>
  </r>
  <r>
    <x v="300"/>
    <s v="Matthew Avery"/>
    <n v="29"/>
    <x v="1"/>
    <x v="0"/>
    <s v="Lake Melissashire"/>
    <s v="Oregon"/>
    <s v="USA"/>
    <s v="Silver"/>
  </r>
  <r>
    <x v="301"/>
    <s v="Ryan Kane"/>
    <n v="50"/>
    <x v="2"/>
    <x v="0"/>
    <s v="West Bruceburgh"/>
    <s v="Virginia"/>
    <s v="USA"/>
    <s v="Gold"/>
  </r>
  <r>
    <x v="302"/>
    <s v="Edward Cole"/>
    <n v="36"/>
    <x v="2"/>
    <x v="0"/>
    <s v="Lake Charlotte"/>
    <s v="Arizona"/>
    <s v="USA"/>
    <s v="Gold"/>
  </r>
  <r>
    <x v="303"/>
    <s v="John Sloan"/>
    <n v="23"/>
    <x v="1"/>
    <x v="1"/>
    <s v="East Johntown"/>
    <s v="Delaware"/>
    <s v="USA"/>
    <s v="Platinum"/>
  </r>
  <r>
    <x v="304"/>
    <s v="Miss Alexandria Li Dvm"/>
    <n v="41"/>
    <x v="2"/>
    <x v="0"/>
    <s v="Port Jenniferton"/>
    <s v="Kansas"/>
    <s v="USA"/>
    <s v="Silver"/>
  </r>
  <r>
    <x v="305"/>
    <s v="Roberta Green"/>
    <n v="64"/>
    <x v="0"/>
    <x v="0"/>
    <s v="West Joseph"/>
    <s v="Washington"/>
    <s v="USA"/>
    <s v="Platinum"/>
  </r>
  <r>
    <x v="306"/>
    <s v="Angela Robinson"/>
    <n v="44"/>
    <x v="2"/>
    <x v="0"/>
    <s v="New Nicholasstad"/>
    <s v="Tennessee"/>
    <s v="USA"/>
    <s v="Platinum"/>
  </r>
  <r>
    <x v="307"/>
    <s v="Brandy Thompson"/>
    <n v="56"/>
    <x v="0"/>
    <x v="1"/>
    <s v="West Patriciaview"/>
    <s v="Alabama"/>
    <s v="USA"/>
    <s v="Bronze"/>
  </r>
  <r>
    <x v="308"/>
    <s v="Jennifer Zamora"/>
    <n v="60"/>
    <x v="0"/>
    <x v="1"/>
    <s v="Sarahland"/>
    <s v="Iowa"/>
    <s v="USA"/>
    <s v="Gold"/>
  </r>
  <r>
    <x v="309"/>
    <s v="Stacy Collins"/>
    <n v="41"/>
    <x v="2"/>
    <x v="1"/>
    <s v="Randychester"/>
    <s v="California"/>
    <s v="USA"/>
    <s v="Bronze"/>
  </r>
  <r>
    <x v="310"/>
    <s v="Kara Dodson"/>
    <n v="20"/>
    <x v="1"/>
    <x v="0"/>
    <s v="Joelside"/>
    <s v="Vermont"/>
    <s v="USA"/>
    <s v="Silver"/>
  </r>
  <r>
    <x v="311"/>
    <s v="Kevin Larson"/>
    <n v="35"/>
    <x v="2"/>
    <x v="0"/>
    <s v="Port Edwardmouth"/>
    <s v="Oregon"/>
    <s v="USA"/>
    <s v="Platinum"/>
  </r>
  <r>
    <x v="312"/>
    <s v="Jason Mullins"/>
    <n v="47"/>
    <x v="2"/>
    <x v="1"/>
    <s v="Brianchester"/>
    <s v="Delaware"/>
    <s v="USA"/>
    <s v="Silver"/>
  </r>
  <r>
    <x v="313"/>
    <s v="Elizabeth Jones"/>
    <n v="62"/>
    <x v="0"/>
    <x v="0"/>
    <s v="Brownburgh"/>
    <s v="Maryland"/>
    <s v="USA"/>
    <s v="Platinum"/>
  </r>
  <r>
    <x v="314"/>
    <s v="Elizabeth Johnson"/>
    <n v="53"/>
    <x v="0"/>
    <x v="1"/>
    <s v="Anitaland"/>
    <s v="Washington"/>
    <s v="USA"/>
    <s v="Silver"/>
  </r>
  <r>
    <x v="315"/>
    <s v="William Rodriguez"/>
    <n v="49"/>
    <x v="2"/>
    <x v="0"/>
    <s v="Port Chad"/>
    <s v="Massachusetts"/>
    <s v="USA"/>
    <s v="Silver"/>
  </r>
  <r>
    <x v="316"/>
    <s v="Robert House"/>
    <n v="34"/>
    <x v="2"/>
    <x v="0"/>
    <s v="Lake James"/>
    <s v="Maryland"/>
    <s v="USA"/>
    <s v="Gold"/>
  </r>
  <r>
    <x v="317"/>
    <s v="Tiffany Williams"/>
    <n v="64"/>
    <x v="0"/>
    <x v="1"/>
    <s v="Richardsport"/>
    <s v="New Hampshire"/>
    <s v="USA"/>
    <s v="Gold"/>
  </r>
  <r>
    <x v="318"/>
    <s v="Madison Wright"/>
    <n v="25"/>
    <x v="1"/>
    <x v="0"/>
    <s v="Monicaview"/>
    <s v="Kansas"/>
    <s v="USA"/>
    <s v="Platinum"/>
  </r>
  <r>
    <x v="319"/>
    <s v="Casey Simpson"/>
    <n v="54"/>
    <x v="0"/>
    <x v="0"/>
    <s v="West Mathewside"/>
    <s v="Mississippi"/>
    <s v="USA"/>
    <s v="Platinum"/>
  </r>
  <r>
    <x v="320"/>
    <s v="Jessica Gonzalez"/>
    <n v="34"/>
    <x v="2"/>
    <x v="1"/>
    <s v="South Darrenland"/>
    <s v="Iowa"/>
    <s v="USA"/>
    <s v="Bronze"/>
  </r>
  <r>
    <x v="321"/>
    <s v="Darren Burton"/>
    <n v="21"/>
    <x v="1"/>
    <x v="1"/>
    <s v="Lake Alice"/>
    <s v="Tennessee"/>
    <s v="USA"/>
    <s v="Bronze"/>
  </r>
  <r>
    <x v="322"/>
    <s v="Samuel Arias"/>
    <n v="54"/>
    <x v="0"/>
    <x v="0"/>
    <s v="North Nicole"/>
    <s v="Wyoming"/>
    <s v="USA"/>
    <s v="Bronze"/>
  </r>
  <r>
    <x v="323"/>
    <s v="Kristy Dunlap"/>
    <n v="64"/>
    <x v="0"/>
    <x v="1"/>
    <s v="Whiteport"/>
    <s v="North Carolina"/>
    <s v="USA"/>
    <s v="Platinum"/>
  </r>
  <r>
    <x v="324"/>
    <s v="Alex Mann Ii"/>
    <n v="58"/>
    <x v="0"/>
    <x v="0"/>
    <s v="South Zacharychester"/>
    <s v="Oklahoma"/>
    <s v="USA"/>
    <s v="Bronze"/>
  </r>
  <r>
    <x v="325"/>
    <s v="Andrew Smith"/>
    <n v="60"/>
    <x v="0"/>
    <x v="0"/>
    <s v="East Matthew"/>
    <s v="Wisconsin"/>
    <s v="USA"/>
    <s v="Bronze"/>
  </r>
  <r>
    <x v="326"/>
    <s v="Robert King"/>
    <n v="58"/>
    <x v="0"/>
    <x v="1"/>
    <s v="Cindyton"/>
    <s v="Rhode Island"/>
    <s v="USA"/>
    <s v="Gold"/>
  </r>
  <r>
    <x v="327"/>
    <s v="Reginald Willis"/>
    <n v="62"/>
    <x v="0"/>
    <x v="1"/>
    <s v="Kellybury"/>
    <s v="New York"/>
    <s v="USA"/>
    <s v="Bronze"/>
  </r>
  <r>
    <x v="328"/>
    <s v="Mario Harvey Jr."/>
    <n v="46"/>
    <x v="2"/>
    <x v="0"/>
    <s v="Jessicaport"/>
    <s v="Minnesota"/>
    <s v="USA"/>
    <s v="Platinum"/>
  </r>
  <r>
    <x v="329"/>
    <s v="Victor Mcintosh"/>
    <n v="62"/>
    <x v="0"/>
    <x v="1"/>
    <s v="Tiffanyshire"/>
    <s v="Minnesota"/>
    <s v="USA"/>
    <s v="Bronze"/>
  </r>
  <r>
    <x v="330"/>
    <s v="Pamela Mcguire"/>
    <n v="54"/>
    <x v="0"/>
    <x v="0"/>
    <s v="South Jasontown"/>
    <s v="Illinois"/>
    <s v="USA"/>
    <s v="Platinum"/>
  </r>
  <r>
    <x v="331"/>
    <s v="Maria Phillips"/>
    <n v="38"/>
    <x v="2"/>
    <x v="1"/>
    <s v="North Kathytown"/>
    <s v="Montana"/>
    <s v="USA"/>
    <s v="Bronze"/>
  </r>
  <r>
    <x v="332"/>
    <s v="Dr. Lindsay Hanna"/>
    <n v="34"/>
    <x v="2"/>
    <x v="1"/>
    <s v="New Paulstad"/>
    <s v="Hawaii"/>
    <s v="USA"/>
    <s v="Bronze"/>
  </r>
  <r>
    <x v="333"/>
    <s v="Teresa Johnson"/>
    <n v="64"/>
    <x v="0"/>
    <x v="1"/>
    <s v="Johnsonbury"/>
    <s v="Georgia"/>
    <s v="USA"/>
    <s v="Gold"/>
  </r>
  <r>
    <x v="334"/>
    <s v="Mr. Christopher Sims"/>
    <n v="50"/>
    <x v="2"/>
    <x v="1"/>
    <s v="Donaldsontown"/>
    <s v="Connecticut"/>
    <s v="USA"/>
    <s v="Silver"/>
  </r>
  <r>
    <x v="335"/>
    <s v="Jennifer Woods"/>
    <n v="37"/>
    <x v="2"/>
    <x v="0"/>
    <s v="West Brendamouth"/>
    <s v="North Carolina"/>
    <s v="USA"/>
    <s v="Platinum"/>
  </r>
  <r>
    <x v="336"/>
    <s v="John Jones"/>
    <n v="58"/>
    <x v="0"/>
    <x v="1"/>
    <s v="North Michaelborough"/>
    <s v="Oregon"/>
    <s v="USA"/>
    <s v="Silver"/>
  </r>
  <r>
    <x v="337"/>
    <s v="Carol Lewis"/>
    <n v="40"/>
    <x v="2"/>
    <x v="1"/>
    <s v="Ryanport"/>
    <s v="North Carolina"/>
    <s v="USA"/>
    <s v="Bronze"/>
  </r>
  <r>
    <x v="338"/>
    <s v="Jasmine Snyder"/>
    <n v="46"/>
    <x v="2"/>
    <x v="1"/>
    <s v="Hudsonfort"/>
    <s v="Connecticut"/>
    <s v="USA"/>
    <s v="Silver"/>
  </r>
  <r>
    <x v="339"/>
    <s v="Mrs. Susan Buckley"/>
    <n v="52"/>
    <x v="0"/>
    <x v="1"/>
    <s v="Stevensbury"/>
    <s v="Arizona"/>
    <s v="USA"/>
    <s v="Platinum"/>
  </r>
  <r>
    <x v="340"/>
    <s v="Eric Davis"/>
    <n v="27"/>
    <x v="1"/>
    <x v="0"/>
    <s v="Johntown"/>
    <s v="Colorado"/>
    <s v="USA"/>
    <s v="Bronze"/>
  </r>
  <r>
    <x v="341"/>
    <s v="Angela Williams"/>
    <n v="56"/>
    <x v="0"/>
    <x v="1"/>
    <s v="Lake Alyssaburgh"/>
    <s v="Illinois"/>
    <s v="USA"/>
    <s v="Bronze"/>
  </r>
  <r>
    <x v="342"/>
    <s v="Michelle Cunningham"/>
    <n v="30"/>
    <x v="2"/>
    <x v="1"/>
    <s v="Amandaborough"/>
    <s v="Connecticut"/>
    <s v="USA"/>
    <s v="Bronze"/>
  </r>
  <r>
    <x v="343"/>
    <s v="Ryan Moore"/>
    <n v="38"/>
    <x v="2"/>
    <x v="0"/>
    <s v="Cartershire"/>
    <s v="Virginia"/>
    <s v="USA"/>
    <s v="Bronze"/>
  </r>
  <r>
    <x v="344"/>
    <s v="Evelyn Brown"/>
    <n v="39"/>
    <x v="2"/>
    <x v="0"/>
    <s v="West Victoriaborough"/>
    <s v="New Mexico"/>
    <s v="USA"/>
    <s v="Gold"/>
  </r>
  <r>
    <x v="345"/>
    <s v="Daniel Nelson"/>
    <n v="33"/>
    <x v="2"/>
    <x v="0"/>
    <s v="North Jonathan"/>
    <s v="Oklahoma"/>
    <s v="USA"/>
    <s v="Bronze"/>
  </r>
  <r>
    <x v="346"/>
    <s v="John Jordan"/>
    <n v="58"/>
    <x v="0"/>
    <x v="1"/>
    <s v="Port Crystalberg"/>
    <s v="Tennessee"/>
    <s v="USA"/>
    <s v="Platinum"/>
  </r>
  <r>
    <x v="347"/>
    <s v="Justin Mason Dds"/>
    <n v="39"/>
    <x v="2"/>
    <x v="1"/>
    <s v="Peggystad"/>
    <s v="Connecticut"/>
    <s v="USA"/>
    <s v="Gold"/>
  </r>
  <r>
    <x v="348"/>
    <s v="Sherry Cabrera"/>
    <n v="55"/>
    <x v="0"/>
    <x v="0"/>
    <s v="Shannonview"/>
    <s v="Pennsylvania"/>
    <s v="USA"/>
    <s v="Silver"/>
  </r>
  <r>
    <x v="349"/>
    <s v="Heather Valenzuela"/>
    <n v="31"/>
    <x v="2"/>
    <x v="0"/>
    <s v="New Angiefurt"/>
    <s v="Alaska"/>
    <s v="USA"/>
    <s v="Bronze"/>
  </r>
  <r>
    <x v="350"/>
    <s v="Charles Miller"/>
    <n v="26"/>
    <x v="1"/>
    <x v="0"/>
    <s v="Lake Allisonborough"/>
    <s v="Iowa"/>
    <s v="USA"/>
    <s v="Silver"/>
  </r>
  <r>
    <x v="351"/>
    <s v="Jeffrey Mccarthy"/>
    <n v="25"/>
    <x v="1"/>
    <x v="1"/>
    <s v="North Samuel"/>
    <s v="Nebraska"/>
    <s v="USA"/>
    <s v="Bronze"/>
  </r>
  <r>
    <x v="352"/>
    <s v="Michael Greene"/>
    <n v="52"/>
    <x v="0"/>
    <x v="1"/>
    <s v="Port Saramouth"/>
    <s v="Wisconsin"/>
    <s v="USA"/>
    <s v="Silver"/>
  </r>
  <r>
    <x v="353"/>
    <s v="Laura Green"/>
    <n v="56"/>
    <x v="0"/>
    <x v="1"/>
    <s v="Westbury"/>
    <s v="Oregon"/>
    <s v="USA"/>
    <s v="Platinum"/>
  </r>
  <r>
    <x v="354"/>
    <s v="Ryan Torres"/>
    <n v="38"/>
    <x v="2"/>
    <x v="0"/>
    <s v="Guerreroport"/>
    <s v="Connecticut"/>
    <s v="USA"/>
    <s v="Silver"/>
  </r>
  <r>
    <x v="355"/>
    <s v="Carlos Flores"/>
    <n v="20"/>
    <x v="1"/>
    <x v="0"/>
    <s v="North Johnfurt"/>
    <s v="Washington"/>
    <s v="USA"/>
    <s v="Gold"/>
  </r>
  <r>
    <x v="356"/>
    <s v="Steve Hunt"/>
    <n v="54"/>
    <x v="0"/>
    <x v="0"/>
    <s v="North Richard"/>
    <s v="Virginia"/>
    <s v="USA"/>
    <s v="Bronze"/>
  </r>
  <r>
    <x v="357"/>
    <s v="Manuel Castillo"/>
    <n v="41"/>
    <x v="2"/>
    <x v="0"/>
    <s v="Nealview"/>
    <s v="Tennessee"/>
    <s v="USA"/>
    <s v="Gold"/>
  </r>
  <r>
    <x v="358"/>
    <s v="Ashley Anderson"/>
    <n v="60"/>
    <x v="0"/>
    <x v="1"/>
    <s v="West Johnmouth"/>
    <s v="Mississippi"/>
    <s v="USA"/>
    <s v="Gold"/>
  </r>
  <r>
    <x v="359"/>
    <s v="Melanie Lam"/>
    <n v="32"/>
    <x v="2"/>
    <x v="0"/>
    <s v="East Michaelton"/>
    <s v="Kansas"/>
    <s v="USA"/>
    <s v="Silver"/>
  </r>
  <r>
    <x v="360"/>
    <s v="Denise Tate"/>
    <n v="34"/>
    <x v="2"/>
    <x v="0"/>
    <s v="Andersonside"/>
    <s v="Arkansas"/>
    <s v="USA"/>
    <s v="Platinum"/>
  </r>
  <r>
    <x v="361"/>
    <s v="Natalie Johnson"/>
    <n v="64"/>
    <x v="0"/>
    <x v="0"/>
    <s v="New Jessechester"/>
    <s v="Indiana"/>
    <s v="USA"/>
    <s v="Platinum"/>
  </r>
  <r>
    <x v="362"/>
    <s v="Joshua Smith Dvm"/>
    <n v="60"/>
    <x v="0"/>
    <x v="0"/>
    <s v="Melvinton"/>
    <s v="Alaska"/>
    <s v="USA"/>
    <s v="Gold"/>
  </r>
  <r>
    <x v="363"/>
    <s v="Elizabeth Smith"/>
    <n v="23"/>
    <x v="1"/>
    <x v="0"/>
    <s v="Murphytown"/>
    <s v="Ohio"/>
    <s v="USA"/>
    <s v="Bronze"/>
  </r>
  <r>
    <x v="364"/>
    <s v="Chloe Aguilar"/>
    <n v="58"/>
    <x v="0"/>
    <x v="0"/>
    <s v="Lake Johnside"/>
    <s v="Arizona"/>
    <s v="USA"/>
    <s v="Bronze"/>
  </r>
  <r>
    <x v="365"/>
    <s v="Brandon Mcbride"/>
    <n v="63"/>
    <x v="0"/>
    <x v="1"/>
    <s v="Kellyside"/>
    <s v="Alaska"/>
    <s v="USA"/>
    <s v="Platinum"/>
  </r>
  <r>
    <x v="366"/>
    <s v="Mallory Allen"/>
    <n v="40"/>
    <x v="2"/>
    <x v="1"/>
    <s v="North Theresa"/>
    <s v="Alabama"/>
    <s v="USA"/>
    <s v="Platinum"/>
  </r>
  <r>
    <x v="367"/>
    <s v="Melinda Johnson"/>
    <n v="51"/>
    <x v="0"/>
    <x v="0"/>
    <s v="Kaufmanfurt"/>
    <s v="Ohio"/>
    <s v="USA"/>
    <s v="Bronze"/>
  </r>
  <r>
    <x v="368"/>
    <s v="Miranda King"/>
    <n v="34"/>
    <x v="2"/>
    <x v="1"/>
    <s v="West Mathew"/>
    <s v="New York"/>
    <s v="USA"/>
    <s v="Platinum"/>
  </r>
  <r>
    <x v="369"/>
    <s v="Gregory Allen"/>
    <n v="20"/>
    <x v="1"/>
    <x v="1"/>
    <s v="West Bruce"/>
    <s v="Vermont"/>
    <s v="USA"/>
    <s v="Platinum"/>
  </r>
  <r>
    <x v="370"/>
    <s v="James Holloway Jr."/>
    <n v="45"/>
    <x v="2"/>
    <x v="0"/>
    <s v="Millston"/>
    <s v="Indiana"/>
    <s v="USA"/>
    <s v="Silver"/>
  </r>
  <r>
    <x v="371"/>
    <s v="Michael Garner"/>
    <n v="21"/>
    <x v="1"/>
    <x v="1"/>
    <s v="Port Crystal"/>
    <s v="New Hampshire"/>
    <s v="USA"/>
    <s v="Platinum"/>
  </r>
  <r>
    <x v="372"/>
    <s v="Jacqueline Anthony"/>
    <n v="28"/>
    <x v="1"/>
    <x v="0"/>
    <s v="Vincentside"/>
    <s v="Ohio"/>
    <s v="USA"/>
    <s v="Bronze"/>
  </r>
  <r>
    <x v="373"/>
    <s v="James Orozco"/>
    <n v="37"/>
    <x v="2"/>
    <x v="1"/>
    <s v="Simpsonfort"/>
    <s v="Maine"/>
    <s v="USA"/>
    <s v="Gold"/>
  </r>
  <r>
    <x v="374"/>
    <s v="Emma Wilson"/>
    <n v="60"/>
    <x v="0"/>
    <x v="0"/>
    <s v="Andersonburgh"/>
    <s v="Hawaii"/>
    <s v="USA"/>
    <s v="Platinum"/>
  </r>
  <r>
    <x v="375"/>
    <s v="Joshua Bell"/>
    <n v="26"/>
    <x v="1"/>
    <x v="0"/>
    <s v="Port Richardshire"/>
    <s v="Minnesota"/>
    <s v="USA"/>
    <s v="Platinum"/>
  </r>
  <r>
    <x v="376"/>
    <s v="Michele Burke"/>
    <n v="30"/>
    <x v="2"/>
    <x v="0"/>
    <s v="Chambersberg"/>
    <s v="Connecticut"/>
    <s v="USA"/>
    <s v="Bronze"/>
  </r>
  <r>
    <x v="377"/>
    <s v="Charles Conley"/>
    <n v="39"/>
    <x v="2"/>
    <x v="1"/>
    <s v="Nathanshire"/>
    <s v="Maine"/>
    <s v="USA"/>
    <s v="Gold"/>
  </r>
  <r>
    <x v="378"/>
    <s v="Frank Stewart"/>
    <n v="44"/>
    <x v="2"/>
    <x v="1"/>
    <s v="Fischerborough"/>
    <s v="Delaware"/>
    <s v="USA"/>
    <s v="Bronze"/>
  </r>
  <r>
    <x v="379"/>
    <s v="Tanya Lopez"/>
    <n v="34"/>
    <x v="2"/>
    <x v="1"/>
    <s v="West Jeffreyburgh"/>
    <s v="Iowa"/>
    <s v="USA"/>
    <s v="Gold"/>
  </r>
  <r>
    <x v="380"/>
    <s v="Shelley Ponce"/>
    <n v="23"/>
    <x v="1"/>
    <x v="0"/>
    <s v="South Cassandrachester"/>
    <s v="Rhode Island"/>
    <s v="USA"/>
    <s v="Gold"/>
  </r>
  <r>
    <x v="381"/>
    <s v="Erika Padilla"/>
    <n v="50"/>
    <x v="2"/>
    <x v="0"/>
    <s v="Andrewsland"/>
    <s v="Alabama"/>
    <s v="USA"/>
    <s v="Silver"/>
  </r>
  <r>
    <x v="382"/>
    <s v="Martha Brown"/>
    <n v="20"/>
    <x v="1"/>
    <x v="1"/>
    <s v="Novakstad"/>
    <s v="California"/>
    <s v="USA"/>
    <s v="Gold"/>
  </r>
  <r>
    <x v="383"/>
    <s v="Kristine Higgins"/>
    <n v="27"/>
    <x v="1"/>
    <x v="1"/>
    <s v="Jennifertown"/>
    <s v="South Carolina"/>
    <s v="USA"/>
    <s v="Silver"/>
  </r>
  <r>
    <x v="384"/>
    <s v="Andrew Mason"/>
    <n v="52"/>
    <x v="0"/>
    <x v="1"/>
    <s v="North Michael"/>
    <s v="Iowa"/>
    <s v="USA"/>
    <s v="Bronze"/>
  </r>
  <r>
    <x v="385"/>
    <s v="Tammy Brennan"/>
    <n v="60"/>
    <x v="0"/>
    <x v="0"/>
    <s v="Lake Brandontown"/>
    <s v="South Carolina"/>
    <s v="USA"/>
    <s v="Gold"/>
  </r>
  <r>
    <x v="386"/>
    <s v="Melanie Mitchell"/>
    <n v="18"/>
    <x v="1"/>
    <x v="1"/>
    <s v="West Laura"/>
    <s v="Maryland"/>
    <s v="USA"/>
    <s v="Bronze"/>
  </r>
  <r>
    <x v="387"/>
    <s v="Timothy Gardner"/>
    <n v="28"/>
    <x v="1"/>
    <x v="1"/>
    <s v="New Dawn"/>
    <s v="New Jersey"/>
    <s v="USA"/>
    <s v="Silver"/>
  </r>
  <r>
    <x v="388"/>
    <s v="Timothy Valenzuela"/>
    <n v="53"/>
    <x v="0"/>
    <x v="0"/>
    <s v="Stevensshire"/>
    <s v="Missouri"/>
    <s v="USA"/>
    <s v="Platinum"/>
  </r>
  <r>
    <x v="389"/>
    <s v="Cynthia Lopez"/>
    <n v="50"/>
    <x v="2"/>
    <x v="0"/>
    <s v="Joseland"/>
    <s v="Nebraska"/>
    <s v="USA"/>
    <s v="Platinum"/>
  </r>
  <r>
    <x v="390"/>
    <s v="Daniel Bell"/>
    <n v="56"/>
    <x v="0"/>
    <x v="0"/>
    <s v="Deniseberg"/>
    <s v="Arkansas"/>
    <s v="USA"/>
    <s v="Silver"/>
  </r>
  <r>
    <x v="391"/>
    <s v="Heidi Tyler"/>
    <n v="40"/>
    <x v="2"/>
    <x v="1"/>
    <s v="Dawnstad"/>
    <s v="Oregon"/>
    <s v="USA"/>
    <s v="Bronze"/>
  </r>
  <r>
    <x v="392"/>
    <s v="Jacqueline Payne"/>
    <n v="46"/>
    <x v="2"/>
    <x v="0"/>
    <s v="Gutierrezstad"/>
    <s v="Missouri"/>
    <s v="USA"/>
    <s v="Gold"/>
  </r>
  <r>
    <x v="393"/>
    <s v="Michael Mcneil"/>
    <n v="46"/>
    <x v="2"/>
    <x v="0"/>
    <s v="Stewartchester"/>
    <s v="Utah"/>
    <s v="USA"/>
    <s v="Bronze"/>
  </r>
  <r>
    <x v="394"/>
    <s v="Alejandro Evans"/>
    <n v="43"/>
    <x v="2"/>
    <x v="1"/>
    <s v="Cannonberg"/>
    <s v="Connecticut"/>
    <s v="USA"/>
    <s v="Bronze"/>
  </r>
  <r>
    <x v="395"/>
    <s v="Brandon Mcguire"/>
    <n v="50"/>
    <x v="2"/>
    <x v="0"/>
    <s v="Lake Morganland"/>
    <s v="Kansas"/>
    <s v="USA"/>
    <s v="Gold"/>
  </r>
  <r>
    <x v="396"/>
    <s v="Alexander Byrd"/>
    <n v="25"/>
    <x v="1"/>
    <x v="1"/>
    <s v="Parkerview"/>
    <s v="New York"/>
    <s v="USA"/>
    <s v="Silver"/>
  </r>
  <r>
    <x v="397"/>
    <s v="Charles Norman Phd"/>
    <n v="62"/>
    <x v="0"/>
    <x v="1"/>
    <s v="East Jennifer"/>
    <s v="Kansas"/>
    <s v="USA"/>
    <s v="Platinum"/>
  </r>
  <r>
    <x v="398"/>
    <s v="Jennifer Johnson"/>
    <n v="54"/>
    <x v="0"/>
    <x v="0"/>
    <s v="Cheyenneborough"/>
    <s v="New Hampshire"/>
    <s v="USA"/>
    <s v="Bronze"/>
  </r>
  <r>
    <x v="399"/>
    <s v="John Donaldson"/>
    <n v="27"/>
    <x v="1"/>
    <x v="0"/>
    <s v="New Edward"/>
    <s v="Maine"/>
    <s v="USA"/>
    <s v="Bronze"/>
  </r>
  <r>
    <x v="400"/>
    <s v="Mark Rogers"/>
    <n v="57"/>
    <x v="0"/>
    <x v="1"/>
    <s v="Bookertown"/>
    <s v="Oklahoma"/>
    <s v="USA"/>
    <s v="Platinum"/>
  </r>
  <r>
    <x v="401"/>
    <s v="Terry Moses"/>
    <n v="51"/>
    <x v="0"/>
    <x v="1"/>
    <s v="Leahmouth"/>
    <s v="Nevada"/>
    <s v="USA"/>
    <s v="Platinum"/>
  </r>
  <r>
    <x v="402"/>
    <s v="Cassandra Perez"/>
    <n v="31"/>
    <x v="2"/>
    <x v="0"/>
    <s v="Brandonville"/>
    <s v="Mississippi"/>
    <s v="USA"/>
    <s v="Bronze"/>
  </r>
  <r>
    <x v="403"/>
    <s v="Justin Ingram"/>
    <n v="34"/>
    <x v="2"/>
    <x v="0"/>
    <s v="Lake Lisaland"/>
    <s v="Louisiana"/>
    <s v="USA"/>
    <s v="Bronze"/>
  </r>
  <r>
    <x v="404"/>
    <s v="David Ross"/>
    <n v="22"/>
    <x v="1"/>
    <x v="1"/>
    <s v="South Angela"/>
    <s v="Arkansas"/>
    <s v="USA"/>
    <s v="Silver"/>
  </r>
  <r>
    <x v="405"/>
    <s v="Eric Wolfe"/>
    <n v="18"/>
    <x v="1"/>
    <x v="1"/>
    <s v="Garciaview"/>
    <s v="Louisiana"/>
    <s v="USA"/>
    <s v="Gold"/>
  </r>
  <r>
    <x v="406"/>
    <s v="David Lozano"/>
    <n v="23"/>
    <x v="1"/>
    <x v="1"/>
    <s v="North Michaelfurt"/>
    <s v="Wisconsin"/>
    <s v="USA"/>
    <s v="Gold"/>
  </r>
  <r>
    <x v="407"/>
    <s v="Joseph Mendoza"/>
    <n v="33"/>
    <x v="2"/>
    <x v="0"/>
    <s v="Ashleymouth"/>
    <s v="Maryland"/>
    <s v="USA"/>
    <s v="Gold"/>
  </r>
  <r>
    <x v="408"/>
    <s v="Isabel Foster"/>
    <n v="36"/>
    <x v="2"/>
    <x v="0"/>
    <s v="Port Joshuaville"/>
    <s v="New Jersey"/>
    <s v="USA"/>
    <s v="Gold"/>
  </r>
  <r>
    <x v="409"/>
    <s v="Sarah Smith"/>
    <n v="55"/>
    <x v="0"/>
    <x v="0"/>
    <s v="Kathleenport"/>
    <s v="Wyoming"/>
    <s v="USA"/>
    <s v="Gold"/>
  </r>
  <r>
    <x v="410"/>
    <s v="Jackie Thompson"/>
    <n v="48"/>
    <x v="2"/>
    <x v="1"/>
    <s v="South Edwin"/>
    <s v="New Jersey"/>
    <s v="USA"/>
    <s v="Bronze"/>
  </r>
  <r>
    <x v="411"/>
    <s v="Katrina Perez"/>
    <n v="63"/>
    <x v="0"/>
    <x v="0"/>
    <s v="West Rebecca"/>
    <s v="Ohio"/>
    <s v="USA"/>
    <s v="Silver"/>
  </r>
  <r>
    <x v="412"/>
    <s v="Shane Brown"/>
    <n v="23"/>
    <x v="1"/>
    <x v="1"/>
    <s v="East Andrea"/>
    <s v="Michigan"/>
    <s v="USA"/>
    <s v="Gold"/>
  </r>
  <r>
    <x v="413"/>
    <s v="Megan Ryan"/>
    <n v="59"/>
    <x v="0"/>
    <x v="1"/>
    <s v="Andrewsfurt"/>
    <s v="Idaho"/>
    <s v="USA"/>
    <s v="Bronze"/>
  </r>
  <r>
    <x v="414"/>
    <s v="Melissa Valentine"/>
    <n v="35"/>
    <x v="2"/>
    <x v="1"/>
    <s v="East Patriciafort"/>
    <s v="Missouri"/>
    <s v="USA"/>
    <s v="Gold"/>
  </r>
  <r>
    <x v="415"/>
    <s v="Tyler Cook"/>
    <n v="26"/>
    <x v="1"/>
    <x v="1"/>
    <s v="Kramerview"/>
    <s v="Alaska"/>
    <s v="USA"/>
    <s v="Silver"/>
  </r>
  <r>
    <x v="416"/>
    <s v="Jennifer Myers"/>
    <n v="46"/>
    <x v="2"/>
    <x v="0"/>
    <s v="Marthaborough"/>
    <s v="Wisconsin"/>
    <s v="USA"/>
    <s v="Platinum"/>
  </r>
  <r>
    <x v="417"/>
    <s v="Karen King"/>
    <n v="64"/>
    <x v="0"/>
    <x v="1"/>
    <s v="Kimburgh"/>
    <s v="North Carolina"/>
    <s v="USA"/>
    <s v="Bronze"/>
  </r>
  <r>
    <x v="418"/>
    <s v="Luke Parks"/>
    <n v="60"/>
    <x v="0"/>
    <x v="1"/>
    <s v="West Mario"/>
    <s v="New Hampshire"/>
    <s v="USA"/>
    <s v="Silver"/>
  </r>
  <r>
    <x v="419"/>
    <s v="Monica Miller"/>
    <n v="33"/>
    <x v="2"/>
    <x v="0"/>
    <s v="Lake David"/>
    <s v="Mississippi"/>
    <s v="USA"/>
    <s v="Gold"/>
  </r>
  <r>
    <x v="420"/>
    <s v="Dr. Tamara White Md"/>
    <n v="60"/>
    <x v="0"/>
    <x v="0"/>
    <s v="New Benjamin"/>
    <s v="North Carolina"/>
    <s v="USA"/>
    <s v="Bronze"/>
  </r>
  <r>
    <x v="421"/>
    <s v="Holly Robinson"/>
    <n v="45"/>
    <x v="2"/>
    <x v="1"/>
    <s v="East Amy"/>
    <s v="Washington"/>
    <s v="USA"/>
    <s v="Platinum"/>
  </r>
  <r>
    <x v="422"/>
    <s v="Brittany Edwards Dds"/>
    <n v="42"/>
    <x v="2"/>
    <x v="1"/>
    <s v="Aliciahaven"/>
    <s v="Kansas"/>
    <s v="USA"/>
    <s v="Platinum"/>
  </r>
  <r>
    <x v="423"/>
    <s v="Rebecca Baker"/>
    <n v="35"/>
    <x v="2"/>
    <x v="0"/>
    <s v="New Katherine"/>
    <s v="Kansas"/>
    <s v="USA"/>
    <s v="Silver"/>
  </r>
  <r>
    <x v="424"/>
    <s v="Edwin Barnes"/>
    <n v="53"/>
    <x v="0"/>
    <x v="0"/>
    <s v="Lake Alexandra"/>
    <s v="North Carolina"/>
    <s v="USA"/>
    <s v="Bronze"/>
  </r>
  <r>
    <x v="425"/>
    <s v="Bryce Hawkins"/>
    <n v="40"/>
    <x v="2"/>
    <x v="0"/>
    <s v="Lake Monique"/>
    <s v="Utah"/>
    <s v="USA"/>
    <s v="Bronze"/>
  </r>
  <r>
    <x v="426"/>
    <s v="Jeanette Nichols"/>
    <n v="28"/>
    <x v="1"/>
    <x v="0"/>
    <s v="Aguilarland"/>
    <s v="North Carolina"/>
    <s v="USA"/>
    <s v="Platinum"/>
  </r>
  <r>
    <x v="427"/>
    <s v="Jose Stewart"/>
    <n v="18"/>
    <x v="1"/>
    <x v="1"/>
    <s v="South Robert"/>
    <s v="Maine"/>
    <s v="USA"/>
    <s v="Gold"/>
  </r>
  <r>
    <x v="428"/>
    <s v="Samuel Mullins"/>
    <n v="27"/>
    <x v="1"/>
    <x v="1"/>
    <s v="Hartmouth"/>
    <s v="Louisiana"/>
    <s v="USA"/>
    <s v="Bronze"/>
  </r>
  <r>
    <x v="429"/>
    <s v="Sean Vang"/>
    <n v="43"/>
    <x v="2"/>
    <x v="0"/>
    <s v="Davidchester"/>
    <s v="Idaho"/>
    <s v="USA"/>
    <s v="Platinum"/>
  </r>
  <r>
    <x v="430"/>
    <s v="Kimberly Roberts"/>
    <n v="36"/>
    <x v="2"/>
    <x v="1"/>
    <s v="Josephchester"/>
    <s v="New Jersey"/>
    <s v="USA"/>
    <s v="Gold"/>
  </r>
  <r>
    <x v="431"/>
    <s v="John Smith"/>
    <n v="27"/>
    <x v="1"/>
    <x v="0"/>
    <s v="South Andrewport"/>
    <s v="California"/>
    <s v="USA"/>
    <s v="Platinum"/>
  </r>
  <r>
    <x v="432"/>
    <s v="Summer Weiss"/>
    <n v="37"/>
    <x v="2"/>
    <x v="0"/>
    <s v="Phyllisport"/>
    <s v="New Jersey"/>
    <s v="USA"/>
    <s v="Bronze"/>
  </r>
  <r>
    <x v="433"/>
    <s v="Thomas Moore"/>
    <n v="51"/>
    <x v="0"/>
    <x v="1"/>
    <s v="Williamsberg"/>
    <s v="New York"/>
    <s v="USA"/>
    <s v="Silver"/>
  </r>
  <r>
    <x v="434"/>
    <s v="Monique Castro"/>
    <n v="48"/>
    <x v="2"/>
    <x v="1"/>
    <s v="New Sarah"/>
    <s v="Indiana"/>
    <s v="USA"/>
    <s v="Gold"/>
  </r>
  <r>
    <x v="435"/>
    <s v="Lindsay Beasley"/>
    <n v="37"/>
    <x v="2"/>
    <x v="1"/>
    <s v="Wesleyhaven"/>
    <s v="Idaho"/>
    <s v="USA"/>
    <s v="Silver"/>
  </r>
  <r>
    <x v="436"/>
    <s v="Sharon Simpson"/>
    <n v="61"/>
    <x v="0"/>
    <x v="0"/>
    <s v="South Michellebury"/>
    <s v="South Dakota"/>
    <s v="USA"/>
    <s v="Gold"/>
  </r>
  <r>
    <x v="437"/>
    <s v="Melinda Rivera"/>
    <n v="47"/>
    <x v="2"/>
    <x v="1"/>
    <s v="East Davidmouth"/>
    <s v="New Hampshire"/>
    <s v="USA"/>
    <s v="Platinum"/>
  </r>
  <r>
    <x v="438"/>
    <s v="Monica Flynn"/>
    <n v="59"/>
    <x v="0"/>
    <x v="1"/>
    <s v="Amberburgh"/>
    <s v="Tennessee"/>
    <s v="USA"/>
    <s v="Platinum"/>
  </r>
  <r>
    <x v="439"/>
    <s v="John Compton"/>
    <n v="53"/>
    <x v="0"/>
    <x v="0"/>
    <s v="North Daniel"/>
    <s v="Michigan"/>
    <s v="USA"/>
    <s v="Silver"/>
  </r>
  <r>
    <x v="440"/>
    <s v="Tammy Trevino"/>
    <n v="60"/>
    <x v="0"/>
    <x v="0"/>
    <s v="Justinberg"/>
    <s v="North Dakota"/>
    <s v="USA"/>
    <s v="Silver"/>
  </r>
  <r>
    <x v="441"/>
    <s v="Dalton Walters"/>
    <n v="31"/>
    <x v="2"/>
    <x v="0"/>
    <s v="Jonesstad"/>
    <s v="Wisconsin"/>
    <s v="USA"/>
    <s v="Silver"/>
  </r>
  <r>
    <x v="442"/>
    <s v="Kelli Smith"/>
    <n v="42"/>
    <x v="2"/>
    <x v="1"/>
    <s v="North Maryfort"/>
    <s v="Oregon"/>
    <s v="USA"/>
    <s v="Bronze"/>
  </r>
  <r>
    <x v="443"/>
    <s v="Adam Castro"/>
    <n v="51"/>
    <x v="0"/>
    <x v="0"/>
    <s v="New Donnabury"/>
    <s v="Texas"/>
    <s v="USA"/>
    <s v="Silver"/>
  </r>
  <r>
    <x v="444"/>
    <s v="Cheryl Carr"/>
    <n v="19"/>
    <x v="1"/>
    <x v="0"/>
    <s v="Jessicaland"/>
    <s v="Wyoming"/>
    <s v="USA"/>
    <s v="Gold"/>
  </r>
  <r>
    <x v="445"/>
    <s v="Gene Lee"/>
    <n v="41"/>
    <x v="2"/>
    <x v="1"/>
    <s v="Mcfarlandmouth"/>
    <s v="Virginia"/>
    <s v="USA"/>
    <s v="Platinum"/>
  </r>
  <r>
    <x v="446"/>
    <s v="Shannon Turner"/>
    <n v="35"/>
    <x v="2"/>
    <x v="0"/>
    <s v="West Jorge"/>
    <s v="Oklahoma"/>
    <s v="USA"/>
    <s v="Silver"/>
  </r>
  <r>
    <x v="447"/>
    <s v="Monica Wright"/>
    <n v="45"/>
    <x v="2"/>
    <x v="0"/>
    <s v="Paulside"/>
    <s v="North Carolina"/>
    <s v="USA"/>
    <s v="Gold"/>
  </r>
  <r>
    <x v="448"/>
    <s v="Eric Holmes"/>
    <n v="64"/>
    <x v="0"/>
    <x v="1"/>
    <s v="Smithville"/>
    <s v="Wyoming"/>
    <s v="USA"/>
    <s v="Bronze"/>
  </r>
  <r>
    <x v="449"/>
    <s v="William Cortez"/>
    <n v="29"/>
    <x v="1"/>
    <x v="0"/>
    <s v="Port Hannahport"/>
    <s v="Ohio"/>
    <s v="USA"/>
    <s v="Bronze"/>
  </r>
  <r>
    <x v="450"/>
    <s v="Shane Mills"/>
    <n v="59"/>
    <x v="0"/>
    <x v="0"/>
    <s v="Lake Meganstad"/>
    <s v="Nebraska"/>
    <s v="USA"/>
    <s v="Bronze"/>
  </r>
  <r>
    <x v="451"/>
    <s v="Ashley Roberts"/>
    <n v="46"/>
    <x v="2"/>
    <x v="0"/>
    <s v="Josephmouth"/>
    <s v="New Mexico"/>
    <s v="USA"/>
    <s v="Gold"/>
  </r>
  <r>
    <x v="452"/>
    <s v="Jeffery Wolf"/>
    <n v="60"/>
    <x v="0"/>
    <x v="1"/>
    <s v="New Laura"/>
    <s v="Mississippi"/>
    <s v="USA"/>
    <s v="Bronze"/>
  </r>
  <r>
    <x v="453"/>
    <s v="April Phillips"/>
    <n v="62"/>
    <x v="0"/>
    <x v="1"/>
    <s v="Lake Carolyn"/>
    <s v="Hawaii"/>
    <s v="USA"/>
    <s v="Platinum"/>
  </r>
  <r>
    <x v="454"/>
    <s v="John Berg"/>
    <n v="60"/>
    <x v="0"/>
    <x v="0"/>
    <s v="Johnsonville"/>
    <s v="Oklahoma"/>
    <s v="USA"/>
    <s v="Gold"/>
  </r>
  <r>
    <x v="455"/>
    <s v="Tyler Weber"/>
    <n v="54"/>
    <x v="0"/>
    <x v="0"/>
    <s v="East Yvette"/>
    <s v="Illinois"/>
    <s v="USA"/>
    <s v="Gold"/>
  </r>
  <r>
    <x v="456"/>
    <s v="Julie Powell"/>
    <n v="59"/>
    <x v="0"/>
    <x v="1"/>
    <s v="South Barbara"/>
    <s v="Arkansas"/>
    <s v="USA"/>
    <s v="Gold"/>
  </r>
  <r>
    <x v="457"/>
    <s v="Christina Robertson"/>
    <n v="59"/>
    <x v="0"/>
    <x v="0"/>
    <s v="Hubbardborough"/>
    <s v="Kentucky"/>
    <s v="USA"/>
    <s v="Platinum"/>
  </r>
  <r>
    <x v="458"/>
    <s v="Kelly Garrett"/>
    <n v="62"/>
    <x v="0"/>
    <x v="1"/>
    <s v="Port Taylorberg"/>
    <s v="Pennsylvania"/>
    <s v="USA"/>
    <s v="Silver"/>
  </r>
  <r>
    <x v="459"/>
    <s v="John Perez"/>
    <n v="54"/>
    <x v="0"/>
    <x v="1"/>
    <s v="Brandontown"/>
    <s v="South Carolina"/>
    <s v="USA"/>
    <s v="Gold"/>
  </r>
  <r>
    <x v="460"/>
    <s v="Justin Johnson"/>
    <n v="35"/>
    <x v="2"/>
    <x v="0"/>
    <s v="Hughesview"/>
    <s v="Iowa"/>
    <s v="USA"/>
    <s v="Gold"/>
  </r>
  <r>
    <x v="461"/>
    <s v="Paul Cox"/>
    <n v="60"/>
    <x v="0"/>
    <x v="1"/>
    <s v="East Julie"/>
    <s v="Kansas"/>
    <s v="USA"/>
    <s v="Silver"/>
  </r>
  <r>
    <x v="462"/>
    <s v="Beth Martin"/>
    <n v="34"/>
    <x v="2"/>
    <x v="1"/>
    <s v="Burkefurt"/>
    <s v="West Virginia"/>
    <s v="USA"/>
    <s v="Silver"/>
  </r>
  <r>
    <x v="463"/>
    <s v="Samantha Lee"/>
    <n v="36"/>
    <x v="2"/>
    <x v="1"/>
    <s v="Port Anthony"/>
    <s v="Connecticut"/>
    <s v="USA"/>
    <s v="Bronze"/>
  </r>
  <r>
    <x v="464"/>
    <s v="David Pierce"/>
    <n v="45"/>
    <x v="2"/>
    <x v="1"/>
    <s v="Grayland"/>
    <s v="Washington"/>
    <s v="USA"/>
    <s v="Platinum"/>
  </r>
  <r>
    <x v="465"/>
    <s v="Ronald Ross"/>
    <n v="28"/>
    <x v="1"/>
    <x v="1"/>
    <s v="Hartmanside"/>
    <s v="North Carolina"/>
    <s v="USA"/>
    <s v="Silver"/>
  </r>
  <r>
    <x v="466"/>
    <s v="Cynthia Parrish"/>
    <n v="18"/>
    <x v="1"/>
    <x v="0"/>
    <s v="Espinozaberg"/>
    <s v="Minnesota"/>
    <s v="USA"/>
    <s v="Silver"/>
  </r>
  <r>
    <x v="467"/>
    <s v="Michael Foley"/>
    <n v="63"/>
    <x v="0"/>
    <x v="1"/>
    <s v="Oneillfurt"/>
    <s v="Vermont"/>
    <s v="USA"/>
    <s v="Gold"/>
  </r>
  <r>
    <x v="468"/>
    <s v="Gregory Curtis"/>
    <n v="45"/>
    <x v="2"/>
    <x v="0"/>
    <s v="Bergermouth"/>
    <s v="Vermont"/>
    <s v="USA"/>
    <s v="Bronze"/>
  </r>
  <r>
    <x v="469"/>
    <s v="James Foster"/>
    <n v="19"/>
    <x v="1"/>
    <x v="0"/>
    <s v="East Audrey"/>
    <s v="Utah"/>
    <s v="USA"/>
    <s v="Gold"/>
  </r>
  <r>
    <x v="470"/>
    <s v="Manuel Fisher"/>
    <n v="21"/>
    <x v="1"/>
    <x v="1"/>
    <s v="Kanebury"/>
    <s v="New Hampshire"/>
    <s v="USA"/>
    <s v="Gold"/>
  </r>
  <r>
    <x v="471"/>
    <s v="Debra Mccullough"/>
    <n v="42"/>
    <x v="2"/>
    <x v="0"/>
    <s v="Mcdanielfurt"/>
    <s v="Montana"/>
    <s v="USA"/>
    <s v="Platinum"/>
  </r>
  <r>
    <x v="472"/>
    <s v="Philip Mendoza"/>
    <n v="42"/>
    <x v="2"/>
    <x v="0"/>
    <s v="Tylermouth"/>
    <s v="Massachusetts"/>
    <s v="USA"/>
    <s v="Silver"/>
  </r>
  <r>
    <x v="473"/>
    <s v="Laura Mathews"/>
    <n v="53"/>
    <x v="0"/>
    <x v="0"/>
    <s v="Chambersfurt"/>
    <s v="Wisconsin"/>
    <s v="USA"/>
    <s v="Bronze"/>
  </r>
  <r>
    <x v="474"/>
    <s v="Joshua Howard"/>
    <n v="32"/>
    <x v="2"/>
    <x v="1"/>
    <s v="East Christopherhaven"/>
    <s v="South Dakota"/>
    <s v="USA"/>
    <s v="Platinum"/>
  </r>
  <r>
    <x v="475"/>
    <s v="Barbara Berry"/>
    <n v="18"/>
    <x v="1"/>
    <x v="1"/>
    <s v="Lake Michael"/>
    <s v="Vermont"/>
    <s v="USA"/>
    <s v="Platinum"/>
  </r>
  <r>
    <x v="476"/>
    <s v="Elizabeth Foster"/>
    <n v="33"/>
    <x v="2"/>
    <x v="1"/>
    <s v="Anthonymouth"/>
    <s v="Oklahoma"/>
    <s v="USA"/>
    <s v="Gold"/>
  </r>
  <r>
    <x v="477"/>
    <s v="Andrea Harris"/>
    <n v="41"/>
    <x v="2"/>
    <x v="1"/>
    <s v="West Kelseyberg"/>
    <s v="Kansas"/>
    <s v="USA"/>
    <s v="Platinum"/>
  </r>
  <r>
    <x v="478"/>
    <s v="Earl Smith Dds"/>
    <n v="59"/>
    <x v="0"/>
    <x v="0"/>
    <s v="West Sarah"/>
    <s v="South Dakota"/>
    <s v="USA"/>
    <s v="Gold"/>
  </r>
  <r>
    <x v="479"/>
    <s v="Dylan Gutierrez"/>
    <n v="40"/>
    <x v="2"/>
    <x v="0"/>
    <s v="New Jamesview"/>
    <s v="West Virginia"/>
    <s v="USA"/>
    <s v="Bronze"/>
  </r>
  <r>
    <x v="480"/>
    <s v="Jordan Medina"/>
    <n v="33"/>
    <x v="2"/>
    <x v="0"/>
    <s v="Robinchester"/>
    <s v="Florida"/>
    <s v="USA"/>
    <s v="Bronze"/>
  </r>
  <r>
    <x v="481"/>
    <s v="Bryan Tran"/>
    <n v="21"/>
    <x v="1"/>
    <x v="0"/>
    <s v="Kelseybury"/>
    <s v="Georgia"/>
    <s v="USA"/>
    <s v="Gold"/>
  </r>
  <r>
    <x v="482"/>
    <s v="Sheri Joyce"/>
    <n v="26"/>
    <x v="1"/>
    <x v="0"/>
    <s v="West Tylerfort"/>
    <s v="Kentucky"/>
    <s v="USA"/>
    <s v="Platinum"/>
  </r>
  <r>
    <x v="483"/>
    <s v="Sarah Smith"/>
    <n v="55"/>
    <x v="0"/>
    <x v="0"/>
    <s v="East Rodney"/>
    <s v="Nevada"/>
    <s v="USA"/>
    <s v="Gold"/>
  </r>
  <r>
    <x v="484"/>
    <s v="Jessica Castro"/>
    <n v="32"/>
    <x v="2"/>
    <x v="0"/>
    <s v="West Markton"/>
    <s v="Massachusetts"/>
    <s v="USA"/>
    <s v="Bronze"/>
  </r>
  <r>
    <x v="485"/>
    <s v="Sara Ingram"/>
    <n v="46"/>
    <x v="2"/>
    <x v="1"/>
    <s v="East Dillonview"/>
    <s v="Virginia"/>
    <s v="USA"/>
    <s v="Bronze"/>
  </r>
  <r>
    <x v="486"/>
    <s v="Eric Lee"/>
    <n v="22"/>
    <x v="1"/>
    <x v="1"/>
    <s v="Lake April"/>
    <s v="Vermont"/>
    <s v="USA"/>
    <s v="Bronze"/>
  </r>
  <r>
    <x v="487"/>
    <s v="Amanda Medina"/>
    <n v="36"/>
    <x v="2"/>
    <x v="1"/>
    <s v="East Patriciastad"/>
    <s v="Utah"/>
    <s v="USA"/>
    <s v="Platinum"/>
  </r>
  <r>
    <x v="488"/>
    <s v="Zachary Andrade"/>
    <n v="23"/>
    <x v="1"/>
    <x v="1"/>
    <s v="South Davidport"/>
    <s v="California"/>
    <s v="USA"/>
    <s v="Platinum"/>
  </r>
  <r>
    <x v="489"/>
    <s v="Melinda Thomas"/>
    <n v="42"/>
    <x v="2"/>
    <x v="1"/>
    <s v="Lake Elizabethside"/>
    <s v="Indiana"/>
    <s v="USA"/>
    <s v="Silver"/>
  </r>
  <r>
    <x v="490"/>
    <s v="Scott Harris"/>
    <n v="23"/>
    <x v="1"/>
    <x v="0"/>
    <s v="North Nataliemouth"/>
    <s v="Maryland"/>
    <s v="USA"/>
    <s v="Platinum"/>
  </r>
  <r>
    <x v="491"/>
    <s v="Kaitlin Brown"/>
    <n v="52"/>
    <x v="0"/>
    <x v="1"/>
    <s v="Kellyberg"/>
    <s v="South Dakota"/>
    <s v="USA"/>
    <s v="Gold"/>
  </r>
  <r>
    <x v="492"/>
    <s v="Darrell Miller"/>
    <n v="59"/>
    <x v="0"/>
    <x v="1"/>
    <s v="Port Carol"/>
    <s v="Florida"/>
    <s v="USA"/>
    <s v="Platinum"/>
  </r>
  <r>
    <x v="493"/>
    <s v="Amanda Powell"/>
    <n v="28"/>
    <x v="1"/>
    <x v="0"/>
    <s v="South William"/>
    <s v="Alabama"/>
    <s v="USA"/>
    <s v="Silver"/>
  </r>
  <r>
    <x v="494"/>
    <s v="Justin Lopez"/>
    <n v="21"/>
    <x v="1"/>
    <x v="0"/>
    <s v="Port Cheryl"/>
    <s v="Texas"/>
    <s v="USA"/>
    <s v="Gold"/>
  </r>
  <r>
    <x v="495"/>
    <s v="James Berger"/>
    <n v="23"/>
    <x v="1"/>
    <x v="1"/>
    <s v="Bryanmouth"/>
    <s v="Delaware"/>
    <s v="USA"/>
    <s v="Bronze"/>
  </r>
  <r>
    <x v="496"/>
    <s v="Christopher Ford"/>
    <n v="56"/>
    <x v="0"/>
    <x v="0"/>
    <s v="North Seanfurt"/>
    <s v="Ohio"/>
    <s v="USA"/>
    <s v="Bronze"/>
  </r>
  <r>
    <x v="497"/>
    <s v="Sarah Marsh"/>
    <n v="47"/>
    <x v="2"/>
    <x v="1"/>
    <s v="Port William"/>
    <s v="New York"/>
    <s v="USA"/>
    <s v="Gold"/>
  </r>
  <r>
    <x v="498"/>
    <s v="Traci Gonzalez"/>
    <n v="35"/>
    <x v="2"/>
    <x v="0"/>
    <s v="Snyderfurt"/>
    <s v="New Mexico"/>
    <s v="USA"/>
    <s v="Silver"/>
  </r>
  <r>
    <x v="499"/>
    <s v="Philip Pennington"/>
    <n v="27"/>
    <x v="1"/>
    <x v="1"/>
    <s v="East Valerieview"/>
    <s v="Oregon"/>
    <s v="USA"/>
    <s v="Platin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22D28-72BC-47BD-B6B4-9573C965418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E20" firstHeaderRow="1" firstDataRow="2" firstDataCol="1"/>
  <pivotFields count="9"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484">
        <item x="217"/>
        <item x="130"/>
        <item x="225"/>
        <item x="415"/>
        <item x="411"/>
        <item x="334"/>
        <item x="188"/>
        <item x="426"/>
        <item x="30"/>
        <item x="174"/>
        <item x="366"/>
        <item x="352"/>
        <item x="402"/>
        <item x="373"/>
        <item x="306"/>
        <item x="460"/>
        <item x="397"/>
        <item x="88"/>
        <item x="86"/>
        <item x="172"/>
        <item x="126"/>
        <item x="453"/>
        <item x="222"/>
        <item x="391"/>
        <item x="444"/>
        <item x="17"/>
        <item x="67"/>
        <item x="37"/>
        <item x="304"/>
        <item x="305"/>
        <item x="38"/>
        <item x="203"/>
        <item x="478"/>
        <item x="447"/>
        <item x="175"/>
        <item x="386"/>
        <item x="164"/>
        <item x="335"/>
        <item x="368"/>
        <item x="458"/>
        <item x="389"/>
        <item x="44"/>
        <item x="54"/>
        <item x="145"/>
        <item x="318"/>
        <item x="199"/>
        <item x="228"/>
        <item x="286"/>
        <item x="211"/>
        <item x="39"/>
        <item x="418"/>
        <item x="383"/>
        <item x="48"/>
        <item x="236"/>
        <item x="56"/>
        <item x="6"/>
        <item x="382"/>
        <item x="163"/>
        <item x="326"/>
        <item x="0"/>
        <item x="142"/>
        <item x="5"/>
        <item x="410"/>
        <item x="53"/>
        <item x="454"/>
        <item x="459"/>
        <item x="219"/>
        <item x="178"/>
        <item x="469"/>
        <item x="114"/>
        <item x="128"/>
        <item x="87"/>
        <item x="29"/>
        <item x="220"/>
        <item x="173"/>
        <item x="295"/>
        <item x="212"/>
        <item x="446"/>
        <item x="184"/>
        <item x="11"/>
        <item x="106"/>
        <item x="317"/>
        <item x="351"/>
        <item x="26"/>
        <item x="403"/>
        <item x="471"/>
        <item x="155"/>
        <item x="253"/>
        <item x="467"/>
        <item x="482"/>
        <item x="440"/>
        <item x="268"/>
        <item x="215"/>
        <item x="55"/>
        <item x="263"/>
        <item x="270"/>
        <item x="451"/>
        <item x="154"/>
        <item x="370"/>
        <item x="158"/>
        <item x="32"/>
        <item x="195"/>
        <item x="277"/>
        <item x="244"/>
        <item x="395"/>
        <item x="84"/>
        <item x="208"/>
        <item x="273"/>
        <item x="135"/>
        <item x="19"/>
        <item x="259"/>
        <item x="226"/>
        <item x="449"/>
        <item x="50"/>
        <item x="346"/>
        <item x="384"/>
        <item x="450"/>
        <item x="417"/>
        <item x="235"/>
        <item x="160"/>
        <item x="442"/>
        <item x="330"/>
        <item x="445"/>
        <item x="180"/>
        <item x="151"/>
        <item x="250"/>
        <item x="61"/>
        <item x="375"/>
        <item x="431"/>
        <item x="320"/>
        <item x="302"/>
        <item x="325"/>
        <item x="200"/>
        <item x="189"/>
        <item x="31"/>
        <item x="332"/>
        <item x="428"/>
        <item x="381"/>
        <item x="419"/>
        <item x="168"/>
        <item x="427"/>
        <item x="455"/>
        <item x="252"/>
        <item x="399"/>
        <item x="122"/>
        <item x="205"/>
        <item x="359"/>
        <item x="475"/>
        <item x="319"/>
        <item x="357"/>
        <item x="465"/>
        <item x="406"/>
        <item x="186"/>
        <item x="404"/>
        <item x="2"/>
        <item x="413"/>
        <item x="313"/>
        <item x="342"/>
        <item x="333"/>
        <item x="470"/>
        <item x="75"/>
        <item x="185"/>
        <item x="377"/>
        <item x="92"/>
        <item x="289"/>
        <item x="439"/>
        <item x="294"/>
        <item x="251"/>
        <item x="202"/>
        <item x="121"/>
        <item x="408"/>
        <item x="473"/>
        <item x="187"/>
        <item x="308"/>
        <item x="356"/>
        <item x="206"/>
        <item x="98"/>
        <item x="14"/>
        <item x="393"/>
        <item x="229"/>
        <item x="437"/>
        <item x="292"/>
        <item x="112"/>
        <item x="414"/>
        <item x="387"/>
        <item x="146"/>
        <item x="271"/>
        <item x="47"/>
        <item x="190"/>
        <item x="256"/>
        <item x="20"/>
        <item x="150"/>
        <item x="97"/>
        <item x="243"/>
        <item x="120"/>
        <item x="15"/>
        <item x="392"/>
        <item x="82"/>
        <item x="74"/>
        <item x="36"/>
        <item x="209"/>
        <item x="405"/>
        <item x="249"/>
        <item x="207"/>
        <item x="129"/>
        <item x="218"/>
        <item x="8"/>
        <item x="456"/>
        <item x="432"/>
        <item x="9"/>
        <item x="354"/>
        <item x="144"/>
        <item x="22"/>
        <item x="242"/>
        <item x="281"/>
        <item x="362"/>
        <item x="23"/>
        <item x="27"/>
        <item x="310"/>
        <item x="41"/>
        <item x="170"/>
        <item x="57"/>
        <item x="213"/>
        <item x="274"/>
        <item x="177"/>
        <item x="355"/>
        <item x="369"/>
        <item x="349"/>
        <item x="49"/>
        <item x="94"/>
        <item x="257"/>
        <item x="341"/>
        <item x="221"/>
        <item x="13"/>
        <item x="409"/>
        <item x="147"/>
        <item x="179"/>
        <item x="245"/>
        <item x="28"/>
        <item x="379"/>
        <item x="110"/>
        <item x="201"/>
        <item x="430"/>
        <item x="390"/>
        <item x="89"/>
        <item x="463"/>
        <item x="166"/>
        <item x="136"/>
        <item x="118"/>
        <item x="63"/>
        <item x="353"/>
        <item x="169"/>
        <item x="290"/>
        <item x="51"/>
        <item x="159"/>
        <item x="412"/>
        <item x="59"/>
        <item x="438"/>
        <item x="152"/>
        <item x="198"/>
        <item x="248"/>
        <item x="298"/>
        <item x="324"/>
        <item x="423"/>
        <item x="80"/>
        <item x="237"/>
        <item x="113"/>
        <item x="4"/>
        <item x="83"/>
        <item x="79"/>
        <item x="143"/>
        <item x="269"/>
        <item x="196"/>
        <item x="283"/>
        <item x="214"/>
        <item x="100"/>
        <item x="115"/>
        <item x="69"/>
        <item x="287"/>
        <item x="116"/>
        <item x="119"/>
        <item x="137"/>
        <item x="347"/>
        <item x="45"/>
        <item x="337"/>
        <item x="255"/>
        <item x="282"/>
        <item x="275"/>
        <item x="107"/>
        <item x="117"/>
        <item x="12"/>
        <item x="323"/>
        <item x="183"/>
        <item x="156"/>
        <item x="231"/>
        <item x="429"/>
        <item x="162"/>
        <item x="376"/>
        <item x="328"/>
        <item x="396"/>
        <item x="288"/>
        <item x="474"/>
        <item x="238"/>
        <item x="314"/>
        <item x="348"/>
        <item x="279"/>
        <item x="267"/>
        <item x="123"/>
        <item x="343"/>
        <item x="78"/>
        <item x="479"/>
        <item x="265"/>
        <item x="358"/>
        <item x="77"/>
        <item x="374"/>
        <item x="72"/>
        <item x="452"/>
        <item x="153"/>
        <item x="161"/>
        <item x="388"/>
        <item x="134"/>
        <item x="278"/>
        <item x="434"/>
        <item x="339"/>
        <item x="46"/>
        <item x="216"/>
        <item x="1"/>
        <item x="421"/>
        <item x="223"/>
        <item x="191"/>
        <item x="448"/>
        <item x="476"/>
        <item x="307"/>
        <item x="477"/>
        <item x="246"/>
        <item x="363"/>
        <item x="338"/>
        <item x="140"/>
        <item x="303"/>
        <item x="149"/>
        <item x="436"/>
        <item x="181"/>
        <item x="296"/>
        <item x="102"/>
        <item x="398"/>
        <item x="64"/>
        <item x="233"/>
        <item x="70"/>
        <item x="224"/>
        <item x="272"/>
        <item x="10"/>
        <item x="171"/>
        <item x="367"/>
        <item x="344"/>
        <item x="182"/>
        <item x="443"/>
        <item x="280"/>
        <item x="138"/>
        <item x="93"/>
        <item x="105"/>
        <item x="480"/>
        <item x="264"/>
        <item x="301"/>
        <item x="309"/>
        <item x="35"/>
        <item x="167"/>
        <item x="247"/>
        <item x="464"/>
        <item x="111"/>
        <item x="240"/>
        <item x="76"/>
        <item x="24"/>
        <item x="262"/>
        <item x="42"/>
        <item x="329"/>
        <item x="258"/>
        <item x="73"/>
        <item x="300"/>
        <item x="192"/>
        <item x="60"/>
        <item x="340"/>
        <item x="284"/>
        <item x="365"/>
        <item x="101"/>
        <item x="21"/>
        <item x="109"/>
        <item x="435"/>
        <item x="58"/>
        <item x="481"/>
        <item x="66"/>
        <item x="91"/>
        <item x="420"/>
        <item x="394"/>
        <item x="230"/>
        <item x="165"/>
        <item x="441"/>
        <item x="139"/>
        <item x="372"/>
        <item x="16"/>
        <item x="312"/>
        <item x="81"/>
        <item x="472"/>
        <item x="99"/>
        <item x="400"/>
        <item x="204"/>
        <item x="261"/>
        <item x="322"/>
        <item x="104"/>
        <item x="197"/>
        <item x="254"/>
        <item x="157"/>
        <item x="43"/>
        <item x="425"/>
        <item x="127"/>
        <item x="241"/>
        <item x="416"/>
        <item x="71"/>
        <item x="52"/>
        <item x="18"/>
        <item x="316"/>
        <item x="276"/>
        <item x="331"/>
        <item x="62"/>
        <item x="380"/>
        <item x="385"/>
        <item x="232"/>
        <item x="227"/>
        <item x="193"/>
        <item x="132"/>
        <item x="3"/>
        <item x="321"/>
        <item x="96"/>
        <item x="33"/>
        <item x="457"/>
        <item x="25"/>
        <item x="364"/>
        <item x="108"/>
        <item x="266"/>
        <item x="424"/>
        <item x="285"/>
        <item x="95"/>
        <item x="141"/>
        <item x="327"/>
        <item x="361"/>
        <item x="293"/>
        <item x="90"/>
        <item x="176"/>
        <item x="125"/>
        <item x="260"/>
        <item x="371"/>
        <item x="194"/>
        <item x="68"/>
        <item x="350"/>
        <item x="433"/>
        <item x="297"/>
        <item x="239"/>
        <item x="461"/>
        <item x="378"/>
        <item x="103"/>
        <item x="407"/>
        <item x="148"/>
        <item x="210"/>
        <item x="468"/>
        <item x="360"/>
        <item x="311"/>
        <item x="7"/>
        <item x="299"/>
        <item x="401"/>
        <item x="34"/>
        <item x="291"/>
        <item x="462"/>
        <item x="133"/>
        <item x="85"/>
        <item x="466"/>
        <item x="336"/>
        <item x="345"/>
        <item x="315"/>
        <item x="131"/>
        <item x="422"/>
        <item x="40"/>
        <item x="124"/>
        <item x="65"/>
        <item x="234"/>
        <item t="default"/>
      </items>
    </pivotField>
    <pivotField showAll="0">
      <items count="51">
        <item x="2"/>
        <item x="26"/>
        <item x="23"/>
        <item x="40"/>
        <item x="4"/>
        <item x="38"/>
        <item x="27"/>
        <item x="17"/>
        <item x="35"/>
        <item x="15"/>
        <item x="19"/>
        <item x="20"/>
        <item x="30"/>
        <item x="36"/>
        <item x="37"/>
        <item x="11"/>
        <item x="47"/>
        <item x="44"/>
        <item x="46"/>
        <item x="24"/>
        <item x="48"/>
        <item x="25"/>
        <item x="31"/>
        <item x="41"/>
        <item x="21"/>
        <item x="12"/>
        <item x="13"/>
        <item x="29"/>
        <item x="8"/>
        <item x="16"/>
        <item x="33"/>
        <item x="10"/>
        <item x="0"/>
        <item x="1"/>
        <item x="3"/>
        <item x="18"/>
        <item x="5"/>
        <item x="9"/>
        <item x="32"/>
        <item x="42"/>
        <item x="6"/>
        <item x="34"/>
        <item x="45"/>
        <item x="22"/>
        <item x="28"/>
        <item x="39"/>
        <item x="14"/>
        <item x="7"/>
        <item x="43"/>
        <item x="49"/>
        <item t="default"/>
      </items>
    </pivotField>
    <pivotField showAll="0"/>
    <pivotField axis="axisRow" dataField="1" showAll="0">
      <items count="6">
        <item x="2"/>
        <item x="4"/>
        <item x="1"/>
        <item x="3"/>
        <item x="0"/>
        <item t="default"/>
      </items>
    </pivotField>
  </pivotFields>
  <rowFields count="2">
    <field x="8"/>
    <field x="4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Loyalty_Level" fld="8" subtotal="count" baseField="0" baseItem="0"/>
  </dataFields>
  <formats count="30"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3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8" type="button" dataOnly="0" labelOnly="1" outline="0" axis="axisRow" fieldPosition="0"/>
    </format>
    <format dxfId="18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20">
      <pivotArea dataOnly="0" labelOnly="1" fieldPosition="0">
        <references count="2">
          <reference field="4" count="0"/>
          <reference field="8" count="1" selected="0">
            <x v="0"/>
          </reference>
        </references>
      </pivotArea>
    </format>
    <format dxfId="21">
      <pivotArea dataOnly="0" labelOnly="1" fieldPosition="0">
        <references count="2">
          <reference field="4" count="0"/>
          <reference field="8" count="1" selected="0">
            <x v="1"/>
          </reference>
        </references>
      </pivotArea>
    </format>
    <format dxfId="22">
      <pivotArea dataOnly="0" labelOnly="1" fieldPosition="0">
        <references count="2">
          <reference field="4" count="0"/>
          <reference field="8" count="1" selected="0">
            <x v="2"/>
          </reference>
        </references>
      </pivotArea>
    </format>
    <format dxfId="23">
      <pivotArea dataOnly="0" labelOnly="1" fieldPosition="0">
        <references count="2">
          <reference field="4" count="0"/>
          <reference field="8" count="1" selected="0">
            <x v="3"/>
          </reference>
        </references>
      </pivotArea>
    </format>
    <format dxfId="24">
      <pivotArea dataOnly="0" labelOnly="1" fieldPosition="0">
        <references count="2">
          <reference field="4" count="0"/>
          <reference field="8" count="1" selected="0">
            <x v="4"/>
          </reference>
        </references>
      </pivotArea>
    </format>
    <format dxfId="25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2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5">
      <pivotArea dataOnly="0" labelOnly="1" fieldPosition="0">
        <references count="2">
          <reference field="4" count="0"/>
          <reference field="8" count="1" selected="0">
            <x v="0"/>
          </reference>
        </references>
      </pivotArea>
    </format>
    <format dxfId="36">
      <pivotArea dataOnly="0" labelOnly="1" fieldPosition="0">
        <references count="2">
          <reference field="4" count="0"/>
          <reference field="8" count="1" selected="0">
            <x v="1"/>
          </reference>
        </references>
      </pivotArea>
    </format>
    <format dxfId="37">
      <pivotArea dataOnly="0" labelOnly="1" fieldPosition="0">
        <references count="2">
          <reference field="4" count="0"/>
          <reference field="8" count="1" selected="0">
            <x v="2"/>
          </reference>
        </references>
      </pivotArea>
    </format>
    <format dxfId="38">
      <pivotArea dataOnly="0" labelOnly="1" fieldPosition="0">
        <references count="2">
          <reference field="4" count="0"/>
          <reference field="8" count="1" selected="0">
            <x v="3"/>
          </reference>
        </references>
      </pivotArea>
    </format>
    <format dxfId="39">
      <pivotArea dataOnly="0" labelOnly="1" fieldPosition="0">
        <references count="2">
          <reference field="4" count="0"/>
          <reference field="8" count="1" selected="0">
            <x v="4"/>
          </reference>
        </references>
      </pivotArea>
    </format>
    <format dxfId="40">
      <pivotArea dataOnly="0" labelOnly="1" fieldPosition="0">
        <references count="1">
          <reference field="3" count="0"/>
        </references>
      </pivotArea>
    </format>
    <format dxfId="41">
      <pivotArea dataOnly="0" labelOnly="1" grandCol="1" outline="0" fieldPosition="0"/>
    </format>
  </formats>
  <chartFormats count="6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39D24-DB48-4583-93E2-6E888F0C0EA6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7" firstHeaderRow="1" firstDataRow="2" firstDataCol="1"/>
  <pivotFields count="9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dataField="1" showAll="0"/>
    <pivotField axis="axisCol" showAll="0">
      <items count="4">
        <item x="2"/>
        <item x="0"/>
        <item x="1"/>
        <item t="default"/>
      </items>
    </pivotField>
    <pivotField axis="axisRow" showAll="0">
      <items count="3">
        <item sd="0" x="1"/>
        <item sd="0" x="0"/>
        <item t="default" sd="0"/>
      </items>
    </pivotField>
    <pivotField showAll="0"/>
    <pivotField showAll="0"/>
    <pivotField showAll="0"/>
    <pivotField showAll="0"/>
  </pivotFields>
  <rowFields count="2">
    <field x="4"/>
    <field x="0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Age" fld="2" baseField="0" baseItem="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5DDF7-C2D4-4702-8880-6B742934315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E10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1"/>
        <item x="3"/>
        <item x="0"/>
        <item x="5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>
      <items count="1987">
        <item x="909"/>
        <item x="814"/>
        <item x="1662"/>
        <item x="1727"/>
        <item x="458"/>
        <item x="707"/>
        <item x="880"/>
        <item x="812"/>
        <item x="569"/>
        <item x="1213"/>
        <item x="1016"/>
        <item x="1838"/>
        <item x="385"/>
        <item x="1140"/>
        <item x="1278"/>
        <item x="1536"/>
        <item x="1886"/>
        <item x="1816"/>
        <item x="1198"/>
        <item x="869"/>
        <item x="1807"/>
        <item x="1353"/>
        <item x="1903"/>
        <item x="1361"/>
        <item x="1733"/>
        <item x="513"/>
        <item x="1950"/>
        <item x="563"/>
        <item x="1149"/>
        <item x="1680"/>
        <item x="1673"/>
        <item x="491"/>
        <item x="1318"/>
        <item x="590"/>
        <item x="579"/>
        <item x="905"/>
        <item x="974"/>
        <item x="1602"/>
        <item x="941"/>
        <item x="662"/>
        <item x="1648"/>
        <item x="1864"/>
        <item x="1958"/>
        <item x="1277"/>
        <item x="1057"/>
        <item x="316"/>
        <item x="984"/>
        <item x="650"/>
        <item x="614"/>
        <item x="1105"/>
        <item x="507"/>
        <item x="1012"/>
        <item x="111"/>
        <item x="314"/>
        <item x="298"/>
        <item x="1722"/>
        <item x="164"/>
        <item x="1244"/>
        <item x="1552"/>
        <item x="666"/>
        <item x="1954"/>
        <item x="450"/>
        <item x="144"/>
        <item x="1453"/>
        <item x="1151"/>
        <item x="712"/>
        <item x="398"/>
        <item x="1235"/>
        <item x="711"/>
        <item x="1578"/>
        <item x="784"/>
        <item x="1170"/>
        <item x="882"/>
        <item x="1432"/>
        <item x="1625"/>
        <item x="1972"/>
        <item x="1447"/>
        <item x="1081"/>
        <item x="585"/>
        <item x="1112"/>
        <item x="1877"/>
        <item x="1758"/>
        <item x="145"/>
        <item x="1311"/>
        <item x="322"/>
        <item x="1847"/>
        <item x="1701"/>
        <item x="400"/>
        <item x="1746"/>
        <item x="735"/>
        <item x="1402"/>
        <item x="1730"/>
        <item x="1828"/>
        <item x="1652"/>
        <item x="1373"/>
        <item x="1292"/>
        <item x="1584"/>
        <item x="1580"/>
        <item x="367"/>
        <item x="1290"/>
        <item x="907"/>
        <item x="157"/>
        <item x="1668"/>
        <item x="1700"/>
        <item x="243"/>
        <item x="1231"/>
        <item x="960"/>
        <item x="1446"/>
        <item x="105"/>
        <item x="620"/>
        <item x="1033"/>
        <item x="40"/>
        <item x="82"/>
        <item x="732"/>
        <item x="1867"/>
        <item x="568"/>
        <item x="886"/>
        <item x="1228"/>
        <item x="920"/>
        <item x="1119"/>
        <item x="1594"/>
        <item x="194"/>
        <item x="1404"/>
        <item x="1500"/>
        <item x="1376"/>
        <item x="1825"/>
        <item x="1035"/>
        <item x="368"/>
        <item x="1792"/>
        <item x="1874"/>
        <item x="418"/>
        <item x="1545"/>
        <item x="1712"/>
        <item x="1128"/>
        <item x="24"/>
        <item x="500"/>
        <item x="1794"/>
        <item x="72"/>
        <item x="501"/>
        <item x="1916"/>
        <item x="1531"/>
        <item x="725"/>
        <item x="1048"/>
        <item x="168"/>
        <item x="1494"/>
        <item x="1298"/>
        <item x="885"/>
        <item x="854"/>
        <item x="493"/>
        <item x="1570"/>
        <item x="1315"/>
        <item x="1861"/>
        <item x="1052"/>
        <item x="1872"/>
        <item x="405"/>
        <item x="333"/>
        <item x="1496"/>
        <item x="1031"/>
        <item x="1284"/>
        <item x="1689"/>
        <item x="1976"/>
        <item x="1776"/>
        <item x="349"/>
        <item x="274"/>
        <item x="924"/>
        <item x="1085"/>
        <item x="1247"/>
        <item x="350"/>
        <item x="999"/>
        <item x="1153"/>
        <item x="704"/>
        <item x="1946"/>
        <item x="629"/>
        <item x="475"/>
        <item x="1422"/>
        <item x="63"/>
        <item x="1819"/>
        <item x="1566"/>
        <item x="1535"/>
        <item x="44"/>
        <item x="1984"/>
        <item x="832"/>
        <item x="1417"/>
        <item x="1612"/>
        <item x="1598"/>
        <item x="407"/>
        <item x="743"/>
        <item x="266"/>
        <item x="1688"/>
        <item x="245"/>
        <item x="51"/>
        <item x="1515"/>
        <item x="994"/>
        <item x="1821"/>
        <item x="1643"/>
        <item x="1489"/>
        <item x="1519"/>
        <item x="1199"/>
        <item x="312"/>
        <item x="1161"/>
        <item x="43"/>
        <item x="661"/>
        <item x="632"/>
        <item x="1342"/>
        <item x="146"/>
        <item x="1146"/>
        <item x="139"/>
        <item x="1251"/>
        <item x="1634"/>
        <item x="256"/>
        <item x="1064"/>
        <item x="0"/>
        <item x="652"/>
        <item x="1767"/>
        <item x="1099"/>
        <item x="303"/>
        <item x="1756"/>
        <item x="874"/>
        <item x="233"/>
        <item x="124"/>
        <item x="1212"/>
        <item x="58"/>
        <item x="706"/>
        <item x="283"/>
        <item x="1010"/>
        <item x="1006"/>
        <item x="894"/>
        <item x="1274"/>
        <item x="1237"/>
        <item x="654"/>
        <item x="106"/>
        <item x="628"/>
        <item x="429"/>
        <item x="21"/>
        <item x="487"/>
        <item x="1665"/>
        <item x="700"/>
        <item x="304"/>
        <item x="720"/>
        <item x="490"/>
        <item x="1575"/>
        <item x="1092"/>
        <item x="1682"/>
        <item x="1896"/>
        <item x="1265"/>
        <item x="376"/>
        <item x="100"/>
        <item x="1587"/>
        <item x="1"/>
        <item x="353"/>
        <item x="1397"/>
        <item x="1488"/>
        <item x="1226"/>
        <item x="1572"/>
        <item x="859"/>
        <item x="1534"/>
        <item x="54"/>
        <item x="753"/>
        <item x="655"/>
        <item x="1144"/>
        <item x="1882"/>
        <item x="645"/>
        <item x="460"/>
        <item x="1799"/>
        <item x="797"/>
        <item x="1664"/>
        <item x="617"/>
        <item x="1695"/>
        <item x="158"/>
        <item x="1381"/>
        <item x="1296"/>
        <item x="573"/>
        <item x="828"/>
        <item x="997"/>
        <item x="898"/>
        <item x="618"/>
        <item x="1533"/>
        <item x="760"/>
        <item x="226"/>
        <item x="1344"/>
        <item x="567"/>
        <item x="1313"/>
        <item x="1126"/>
        <item x="9"/>
        <item x="1930"/>
        <item x="765"/>
        <item x="1246"/>
        <item x="826"/>
        <item x="1015"/>
        <item x="1679"/>
        <item x="180"/>
        <item x="1200"/>
        <item x="623"/>
        <item x="31"/>
        <item x="931"/>
        <item x="678"/>
        <item x="1526"/>
        <item x="299"/>
        <item x="1389"/>
        <item x="1927"/>
        <item x="1678"/>
        <item x="295"/>
        <item x="749"/>
        <item x="893"/>
        <item x="1434"/>
        <item x="70"/>
        <item x="121"/>
        <item x="1310"/>
        <item x="1980"/>
        <item x="1921"/>
        <item x="599"/>
        <item x="495"/>
        <item x="1009"/>
        <item x="1786"/>
        <item x="1173"/>
        <item x="204"/>
        <item x="1316"/>
        <item x="1543"/>
        <item x="1663"/>
        <item x="26"/>
        <item x="68"/>
        <item x="1368"/>
        <item x="206"/>
        <item x="1172"/>
        <item x="1423"/>
        <item x="1586"/>
        <item x="265"/>
        <item x="378"/>
        <item x="141"/>
        <item x="532"/>
        <item x="360"/>
        <item x="1719"/>
        <item x="1174"/>
        <item x="1620"/>
        <item x="536"/>
        <item x="1074"/>
        <item x="861"/>
        <item x="52"/>
        <item x="723"/>
        <item x="851"/>
        <item x="1613"/>
        <item x="1364"/>
        <item x="1466"/>
        <item x="767"/>
        <item x="1632"/>
        <item x="1606"/>
        <item x="903"/>
        <item x="1973"/>
        <item x="731"/>
        <item x="1773"/>
        <item x="663"/>
        <item x="1878"/>
        <item x="807"/>
        <item x="686"/>
        <item x="1966"/>
        <item x="37"/>
        <item x="1949"/>
        <item x="610"/>
        <item x="1415"/>
        <item x="482"/>
        <item x="1563"/>
        <item x="1448"/>
        <item x="957"/>
        <item x="292"/>
        <item x="1498"/>
        <item x="1814"/>
        <item x="302"/>
        <item x="1202"/>
        <item x="357"/>
        <item x="619"/>
        <item x="530"/>
        <item x="1239"/>
        <item x="1465"/>
        <item x="1208"/>
        <item x="1707"/>
        <item x="1770"/>
        <item x="79"/>
        <item x="326"/>
        <item x="1416"/>
        <item x="1409"/>
        <item x="1933"/>
        <item x="1789"/>
        <item x="485"/>
        <item x="1335"/>
        <item x="1291"/>
        <item x="1473"/>
        <item x="940"/>
        <item x="323"/>
        <item x="1960"/>
        <item x="268"/>
        <item x="783"/>
        <item x="1452"/>
        <item x="221"/>
        <item x="1547"/>
        <item x="1154"/>
        <item x="1089"/>
        <item x="876"/>
        <item x="29"/>
        <item x="1778"/>
        <item x="954"/>
        <item x="1911"/>
        <item x="781"/>
        <item x="1041"/>
        <item x="281"/>
        <item x="1018"/>
        <item x="5"/>
        <item x="229"/>
        <item x="1477"/>
        <item x="1370"/>
        <item x="993"/>
        <item x="780"/>
        <item x="1430"/>
        <item x="1557"/>
        <item x="1219"/>
        <item x="1772"/>
        <item x="1560"/>
        <item x="762"/>
        <item x="1698"/>
        <item x="710"/>
        <item x="1956"/>
        <item x="744"/>
        <item x="856"/>
        <item x="766"/>
        <item x="630"/>
        <item x="913"/>
        <item x="1338"/>
        <item x="1380"/>
        <item x="41"/>
        <item x="128"/>
        <item x="25"/>
        <item x="796"/>
        <item x="1341"/>
        <item x="1008"/>
        <item x="192"/>
        <item x="76"/>
        <item x="1345"/>
        <item x="1486"/>
        <item x="279"/>
        <item x="109"/>
        <item x="527"/>
        <item x="1739"/>
        <item x="185"/>
        <item x="1865"/>
        <item x="879"/>
        <item x="1379"/>
        <item x="1581"/>
        <item x="1152"/>
        <item x="1511"/>
        <item x="73"/>
        <item x="471"/>
        <item x="251"/>
        <item x="595"/>
        <item x="877"/>
        <item x="203"/>
        <item x="1589"/>
        <item x="653"/>
        <item x="1506"/>
        <item x="715"/>
        <item x="726"/>
        <item x="39"/>
        <item x="259"/>
        <item x="1000"/>
        <item x="1333"/>
        <item x="1608"/>
        <item x="1118"/>
        <item x="240"/>
        <item x="1155"/>
        <item x="1133"/>
        <item x="741"/>
        <item x="455"/>
        <item x="1396"/>
        <item x="53"/>
        <item x="1705"/>
        <item x="1480"/>
        <item x="342"/>
        <item x="69"/>
        <item x="199"/>
        <item x="1885"/>
        <item x="1458"/>
        <item x="410"/>
        <item x="514"/>
        <item x="1167"/>
        <item x="307"/>
        <item x="675"/>
        <item x="633"/>
        <item x="278"/>
        <item x="456"/>
        <item x="1435"/>
        <item x="635"/>
        <item x="469"/>
        <item x="659"/>
        <item x="772"/>
        <item x="1718"/>
        <item x="1168"/>
        <item x="1065"/>
        <item x="805"/>
        <item x="448"/>
        <item x="1614"/>
        <item x="1122"/>
        <item x="1471"/>
        <item x="522"/>
        <item x="863"/>
        <item x="332"/>
        <item x="447"/>
        <item x="425"/>
        <item x="972"/>
        <item x="1804"/>
        <item x="269"/>
        <item x="951"/>
        <item x="12"/>
        <item x="1482"/>
        <item x="1262"/>
        <item x="392"/>
        <item x="692"/>
        <item x="1002"/>
        <item x="1378"/>
        <item x="1156"/>
        <item x="497"/>
        <item x="1303"/>
        <item x="1001"/>
        <item x="1637"/>
        <item x="529"/>
        <item x="148"/>
        <item x="1601"/>
        <item x="359"/>
        <item x="1374"/>
        <item x="1855"/>
        <item x="18"/>
        <item x="534"/>
        <item x="830"/>
        <item x="466"/>
        <item x="813"/>
        <item x="1856"/>
        <item x="1820"/>
        <item x="1025"/>
        <item x="1038"/>
        <item x="738"/>
        <item x="1510"/>
        <item x="1320"/>
        <item x="225"/>
        <item x="586"/>
        <item x="481"/>
        <item x="150"/>
        <item x="912"/>
        <item x="135"/>
        <item x="973"/>
        <item x="346"/>
        <item x="1079"/>
        <item x="717"/>
        <item x="276"/>
        <item x="782"/>
        <item x="1849"/>
        <item x="544"/>
        <item x="792"/>
        <item x="151"/>
        <item x="1351"/>
        <item x="1795"/>
        <item x="1544"/>
        <item x="1800"/>
        <item x="945"/>
        <item x="1022"/>
        <item x="989"/>
        <item x="1793"/>
        <item x="277"/>
        <item x="1944"/>
        <item x="1754"/>
        <item x="888"/>
        <item x="383"/>
        <item x="787"/>
        <item x="239"/>
        <item x="697"/>
        <item x="120"/>
        <item x="1675"/>
        <item x="689"/>
        <item x="603"/>
        <item x="777"/>
        <item x="1525"/>
        <item x="66"/>
        <item x="1474"/>
        <item x="1696"/>
        <item x="1307"/>
        <item x="1889"/>
        <item x="901"/>
        <item x="61"/>
        <item x="1968"/>
        <item x="1749"/>
        <item x="1023"/>
        <item x="1953"/>
        <item x="1728"/>
        <item x="1593"/>
        <item x="426"/>
        <item x="1369"/>
        <item x="1240"/>
        <item x="1714"/>
        <item x="1111"/>
        <item x="1124"/>
        <item x="1475"/>
        <item x="1766"/>
        <item x="1420"/>
        <item x="902"/>
        <item x="176"/>
        <item x="908"/>
        <item x="867"/>
        <item x="1337"/>
        <item x="511"/>
        <item x="184"/>
        <item x="1121"/>
        <item x="696"/>
        <item x="1073"/>
        <item x="1729"/>
        <item x="1463"/>
        <item x="1267"/>
        <item x="209"/>
        <item x="1223"/>
        <item x="1217"/>
        <item x="810"/>
        <item x="1449"/>
        <item x="348"/>
        <item x="890"/>
        <item x="1842"/>
        <item x="1384"/>
        <item x="1660"/>
        <item x="131"/>
        <item x="926"/>
        <item x="170"/>
        <item x="1456"/>
        <item x="1395"/>
        <item x="904"/>
        <item x="1974"/>
        <item x="1745"/>
        <item x="1178"/>
        <item x="306"/>
        <item x="1359"/>
        <item x="1194"/>
        <item x="116"/>
        <item x="1935"/>
        <item x="1806"/>
        <item x="270"/>
        <item x="1779"/>
        <item x="804"/>
        <item x="81"/>
        <item x="622"/>
        <item x="200"/>
        <item x="390"/>
        <item x="1909"/>
        <item x="604"/>
        <item x="484"/>
        <item x="1631"/>
        <item x="134"/>
        <item x="1857"/>
        <item x="806"/>
        <item x="1957"/>
        <item x="427"/>
        <item x="1083"/>
        <item x="942"/>
        <item x="1752"/>
        <item x="480"/>
        <item x="1148"/>
        <item x="1348"/>
        <item x="681"/>
        <item x="1259"/>
        <item x="408"/>
        <item x="914"/>
        <item x="1694"/>
        <item x="719"/>
        <item x="1868"/>
        <item x="486"/>
        <item x="750"/>
        <item x="1266"/>
        <item x="201"/>
        <item x="1919"/>
        <item x="558"/>
        <item x="1507"/>
        <item x="1372"/>
        <item x="80"/>
        <item x="1567"/>
        <item x="1913"/>
        <item x="1639"/>
        <item x="260"/>
        <item x="1630"/>
        <item x="1619"/>
        <item x="355"/>
        <item x="1222"/>
        <item x="979"/>
        <item x="1354"/>
        <item x="1609"/>
        <item x="414"/>
        <item x="186"/>
        <item x="1287"/>
        <item x="1932"/>
        <item x="1082"/>
        <item x="1925"/>
        <item x="577"/>
        <item x="1962"/>
        <item x="409"/>
        <item x="1188"/>
        <item x="356"/>
        <item x="858"/>
        <item x="1969"/>
        <item x="196"/>
        <item x="373"/>
        <item x="1923"/>
        <item x="1401"/>
        <item x="1141"/>
        <item x="463"/>
        <item x="197"/>
        <item x="92"/>
        <item x="1068"/>
        <item x="932"/>
        <item x="156"/>
        <item x="634"/>
        <item x="1559"/>
        <item x="1676"/>
        <item x="1043"/>
        <item x="849"/>
        <item x="1605"/>
        <item x="1743"/>
        <item x="351"/>
        <item x="820"/>
        <item x="1109"/>
        <item x="730"/>
        <item x="338"/>
        <item x="748"/>
        <item x="449"/>
        <item x="822"/>
        <item x="1822"/>
        <item x="1657"/>
        <item x="1775"/>
        <item x="341"/>
        <item x="609"/>
        <item x="446"/>
        <item x="1301"/>
        <item x="821"/>
        <item x="1103"/>
        <item x="78"/>
        <item x="1123"/>
        <item x="674"/>
        <item x="163"/>
        <item x="468"/>
        <item x="1658"/>
        <item x="488"/>
        <item x="1485"/>
        <item x="499"/>
        <item x="593"/>
        <item x="891"/>
        <item x="900"/>
        <item x="757"/>
        <item x="1869"/>
        <item x="1914"/>
        <item x="1032"/>
        <item x="754"/>
        <item x="848"/>
        <item x="756"/>
        <item x="1910"/>
        <item x="526"/>
        <item x="465"/>
        <item x="1323"/>
        <item x="1627"/>
        <item x="1945"/>
        <item x="865"/>
        <item x="1654"/>
        <item x="232"/>
        <item x="125"/>
        <item x="1532"/>
        <item x="1597"/>
        <item x="510"/>
        <item x="462"/>
        <item x="1160"/>
        <item x="1063"/>
        <item x="1615"/>
        <item x="916"/>
        <item x="393"/>
        <item x="430"/>
        <item x="1741"/>
        <item x="1143"/>
        <item x="1636"/>
        <item x="1860"/>
        <item x="752"/>
        <item x="1618"/>
        <item x="1817"/>
        <item x="228"/>
        <item x="621"/>
        <item x="87"/>
        <item x="1392"/>
        <item x="1549"/>
        <item x="843"/>
        <item x="20"/>
        <item x="1185"/>
        <item x="1088"/>
        <item x="1225"/>
        <item x="518"/>
        <item x="841"/>
        <item x="943"/>
        <item x="1080"/>
        <item x="222"/>
        <item x="1264"/>
        <item x="1084"/>
        <item x="948"/>
        <item x="1110"/>
        <item x="14"/>
        <item x="1450"/>
        <item x="171"/>
        <item x="470"/>
        <item x="1206"/>
        <item x="528"/>
        <item x="519"/>
        <item x="1029"/>
        <item x="996"/>
        <item x="1502"/>
        <item x="1468"/>
        <item x="1221"/>
        <item x="363"/>
        <item x="990"/>
        <item x="1139"/>
        <item x="722"/>
        <item x="498"/>
        <item x="253"/>
        <item x="1490"/>
        <item x="396"/>
        <item x="883"/>
        <item x="676"/>
        <item x="1026"/>
        <item x="1965"/>
        <item x="1312"/>
        <item x="496"/>
        <item x="714"/>
        <item x="839"/>
        <item x="1610"/>
        <item x="77"/>
        <item x="1659"/>
        <item x="1539"/>
        <item x="801"/>
        <item x="42"/>
        <item x="1899"/>
        <item x="636"/>
        <item x="647"/>
        <item x="950"/>
        <item x="478"/>
        <item x="1271"/>
        <item x="1407"/>
        <item x="1461"/>
        <item x="1915"/>
        <item x="1493"/>
        <item x="89"/>
        <item x="1635"/>
        <item x="1013"/>
        <item x="1066"/>
        <item x="387"/>
        <item x="1858"/>
        <item x="1007"/>
        <item x="1393"/>
        <item x="1576"/>
        <item x="1704"/>
        <item x="1411"/>
        <item x="638"/>
        <item x="1931"/>
        <item x="1425"/>
        <item x="602"/>
        <item x="234"/>
        <item x="1357"/>
        <item x="648"/>
        <item x="520"/>
        <item x="1835"/>
        <item x="315"/>
        <item x="1774"/>
        <item x="887"/>
        <item x="188"/>
        <item x="728"/>
        <item x="1514"/>
        <item x="870"/>
        <item x="688"/>
        <item x="1113"/>
        <item x="1898"/>
        <item x="1975"/>
        <item x="1569"/>
        <item x="1843"/>
        <item x="1375"/>
        <item x="995"/>
        <item x="1895"/>
        <item x="166"/>
        <item x="1785"/>
        <item x="1091"/>
        <item x="1270"/>
        <item x="550"/>
        <item x="453"/>
        <item x="50"/>
        <item x="1175"/>
        <item x="853"/>
        <item x="1611"/>
        <item x="1116"/>
        <item x="509"/>
        <item x="1844"/>
        <item x="437"/>
        <item x="3"/>
        <item x="15"/>
        <item x="1137"/>
        <item x="1837"/>
        <item x="362"/>
        <item x="691"/>
        <item x="1117"/>
        <item x="178"/>
        <item x="1603"/>
        <item x="1763"/>
        <item x="117"/>
        <item x="45"/>
        <item x="672"/>
        <item x="47"/>
        <item x="1939"/>
        <item x="1253"/>
        <item x="976"/>
        <item x="557"/>
        <item x="1781"/>
        <item x="57"/>
        <item x="1829"/>
        <item x="545"/>
        <item x="83"/>
        <item x="1890"/>
        <item x="1386"/>
        <item x="1833"/>
        <item x="547"/>
        <item x="588"/>
        <item x="479"/>
        <item x="503"/>
        <item x="155"/>
        <item x="1436"/>
        <item x="827"/>
        <item x="1238"/>
        <item x="1227"/>
        <item x="1257"/>
        <item x="992"/>
        <item x="857"/>
        <item x="958"/>
        <item x="1108"/>
        <item x="112"/>
        <item x="1030"/>
        <item x="555"/>
        <item x="1051"/>
        <item x="1101"/>
        <item x="1900"/>
        <item x="433"/>
        <item x="687"/>
        <item x="258"/>
        <item x="1285"/>
        <item x="1360"/>
        <item x="1650"/>
        <item x="391"/>
        <item x="1130"/>
        <item x="329"/>
        <item x="1086"/>
        <item x="1951"/>
        <item x="1470"/>
        <item x="881"/>
        <item x="1209"/>
        <item x="961"/>
        <item x="1191"/>
        <item x="742"/>
        <item x="769"/>
        <item x="936"/>
        <item x="1651"/>
        <item x="1005"/>
        <item x="402"/>
        <item x="308"/>
        <item x="334"/>
        <item x="747"/>
        <item x="789"/>
        <item x="377"/>
        <item x="415"/>
        <item x="664"/>
        <item x="1666"/>
        <item x="1870"/>
        <item x="16"/>
        <item x="1681"/>
        <item x="1629"/>
        <item x="300"/>
        <item x="927"/>
        <item x="895"/>
        <item x="1897"/>
        <item x="768"/>
        <item x="1350"/>
        <item x="118"/>
        <item x="683"/>
        <item x="1628"/>
        <item x="1905"/>
        <item x="1478"/>
        <item x="190"/>
        <item x="1521"/>
        <item x="182"/>
        <item x="1565"/>
        <item x="1740"/>
        <item x="431"/>
        <item x="811"/>
        <item x="571"/>
        <item x="892"/>
        <item x="776"/>
        <item x="339"/>
        <item x="1472"/>
        <item x="1096"/>
        <item x="423"/>
        <item x="658"/>
        <item x="1541"/>
        <item x="1757"/>
        <item x="97"/>
        <item x="1724"/>
        <item x="1256"/>
        <item x="1115"/>
        <item x="1940"/>
        <item x="1387"/>
        <item x="1184"/>
        <item x="1955"/>
        <item x="823"/>
        <item x="1459"/>
        <item x="110"/>
        <item x="88"/>
        <item x="1893"/>
        <item x="1070"/>
        <item x="1352"/>
        <item x="837"/>
        <item x="1363"/>
        <item x="1293"/>
        <item x="533"/>
        <item x="1588"/>
        <item x="798"/>
        <item x="1697"/>
        <item x="1979"/>
        <item x="1528"/>
        <item x="1162"/>
        <item x="1492"/>
        <item x="202"/>
        <item x="835"/>
        <item x="1250"/>
        <item x="1832"/>
        <item x="1841"/>
        <item x="1230"/>
        <item x="560"/>
        <item x="818"/>
        <item x="179"/>
        <item x="561"/>
        <item x="1706"/>
        <item x="1390"/>
        <item x="793"/>
        <item x="1295"/>
        <item x="113"/>
        <item x="778"/>
        <item x="525"/>
        <item x="1268"/>
        <item x="483"/>
        <item x="727"/>
        <item x="915"/>
        <item x="263"/>
        <item x="220"/>
        <item x="1783"/>
        <item x="1182"/>
        <item x="1901"/>
        <item x="1499"/>
        <item x="1179"/>
        <item x="35"/>
        <item x="1071"/>
        <item x="127"/>
        <item x="1846"/>
        <item x="10"/>
        <item x="149"/>
        <item x="1970"/>
        <item x="1220"/>
        <item x="1508"/>
        <item x="1421"/>
        <item x="297"/>
        <item x="1195"/>
        <item x="1331"/>
        <item x="1046"/>
        <item x="708"/>
        <item x="1087"/>
        <item x="685"/>
        <item x="1542"/>
        <item x="613"/>
        <item x="366"/>
        <item x="494"/>
        <item x="556"/>
        <item x="983"/>
        <item x="173"/>
        <item x="62"/>
        <item x="1349"/>
        <item x="1419"/>
        <item x="380"/>
        <item x="1715"/>
        <item x="132"/>
        <item x="611"/>
        <item x="49"/>
        <item x="1530"/>
        <item x="971"/>
        <item x="1803"/>
        <item x="1765"/>
        <item x="1884"/>
        <item x="1805"/>
        <item x="1649"/>
        <item x="1059"/>
        <item x="871"/>
        <item x="1917"/>
        <item x="1024"/>
        <item x="739"/>
        <item x="354"/>
        <item x="1286"/>
        <item x="1365"/>
        <item x="552"/>
        <item x="626"/>
        <item x="104"/>
        <item x="71"/>
        <item x="673"/>
        <item x="1982"/>
        <item x="564"/>
        <item x="790"/>
        <item x="1641"/>
        <item x="310"/>
        <item x="1053"/>
        <item x="1358"/>
        <item x="1100"/>
        <item x="1551"/>
        <item x="1405"/>
        <item x="441"/>
        <item x="1747"/>
        <item x="224"/>
        <item x="96"/>
        <item x="65"/>
        <item x="1214"/>
        <item x="1467"/>
        <item x="324"/>
        <item x="492"/>
        <item x="1936"/>
        <item x="582"/>
        <item x="1288"/>
        <item x="417"/>
        <item x="319"/>
        <item x="542"/>
        <item x="682"/>
        <item x="786"/>
        <item x="607"/>
        <item x="1887"/>
        <item x="838"/>
        <item x="434"/>
        <item x="38"/>
        <item x="1947"/>
        <item x="1207"/>
        <item x="7"/>
        <item x="1738"/>
        <item x="1810"/>
        <item x="917"/>
        <item x="244"/>
        <item x="1871"/>
        <item x="1538"/>
        <item x="1040"/>
        <item x="160"/>
        <item x="937"/>
        <item x="1924"/>
        <item x="1269"/>
        <item x="1780"/>
        <item x="1138"/>
        <item x="1484"/>
        <item x="1550"/>
        <item x="929"/>
        <item x="330"/>
        <item x="147"/>
        <item x="1512"/>
        <item x="174"/>
        <item x="977"/>
        <item x="740"/>
        <item x="713"/>
        <item x="1862"/>
        <item x="864"/>
        <item x="311"/>
        <item x="1902"/>
        <item x="33"/>
        <item x="524"/>
        <item x="1964"/>
        <item x="541"/>
        <item x="413"/>
        <item x="531"/>
        <item x="1479"/>
        <item x="878"/>
        <item x="1710"/>
        <item x="472"/>
        <item x="1929"/>
        <item x="1127"/>
        <item x="1943"/>
        <item x="1777"/>
        <item x="1683"/>
        <item x="1254"/>
        <item x="294"/>
        <item x="1928"/>
        <item x="866"/>
        <item x="788"/>
        <item x="1703"/>
        <item x="1509"/>
        <item x="1399"/>
        <item x="1748"/>
        <item x="1624"/>
        <item x="1332"/>
        <item x="698"/>
        <item x="800"/>
        <item x="13"/>
        <item x="775"/>
        <item x="193"/>
        <item x="1276"/>
        <item x="1851"/>
        <item x="177"/>
        <item x="1176"/>
        <item x="819"/>
        <item x="1107"/>
        <item x="504"/>
        <item x="27"/>
        <item x="1592"/>
        <item x="1125"/>
        <item x="677"/>
        <item x="1388"/>
        <item x="1410"/>
        <item x="1343"/>
        <item x="605"/>
        <item x="1044"/>
        <item x="317"/>
        <item x="189"/>
        <item x="1158"/>
        <item x="406"/>
        <item x="1367"/>
        <item x="1571"/>
        <item x="1028"/>
        <item x="872"/>
        <item x="1750"/>
        <item x="442"/>
        <item x="1908"/>
        <item x="875"/>
        <item x="817"/>
        <item x="1157"/>
        <item x="1210"/>
        <item x="1045"/>
        <item x="668"/>
        <item x="369"/>
        <item x="248"/>
        <item x="1196"/>
        <item x="137"/>
        <item x="928"/>
        <item x="637"/>
        <item x="207"/>
        <item x="852"/>
        <item x="1564"/>
        <item x="399"/>
        <item x="327"/>
        <item x="935"/>
        <item x="1616"/>
        <item x="1753"/>
        <item x="444"/>
        <item x="1808"/>
        <item x="624"/>
        <item x="641"/>
        <item x="261"/>
        <item x="217"/>
        <item x="162"/>
        <item x="1165"/>
        <item x="28"/>
        <item x="1522"/>
        <item x="457"/>
        <item x="1076"/>
        <item x="1243"/>
        <item x="764"/>
        <item x="1019"/>
        <item x="1788"/>
        <item x="86"/>
        <item x="1097"/>
        <item x="107"/>
        <item x="855"/>
        <item x="159"/>
        <item x="60"/>
        <item x="1548"/>
        <item x="774"/>
        <item x="108"/>
        <item x="395"/>
        <item x="763"/>
        <item x="1408"/>
        <item x="1583"/>
        <item x="1069"/>
        <item x="1640"/>
        <item x="799"/>
        <item x="952"/>
        <item x="1523"/>
        <item x="834"/>
        <item x="1959"/>
        <item x="1058"/>
        <item x="538"/>
        <item x="1067"/>
        <item x="1802"/>
        <item x="1049"/>
        <item x="1394"/>
        <item x="1203"/>
        <item x="1734"/>
        <item x="679"/>
        <item x="130"/>
        <item x="844"/>
        <item x="1769"/>
        <item x="554"/>
        <item x="1283"/>
        <item x="980"/>
        <item x="288"/>
        <item x="1414"/>
        <item x="467"/>
        <item x="1813"/>
        <item x="1232"/>
        <item x="842"/>
        <item x="1504"/>
        <item x="1831"/>
        <item x="404"/>
        <item x="1011"/>
        <item x="172"/>
        <item x="1918"/>
        <item x="55"/>
        <item x="1553"/>
        <item x="1709"/>
        <item x="231"/>
        <item x="982"/>
        <item x="115"/>
        <item x="746"/>
        <item x="1880"/>
        <item x="347"/>
        <item x="1762"/>
        <item x="419"/>
        <item x="1339"/>
        <item x="1952"/>
        <item x="803"/>
        <item x="734"/>
        <item x="1004"/>
        <item x="384"/>
        <item x="1647"/>
        <item x="331"/>
        <item x="401"/>
        <item x="985"/>
        <item x="242"/>
        <item x="255"/>
        <item x="551"/>
        <item x="358"/>
        <item x="794"/>
        <item x="6"/>
        <item x="1585"/>
        <item x="236"/>
        <item x="1771"/>
        <item x="8"/>
        <item x="601"/>
        <item x="1495"/>
        <item x="1784"/>
        <item x="1716"/>
        <item x="1604"/>
        <item x="122"/>
        <item x="584"/>
        <item x="1147"/>
        <item x="1451"/>
        <item x="1621"/>
        <item x="318"/>
        <item x="1888"/>
        <item x="477"/>
        <item x="1305"/>
        <item x="1229"/>
        <item x="394"/>
        <item x="230"/>
        <item x="1692"/>
        <item x="1638"/>
        <item x="1201"/>
        <item x="1075"/>
        <item x="1205"/>
        <item x="1263"/>
        <item x="282"/>
        <item x="440"/>
        <item x="846"/>
        <item x="1306"/>
        <item x="736"/>
        <item x="897"/>
        <item x="587"/>
        <item x="969"/>
        <item x="758"/>
        <item x="1655"/>
        <item x="287"/>
        <item x="559"/>
        <item x="1078"/>
        <item x="101"/>
        <item x="1371"/>
        <item x="432"/>
        <item x="702"/>
        <item x="1438"/>
        <item x="665"/>
        <item x="476"/>
        <item x="1582"/>
        <item x="667"/>
        <item x="451"/>
        <item x="1150"/>
        <item x="1145"/>
        <item x="1546"/>
        <item x="30"/>
        <item x="1039"/>
        <item x="1236"/>
        <item x="1735"/>
        <item x="721"/>
        <item x="235"/>
        <item x="1596"/>
        <item x="1428"/>
        <item x="474"/>
        <item x="397"/>
        <item x="136"/>
        <item x="1273"/>
        <item x="1095"/>
        <item x="1104"/>
        <item x="1894"/>
        <item x="129"/>
        <item x="313"/>
        <item x="337"/>
        <item x="211"/>
        <item x="1319"/>
        <item x="1429"/>
        <item x="1329"/>
        <item x="562"/>
        <item x="553"/>
        <item x="615"/>
        <item x="1561"/>
        <item x="422"/>
        <item x="594"/>
        <item x="1445"/>
        <item x="1617"/>
        <item x="966"/>
        <item x="293"/>
        <item x="570"/>
        <item x="1300"/>
        <item x="249"/>
        <item x="1163"/>
        <item x="1322"/>
        <item x="939"/>
        <item x="443"/>
        <item x="1863"/>
        <item x="1020"/>
        <item x="198"/>
        <item x="140"/>
        <item x="340"/>
        <item x="1702"/>
        <item x="210"/>
        <item x="275"/>
        <item x="1622"/>
        <item x="1827"/>
        <item x="273"/>
        <item x="1904"/>
        <item x="1294"/>
        <item x="815"/>
        <item x="1963"/>
        <item x="1366"/>
        <item x="67"/>
        <item x="1062"/>
        <item x="257"/>
        <item x="218"/>
        <item x="223"/>
        <item x="1595"/>
        <item x="1424"/>
        <item x="546"/>
        <item x="1937"/>
        <item x="1483"/>
        <item x="284"/>
        <item x="1454"/>
        <item x="1279"/>
        <item x="36"/>
        <item x="1234"/>
        <item x="1249"/>
        <item x="1037"/>
        <item x="1645"/>
        <item x="640"/>
        <item x="642"/>
        <item x="539"/>
        <item x="1280"/>
        <item x="1879"/>
        <item x="862"/>
        <item x="305"/>
        <item x="543"/>
        <item x="1672"/>
        <item x="831"/>
        <item x="684"/>
        <item x="840"/>
        <item x="1845"/>
        <item x="884"/>
        <item x="241"/>
        <item x="1961"/>
        <item x="606"/>
        <item x="1751"/>
        <item x="48"/>
        <item x="267"/>
        <item x="1193"/>
        <item x="1132"/>
        <item x="944"/>
        <item x="705"/>
        <item x="1797"/>
        <item x="1568"/>
        <item x="459"/>
        <item x="1501"/>
        <item x="85"/>
        <item x="1439"/>
        <item x="953"/>
        <item x="138"/>
        <item x="1517"/>
        <item x="335"/>
        <item x="616"/>
        <item x="46"/>
        <item x="1760"/>
        <item x="416"/>
        <item x="1327"/>
        <item x="93"/>
        <item x="791"/>
        <item x="889"/>
        <item x="1726"/>
        <item x="1513"/>
        <item x="1684"/>
        <item x="154"/>
        <item x="680"/>
        <item x="1840"/>
        <item x="1717"/>
        <item x="291"/>
        <item x="34"/>
        <item x="1297"/>
        <item x="1183"/>
        <item x="1061"/>
        <item x="1725"/>
        <item x="215"/>
        <item x="1487"/>
        <item x="1505"/>
        <item x="1142"/>
        <item x="566"/>
        <item x="1798"/>
        <item x="91"/>
        <item x="1003"/>
        <item x="1169"/>
        <item x="438"/>
        <item x="906"/>
        <item x="671"/>
        <item x="808"/>
        <item x="770"/>
        <item x="1938"/>
        <item x="1661"/>
        <item x="1166"/>
        <item x="703"/>
        <item x="1824"/>
        <item x="1426"/>
        <item x="1282"/>
        <item x="695"/>
        <item x="934"/>
        <item x="187"/>
        <item x="1907"/>
        <item x="669"/>
        <item x="1823"/>
        <item x="1131"/>
        <item x="1642"/>
        <item x="84"/>
        <item x="98"/>
        <item x="1400"/>
        <item x="1391"/>
        <item x="829"/>
        <item x="1607"/>
        <item x="1047"/>
        <item x="968"/>
        <item x="1811"/>
        <item x="670"/>
        <item x="1671"/>
        <item x="59"/>
        <item x="1922"/>
        <item x="1255"/>
        <item x="785"/>
        <item x="512"/>
        <item x="1826"/>
        <item x="978"/>
        <item x="439"/>
        <item x="657"/>
        <item x="873"/>
        <item x="964"/>
        <item x="464"/>
        <item x="1906"/>
        <item x="1790"/>
        <item x="1460"/>
        <item x="1321"/>
        <item x="262"/>
        <item x="152"/>
        <item x="1060"/>
        <item x="1723"/>
        <item x="644"/>
        <item x="1215"/>
        <item x="1646"/>
        <item x="1742"/>
        <item x="899"/>
        <item x="133"/>
        <item x="918"/>
        <item x="1216"/>
        <item x="1977"/>
        <item x="389"/>
        <item x="1192"/>
        <item x="1558"/>
        <item x="1577"/>
        <item x="1685"/>
        <item x="771"/>
        <item x="1791"/>
        <item x="643"/>
        <item x="1299"/>
        <item x="1177"/>
        <item x="1443"/>
        <item x="175"/>
        <item x="1072"/>
        <item x="1330"/>
        <item x="374"/>
        <item x="576"/>
        <item x="364"/>
        <item x="1098"/>
        <item x="816"/>
        <item x="959"/>
        <item x="1574"/>
        <item x="1670"/>
        <item x="986"/>
        <item x="379"/>
        <item x="701"/>
        <item x="1732"/>
        <item x="1383"/>
        <item x="955"/>
        <item x="505"/>
        <item x="1768"/>
        <item x="1761"/>
        <item x="1021"/>
        <item x="1413"/>
        <item x="214"/>
        <item x="1527"/>
        <item x="540"/>
        <item x="213"/>
        <item x="1187"/>
        <item x="1382"/>
        <item x="4"/>
        <item x="143"/>
        <item x="1186"/>
        <item x="1455"/>
        <item x="1441"/>
        <item x="1308"/>
        <item x="933"/>
        <item x="1325"/>
        <item x="1017"/>
        <item x="919"/>
        <item x="1764"/>
        <item x="1503"/>
        <item x="280"/>
        <item x="1942"/>
        <item x="1491"/>
        <item x="1693"/>
        <item x="1687"/>
        <item x="1859"/>
        <item x="1077"/>
        <item x="1520"/>
        <item x="1189"/>
        <item x="751"/>
        <item x="947"/>
        <item x="1309"/>
        <item x="1444"/>
        <item x="191"/>
        <item x="836"/>
        <item x="824"/>
        <item x="991"/>
        <item x="1275"/>
        <item x="1204"/>
        <item x="963"/>
        <item x="761"/>
        <item x="1599"/>
        <item x="74"/>
        <item x="733"/>
        <item x="286"/>
        <item x="1876"/>
        <item x="1815"/>
        <item x="962"/>
        <item x="938"/>
        <item x="1050"/>
        <item x="1281"/>
        <item x="1431"/>
        <item x="489"/>
        <item x="1418"/>
        <item x="1406"/>
        <item x="1027"/>
        <item x="1691"/>
        <item x="1481"/>
        <item x="591"/>
        <item x="1272"/>
        <item x="1242"/>
        <item x="537"/>
        <item x="343"/>
        <item x="1529"/>
        <item x="99"/>
        <item x="1437"/>
        <item x="23"/>
        <item x="1736"/>
        <item x="1355"/>
        <item x="1218"/>
        <item x="365"/>
        <item x="94"/>
        <item x="289"/>
        <item x="1755"/>
        <item x="949"/>
        <item x="1891"/>
        <item x="583"/>
        <item x="759"/>
        <item x="1669"/>
        <item x="309"/>
        <item x="1883"/>
        <item x="167"/>
        <item x="967"/>
        <item x="651"/>
        <item x="1211"/>
        <item x="646"/>
        <item x="352"/>
        <item x="987"/>
        <item x="1336"/>
        <item x="1476"/>
        <item x="1164"/>
        <item x="1573"/>
        <item x="1412"/>
        <item x="1136"/>
        <item x="506"/>
        <item x="1377"/>
        <item x="216"/>
        <item x="1093"/>
        <item x="1920"/>
        <item x="1812"/>
        <item x="922"/>
        <item x="1796"/>
        <item x="126"/>
        <item x="435"/>
        <item x="755"/>
        <item x="1978"/>
        <item x="1579"/>
        <item x="64"/>
        <item x="290"/>
        <item x="227"/>
        <item x="649"/>
        <item x="17"/>
        <item x="548"/>
        <item x="1385"/>
        <item x="825"/>
        <item x="1120"/>
        <item x="773"/>
        <item x="1129"/>
        <item x="272"/>
        <item x="246"/>
        <item x="271"/>
        <item x="1289"/>
        <item x="181"/>
        <item x="1686"/>
        <item x="454"/>
        <item x="344"/>
        <item x="575"/>
        <item x="1248"/>
        <item x="208"/>
        <item x="523"/>
        <item x="1836"/>
        <item x="428"/>
        <item x="1180"/>
        <item x="1398"/>
        <item x="1854"/>
        <item x="868"/>
        <item x="598"/>
        <item x="445"/>
        <item x="608"/>
        <item x="1721"/>
        <item x="1600"/>
        <item x="847"/>
        <item x="1106"/>
        <item x="386"/>
        <item x="1134"/>
        <item x="724"/>
        <item x="1055"/>
        <item x="592"/>
        <item x="1633"/>
        <item x="1590"/>
        <item x="1328"/>
        <item x="205"/>
        <item x="1690"/>
        <item x="1875"/>
        <item x="631"/>
        <item x="946"/>
        <item x="237"/>
        <item x="1056"/>
        <item x="1591"/>
        <item x="1241"/>
        <item x="779"/>
        <item x="328"/>
        <item x="965"/>
        <item x="1801"/>
        <item x="336"/>
        <item x="1971"/>
        <item x="1830"/>
        <item x="1562"/>
        <item x="1787"/>
        <item x="802"/>
        <item x="345"/>
        <item x="252"/>
        <item x="153"/>
        <item x="656"/>
        <item x="1873"/>
        <item x="1261"/>
        <item x="690"/>
        <item x="1347"/>
        <item x="95"/>
        <item x="1912"/>
        <item x="981"/>
        <item x="627"/>
        <item x="574"/>
        <item x="371"/>
        <item x="1981"/>
        <item x="1839"/>
        <item x="1171"/>
        <item x="1042"/>
        <item x="103"/>
        <item x="1737"/>
        <item x="250"/>
        <item x="975"/>
        <item x="1731"/>
        <item x="219"/>
        <item x="925"/>
        <item x="535"/>
        <item x="1555"/>
        <item x="1667"/>
        <item x="1834"/>
        <item x="1314"/>
        <item x="1782"/>
        <item x="1518"/>
        <item x="1457"/>
        <item x="1054"/>
        <item x="911"/>
        <item x="123"/>
        <item x="1537"/>
        <item x="1094"/>
        <item x="1260"/>
        <item x="1713"/>
        <item x="521"/>
        <item x="923"/>
        <item x="1340"/>
        <item x="694"/>
        <item x="850"/>
        <item x="321"/>
        <item x="1926"/>
        <item x="549"/>
        <item x="600"/>
        <item x="1892"/>
        <item x="845"/>
        <item x="212"/>
        <item x="1114"/>
        <item x="420"/>
        <item x="1304"/>
        <item x="11"/>
        <item x="165"/>
        <item x="424"/>
        <item x="1245"/>
        <item x="1252"/>
        <item x="737"/>
        <item x="745"/>
        <item x="1356"/>
        <item x="833"/>
        <item x="517"/>
        <item x="1346"/>
        <item x="516"/>
        <item x="589"/>
        <item x="956"/>
        <item x="254"/>
        <item x="183"/>
        <item x="361"/>
        <item x="1623"/>
        <item x="1853"/>
        <item x="597"/>
        <item x="56"/>
        <item x="1674"/>
        <item x="381"/>
        <item x="1554"/>
        <item x="729"/>
        <item x="625"/>
        <item x="264"/>
        <item x="1090"/>
        <item x="1983"/>
        <item x="296"/>
        <item x="1711"/>
        <item x="285"/>
        <item x="1967"/>
        <item x="421"/>
        <item x="693"/>
        <item x="325"/>
        <item x="1464"/>
        <item x="795"/>
        <item x="1556"/>
        <item x="2"/>
        <item x="921"/>
        <item x="1433"/>
        <item x="502"/>
        <item x="1317"/>
        <item x="114"/>
        <item x="32"/>
        <item x="1302"/>
        <item x="515"/>
        <item x="860"/>
        <item x="75"/>
        <item x="1934"/>
        <item x="382"/>
        <item x="1644"/>
        <item x="1708"/>
        <item x="320"/>
        <item x="1516"/>
        <item x="1440"/>
        <item x="1102"/>
        <item x="716"/>
        <item x="1852"/>
        <item x="1036"/>
        <item x="1881"/>
        <item x="596"/>
        <item x="1326"/>
        <item x="372"/>
        <item x="19"/>
        <item x="403"/>
        <item x="1258"/>
        <item x="461"/>
        <item x="998"/>
        <item x="1848"/>
        <item x="161"/>
        <item x="301"/>
        <item x="718"/>
        <item x="1014"/>
        <item x="1362"/>
        <item x="169"/>
        <item x="1850"/>
        <item x="1744"/>
        <item x="1699"/>
        <item x="22"/>
        <item x="1941"/>
        <item x="1497"/>
        <item x="1809"/>
        <item x="1190"/>
        <item x="436"/>
        <item x="572"/>
        <item x="1181"/>
        <item x="1469"/>
        <item x="1653"/>
        <item x="388"/>
        <item x="90"/>
        <item x="1334"/>
        <item x="809"/>
        <item x="581"/>
        <item x="988"/>
        <item x="709"/>
        <item x="1818"/>
        <item x="1324"/>
        <item x="452"/>
        <item x="142"/>
        <item x="1656"/>
        <item x="473"/>
        <item x="1626"/>
        <item x="412"/>
        <item x="970"/>
        <item x="896"/>
        <item x="699"/>
        <item x="238"/>
        <item x="247"/>
        <item x="508"/>
        <item x="660"/>
        <item x="1034"/>
        <item x="910"/>
        <item x="1197"/>
        <item x="375"/>
        <item x="1135"/>
        <item x="1427"/>
        <item x="1720"/>
        <item x="102"/>
        <item x="1948"/>
        <item x="370"/>
        <item x="578"/>
        <item x="1462"/>
        <item x="119"/>
        <item x="1403"/>
        <item x="1524"/>
        <item x="1866"/>
        <item x="1540"/>
        <item x="580"/>
        <item x="411"/>
        <item x="1159"/>
        <item x="1677"/>
        <item x="612"/>
        <item x="1759"/>
        <item x="195"/>
        <item x="1233"/>
        <item x="1224"/>
        <item x="1442"/>
        <item x="565"/>
        <item x="930"/>
        <item x="639"/>
        <item x="198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Unit_Price" fld="8" baseField="0" baseItem="0"/>
  </dataFields>
  <formats count="20">
    <format dxfId="42">
      <pivotArea type="all" dataOnly="0" outline="0" fieldPosition="0"/>
    </format>
    <format dxfId="43">
      <pivotArea outline="0" collapsedLevelsAreSubtotals="1" fieldPosition="0"/>
    </format>
    <format dxfId="44">
      <pivotArea type="origin" dataOnly="0" labelOnly="1" outline="0" fieldPosition="0"/>
    </format>
    <format dxfId="45">
      <pivotArea field="10" type="button" dataOnly="0" labelOnly="1" outline="0" axis="axisCol" fieldPosition="0"/>
    </format>
    <format dxfId="46">
      <pivotArea type="topRight" dataOnly="0" labelOnly="1" outline="0" fieldPosition="0"/>
    </format>
    <format dxfId="47">
      <pivotArea field="5" type="button" dataOnly="0" labelOnly="1" outline="0" axis="axisRow" fieldPosition="0"/>
    </format>
    <format dxfId="48">
      <pivotArea dataOnly="0" labelOnly="1" fieldPosition="0">
        <references count="1">
          <reference field="5" count="0"/>
        </references>
      </pivotArea>
    </format>
    <format dxfId="49">
      <pivotArea dataOnly="0" labelOnly="1" grandRow="1" outline="0" fieldPosition="0"/>
    </format>
    <format dxfId="50">
      <pivotArea dataOnly="0" labelOnly="1" fieldPosition="0">
        <references count="1">
          <reference field="10" count="0"/>
        </references>
      </pivotArea>
    </format>
    <format dxfId="51">
      <pivotArea dataOnly="0" labelOnly="1" grandCol="1" outline="0" fieldPosition="0"/>
    </format>
    <format dxfId="52">
      <pivotArea type="all" dataOnly="0" outline="0" fieldPosition="0"/>
    </format>
    <format dxfId="53">
      <pivotArea outline="0" collapsedLevelsAreSubtotals="1" fieldPosition="0"/>
    </format>
    <format dxfId="54">
      <pivotArea type="origin" dataOnly="0" labelOnly="1" outline="0" fieldPosition="0"/>
    </format>
    <format dxfId="55">
      <pivotArea field="10" type="button" dataOnly="0" labelOnly="1" outline="0" axis="axisCol" fieldPosition="0"/>
    </format>
    <format dxfId="56">
      <pivotArea type="topRight" dataOnly="0" labelOnly="1" outline="0" fieldPosition="0"/>
    </format>
    <format dxfId="57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9">
      <pivotArea dataOnly="0" labelOnly="1" grandRow="1" outline="0" fieldPosition="0"/>
    </format>
    <format dxfId="60">
      <pivotArea dataOnly="0" labelOnly="1" fieldPosition="0">
        <references count="1">
          <reference field="10" count="0"/>
        </references>
      </pivotArea>
    </format>
    <format dxfId="61">
      <pivotArea dataOnly="0" labelOnly="1" grandCol="1" outline="0" fieldPosition="0"/>
    </format>
  </formats>
  <chartFormats count="3"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3DC15-AB3B-492F-B08C-C9C70C5DF578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7" firstHeaderRow="0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5">
        <item x="2"/>
        <item x="0"/>
        <item x="1"/>
        <item h="1" x="3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" fld="9" baseField="0" baseItem="0"/>
    <dataField name="Sum of Unit_Price" fld="8" baseField="0" baseItem="0"/>
    <dataField name="Count of Sales_ID" fld="0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2"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5D8CE7-C85B-4344-9BC8-3CCBA5E19B36}" name="Table3" displayName="Table3" ref="A1:H501" totalsRowShown="0" headerRowDxfId="74" dataDxfId="72" headerRowBorderDxfId="73" tableBorderDxfId="71" totalsRowBorderDxfId="70">
  <autoFilter ref="A1:H501" xr:uid="{095D8CE7-C85B-4344-9BC8-3CCBA5E19B36}"/>
  <tableColumns count="8">
    <tableColumn id="1" xr3:uid="{3D005B35-9BA1-4158-8090-1D6B2975EF63}" name="Customer_ID" dataDxfId="69"/>
    <tableColumn id="2" xr3:uid="{3FCDA645-F2EA-4FD3-A139-462F982F89C0}" name="Name" dataDxfId="68"/>
    <tableColumn id="3" xr3:uid="{BBBAC351-DF9D-4912-AD5B-C7DBACBD10FD}" name="Age" dataDxfId="67"/>
    <tableColumn id="4" xr3:uid="{FD780169-F559-43A9-AB98-C879E96B9DC7}" name="Gender" dataDxfId="66"/>
    <tableColumn id="5" xr3:uid="{F267B334-7E11-4B9D-9988-D55A180FB6F4}" name="City" dataDxfId="65"/>
    <tableColumn id="6" xr3:uid="{E3C77B5D-040C-4DF4-A258-DA12BDB36A86}" name="State" dataDxfId="64"/>
    <tableColumn id="7" xr3:uid="{C4DAB871-C7BA-42DE-8852-ADDCA41D8414}" name="Country" dataDxfId="63"/>
    <tableColumn id="8" xr3:uid="{B2EA41BC-9EFE-44DF-92A6-CC3CE90AFA23}" name="Loyalty_Level" dataDxfId="6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C15" sqref="C15"/>
    </sheetView>
  </sheetViews>
  <sheetFormatPr defaultColWidth="11.6640625" defaultRowHeight="14.4" x14ac:dyDescent="0.3"/>
  <cols>
    <col min="1" max="1" width="13.77734375" style="14" customWidth="1"/>
    <col min="2" max="2" width="18.77734375" style="14" customWidth="1"/>
    <col min="3" max="3" width="11.6640625" style="3"/>
    <col min="4" max="4" width="11.6640625" style="14"/>
    <col min="5" max="5" width="18.6640625" style="14" customWidth="1"/>
    <col min="6" max="6" width="15.77734375" style="14" customWidth="1"/>
    <col min="7" max="7" width="11.6640625" style="14"/>
    <col min="8" max="8" width="14.33203125" style="14" customWidth="1"/>
  </cols>
  <sheetData>
    <row r="1" spans="1:8" x14ac:dyDescent="0.3">
      <c r="A1" s="25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8" t="s">
        <v>7</v>
      </c>
    </row>
    <row r="2" spans="1:8" x14ac:dyDescent="0.3">
      <c r="A2" s="23" t="s">
        <v>8</v>
      </c>
      <c r="B2" s="15" t="s">
        <v>3933</v>
      </c>
      <c r="C2" s="11">
        <v>55</v>
      </c>
      <c r="D2" s="15" t="s">
        <v>9</v>
      </c>
      <c r="E2" s="15" t="s">
        <v>10</v>
      </c>
      <c r="F2" s="15" t="s">
        <v>11</v>
      </c>
      <c r="G2" s="15" t="s">
        <v>12</v>
      </c>
      <c r="H2" s="24"/>
    </row>
    <row r="3" spans="1:8" x14ac:dyDescent="0.3">
      <c r="A3" s="23" t="s">
        <v>14</v>
      </c>
      <c r="B3" s="15" t="s">
        <v>15</v>
      </c>
      <c r="C3" s="11">
        <v>26</v>
      </c>
      <c r="D3" s="15" t="s">
        <v>16</v>
      </c>
      <c r="E3" s="15" t="s">
        <v>17</v>
      </c>
      <c r="F3" s="15" t="s">
        <v>18</v>
      </c>
      <c r="G3" s="15" t="s">
        <v>12</v>
      </c>
      <c r="H3" s="24" t="s">
        <v>19</v>
      </c>
    </row>
    <row r="4" spans="1:8" x14ac:dyDescent="0.3">
      <c r="A4" s="23" t="s">
        <v>20</v>
      </c>
      <c r="B4" s="15" t="s">
        <v>3803</v>
      </c>
      <c r="C4" s="11">
        <v>29</v>
      </c>
      <c r="D4" s="15" t="s">
        <v>16</v>
      </c>
      <c r="E4" s="15" t="s">
        <v>21</v>
      </c>
      <c r="F4" s="15" t="s">
        <v>22</v>
      </c>
      <c r="G4" s="15" t="s">
        <v>12</v>
      </c>
      <c r="H4" s="24" t="s">
        <v>19</v>
      </c>
    </row>
    <row r="5" spans="1:8" x14ac:dyDescent="0.3">
      <c r="A5" s="23" t="s">
        <v>23</v>
      </c>
      <c r="B5" s="15" t="s">
        <v>3804</v>
      </c>
      <c r="C5" s="11">
        <v>59</v>
      </c>
      <c r="D5" s="15" t="s">
        <v>16</v>
      </c>
      <c r="E5" s="15" t="s">
        <v>24</v>
      </c>
      <c r="F5" s="15" t="s">
        <v>25</v>
      </c>
      <c r="G5" s="15" t="s">
        <v>12</v>
      </c>
      <c r="H5" s="24" t="s">
        <v>26</v>
      </c>
    </row>
    <row r="6" spans="1:8" x14ac:dyDescent="0.3">
      <c r="A6" s="23" t="s">
        <v>27</v>
      </c>
      <c r="B6" s="15" t="s">
        <v>28</v>
      </c>
      <c r="C6" s="11">
        <v>64</v>
      </c>
      <c r="D6" s="15" t="s">
        <v>16</v>
      </c>
      <c r="E6" s="15" t="s">
        <v>29</v>
      </c>
      <c r="F6" s="15" t="s">
        <v>30</v>
      </c>
      <c r="G6" s="15" t="s">
        <v>12</v>
      </c>
      <c r="H6" s="24" t="s">
        <v>31</v>
      </c>
    </row>
    <row r="7" spans="1:8" x14ac:dyDescent="0.3">
      <c r="A7" s="23" t="s">
        <v>32</v>
      </c>
      <c r="B7" s="15" t="s">
        <v>33</v>
      </c>
      <c r="C7" s="11">
        <v>24</v>
      </c>
      <c r="D7" s="15" t="s">
        <v>9</v>
      </c>
      <c r="E7" s="15" t="s">
        <v>34</v>
      </c>
      <c r="F7" s="15" t="s">
        <v>35</v>
      </c>
      <c r="G7" s="15" t="s">
        <v>12</v>
      </c>
      <c r="H7" s="24" t="s">
        <v>26</v>
      </c>
    </row>
    <row r="8" spans="1:8" x14ac:dyDescent="0.3">
      <c r="A8" s="23" t="s">
        <v>36</v>
      </c>
      <c r="B8" s="15" t="s">
        <v>37</v>
      </c>
      <c r="C8" s="11">
        <v>29</v>
      </c>
      <c r="D8" s="15" t="s">
        <v>16</v>
      </c>
      <c r="E8" s="15" t="s">
        <v>38</v>
      </c>
      <c r="F8" s="15" t="s">
        <v>39</v>
      </c>
      <c r="G8" s="15" t="s">
        <v>12</v>
      </c>
      <c r="H8" s="24" t="s">
        <v>19</v>
      </c>
    </row>
    <row r="9" spans="1:8" x14ac:dyDescent="0.3">
      <c r="A9" s="23" t="s">
        <v>40</v>
      </c>
      <c r="B9" s="15" t="s">
        <v>41</v>
      </c>
      <c r="C9" s="11">
        <v>29</v>
      </c>
      <c r="D9" s="15" t="s">
        <v>16</v>
      </c>
      <c r="E9" s="15" t="s">
        <v>42</v>
      </c>
      <c r="F9" s="15" t="s">
        <v>43</v>
      </c>
      <c r="G9" s="15" t="s">
        <v>12</v>
      </c>
      <c r="H9" s="24" t="s">
        <v>26</v>
      </c>
    </row>
    <row r="10" spans="1:8" x14ac:dyDescent="0.3">
      <c r="A10" s="23" t="s">
        <v>44</v>
      </c>
      <c r="B10" s="15" t="s">
        <v>45</v>
      </c>
      <c r="C10" s="11">
        <v>53</v>
      </c>
      <c r="D10" s="15" t="s">
        <v>16</v>
      </c>
      <c r="E10" s="15" t="s">
        <v>46</v>
      </c>
      <c r="F10" s="15" t="s">
        <v>47</v>
      </c>
      <c r="G10" s="15" t="s">
        <v>12</v>
      </c>
      <c r="H10" s="24" t="s">
        <v>13</v>
      </c>
    </row>
    <row r="11" spans="1:8" x14ac:dyDescent="0.3">
      <c r="A11" s="23" t="s">
        <v>48</v>
      </c>
      <c r="B11" s="15" t="s">
        <v>49</v>
      </c>
      <c r="C11" s="11">
        <v>64</v>
      </c>
      <c r="D11" s="15" t="s">
        <v>9</v>
      </c>
      <c r="E11" s="15" t="s">
        <v>50</v>
      </c>
      <c r="F11" s="15" t="s">
        <v>51</v>
      </c>
      <c r="G11" s="15" t="s">
        <v>12</v>
      </c>
      <c r="H11" s="24" t="s">
        <v>19</v>
      </c>
    </row>
    <row r="12" spans="1:8" x14ac:dyDescent="0.3">
      <c r="A12" s="23" t="s">
        <v>52</v>
      </c>
      <c r="B12" s="15" t="s">
        <v>53</v>
      </c>
      <c r="C12" s="11">
        <v>53</v>
      </c>
      <c r="D12" s="15" t="s">
        <v>9</v>
      </c>
      <c r="E12" s="15" t="s">
        <v>54</v>
      </c>
      <c r="F12" s="15" t="s">
        <v>51</v>
      </c>
      <c r="G12" s="15" t="s">
        <v>12</v>
      </c>
      <c r="H12" s="24" t="s">
        <v>26</v>
      </c>
    </row>
    <row r="13" spans="1:8" x14ac:dyDescent="0.3">
      <c r="A13" s="23" t="s">
        <v>55</v>
      </c>
      <c r="B13" s="15" t="s">
        <v>56</v>
      </c>
      <c r="C13" s="11">
        <v>28</v>
      </c>
      <c r="D13" s="15" t="s">
        <v>16</v>
      </c>
      <c r="E13" s="15" t="s">
        <v>57</v>
      </c>
      <c r="F13" s="15" t="s">
        <v>58</v>
      </c>
      <c r="G13" s="15" t="s">
        <v>12</v>
      </c>
      <c r="H13" s="24" t="s">
        <v>13</v>
      </c>
    </row>
    <row r="14" spans="1:8" x14ac:dyDescent="0.3">
      <c r="A14" s="23" t="s">
        <v>59</v>
      </c>
      <c r="B14" s="15" t="s">
        <v>60</v>
      </c>
      <c r="C14" s="11">
        <v>55</v>
      </c>
      <c r="D14" s="15" t="s">
        <v>16</v>
      </c>
      <c r="E14" s="15" t="s">
        <v>61</v>
      </c>
      <c r="F14" s="15" t="s">
        <v>62</v>
      </c>
      <c r="G14" s="15" t="s">
        <v>12</v>
      </c>
      <c r="H14" s="24" t="s">
        <v>19</v>
      </c>
    </row>
    <row r="15" spans="1:8" x14ac:dyDescent="0.3">
      <c r="A15" s="23" t="s">
        <v>63</v>
      </c>
      <c r="B15" s="15" t="s">
        <v>64</v>
      </c>
      <c r="C15" s="11">
        <v>32</v>
      </c>
      <c r="D15" s="15" t="s">
        <v>16</v>
      </c>
      <c r="E15" s="15" t="s">
        <v>65</v>
      </c>
      <c r="F15" s="15" t="s">
        <v>66</v>
      </c>
      <c r="G15" s="15" t="s">
        <v>12</v>
      </c>
      <c r="H15" s="24" t="s">
        <v>31</v>
      </c>
    </row>
    <row r="16" spans="1:8" x14ac:dyDescent="0.3">
      <c r="A16" s="23" t="s">
        <v>67</v>
      </c>
      <c r="B16" s="15" t="s">
        <v>68</v>
      </c>
      <c r="C16" s="11">
        <v>53</v>
      </c>
      <c r="D16" s="15" t="s">
        <v>16</v>
      </c>
      <c r="E16" s="15" t="s">
        <v>69</v>
      </c>
      <c r="F16" s="15" t="s">
        <v>70</v>
      </c>
      <c r="G16" s="15" t="s">
        <v>12</v>
      </c>
      <c r="H16" s="24" t="s">
        <v>31</v>
      </c>
    </row>
    <row r="17" spans="1:8" x14ac:dyDescent="0.3">
      <c r="A17" s="23" t="s">
        <v>71</v>
      </c>
      <c r="B17" s="15" t="s">
        <v>72</v>
      </c>
      <c r="C17" s="11">
        <v>49</v>
      </c>
      <c r="D17" s="15" t="s">
        <v>16</v>
      </c>
      <c r="E17" s="15" t="s">
        <v>73</v>
      </c>
      <c r="F17" s="15" t="s">
        <v>74</v>
      </c>
      <c r="G17" s="15" t="s">
        <v>12</v>
      </c>
      <c r="H17" s="24" t="s">
        <v>19</v>
      </c>
    </row>
    <row r="18" spans="1:8" x14ac:dyDescent="0.3">
      <c r="A18" s="23" t="s">
        <v>75</v>
      </c>
      <c r="B18" s="15" t="s">
        <v>76</v>
      </c>
      <c r="C18" s="11">
        <v>24</v>
      </c>
      <c r="D18" s="15" t="s">
        <v>16</v>
      </c>
      <c r="E18" s="15" t="s">
        <v>77</v>
      </c>
      <c r="F18" s="15" t="s">
        <v>51</v>
      </c>
      <c r="G18" s="15" t="s">
        <v>12</v>
      </c>
      <c r="H18" s="24" t="s">
        <v>26</v>
      </c>
    </row>
    <row r="19" spans="1:8" x14ac:dyDescent="0.3">
      <c r="A19" s="23" t="s">
        <v>78</v>
      </c>
      <c r="B19" s="15" t="s">
        <v>79</v>
      </c>
      <c r="C19" s="11">
        <v>60</v>
      </c>
      <c r="D19" s="15" t="s">
        <v>16</v>
      </c>
      <c r="E19" s="15" t="s">
        <v>80</v>
      </c>
      <c r="F19" s="15" t="s">
        <v>81</v>
      </c>
      <c r="G19" s="15" t="s">
        <v>12</v>
      </c>
      <c r="H19" s="24" t="s">
        <v>19</v>
      </c>
    </row>
    <row r="20" spans="1:8" x14ac:dyDescent="0.3">
      <c r="A20" s="23" t="s">
        <v>82</v>
      </c>
      <c r="B20" s="15" t="s">
        <v>83</v>
      </c>
      <c r="C20" s="11">
        <v>43</v>
      </c>
      <c r="D20" s="15" t="s">
        <v>9</v>
      </c>
      <c r="E20" s="15" t="s">
        <v>84</v>
      </c>
      <c r="F20" s="15" t="s">
        <v>62</v>
      </c>
      <c r="G20" s="15" t="s">
        <v>12</v>
      </c>
      <c r="H20" s="24"/>
    </row>
    <row r="21" spans="1:8" x14ac:dyDescent="0.3">
      <c r="A21" s="23" t="s">
        <v>85</v>
      </c>
      <c r="B21" s="15" t="s">
        <v>86</v>
      </c>
      <c r="C21" s="11">
        <v>46</v>
      </c>
      <c r="D21" s="15" t="s">
        <v>16</v>
      </c>
      <c r="E21" s="15" t="s">
        <v>87</v>
      </c>
      <c r="F21" s="15" t="s">
        <v>88</v>
      </c>
      <c r="G21" s="15" t="s">
        <v>12</v>
      </c>
      <c r="H21" s="24" t="s">
        <v>19</v>
      </c>
    </row>
    <row r="22" spans="1:8" x14ac:dyDescent="0.3">
      <c r="A22" s="23" t="s">
        <v>89</v>
      </c>
      <c r="B22" s="15" t="s">
        <v>90</v>
      </c>
      <c r="C22" s="11">
        <v>59</v>
      </c>
      <c r="D22" s="15" t="s">
        <v>9</v>
      </c>
      <c r="E22" s="15" t="s">
        <v>91</v>
      </c>
      <c r="F22" s="15" t="s">
        <v>92</v>
      </c>
      <c r="G22" s="15" t="s">
        <v>12</v>
      </c>
      <c r="H22" s="24" t="s">
        <v>31</v>
      </c>
    </row>
    <row r="23" spans="1:8" x14ac:dyDescent="0.3">
      <c r="A23" s="23" t="s">
        <v>93</v>
      </c>
      <c r="B23" s="15" t="s">
        <v>94</v>
      </c>
      <c r="C23" s="11">
        <v>36</v>
      </c>
      <c r="D23" s="15" t="s">
        <v>16</v>
      </c>
      <c r="E23" s="15" t="s">
        <v>95</v>
      </c>
      <c r="F23" s="15" t="s">
        <v>96</v>
      </c>
      <c r="G23" s="15" t="s">
        <v>12</v>
      </c>
      <c r="H23" s="24" t="s">
        <v>13</v>
      </c>
    </row>
    <row r="24" spans="1:8" x14ac:dyDescent="0.3">
      <c r="A24" s="23" t="s">
        <v>97</v>
      </c>
      <c r="B24" s="15" t="s">
        <v>3932</v>
      </c>
      <c r="C24" s="11">
        <v>33</v>
      </c>
      <c r="D24" s="15" t="s">
        <v>16</v>
      </c>
      <c r="E24" s="15" t="s">
        <v>98</v>
      </c>
      <c r="F24" s="15" t="s">
        <v>99</v>
      </c>
      <c r="G24" s="15" t="s">
        <v>12</v>
      </c>
      <c r="H24" s="24" t="s">
        <v>31</v>
      </c>
    </row>
    <row r="25" spans="1:8" x14ac:dyDescent="0.3">
      <c r="A25" s="23" t="s">
        <v>100</v>
      </c>
      <c r="B25" s="15" t="s">
        <v>101</v>
      </c>
      <c r="C25" s="11">
        <v>52</v>
      </c>
      <c r="D25" s="15" t="s">
        <v>16</v>
      </c>
      <c r="E25" s="15" t="s">
        <v>102</v>
      </c>
      <c r="F25" s="15" t="s">
        <v>35</v>
      </c>
      <c r="G25" s="15" t="s">
        <v>12</v>
      </c>
      <c r="H25" s="24" t="s">
        <v>31</v>
      </c>
    </row>
    <row r="26" spans="1:8" x14ac:dyDescent="0.3">
      <c r="A26" s="23" t="s">
        <v>103</v>
      </c>
      <c r="B26" s="15" t="s">
        <v>104</v>
      </c>
      <c r="C26" s="11">
        <v>40</v>
      </c>
      <c r="D26" s="15" t="s">
        <v>9</v>
      </c>
      <c r="E26" s="15" t="s">
        <v>105</v>
      </c>
      <c r="F26" s="15" t="s">
        <v>106</v>
      </c>
      <c r="G26" s="15" t="s">
        <v>12</v>
      </c>
      <c r="H26" s="24" t="s">
        <v>19</v>
      </c>
    </row>
    <row r="27" spans="1:8" x14ac:dyDescent="0.3">
      <c r="A27" s="23" t="s">
        <v>107</v>
      </c>
      <c r="B27" s="15" t="s">
        <v>108</v>
      </c>
      <c r="C27" s="11">
        <v>59</v>
      </c>
      <c r="D27" s="15" t="s">
        <v>16</v>
      </c>
      <c r="E27" s="15" t="s">
        <v>109</v>
      </c>
      <c r="F27" s="15" t="s">
        <v>30</v>
      </c>
      <c r="G27" s="15" t="s">
        <v>12</v>
      </c>
      <c r="H27" s="24" t="s">
        <v>26</v>
      </c>
    </row>
    <row r="28" spans="1:8" x14ac:dyDescent="0.3">
      <c r="A28" s="23" t="s">
        <v>110</v>
      </c>
      <c r="B28" s="15" t="s">
        <v>111</v>
      </c>
      <c r="C28" s="11">
        <v>18</v>
      </c>
      <c r="D28" s="15" t="s">
        <v>16</v>
      </c>
      <c r="E28" s="15" t="s">
        <v>112</v>
      </c>
      <c r="F28" s="15" t="s">
        <v>113</v>
      </c>
      <c r="G28" s="15" t="s">
        <v>12</v>
      </c>
      <c r="H28" s="24" t="s">
        <v>13</v>
      </c>
    </row>
    <row r="29" spans="1:8" x14ac:dyDescent="0.3">
      <c r="A29" s="23" t="s">
        <v>114</v>
      </c>
      <c r="B29" s="15" t="s">
        <v>115</v>
      </c>
      <c r="C29" s="11">
        <v>31</v>
      </c>
      <c r="D29" s="15" t="s">
        <v>9</v>
      </c>
      <c r="E29" s="15" t="s">
        <v>116</v>
      </c>
      <c r="F29" s="15" t="s">
        <v>117</v>
      </c>
      <c r="G29" s="15" t="s">
        <v>12</v>
      </c>
      <c r="H29" s="24"/>
    </row>
    <row r="30" spans="1:8" x14ac:dyDescent="0.3">
      <c r="A30" s="23" t="s">
        <v>118</v>
      </c>
      <c r="B30" s="15" t="s">
        <v>119</v>
      </c>
      <c r="C30" s="11">
        <v>27</v>
      </c>
      <c r="D30" s="15" t="s">
        <v>16</v>
      </c>
      <c r="E30" s="15" t="s">
        <v>120</v>
      </c>
      <c r="F30" s="15" t="s">
        <v>88</v>
      </c>
      <c r="G30" s="15" t="s">
        <v>12</v>
      </c>
      <c r="H30" s="24" t="s">
        <v>19</v>
      </c>
    </row>
    <row r="31" spans="1:8" x14ac:dyDescent="0.3">
      <c r="A31" s="23" t="s">
        <v>121</v>
      </c>
      <c r="B31" s="15" t="s">
        <v>122</v>
      </c>
      <c r="C31" s="11">
        <v>54</v>
      </c>
      <c r="D31" s="15" t="s">
        <v>16</v>
      </c>
      <c r="E31" s="15" t="s">
        <v>123</v>
      </c>
      <c r="F31" s="15" t="s">
        <v>30</v>
      </c>
      <c r="G31" s="15" t="s">
        <v>12</v>
      </c>
      <c r="H31" s="24" t="s">
        <v>31</v>
      </c>
    </row>
    <row r="32" spans="1:8" x14ac:dyDescent="0.3">
      <c r="A32" s="23" t="s">
        <v>124</v>
      </c>
      <c r="B32" s="15" t="s">
        <v>125</v>
      </c>
      <c r="C32" s="11">
        <v>64</v>
      </c>
      <c r="D32" s="15" t="s">
        <v>16</v>
      </c>
      <c r="E32" s="15" t="s">
        <v>126</v>
      </c>
      <c r="F32" s="15" t="s">
        <v>51</v>
      </c>
      <c r="G32" s="15" t="s">
        <v>12</v>
      </c>
      <c r="H32" s="24" t="s">
        <v>26</v>
      </c>
    </row>
    <row r="33" spans="1:8" x14ac:dyDescent="0.3">
      <c r="A33" s="23" t="s">
        <v>127</v>
      </c>
      <c r="B33" s="15" t="s">
        <v>128</v>
      </c>
      <c r="C33" s="11">
        <v>41</v>
      </c>
      <c r="D33" s="15" t="s">
        <v>9</v>
      </c>
      <c r="E33" s="15" t="s">
        <v>129</v>
      </c>
      <c r="F33" s="15" t="s">
        <v>35</v>
      </c>
      <c r="G33" s="15" t="s">
        <v>12</v>
      </c>
      <c r="H33" s="24" t="s">
        <v>31</v>
      </c>
    </row>
    <row r="34" spans="1:8" x14ac:dyDescent="0.3">
      <c r="A34" s="23" t="s">
        <v>130</v>
      </c>
      <c r="B34" s="15" t="s">
        <v>131</v>
      </c>
      <c r="C34" s="11">
        <v>48</v>
      </c>
      <c r="D34" s="15" t="s">
        <v>16</v>
      </c>
      <c r="E34" s="15" t="s">
        <v>132</v>
      </c>
      <c r="F34" s="15" t="s">
        <v>133</v>
      </c>
      <c r="G34" s="15" t="s">
        <v>12</v>
      </c>
      <c r="H34" s="24" t="s">
        <v>13</v>
      </c>
    </row>
    <row r="35" spans="1:8" x14ac:dyDescent="0.3">
      <c r="A35" s="23" t="s">
        <v>134</v>
      </c>
      <c r="B35" s="15" t="s">
        <v>135</v>
      </c>
      <c r="C35" s="11">
        <v>25</v>
      </c>
      <c r="D35" s="15" t="s">
        <v>9</v>
      </c>
      <c r="E35" s="15" t="s">
        <v>136</v>
      </c>
      <c r="F35" s="15" t="s">
        <v>96</v>
      </c>
      <c r="G35" s="15" t="s">
        <v>12</v>
      </c>
      <c r="H35" s="24" t="s">
        <v>19</v>
      </c>
    </row>
    <row r="36" spans="1:8" x14ac:dyDescent="0.3">
      <c r="A36" s="23" t="s">
        <v>137</v>
      </c>
      <c r="B36" s="15" t="s">
        <v>138</v>
      </c>
      <c r="C36" s="11">
        <v>27</v>
      </c>
      <c r="D36" s="15" t="s">
        <v>16</v>
      </c>
      <c r="E36" s="15" t="s">
        <v>139</v>
      </c>
      <c r="F36" s="15" t="s">
        <v>140</v>
      </c>
      <c r="G36" s="15" t="s">
        <v>12</v>
      </c>
      <c r="H36" s="24" t="s">
        <v>19</v>
      </c>
    </row>
    <row r="37" spans="1:8" x14ac:dyDescent="0.3">
      <c r="A37" s="23" t="s">
        <v>141</v>
      </c>
      <c r="B37" s="15" t="s">
        <v>142</v>
      </c>
      <c r="C37" s="11">
        <v>52</v>
      </c>
      <c r="D37" s="15" t="s">
        <v>9</v>
      </c>
      <c r="E37" s="15" t="s">
        <v>143</v>
      </c>
      <c r="F37" s="15" t="s">
        <v>18</v>
      </c>
      <c r="G37" s="15" t="s">
        <v>12</v>
      </c>
      <c r="H37" s="24" t="s">
        <v>31</v>
      </c>
    </row>
    <row r="38" spans="1:8" x14ac:dyDescent="0.3">
      <c r="A38" s="23" t="s">
        <v>144</v>
      </c>
      <c r="B38" s="15" t="s">
        <v>145</v>
      </c>
      <c r="C38" s="11">
        <v>20</v>
      </c>
      <c r="D38" s="15" t="s">
        <v>16</v>
      </c>
      <c r="E38" s="15" t="s">
        <v>146</v>
      </c>
      <c r="F38" s="15" t="s">
        <v>81</v>
      </c>
      <c r="G38" s="15" t="s">
        <v>12</v>
      </c>
      <c r="H38" s="24" t="s">
        <v>13</v>
      </c>
    </row>
    <row r="39" spans="1:8" x14ac:dyDescent="0.3">
      <c r="A39" s="23" t="s">
        <v>147</v>
      </c>
      <c r="B39" s="15" t="s">
        <v>148</v>
      </c>
      <c r="C39" s="11">
        <v>27</v>
      </c>
      <c r="D39" s="15" t="s">
        <v>16</v>
      </c>
      <c r="E39" s="15" t="s">
        <v>149</v>
      </c>
      <c r="F39" s="15" t="s">
        <v>39</v>
      </c>
      <c r="G39" s="15" t="s">
        <v>12</v>
      </c>
      <c r="H39" s="24"/>
    </row>
    <row r="40" spans="1:8" x14ac:dyDescent="0.3">
      <c r="A40" s="23" t="s">
        <v>150</v>
      </c>
      <c r="B40" s="15" t="s">
        <v>151</v>
      </c>
      <c r="C40" s="11">
        <v>35</v>
      </c>
      <c r="D40" s="15" t="s">
        <v>16</v>
      </c>
      <c r="E40" s="15" t="s">
        <v>152</v>
      </c>
      <c r="F40" s="15" t="s">
        <v>18</v>
      </c>
      <c r="G40" s="15" t="s">
        <v>12</v>
      </c>
      <c r="H40" s="24" t="s">
        <v>26</v>
      </c>
    </row>
    <row r="41" spans="1:8" x14ac:dyDescent="0.3">
      <c r="A41" s="23" t="s">
        <v>153</v>
      </c>
      <c r="B41" s="15" t="s">
        <v>154</v>
      </c>
      <c r="C41" s="11">
        <v>55</v>
      </c>
      <c r="D41" s="15" t="s">
        <v>16</v>
      </c>
      <c r="E41" s="15" t="s">
        <v>155</v>
      </c>
      <c r="F41" s="15" t="s">
        <v>156</v>
      </c>
      <c r="G41" s="15" t="s">
        <v>12</v>
      </c>
      <c r="H41" s="24" t="s">
        <v>13</v>
      </c>
    </row>
    <row r="42" spans="1:8" x14ac:dyDescent="0.3">
      <c r="A42" s="23" t="s">
        <v>157</v>
      </c>
      <c r="B42" s="15" t="s">
        <v>158</v>
      </c>
      <c r="C42" s="11">
        <v>50</v>
      </c>
      <c r="D42" s="15" t="s">
        <v>9</v>
      </c>
      <c r="E42" s="15" t="s">
        <v>159</v>
      </c>
      <c r="F42" s="15" t="s">
        <v>62</v>
      </c>
      <c r="G42" s="15" t="s">
        <v>12</v>
      </c>
      <c r="H42" s="24" t="s">
        <v>13</v>
      </c>
    </row>
    <row r="43" spans="1:8" x14ac:dyDescent="0.3">
      <c r="A43" s="23" t="s">
        <v>160</v>
      </c>
      <c r="B43" s="15" t="s">
        <v>161</v>
      </c>
      <c r="C43" s="11">
        <v>21</v>
      </c>
      <c r="D43" s="15" t="s">
        <v>9</v>
      </c>
      <c r="E43" s="15" t="s">
        <v>162</v>
      </c>
      <c r="F43" s="15" t="s">
        <v>163</v>
      </c>
      <c r="G43" s="15" t="s">
        <v>12</v>
      </c>
      <c r="H43" s="24" t="s">
        <v>19</v>
      </c>
    </row>
    <row r="44" spans="1:8" x14ac:dyDescent="0.3">
      <c r="A44" s="23" t="s">
        <v>164</v>
      </c>
      <c r="B44" s="15" t="s">
        <v>165</v>
      </c>
      <c r="C44" s="11">
        <v>19</v>
      </c>
      <c r="D44" s="15" t="s">
        <v>9</v>
      </c>
      <c r="E44" s="15" t="s">
        <v>166</v>
      </c>
      <c r="F44" s="15" t="s">
        <v>167</v>
      </c>
      <c r="G44" s="15" t="s">
        <v>12</v>
      </c>
      <c r="H44" s="24" t="s">
        <v>19</v>
      </c>
    </row>
    <row r="45" spans="1:8" x14ac:dyDescent="0.3">
      <c r="A45" s="23" t="s">
        <v>168</v>
      </c>
      <c r="B45" s="15" t="s">
        <v>169</v>
      </c>
      <c r="C45" s="11">
        <v>45</v>
      </c>
      <c r="D45" s="15" t="s">
        <v>9</v>
      </c>
      <c r="E45" s="15" t="s">
        <v>170</v>
      </c>
      <c r="F45" s="15" t="s">
        <v>171</v>
      </c>
      <c r="G45" s="15" t="s">
        <v>12</v>
      </c>
      <c r="H45" s="24" t="s">
        <v>13</v>
      </c>
    </row>
    <row r="46" spans="1:8" x14ac:dyDescent="0.3">
      <c r="A46" s="23" t="s">
        <v>172</v>
      </c>
      <c r="B46" s="15" t="s">
        <v>173</v>
      </c>
      <c r="C46" s="11">
        <v>34</v>
      </c>
      <c r="D46" s="15" t="s">
        <v>9</v>
      </c>
      <c r="E46" s="15" t="s">
        <v>174</v>
      </c>
      <c r="F46" s="15" t="s">
        <v>99</v>
      </c>
      <c r="G46" s="15" t="s">
        <v>12</v>
      </c>
      <c r="H46" s="24" t="s">
        <v>26</v>
      </c>
    </row>
    <row r="47" spans="1:8" x14ac:dyDescent="0.3">
      <c r="A47" s="23" t="s">
        <v>175</v>
      </c>
      <c r="B47" s="15" t="s">
        <v>176</v>
      </c>
      <c r="C47" s="11">
        <v>54</v>
      </c>
      <c r="D47" s="15" t="s">
        <v>9</v>
      </c>
      <c r="E47" s="15" t="s">
        <v>177</v>
      </c>
      <c r="F47" s="15" t="s">
        <v>133</v>
      </c>
      <c r="G47" s="15" t="s">
        <v>12</v>
      </c>
      <c r="H47" s="24" t="s">
        <v>13</v>
      </c>
    </row>
    <row r="48" spans="1:8" x14ac:dyDescent="0.3">
      <c r="A48" s="23" t="s">
        <v>178</v>
      </c>
      <c r="B48" s="15" t="s">
        <v>179</v>
      </c>
      <c r="C48" s="11">
        <v>55</v>
      </c>
      <c r="D48" s="15" t="s">
        <v>16</v>
      </c>
      <c r="E48" s="15" t="s">
        <v>180</v>
      </c>
      <c r="F48" s="15" t="s">
        <v>25</v>
      </c>
      <c r="G48" s="15" t="s">
        <v>12</v>
      </c>
      <c r="H48" s="24" t="s">
        <v>19</v>
      </c>
    </row>
    <row r="49" spans="1:8" x14ac:dyDescent="0.3">
      <c r="A49" s="23" t="s">
        <v>181</v>
      </c>
      <c r="B49" s="15" t="s">
        <v>182</v>
      </c>
      <c r="C49" s="11">
        <v>54</v>
      </c>
      <c r="D49" s="15" t="s">
        <v>16</v>
      </c>
      <c r="E49" s="15" t="s">
        <v>183</v>
      </c>
      <c r="F49" s="15" t="s">
        <v>184</v>
      </c>
      <c r="G49" s="15" t="s">
        <v>12</v>
      </c>
      <c r="H49" s="24" t="s">
        <v>31</v>
      </c>
    </row>
    <row r="50" spans="1:8" x14ac:dyDescent="0.3">
      <c r="A50" s="23" t="s">
        <v>185</v>
      </c>
      <c r="B50" s="15" t="s">
        <v>186</v>
      </c>
      <c r="C50" s="11">
        <v>54</v>
      </c>
      <c r="D50" s="15" t="s">
        <v>9</v>
      </c>
      <c r="E50" s="15" t="s">
        <v>187</v>
      </c>
      <c r="F50" s="15" t="s">
        <v>11</v>
      </c>
      <c r="G50" s="15" t="s">
        <v>12</v>
      </c>
      <c r="H50" s="24" t="s">
        <v>19</v>
      </c>
    </row>
    <row r="51" spans="1:8" x14ac:dyDescent="0.3">
      <c r="A51" s="23" t="s">
        <v>188</v>
      </c>
      <c r="B51" s="15" t="s">
        <v>189</v>
      </c>
      <c r="C51" s="11">
        <v>45</v>
      </c>
      <c r="D51" s="15" t="s">
        <v>16</v>
      </c>
      <c r="E51" s="15" t="s">
        <v>190</v>
      </c>
      <c r="F51" s="15" t="s">
        <v>25</v>
      </c>
      <c r="G51" s="15" t="s">
        <v>12</v>
      </c>
      <c r="H51" s="24" t="s">
        <v>13</v>
      </c>
    </row>
    <row r="52" spans="1:8" x14ac:dyDescent="0.3">
      <c r="A52" s="23" t="s">
        <v>191</v>
      </c>
      <c r="B52" s="15" t="s">
        <v>192</v>
      </c>
      <c r="C52" s="11">
        <v>61</v>
      </c>
      <c r="D52" s="15" t="s">
        <v>16</v>
      </c>
      <c r="E52" s="15" t="s">
        <v>193</v>
      </c>
      <c r="F52" s="15" t="s">
        <v>194</v>
      </c>
      <c r="G52" s="15" t="s">
        <v>12</v>
      </c>
      <c r="H52" s="24" t="s">
        <v>13</v>
      </c>
    </row>
    <row r="53" spans="1:8" x14ac:dyDescent="0.3">
      <c r="A53" s="23" t="s">
        <v>195</v>
      </c>
      <c r="B53" s="15" t="s">
        <v>196</v>
      </c>
      <c r="C53" s="11">
        <v>23</v>
      </c>
      <c r="D53" s="15" t="s">
        <v>16</v>
      </c>
      <c r="E53" s="15" t="s">
        <v>197</v>
      </c>
      <c r="F53" s="15" t="s">
        <v>43</v>
      </c>
      <c r="G53" s="15" t="s">
        <v>12</v>
      </c>
      <c r="H53" s="24" t="s">
        <v>13</v>
      </c>
    </row>
    <row r="54" spans="1:8" x14ac:dyDescent="0.3">
      <c r="A54" s="23" t="s">
        <v>198</v>
      </c>
      <c r="B54" s="15" t="s">
        <v>199</v>
      </c>
      <c r="C54" s="11">
        <v>55</v>
      </c>
      <c r="D54" s="15" t="s">
        <v>9</v>
      </c>
      <c r="E54" s="15" t="s">
        <v>200</v>
      </c>
      <c r="F54" s="15" t="s">
        <v>201</v>
      </c>
      <c r="G54" s="15" t="s">
        <v>12</v>
      </c>
      <c r="H54" s="24" t="s">
        <v>26</v>
      </c>
    </row>
    <row r="55" spans="1:8" x14ac:dyDescent="0.3">
      <c r="A55" s="23" t="s">
        <v>202</v>
      </c>
      <c r="B55" s="15" t="s">
        <v>203</v>
      </c>
      <c r="C55" s="11">
        <v>37</v>
      </c>
      <c r="D55" s="15" t="s">
        <v>16</v>
      </c>
      <c r="E55" s="15" t="s">
        <v>204</v>
      </c>
      <c r="F55" s="15" t="s">
        <v>156</v>
      </c>
      <c r="G55" s="15" t="s">
        <v>12</v>
      </c>
      <c r="H55" s="24" t="s">
        <v>13</v>
      </c>
    </row>
    <row r="56" spans="1:8" x14ac:dyDescent="0.3">
      <c r="A56" s="23" t="s">
        <v>205</v>
      </c>
      <c r="B56" s="15" t="s">
        <v>206</v>
      </c>
      <c r="C56" s="11">
        <v>24</v>
      </c>
      <c r="D56" s="15" t="s">
        <v>9</v>
      </c>
      <c r="E56" s="15" t="s">
        <v>207</v>
      </c>
      <c r="F56" s="15" t="s">
        <v>96</v>
      </c>
      <c r="G56" s="15" t="s">
        <v>12</v>
      </c>
      <c r="H56" s="24" t="s">
        <v>19</v>
      </c>
    </row>
    <row r="57" spans="1:8" x14ac:dyDescent="0.3">
      <c r="A57" s="23" t="s">
        <v>208</v>
      </c>
      <c r="B57" s="15" t="s">
        <v>209</v>
      </c>
      <c r="C57" s="11">
        <v>56</v>
      </c>
      <c r="D57" s="15" t="s">
        <v>16</v>
      </c>
      <c r="E57" s="15" t="s">
        <v>210</v>
      </c>
      <c r="F57" s="15" t="s">
        <v>201</v>
      </c>
      <c r="G57" s="15" t="s">
        <v>12</v>
      </c>
      <c r="H57" s="24" t="s">
        <v>26</v>
      </c>
    </row>
    <row r="58" spans="1:8" x14ac:dyDescent="0.3">
      <c r="A58" s="23" t="s">
        <v>211</v>
      </c>
      <c r="B58" s="15" t="s">
        <v>212</v>
      </c>
      <c r="C58" s="11">
        <v>49</v>
      </c>
      <c r="D58" s="15" t="s">
        <v>16</v>
      </c>
      <c r="E58" s="15" t="s">
        <v>213</v>
      </c>
      <c r="F58" s="15" t="s">
        <v>51</v>
      </c>
      <c r="G58" s="15" t="s">
        <v>12</v>
      </c>
      <c r="H58" s="24" t="s">
        <v>13</v>
      </c>
    </row>
    <row r="59" spans="1:8" x14ac:dyDescent="0.3">
      <c r="A59" s="23" t="s">
        <v>214</v>
      </c>
      <c r="B59" s="15" t="s">
        <v>215</v>
      </c>
      <c r="C59" s="11">
        <v>43</v>
      </c>
      <c r="D59" s="15" t="s">
        <v>16</v>
      </c>
      <c r="E59" s="15" t="s">
        <v>216</v>
      </c>
      <c r="F59" s="15" t="s">
        <v>217</v>
      </c>
      <c r="G59" s="15" t="s">
        <v>12</v>
      </c>
      <c r="H59" s="24" t="s">
        <v>19</v>
      </c>
    </row>
    <row r="60" spans="1:8" x14ac:dyDescent="0.3">
      <c r="A60" s="23" t="s">
        <v>218</v>
      </c>
      <c r="B60" s="15" t="s">
        <v>219</v>
      </c>
      <c r="C60" s="11">
        <v>51</v>
      </c>
      <c r="D60" s="15" t="s">
        <v>9</v>
      </c>
      <c r="E60" s="15" t="s">
        <v>220</v>
      </c>
      <c r="F60" s="15" t="s">
        <v>140</v>
      </c>
      <c r="G60" s="15" t="s">
        <v>12</v>
      </c>
      <c r="H60" s="24" t="s">
        <v>19</v>
      </c>
    </row>
    <row r="61" spans="1:8" x14ac:dyDescent="0.3">
      <c r="A61" s="23" t="s">
        <v>221</v>
      </c>
      <c r="B61" s="15" t="s">
        <v>222</v>
      </c>
      <c r="C61" s="11">
        <v>53</v>
      </c>
      <c r="D61" s="15" t="s">
        <v>9</v>
      </c>
      <c r="E61" s="15" t="s">
        <v>223</v>
      </c>
      <c r="F61" s="15" t="s">
        <v>66</v>
      </c>
      <c r="G61" s="15" t="s">
        <v>12</v>
      </c>
      <c r="H61" s="24" t="s">
        <v>19</v>
      </c>
    </row>
    <row r="62" spans="1:8" x14ac:dyDescent="0.3">
      <c r="A62" s="23" t="s">
        <v>224</v>
      </c>
      <c r="B62" s="15" t="s">
        <v>225</v>
      </c>
      <c r="C62" s="11">
        <v>22</v>
      </c>
      <c r="D62" s="15" t="s">
        <v>16</v>
      </c>
      <c r="E62" s="15" t="s">
        <v>226</v>
      </c>
      <c r="F62" s="15" t="s">
        <v>163</v>
      </c>
      <c r="G62" s="15" t="s">
        <v>12</v>
      </c>
      <c r="H62" s="24" t="s">
        <v>31</v>
      </c>
    </row>
    <row r="63" spans="1:8" x14ac:dyDescent="0.3">
      <c r="A63" s="23" t="s">
        <v>227</v>
      </c>
      <c r="B63" s="15" t="s">
        <v>228</v>
      </c>
      <c r="C63" s="11">
        <v>23</v>
      </c>
      <c r="D63" s="15" t="s">
        <v>9</v>
      </c>
      <c r="E63" s="15" t="s">
        <v>229</v>
      </c>
      <c r="F63" s="15" t="s">
        <v>113</v>
      </c>
      <c r="G63" s="15" t="s">
        <v>12</v>
      </c>
      <c r="H63" s="24" t="s">
        <v>31</v>
      </c>
    </row>
    <row r="64" spans="1:8" x14ac:dyDescent="0.3">
      <c r="A64" s="23" t="s">
        <v>230</v>
      </c>
      <c r="B64" s="15" t="s">
        <v>231</v>
      </c>
      <c r="C64" s="11">
        <v>50</v>
      </c>
      <c r="D64" s="15" t="s">
        <v>9</v>
      </c>
      <c r="E64" s="15" t="s">
        <v>232</v>
      </c>
      <c r="F64" s="15" t="s">
        <v>233</v>
      </c>
      <c r="G64" s="15" t="s">
        <v>12</v>
      </c>
      <c r="H64" s="24" t="s">
        <v>26</v>
      </c>
    </row>
    <row r="65" spans="1:8" x14ac:dyDescent="0.3">
      <c r="A65" s="23" t="s">
        <v>234</v>
      </c>
      <c r="B65" s="15" t="s">
        <v>235</v>
      </c>
      <c r="C65" s="11">
        <v>51</v>
      </c>
      <c r="D65" s="15" t="s">
        <v>9</v>
      </c>
      <c r="E65" s="15" t="s">
        <v>236</v>
      </c>
      <c r="F65" s="15" t="s">
        <v>237</v>
      </c>
      <c r="G65" s="15" t="s">
        <v>12</v>
      </c>
      <c r="H65" s="24" t="s">
        <v>19</v>
      </c>
    </row>
    <row r="66" spans="1:8" x14ac:dyDescent="0.3">
      <c r="A66" s="23" t="s">
        <v>238</v>
      </c>
      <c r="B66" s="15" t="s">
        <v>239</v>
      </c>
      <c r="C66" s="11">
        <v>33</v>
      </c>
      <c r="D66" s="15" t="s">
        <v>9</v>
      </c>
      <c r="E66" s="15" t="s">
        <v>240</v>
      </c>
      <c r="F66" s="15" t="s">
        <v>133</v>
      </c>
      <c r="G66" s="15" t="s">
        <v>12</v>
      </c>
      <c r="H66" s="24" t="s">
        <v>13</v>
      </c>
    </row>
    <row r="67" spans="1:8" x14ac:dyDescent="0.3">
      <c r="A67" s="23" t="s">
        <v>241</v>
      </c>
      <c r="B67" s="15" t="s">
        <v>242</v>
      </c>
      <c r="C67" s="11">
        <v>21</v>
      </c>
      <c r="D67" s="15" t="s">
        <v>16</v>
      </c>
      <c r="E67" s="15" t="s">
        <v>243</v>
      </c>
      <c r="F67" s="15" t="s">
        <v>184</v>
      </c>
      <c r="G67" s="15" t="s">
        <v>12</v>
      </c>
      <c r="H67" s="24" t="s">
        <v>31</v>
      </c>
    </row>
    <row r="68" spans="1:8" x14ac:dyDescent="0.3">
      <c r="A68" s="23" t="s">
        <v>244</v>
      </c>
      <c r="B68" s="15" t="s">
        <v>245</v>
      </c>
      <c r="C68" s="11">
        <v>27</v>
      </c>
      <c r="D68" s="15" t="s">
        <v>16</v>
      </c>
      <c r="E68" s="15" t="s">
        <v>246</v>
      </c>
      <c r="F68" s="15" t="s">
        <v>47</v>
      </c>
      <c r="G68" s="15" t="s">
        <v>12</v>
      </c>
      <c r="H68" s="24" t="s">
        <v>31</v>
      </c>
    </row>
    <row r="69" spans="1:8" x14ac:dyDescent="0.3">
      <c r="A69" s="23" t="s">
        <v>247</v>
      </c>
      <c r="B69" s="15" t="s">
        <v>248</v>
      </c>
      <c r="C69" s="11">
        <v>58</v>
      </c>
      <c r="D69" s="15" t="s">
        <v>9</v>
      </c>
      <c r="E69" s="15" t="s">
        <v>249</v>
      </c>
      <c r="F69" s="15" t="s">
        <v>250</v>
      </c>
      <c r="G69" s="15" t="s">
        <v>12</v>
      </c>
      <c r="H69" s="24" t="s">
        <v>31</v>
      </c>
    </row>
    <row r="70" spans="1:8" x14ac:dyDescent="0.3">
      <c r="A70" s="23" t="s">
        <v>251</v>
      </c>
      <c r="B70" s="15" t="s">
        <v>252</v>
      </c>
      <c r="C70" s="11">
        <v>24</v>
      </c>
      <c r="D70" s="15" t="s">
        <v>16</v>
      </c>
      <c r="E70" s="15" t="s">
        <v>253</v>
      </c>
      <c r="F70" s="15" t="s">
        <v>254</v>
      </c>
      <c r="G70" s="15" t="s">
        <v>12</v>
      </c>
      <c r="H70" s="24" t="s">
        <v>31</v>
      </c>
    </row>
    <row r="71" spans="1:8" x14ac:dyDescent="0.3">
      <c r="A71" s="23" t="s">
        <v>255</v>
      </c>
      <c r="B71" s="15" t="s">
        <v>256</v>
      </c>
      <c r="C71" s="11">
        <v>24</v>
      </c>
      <c r="D71" s="15" t="s">
        <v>16</v>
      </c>
      <c r="E71" s="15" t="s">
        <v>257</v>
      </c>
      <c r="F71" s="15" t="s">
        <v>88</v>
      </c>
      <c r="G71" s="15" t="s">
        <v>12</v>
      </c>
      <c r="H71" s="24" t="s">
        <v>19</v>
      </c>
    </row>
    <row r="72" spans="1:8" x14ac:dyDescent="0.3">
      <c r="A72" s="23" t="s">
        <v>258</v>
      </c>
      <c r="B72" s="15" t="s">
        <v>259</v>
      </c>
      <c r="C72" s="11">
        <v>29</v>
      </c>
      <c r="D72" s="15" t="s">
        <v>16</v>
      </c>
      <c r="E72" s="15" t="s">
        <v>260</v>
      </c>
      <c r="F72" s="15" t="s">
        <v>233</v>
      </c>
      <c r="G72" s="15" t="s">
        <v>12</v>
      </c>
      <c r="H72" s="24" t="s">
        <v>13</v>
      </c>
    </row>
    <row r="73" spans="1:8" x14ac:dyDescent="0.3">
      <c r="A73" s="23" t="s">
        <v>261</v>
      </c>
      <c r="B73" s="15" t="s">
        <v>262</v>
      </c>
      <c r="C73" s="11">
        <v>61</v>
      </c>
      <c r="D73" s="15" t="s">
        <v>16</v>
      </c>
      <c r="E73" s="15" t="s">
        <v>263</v>
      </c>
      <c r="F73" s="15" t="s">
        <v>233</v>
      </c>
      <c r="G73" s="15" t="s">
        <v>12</v>
      </c>
      <c r="H73" s="24" t="s">
        <v>13</v>
      </c>
    </row>
    <row r="74" spans="1:8" x14ac:dyDescent="0.3">
      <c r="A74" s="23" t="s">
        <v>264</v>
      </c>
      <c r="B74" s="15" t="s">
        <v>265</v>
      </c>
      <c r="C74" s="11">
        <v>39</v>
      </c>
      <c r="D74" s="15" t="s">
        <v>16</v>
      </c>
      <c r="E74" s="15" t="s">
        <v>266</v>
      </c>
      <c r="F74" s="15" t="s">
        <v>267</v>
      </c>
      <c r="G74" s="15" t="s">
        <v>12</v>
      </c>
      <c r="H74" s="24" t="s">
        <v>13</v>
      </c>
    </row>
    <row r="75" spans="1:8" x14ac:dyDescent="0.3">
      <c r="A75" s="23" t="s">
        <v>268</v>
      </c>
      <c r="B75" s="15" t="s">
        <v>269</v>
      </c>
      <c r="C75" s="11">
        <v>56</v>
      </c>
      <c r="D75" s="15" t="s">
        <v>16</v>
      </c>
      <c r="E75" s="15" t="s">
        <v>270</v>
      </c>
      <c r="F75" s="15" t="s">
        <v>43</v>
      </c>
      <c r="G75" s="15" t="s">
        <v>12</v>
      </c>
      <c r="H75" s="24" t="s">
        <v>31</v>
      </c>
    </row>
    <row r="76" spans="1:8" x14ac:dyDescent="0.3">
      <c r="A76" s="23" t="s">
        <v>271</v>
      </c>
      <c r="B76" s="15" t="s">
        <v>272</v>
      </c>
      <c r="C76" s="11">
        <v>58</v>
      </c>
      <c r="D76" s="15" t="s">
        <v>9</v>
      </c>
      <c r="E76" s="15" t="s">
        <v>273</v>
      </c>
      <c r="F76" s="15" t="s">
        <v>274</v>
      </c>
      <c r="G76" s="15" t="s">
        <v>12</v>
      </c>
      <c r="H76" s="24" t="s">
        <v>26</v>
      </c>
    </row>
    <row r="77" spans="1:8" x14ac:dyDescent="0.3">
      <c r="A77" s="23" t="s">
        <v>275</v>
      </c>
      <c r="B77" s="15" t="s">
        <v>276</v>
      </c>
      <c r="C77" s="11">
        <v>61</v>
      </c>
      <c r="D77" s="15" t="s">
        <v>16</v>
      </c>
      <c r="E77" s="15" t="s">
        <v>277</v>
      </c>
      <c r="F77" s="15" t="s">
        <v>30</v>
      </c>
      <c r="G77" s="15" t="s">
        <v>12</v>
      </c>
      <c r="H77" s="24" t="s">
        <v>13</v>
      </c>
    </row>
    <row r="78" spans="1:8" x14ac:dyDescent="0.3">
      <c r="A78" s="23" t="s">
        <v>278</v>
      </c>
      <c r="B78" s="15" t="s">
        <v>279</v>
      </c>
      <c r="C78" s="11">
        <v>37</v>
      </c>
      <c r="D78" s="15" t="s">
        <v>9</v>
      </c>
      <c r="E78" s="15" t="s">
        <v>280</v>
      </c>
      <c r="F78" s="15" t="s">
        <v>96</v>
      </c>
      <c r="G78" s="15" t="s">
        <v>12</v>
      </c>
      <c r="H78" s="24" t="s">
        <v>13</v>
      </c>
    </row>
    <row r="79" spans="1:8" x14ac:dyDescent="0.3">
      <c r="A79" s="23" t="s">
        <v>281</v>
      </c>
      <c r="B79" s="15" t="s">
        <v>282</v>
      </c>
      <c r="C79" s="11">
        <v>29</v>
      </c>
      <c r="D79" s="15" t="s">
        <v>9</v>
      </c>
      <c r="E79" s="15" t="s">
        <v>283</v>
      </c>
      <c r="F79" s="15" t="s">
        <v>171</v>
      </c>
      <c r="G79" s="15" t="s">
        <v>12</v>
      </c>
      <c r="H79" s="24" t="s">
        <v>13</v>
      </c>
    </row>
    <row r="80" spans="1:8" x14ac:dyDescent="0.3">
      <c r="A80" s="23" t="s">
        <v>284</v>
      </c>
      <c r="B80" s="15" t="s">
        <v>285</v>
      </c>
      <c r="C80" s="11">
        <v>21</v>
      </c>
      <c r="D80" s="15" t="s">
        <v>9</v>
      </c>
      <c r="E80" s="15" t="s">
        <v>286</v>
      </c>
      <c r="F80" s="15" t="s">
        <v>287</v>
      </c>
      <c r="G80" s="15" t="s">
        <v>12</v>
      </c>
      <c r="H80" s="24" t="s">
        <v>13</v>
      </c>
    </row>
    <row r="81" spans="1:8" x14ac:dyDescent="0.3">
      <c r="A81" s="23" t="s">
        <v>288</v>
      </c>
      <c r="B81" s="15" t="s">
        <v>289</v>
      </c>
      <c r="C81" s="11">
        <v>22</v>
      </c>
      <c r="D81" s="15" t="s">
        <v>16</v>
      </c>
      <c r="E81" s="15" t="s">
        <v>290</v>
      </c>
      <c r="F81" s="15" t="s">
        <v>291</v>
      </c>
      <c r="G81" s="15" t="s">
        <v>12</v>
      </c>
      <c r="H81" s="24" t="s">
        <v>19</v>
      </c>
    </row>
    <row r="82" spans="1:8" x14ac:dyDescent="0.3">
      <c r="A82" s="23" t="s">
        <v>292</v>
      </c>
      <c r="B82" s="15" t="s">
        <v>293</v>
      </c>
      <c r="C82" s="11">
        <v>61</v>
      </c>
      <c r="D82" s="15" t="s">
        <v>16</v>
      </c>
      <c r="E82" s="15" t="s">
        <v>294</v>
      </c>
      <c r="F82" s="15" t="s">
        <v>233</v>
      </c>
      <c r="G82" s="15" t="s">
        <v>12</v>
      </c>
      <c r="H82" s="24" t="s">
        <v>26</v>
      </c>
    </row>
    <row r="83" spans="1:8" x14ac:dyDescent="0.3">
      <c r="A83" s="23" t="s">
        <v>295</v>
      </c>
      <c r="B83" s="15" t="s">
        <v>296</v>
      </c>
      <c r="C83" s="11">
        <v>34</v>
      </c>
      <c r="D83" s="15" t="s">
        <v>16</v>
      </c>
      <c r="E83" s="15" t="s">
        <v>297</v>
      </c>
      <c r="F83" s="15" t="s">
        <v>133</v>
      </c>
      <c r="G83" s="15" t="s">
        <v>12</v>
      </c>
      <c r="H83" s="24" t="s">
        <v>19</v>
      </c>
    </row>
    <row r="84" spans="1:8" x14ac:dyDescent="0.3">
      <c r="A84" s="23" t="s">
        <v>298</v>
      </c>
      <c r="B84" s="15" t="s">
        <v>299</v>
      </c>
      <c r="C84" s="11">
        <v>53</v>
      </c>
      <c r="D84" s="15" t="s">
        <v>9</v>
      </c>
      <c r="E84" s="15" t="s">
        <v>300</v>
      </c>
      <c r="F84" s="15" t="s">
        <v>250</v>
      </c>
      <c r="G84" s="15" t="s">
        <v>12</v>
      </c>
      <c r="H84" s="24" t="s">
        <v>26</v>
      </c>
    </row>
    <row r="85" spans="1:8" x14ac:dyDescent="0.3">
      <c r="A85" s="23" t="s">
        <v>301</v>
      </c>
      <c r="B85" s="15" t="s">
        <v>302</v>
      </c>
      <c r="C85" s="11">
        <v>48</v>
      </c>
      <c r="D85" s="15" t="s">
        <v>16</v>
      </c>
      <c r="E85" s="15" t="s">
        <v>303</v>
      </c>
      <c r="F85" s="15" t="s">
        <v>81</v>
      </c>
      <c r="G85" s="15" t="s">
        <v>12</v>
      </c>
      <c r="H85" s="24" t="s">
        <v>26</v>
      </c>
    </row>
    <row r="86" spans="1:8" x14ac:dyDescent="0.3">
      <c r="A86" s="23" t="s">
        <v>304</v>
      </c>
      <c r="B86" s="15" t="s">
        <v>305</v>
      </c>
      <c r="C86" s="11">
        <v>26</v>
      </c>
      <c r="D86" s="15" t="s">
        <v>16</v>
      </c>
      <c r="E86" s="15" t="s">
        <v>306</v>
      </c>
      <c r="F86" s="15" t="s">
        <v>254</v>
      </c>
      <c r="G86" s="15" t="s">
        <v>12</v>
      </c>
      <c r="H86" s="24" t="s">
        <v>19</v>
      </c>
    </row>
    <row r="87" spans="1:8" x14ac:dyDescent="0.3">
      <c r="A87" s="23" t="s">
        <v>307</v>
      </c>
      <c r="B87" s="15" t="s">
        <v>308</v>
      </c>
      <c r="C87" s="11">
        <v>36</v>
      </c>
      <c r="D87" s="15" t="s">
        <v>9</v>
      </c>
      <c r="E87" s="15" t="s">
        <v>309</v>
      </c>
      <c r="F87" s="15" t="s">
        <v>51</v>
      </c>
      <c r="G87" s="15" t="s">
        <v>12</v>
      </c>
      <c r="H87" s="24" t="s">
        <v>31</v>
      </c>
    </row>
    <row r="88" spans="1:8" x14ac:dyDescent="0.3">
      <c r="A88" s="23" t="s">
        <v>310</v>
      </c>
      <c r="B88" s="15" t="s">
        <v>311</v>
      </c>
      <c r="C88" s="11">
        <v>19</v>
      </c>
      <c r="D88" s="15" t="s">
        <v>16</v>
      </c>
      <c r="E88" s="15" t="s">
        <v>312</v>
      </c>
      <c r="F88" s="15" t="s">
        <v>313</v>
      </c>
      <c r="G88" s="15" t="s">
        <v>12</v>
      </c>
      <c r="H88" s="24" t="s">
        <v>13</v>
      </c>
    </row>
    <row r="89" spans="1:8" x14ac:dyDescent="0.3">
      <c r="A89" s="23" t="s">
        <v>314</v>
      </c>
      <c r="B89" s="15" t="s">
        <v>315</v>
      </c>
      <c r="C89" s="11">
        <v>58</v>
      </c>
      <c r="D89" s="15" t="s">
        <v>16</v>
      </c>
      <c r="E89" s="15" t="s">
        <v>316</v>
      </c>
      <c r="F89" s="15" t="s">
        <v>317</v>
      </c>
      <c r="G89" s="15" t="s">
        <v>12</v>
      </c>
      <c r="H89" s="24" t="s">
        <v>26</v>
      </c>
    </row>
    <row r="90" spans="1:8" x14ac:dyDescent="0.3">
      <c r="A90" s="23" t="s">
        <v>318</v>
      </c>
      <c r="B90" s="15" t="s">
        <v>319</v>
      </c>
      <c r="C90" s="11">
        <v>58</v>
      </c>
      <c r="D90" s="15" t="s">
        <v>9</v>
      </c>
      <c r="E90" s="15" t="s">
        <v>320</v>
      </c>
      <c r="F90" s="15" t="s">
        <v>291</v>
      </c>
      <c r="G90" s="15" t="s">
        <v>12</v>
      </c>
      <c r="H90" s="24" t="s">
        <v>31</v>
      </c>
    </row>
    <row r="91" spans="1:8" x14ac:dyDescent="0.3">
      <c r="A91" s="23" t="s">
        <v>321</v>
      </c>
      <c r="B91" s="15" t="s">
        <v>322</v>
      </c>
      <c r="C91" s="11">
        <v>43</v>
      </c>
      <c r="D91" s="15" t="s">
        <v>9</v>
      </c>
      <c r="E91" s="15" t="s">
        <v>323</v>
      </c>
      <c r="F91" s="15" t="s">
        <v>324</v>
      </c>
      <c r="G91" s="15" t="s">
        <v>12</v>
      </c>
      <c r="H91" s="24" t="s">
        <v>19</v>
      </c>
    </row>
    <row r="92" spans="1:8" x14ac:dyDescent="0.3">
      <c r="A92" s="23" t="s">
        <v>325</v>
      </c>
      <c r="B92" s="15" t="s">
        <v>326</v>
      </c>
      <c r="C92" s="11">
        <v>58</v>
      </c>
      <c r="D92" s="15" t="s">
        <v>16</v>
      </c>
      <c r="E92" s="15" t="s">
        <v>327</v>
      </c>
      <c r="F92" s="15" t="s">
        <v>328</v>
      </c>
      <c r="G92" s="15" t="s">
        <v>12</v>
      </c>
      <c r="H92" s="24" t="s">
        <v>19</v>
      </c>
    </row>
    <row r="93" spans="1:8" x14ac:dyDescent="0.3">
      <c r="A93" s="23" t="s">
        <v>329</v>
      </c>
      <c r="B93" s="15" t="s">
        <v>330</v>
      </c>
      <c r="C93" s="11">
        <v>29</v>
      </c>
      <c r="D93" s="15" t="s">
        <v>16</v>
      </c>
      <c r="E93" s="15" t="s">
        <v>331</v>
      </c>
      <c r="F93" s="15" t="s">
        <v>133</v>
      </c>
      <c r="G93" s="15" t="s">
        <v>12</v>
      </c>
      <c r="H93" s="24" t="s">
        <v>31</v>
      </c>
    </row>
    <row r="94" spans="1:8" x14ac:dyDescent="0.3">
      <c r="A94" s="23" t="s">
        <v>332</v>
      </c>
      <c r="B94" s="15" t="s">
        <v>333</v>
      </c>
      <c r="C94" s="11">
        <v>44</v>
      </c>
      <c r="D94" s="15" t="s">
        <v>16</v>
      </c>
      <c r="E94" s="15" t="s">
        <v>334</v>
      </c>
      <c r="F94" s="15" t="s">
        <v>237</v>
      </c>
      <c r="G94" s="15" t="s">
        <v>12</v>
      </c>
      <c r="H94" s="24" t="s">
        <v>19</v>
      </c>
    </row>
    <row r="95" spans="1:8" x14ac:dyDescent="0.3">
      <c r="A95" s="23" t="s">
        <v>335</v>
      </c>
      <c r="B95" s="15" t="s">
        <v>336</v>
      </c>
      <c r="C95" s="11">
        <v>28</v>
      </c>
      <c r="D95" s="15" t="s">
        <v>16</v>
      </c>
      <c r="E95" s="15" t="s">
        <v>337</v>
      </c>
      <c r="F95" s="15" t="s">
        <v>317</v>
      </c>
      <c r="G95" s="15" t="s">
        <v>12</v>
      </c>
      <c r="H95" s="24" t="s">
        <v>13</v>
      </c>
    </row>
    <row r="96" spans="1:8" x14ac:dyDescent="0.3">
      <c r="A96" s="23" t="s">
        <v>338</v>
      </c>
      <c r="B96" s="15" t="s">
        <v>339</v>
      </c>
      <c r="C96" s="11">
        <v>43</v>
      </c>
      <c r="D96" s="15" t="s">
        <v>16</v>
      </c>
      <c r="E96" s="15" t="s">
        <v>340</v>
      </c>
      <c r="F96" s="15" t="s">
        <v>184</v>
      </c>
      <c r="G96" s="15" t="s">
        <v>12</v>
      </c>
      <c r="H96" s="24" t="s">
        <v>13</v>
      </c>
    </row>
    <row r="97" spans="1:8" x14ac:dyDescent="0.3">
      <c r="A97" s="23" t="s">
        <v>341</v>
      </c>
      <c r="B97" s="15" t="s">
        <v>342</v>
      </c>
      <c r="C97" s="11">
        <v>62</v>
      </c>
      <c r="D97" s="15" t="s">
        <v>16</v>
      </c>
      <c r="E97" s="15" t="s">
        <v>343</v>
      </c>
      <c r="F97" s="15" t="s">
        <v>58</v>
      </c>
      <c r="G97" s="15" t="s">
        <v>12</v>
      </c>
      <c r="H97" s="24" t="s">
        <v>19</v>
      </c>
    </row>
    <row r="98" spans="1:8" x14ac:dyDescent="0.3">
      <c r="A98" s="23" t="s">
        <v>344</v>
      </c>
      <c r="B98" s="15" t="s">
        <v>345</v>
      </c>
      <c r="C98" s="11">
        <v>30</v>
      </c>
      <c r="D98" s="15" t="s">
        <v>16</v>
      </c>
      <c r="E98" s="15" t="s">
        <v>346</v>
      </c>
      <c r="F98" s="15" t="s">
        <v>328</v>
      </c>
      <c r="G98" s="15" t="s">
        <v>12</v>
      </c>
      <c r="H98" s="24" t="s">
        <v>19</v>
      </c>
    </row>
    <row r="99" spans="1:8" x14ac:dyDescent="0.3">
      <c r="A99" s="23" t="s">
        <v>347</v>
      </c>
      <c r="B99" s="15" t="s">
        <v>348</v>
      </c>
      <c r="C99" s="11">
        <v>36</v>
      </c>
      <c r="D99" s="15" t="s">
        <v>9</v>
      </c>
      <c r="E99" s="15" t="s">
        <v>349</v>
      </c>
      <c r="F99" s="15" t="s">
        <v>39</v>
      </c>
      <c r="G99" s="15" t="s">
        <v>12</v>
      </c>
      <c r="H99" s="24" t="s">
        <v>31</v>
      </c>
    </row>
    <row r="100" spans="1:8" x14ac:dyDescent="0.3">
      <c r="A100" s="23" t="s">
        <v>350</v>
      </c>
      <c r="B100" s="15" t="s">
        <v>351</v>
      </c>
      <c r="C100" s="11">
        <v>24</v>
      </c>
      <c r="D100" s="15" t="s">
        <v>9</v>
      </c>
      <c r="E100" s="15" t="s">
        <v>352</v>
      </c>
      <c r="F100" s="15" t="s">
        <v>163</v>
      </c>
      <c r="G100" s="15" t="s">
        <v>12</v>
      </c>
      <c r="H100" s="24" t="s">
        <v>13</v>
      </c>
    </row>
    <row r="101" spans="1:8" x14ac:dyDescent="0.3">
      <c r="A101" s="23" t="s">
        <v>353</v>
      </c>
      <c r="B101" s="15" t="s">
        <v>354</v>
      </c>
      <c r="C101" s="11">
        <v>35</v>
      </c>
      <c r="D101" s="15" t="s">
        <v>9</v>
      </c>
      <c r="E101" s="15" t="s">
        <v>355</v>
      </c>
      <c r="F101" s="15" t="s">
        <v>237</v>
      </c>
      <c r="G101" s="15" t="s">
        <v>12</v>
      </c>
      <c r="H101" s="24" t="s">
        <v>31</v>
      </c>
    </row>
    <row r="102" spans="1:8" x14ac:dyDescent="0.3">
      <c r="A102" s="23" t="s">
        <v>356</v>
      </c>
      <c r="B102" s="15" t="s">
        <v>357</v>
      </c>
      <c r="C102" s="11">
        <v>53</v>
      </c>
      <c r="D102" s="15" t="s">
        <v>16</v>
      </c>
      <c r="E102" s="15" t="s">
        <v>358</v>
      </c>
      <c r="F102" s="15" t="s">
        <v>359</v>
      </c>
      <c r="G102" s="15" t="s">
        <v>12</v>
      </c>
      <c r="H102" s="24" t="s">
        <v>19</v>
      </c>
    </row>
    <row r="103" spans="1:8" x14ac:dyDescent="0.3">
      <c r="A103" s="23" t="s">
        <v>360</v>
      </c>
      <c r="B103" s="15" t="s">
        <v>361</v>
      </c>
      <c r="C103" s="11">
        <v>29</v>
      </c>
      <c r="D103" s="15" t="s">
        <v>9</v>
      </c>
      <c r="E103" s="15" t="s">
        <v>362</v>
      </c>
      <c r="F103" s="15" t="s">
        <v>117</v>
      </c>
      <c r="G103" s="15" t="s">
        <v>12</v>
      </c>
      <c r="H103" s="24" t="s">
        <v>13</v>
      </c>
    </row>
    <row r="104" spans="1:8" x14ac:dyDescent="0.3">
      <c r="A104" s="23" t="s">
        <v>363</v>
      </c>
      <c r="B104" s="15" t="s">
        <v>364</v>
      </c>
      <c r="C104" s="11">
        <v>34</v>
      </c>
      <c r="D104" s="15" t="s">
        <v>16</v>
      </c>
      <c r="E104" s="15" t="s">
        <v>365</v>
      </c>
      <c r="F104" s="15" t="s">
        <v>51</v>
      </c>
      <c r="G104" s="15" t="s">
        <v>12</v>
      </c>
      <c r="H104" s="24" t="s">
        <v>26</v>
      </c>
    </row>
    <row r="105" spans="1:8" x14ac:dyDescent="0.3">
      <c r="A105" s="23" t="s">
        <v>366</v>
      </c>
      <c r="B105" s="15" t="s">
        <v>367</v>
      </c>
      <c r="C105" s="11">
        <v>21</v>
      </c>
      <c r="D105" s="15" t="s">
        <v>9</v>
      </c>
      <c r="E105" s="15" t="s">
        <v>368</v>
      </c>
      <c r="F105" s="15" t="s">
        <v>167</v>
      </c>
      <c r="G105" s="15" t="s">
        <v>12</v>
      </c>
      <c r="H105" s="24" t="s">
        <v>26</v>
      </c>
    </row>
    <row r="106" spans="1:8" x14ac:dyDescent="0.3">
      <c r="A106" s="23" t="s">
        <v>369</v>
      </c>
      <c r="B106" s="15" t="s">
        <v>370</v>
      </c>
      <c r="C106" s="11">
        <v>64</v>
      </c>
      <c r="D106" s="15" t="s">
        <v>9</v>
      </c>
      <c r="E106" s="15" t="s">
        <v>371</v>
      </c>
      <c r="F106" s="15" t="s">
        <v>81</v>
      </c>
      <c r="G106" s="15" t="s">
        <v>12</v>
      </c>
      <c r="H106" s="24" t="s">
        <v>31</v>
      </c>
    </row>
    <row r="107" spans="1:8" x14ac:dyDescent="0.3">
      <c r="A107" s="23" t="s">
        <v>372</v>
      </c>
      <c r="B107" s="15" t="s">
        <v>373</v>
      </c>
      <c r="C107" s="11">
        <v>50</v>
      </c>
      <c r="D107" s="15" t="s">
        <v>16</v>
      </c>
      <c r="E107" s="15" t="s">
        <v>374</v>
      </c>
      <c r="F107" s="15" t="s">
        <v>250</v>
      </c>
      <c r="G107" s="15" t="s">
        <v>12</v>
      </c>
      <c r="H107" s="24" t="s">
        <v>13</v>
      </c>
    </row>
    <row r="108" spans="1:8" x14ac:dyDescent="0.3">
      <c r="A108" s="23" t="s">
        <v>375</v>
      </c>
      <c r="B108" s="15" t="s">
        <v>376</v>
      </c>
      <c r="C108" s="11">
        <v>53</v>
      </c>
      <c r="D108" s="15" t="s">
        <v>16</v>
      </c>
      <c r="E108" s="15" t="s">
        <v>377</v>
      </c>
      <c r="F108" s="15" t="s">
        <v>217</v>
      </c>
      <c r="G108" s="15" t="s">
        <v>12</v>
      </c>
      <c r="H108" s="24" t="s">
        <v>26</v>
      </c>
    </row>
    <row r="109" spans="1:8" x14ac:dyDescent="0.3">
      <c r="A109" s="23" t="s">
        <v>378</v>
      </c>
      <c r="B109" s="15" t="s">
        <v>379</v>
      </c>
      <c r="C109" s="11">
        <v>62</v>
      </c>
      <c r="D109" s="15" t="s">
        <v>16</v>
      </c>
      <c r="E109" s="15" t="s">
        <v>380</v>
      </c>
      <c r="F109" s="15" t="s">
        <v>18</v>
      </c>
      <c r="G109" s="15" t="s">
        <v>12</v>
      </c>
      <c r="H109" s="24" t="s">
        <v>19</v>
      </c>
    </row>
    <row r="110" spans="1:8" x14ac:dyDescent="0.3">
      <c r="A110" s="23" t="s">
        <v>381</v>
      </c>
      <c r="B110" s="15" t="s">
        <v>382</v>
      </c>
      <c r="C110" s="11">
        <v>38</v>
      </c>
      <c r="D110" s="15" t="s">
        <v>9</v>
      </c>
      <c r="E110" s="15" t="s">
        <v>383</v>
      </c>
      <c r="F110" s="15" t="s">
        <v>47</v>
      </c>
      <c r="G110" s="15" t="s">
        <v>12</v>
      </c>
      <c r="H110" s="24" t="s">
        <v>26</v>
      </c>
    </row>
    <row r="111" spans="1:8" x14ac:dyDescent="0.3">
      <c r="A111" s="23" t="s">
        <v>384</v>
      </c>
      <c r="B111" s="15" t="s">
        <v>385</v>
      </c>
      <c r="C111" s="11">
        <v>27</v>
      </c>
      <c r="D111" s="15" t="s">
        <v>9</v>
      </c>
      <c r="E111" s="15" t="s">
        <v>386</v>
      </c>
      <c r="F111" s="15" t="s">
        <v>43</v>
      </c>
      <c r="G111" s="15" t="s">
        <v>12</v>
      </c>
      <c r="H111" s="24" t="s">
        <v>31</v>
      </c>
    </row>
    <row r="112" spans="1:8" x14ac:dyDescent="0.3">
      <c r="A112" s="23" t="s">
        <v>387</v>
      </c>
      <c r="B112" s="15" t="s">
        <v>388</v>
      </c>
      <c r="C112" s="11">
        <v>40</v>
      </c>
      <c r="D112" s="15" t="s">
        <v>16</v>
      </c>
      <c r="E112" s="15" t="s">
        <v>389</v>
      </c>
      <c r="F112" s="15" t="s">
        <v>140</v>
      </c>
      <c r="G112" s="15" t="s">
        <v>12</v>
      </c>
      <c r="H112" s="24" t="s">
        <v>13</v>
      </c>
    </row>
    <row r="113" spans="1:8" x14ac:dyDescent="0.3">
      <c r="A113" s="23" t="s">
        <v>390</v>
      </c>
      <c r="B113" s="15" t="s">
        <v>391</v>
      </c>
      <c r="C113" s="11">
        <v>18</v>
      </c>
      <c r="D113" s="15" t="s">
        <v>16</v>
      </c>
      <c r="E113" s="15" t="s">
        <v>392</v>
      </c>
      <c r="F113" s="15" t="s">
        <v>133</v>
      </c>
      <c r="G113" s="15" t="s">
        <v>12</v>
      </c>
      <c r="H113" s="24" t="s">
        <v>19</v>
      </c>
    </row>
    <row r="114" spans="1:8" x14ac:dyDescent="0.3">
      <c r="A114" s="23" t="s">
        <v>393</v>
      </c>
      <c r="B114" s="15" t="s">
        <v>394</v>
      </c>
      <c r="C114" s="11">
        <v>27</v>
      </c>
      <c r="D114" s="15" t="s">
        <v>16</v>
      </c>
      <c r="E114" s="15" t="s">
        <v>395</v>
      </c>
      <c r="F114" s="15" t="s">
        <v>156</v>
      </c>
      <c r="G114" s="15" t="s">
        <v>12</v>
      </c>
      <c r="H114" s="24" t="s">
        <v>31</v>
      </c>
    </row>
    <row r="115" spans="1:8" x14ac:dyDescent="0.3">
      <c r="A115" s="23" t="s">
        <v>396</v>
      </c>
      <c r="B115" s="15" t="s">
        <v>397</v>
      </c>
      <c r="C115" s="11">
        <v>51</v>
      </c>
      <c r="D115" s="15" t="s">
        <v>9</v>
      </c>
      <c r="E115" s="15" t="s">
        <v>398</v>
      </c>
      <c r="F115" s="15" t="s">
        <v>233</v>
      </c>
      <c r="G115" s="15" t="s">
        <v>12</v>
      </c>
      <c r="H115" s="24" t="s">
        <v>13</v>
      </c>
    </row>
    <row r="116" spans="1:8" x14ac:dyDescent="0.3">
      <c r="A116" s="23" t="s">
        <v>399</v>
      </c>
      <c r="B116" s="15" t="s">
        <v>400</v>
      </c>
      <c r="C116" s="11">
        <v>30</v>
      </c>
      <c r="D116" s="15" t="s">
        <v>9</v>
      </c>
      <c r="E116" s="15" t="s">
        <v>401</v>
      </c>
      <c r="F116" s="15" t="s">
        <v>184</v>
      </c>
      <c r="G116" s="15" t="s">
        <v>12</v>
      </c>
      <c r="H116" s="24" t="s">
        <v>26</v>
      </c>
    </row>
    <row r="117" spans="1:8" x14ac:dyDescent="0.3">
      <c r="A117" s="23" t="s">
        <v>402</v>
      </c>
      <c r="B117" s="15" t="s">
        <v>403</v>
      </c>
      <c r="C117" s="11">
        <v>53</v>
      </c>
      <c r="D117" s="15" t="s">
        <v>16</v>
      </c>
      <c r="E117" s="15" t="s">
        <v>404</v>
      </c>
      <c r="F117" s="15" t="s">
        <v>18</v>
      </c>
      <c r="G117" s="15" t="s">
        <v>12</v>
      </c>
      <c r="H117" s="24" t="s">
        <v>19</v>
      </c>
    </row>
    <row r="118" spans="1:8" x14ac:dyDescent="0.3">
      <c r="A118" s="23" t="s">
        <v>405</v>
      </c>
      <c r="B118" s="15" t="s">
        <v>406</v>
      </c>
      <c r="C118" s="11">
        <v>18</v>
      </c>
      <c r="D118" s="15" t="s">
        <v>16</v>
      </c>
      <c r="E118" s="15" t="s">
        <v>407</v>
      </c>
      <c r="F118" s="15" t="s">
        <v>217</v>
      </c>
      <c r="G118" s="15" t="s">
        <v>12</v>
      </c>
      <c r="H118" s="24" t="s">
        <v>19</v>
      </c>
    </row>
    <row r="119" spans="1:8" x14ac:dyDescent="0.3">
      <c r="A119" s="23" t="s">
        <v>408</v>
      </c>
      <c r="B119" s="15" t="s">
        <v>409</v>
      </c>
      <c r="C119" s="11">
        <v>21</v>
      </c>
      <c r="D119" s="15" t="s">
        <v>16</v>
      </c>
      <c r="E119" s="15" t="s">
        <v>410</v>
      </c>
      <c r="F119" s="15" t="s">
        <v>74</v>
      </c>
      <c r="G119" s="15" t="s">
        <v>12</v>
      </c>
      <c r="H119" s="24" t="s">
        <v>19</v>
      </c>
    </row>
    <row r="120" spans="1:8" x14ac:dyDescent="0.3">
      <c r="A120" s="23" t="s">
        <v>411</v>
      </c>
      <c r="B120" s="15" t="s">
        <v>412</v>
      </c>
      <c r="C120" s="11">
        <v>36</v>
      </c>
      <c r="D120" s="15" t="s">
        <v>9</v>
      </c>
      <c r="E120" s="15" t="s">
        <v>413</v>
      </c>
      <c r="F120" s="15" t="s">
        <v>70</v>
      </c>
      <c r="G120" s="15" t="s">
        <v>12</v>
      </c>
      <c r="H120" s="24" t="s">
        <v>19</v>
      </c>
    </row>
    <row r="121" spans="1:8" x14ac:dyDescent="0.3">
      <c r="A121" s="23" t="s">
        <v>414</v>
      </c>
      <c r="B121" s="15" t="s">
        <v>415</v>
      </c>
      <c r="C121" s="11">
        <v>40</v>
      </c>
      <c r="D121" s="15" t="s">
        <v>9</v>
      </c>
      <c r="E121" s="15" t="s">
        <v>416</v>
      </c>
      <c r="F121" s="15" t="s">
        <v>237</v>
      </c>
      <c r="G121" s="15" t="s">
        <v>12</v>
      </c>
      <c r="H121" s="24" t="s">
        <v>26</v>
      </c>
    </row>
    <row r="122" spans="1:8" x14ac:dyDescent="0.3">
      <c r="A122" s="23" t="s">
        <v>417</v>
      </c>
      <c r="B122" s="15" t="s">
        <v>418</v>
      </c>
      <c r="C122" s="11">
        <v>44</v>
      </c>
      <c r="D122" s="15" t="s">
        <v>16</v>
      </c>
      <c r="E122" s="15" t="s">
        <v>3796</v>
      </c>
      <c r="F122" s="15" t="s">
        <v>51</v>
      </c>
      <c r="G122" s="15" t="s">
        <v>12</v>
      </c>
      <c r="H122" s="24" t="s">
        <v>19</v>
      </c>
    </row>
    <row r="123" spans="1:8" x14ac:dyDescent="0.3">
      <c r="A123" s="23" t="s">
        <v>419</v>
      </c>
      <c r="B123" s="15" t="s">
        <v>420</v>
      </c>
      <c r="C123" s="11">
        <v>62</v>
      </c>
      <c r="D123" s="15" t="s">
        <v>9</v>
      </c>
      <c r="E123" s="15" t="s">
        <v>421</v>
      </c>
      <c r="F123" s="15" t="s">
        <v>99</v>
      </c>
      <c r="G123" s="15" t="s">
        <v>12</v>
      </c>
      <c r="H123" s="24" t="s">
        <v>19</v>
      </c>
    </row>
    <row r="124" spans="1:8" x14ac:dyDescent="0.3">
      <c r="A124" s="23" t="s">
        <v>422</v>
      </c>
      <c r="B124" s="15" t="s">
        <v>423</v>
      </c>
      <c r="C124" s="11">
        <v>50</v>
      </c>
      <c r="D124" s="15" t="s">
        <v>9</v>
      </c>
      <c r="E124" s="15" t="s">
        <v>424</v>
      </c>
      <c r="F124" s="15" t="s">
        <v>11</v>
      </c>
      <c r="G124" s="15" t="s">
        <v>12</v>
      </c>
      <c r="H124" s="24" t="s">
        <v>19</v>
      </c>
    </row>
    <row r="125" spans="1:8" x14ac:dyDescent="0.3">
      <c r="A125" s="23" t="s">
        <v>425</v>
      </c>
      <c r="B125" s="15" t="s">
        <v>426</v>
      </c>
      <c r="C125" s="11">
        <v>40</v>
      </c>
      <c r="D125" s="15" t="s">
        <v>9</v>
      </c>
      <c r="E125" s="15" t="s">
        <v>427</v>
      </c>
      <c r="F125" s="15" t="s">
        <v>267</v>
      </c>
      <c r="G125" s="15" t="s">
        <v>12</v>
      </c>
      <c r="H125" s="24" t="s">
        <v>31</v>
      </c>
    </row>
    <row r="126" spans="1:8" x14ac:dyDescent="0.3">
      <c r="A126" s="23" t="s">
        <v>428</v>
      </c>
      <c r="B126" s="15" t="s">
        <v>429</v>
      </c>
      <c r="C126" s="11">
        <v>26</v>
      </c>
      <c r="D126" s="15" t="s">
        <v>9</v>
      </c>
      <c r="E126" s="15" t="s">
        <v>430</v>
      </c>
      <c r="F126" s="15" t="s">
        <v>194</v>
      </c>
      <c r="G126" s="15" t="s">
        <v>12</v>
      </c>
      <c r="H126" s="24" t="s">
        <v>26</v>
      </c>
    </row>
    <row r="127" spans="1:8" x14ac:dyDescent="0.3">
      <c r="A127" s="23" t="s">
        <v>431</v>
      </c>
      <c r="B127" s="15" t="s">
        <v>432</v>
      </c>
      <c r="C127" s="11">
        <v>64</v>
      </c>
      <c r="D127" s="15" t="s">
        <v>16</v>
      </c>
      <c r="E127" s="15" t="s">
        <v>433</v>
      </c>
      <c r="F127" s="15" t="s">
        <v>434</v>
      </c>
      <c r="G127" s="15" t="s">
        <v>12</v>
      </c>
      <c r="H127" s="24" t="s">
        <v>19</v>
      </c>
    </row>
    <row r="128" spans="1:8" x14ac:dyDescent="0.3">
      <c r="A128" s="23" t="s">
        <v>435</v>
      </c>
      <c r="B128" s="15" t="s">
        <v>436</v>
      </c>
      <c r="C128" s="11">
        <v>62</v>
      </c>
      <c r="D128" s="15" t="s">
        <v>16</v>
      </c>
      <c r="E128" s="15" t="s">
        <v>437</v>
      </c>
      <c r="F128" s="15" t="s">
        <v>133</v>
      </c>
      <c r="G128" s="15" t="s">
        <v>12</v>
      </c>
      <c r="H128" s="24" t="s">
        <v>13</v>
      </c>
    </row>
    <row r="129" spans="1:8" x14ac:dyDescent="0.3">
      <c r="A129" s="23" t="s">
        <v>438</v>
      </c>
      <c r="B129" s="15" t="s">
        <v>439</v>
      </c>
      <c r="C129" s="11">
        <v>39</v>
      </c>
      <c r="D129" s="15" t="s">
        <v>9</v>
      </c>
      <c r="E129" s="15" t="s">
        <v>440</v>
      </c>
      <c r="F129" s="15" t="s">
        <v>171</v>
      </c>
      <c r="G129" s="15" t="s">
        <v>12</v>
      </c>
      <c r="H129" s="24" t="s">
        <v>19</v>
      </c>
    </row>
    <row r="130" spans="1:8" x14ac:dyDescent="0.3">
      <c r="A130" s="23" t="s">
        <v>441</v>
      </c>
      <c r="B130" s="15" t="s">
        <v>442</v>
      </c>
      <c r="C130" s="11">
        <v>45</v>
      </c>
      <c r="D130" s="15" t="s">
        <v>9</v>
      </c>
      <c r="E130" s="15" t="s">
        <v>443</v>
      </c>
      <c r="F130" s="15" t="s">
        <v>291</v>
      </c>
      <c r="G130" s="15" t="s">
        <v>12</v>
      </c>
      <c r="H130" s="24" t="s">
        <v>31</v>
      </c>
    </row>
    <row r="131" spans="1:8" x14ac:dyDescent="0.3">
      <c r="A131" s="23" t="s">
        <v>444</v>
      </c>
      <c r="B131" s="15" t="s">
        <v>445</v>
      </c>
      <c r="C131" s="11">
        <v>43</v>
      </c>
      <c r="D131" s="15" t="s">
        <v>16</v>
      </c>
      <c r="E131" s="15" t="s">
        <v>446</v>
      </c>
      <c r="F131" s="15" t="s">
        <v>39</v>
      </c>
      <c r="G131" s="15" t="s">
        <v>12</v>
      </c>
      <c r="H131" s="24" t="s">
        <v>31</v>
      </c>
    </row>
    <row r="132" spans="1:8" x14ac:dyDescent="0.3">
      <c r="A132" s="23" t="s">
        <v>447</v>
      </c>
      <c r="B132" s="15" t="s">
        <v>448</v>
      </c>
      <c r="C132" s="11">
        <v>29</v>
      </c>
      <c r="D132" s="15" t="s">
        <v>9</v>
      </c>
      <c r="E132" s="15" t="s">
        <v>3797</v>
      </c>
      <c r="F132" s="15" t="s">
        <v>167</v>
      </c>
      <c r="G132" s="15" t="s">
        <v>3798</v>
      </c>
      <c r="H132" s="24" t="s">
        <v>19</v>
      </c>
    </row>
    <row r="133" spans="1:8" x14ac:dyDescent="0.3">
      <c r="A133" s="23" t="s">
        <v>449</v>
      </c>
      <c r="B133" s="15" t="s">
        <v>450</v>
      </c>
      <c r="C133" s="11">
        <v>34</v>
      </c>
      <c r="D133" s="15" t="s">
        <v>16</v>
      </c>
      <c r="E133" s="15" t="s">
        <v>451</v>
      </c>
      <c r="F133" s="15" t="s">
        <v>22</v>
      </c>
      <c r="G133" s="15" t="s">
        <v>12</v>
      </c>
      <c r="H133" s="24" t="s">
        <v>26</v>
      </c>
    </row>
    <row r="134" spans="1:8" x14ac:dyDescent="0.3">
      <c r="A134" s="23" t="s">
        <v>452</v>
      </c>
      <c r="B134" s="15" t="s">
        <v>453</v>
      </c>
      <c r="C134" s="11">
        <v>57</v>
      </c>
      <c r="D134" s="15" t="s">
        <v>16</v>
      </c>
      <c r="E134" s="15" t="s">
        <v>454</v>
      </c>
      <c r="F134" s="15" t="s">
        <v>25</v>
      </c>
      <c r="G134" s="15" t="s">
        <v>12</v>
      </c>
      <c r="H134" s="24" t="s">
        <v>13</v>
      </c>
    </row>
    <row r="135" spans="1:8" x14ac:dyDescent="0.3">
      <c r="A135" s="23" t="s">
        <v>455</v>
      </c>
      <c r="B135" s="15" t="s">
        <v>456</v>
      </c>
      <c r="C135" s="11">
        <v>62</v>
      </c>
      <c r="D135" s="15" t="s">
        <v>16</v>
      </c>
      <c r="E135" s="15" t="s">
        <v>457</v>
      </c>
      <c r="F135" s="15" t="s">
        <v>250</v>
      </c>
      <c r="G135" s="15" t="s">
        <v>12</v>
      </c>
      <c r="H135" s="24" t="s">
        <v>26</v>
      </c>
    </row>
    <row r="136" spans="1:8" x14ac:dyDescent="0.3">
      <c r="A136" s="23" t="s">
        <v>458</v>
      </c>
      <c r="B136" s="15" t="s">
        <v>459</v>
      </c>
      <c r="C136" s="11">
        <v>54</v>
      </c>
      <c r="D136" s="15" t="s">
        <v>9</v>
      </c>
      <c r="E136" s="15" t="s">
        <v>460</v>
      </c>
      <c r="F136" s="15" t="s">
        <v>74</v>
      </c>
      <c r="G136" s="15" t="s">
        <v>12</v>
      </c>
      <c r="H136" s="24" t="s">
        <v>13</v>
      </c>
    </row>
    <row r="137" spans="1:8" x14ac:dyDescent="0.3">
      <c r="A137" s="23" t="s">
        <v>461</v>
      </c>
      <c r="B137" s="15" t="s">
        <v>462</v>
      </c>
      <c r="C137" s="11">
        <v>33</v>
      </c>
      <c r="D137" s="15" t="s">
        <v>16</v>
      </c>
      <c r="E137" s="15" t="s">
        <v>463</v>
      </c>
      <c r="F137" s="15" t="s">
        <v>156</v>
      </c>
      <c r="G137" s="15" t="s">
        <v>12</v>
      </c>
      <c r="H137" s="24" t="s">
        <v>19</v>
      </c>
    </row>
    <row r="138" spans="1:8" x14ac:dyDescent="0.3">
      <c r="A138" s="23" t="s">
        <v>464</v>
      </c>
      <c r="B138" s="15" t="s">
        <v>465</v>
      </c>
      <c r="C138" s="11">
        <v>29</v>
      </c>
      <c r="D138" s="15" t="s">
        <v>9</v>
      </c>
      <c r="E138" s="15" t="s">
        <v>466</v>
      </c>
      <c r="F138" s="15" t="s">
        <v>70</v>
      </c>
      <c r="G138" s="15" t="s">
        <v>12</v>
      </c>
      <c r="H138" s="24" t="s">
        <v>31</v>
      </c>
    </row>
    <row r="139" spans="1:8" x14ac:dyDescent="0.3">
      <c r="A139" s="23" t="s">
        <v>467</v>
      </c>
      <c r="B139" s="15" t="s">
        <v>468</v>
      </c>
      <c r="C139" s="11">
        <v>55</v>
      </c>
      <c r="D139" s="15" t="s">
        <v>16</v>
      </c>
      <c r="E139" s="15" t="s">
        <v>469</v>
      </c>
      <c r="F139" s="15" t="s">
        <v>25</v>
      </c>
      <c r="G139" s="15" t="s">
        <v>12</v>
      </c>
      <c r="H139" s="24" t="s">
        <v>19</v>
      </c>
    </row>
    <row r="140" spans="1:8" x14ac:dyDescent="0.3">
      <c r="A140" s="23" t="s">
        <v>470</v>
      </c>
      <c r="B140" s="15" t="s">
        <v>471</v>
      </c>
      <c r="C140" s="11">
        <v>43</v>
      </c>
      <c r="D140" s="15" t="s">
        <v>9</v>
      </c>
      <c r="E140" s="15" t="s">
        <v>395</v>
      </c>
      <c r="F140" s="15" t="s">
        <v>287</v>
      </c>
      <c r="G140" s="15" t="s">
        <v>12</v>
      </c>
      <c r="H140" s="24" t="s">
        <v>13</v>
      </c>
    </row>
    <row r="141" spans="1:8" x14ac:dyDescent="0.3">
      <c r="A141" s="23" t="s">
        <v>472</v>
      </c>
      <c r="B141" s="15" t="s">
        <v>473</v>
      </c>
      <c r="C141" s="11">
        <v>32</v>
      </c>
      <c r="D141" s="15" t="s">
        <v>9</v>
      </c>
      <c r="E141" s="15" t="s">
        <v>474</v>
      </c>
      <c r="F141" s="15" t="s">
        <v>117</v>
      </c>
      <c r="G141" s="15" t="s">
        <v>12</v>
      </c>
      <c r="H141" s="24" t="s">
        <v>26</v>
      </c>
    </row>
    <row r="142" spans="1:8" x14ac:dyDescent="0.3">
      <c r="A142" s="23" t="s">
        <v>475</v>
      </c>
      <c r="B142" s="15" t="s">
        <v>476</v>
      </c>
      <c r="C142" s="11">
        <v>63</v>
      </c>
      <c r="D142" s="15" t="s">
        <v>16</v>
      </c>
      <c r="E142" s="15" t="s">
        <v>477</v>
      </c>
      <c r="F142" s="15" t="s">
        <v>51</v>
      </c>
      <c r="G142" s="15" t="s">
        <v>12</v>
      </c>
      <c r="H142" s="24" t="s">
        <v>13</v>
      </c>
    </row>
    <row r="143" spans="1:8" x14ac:dyDescent="0.3">
      <c r="A143" s="23" t="s">
        <v>478</v>
      </c>
      <c r="B143" s="15" t="s">
        <v>479</v>
      </c>
      <c r="C143" s="11">
        <v>30</v>
      </c>
      <c r="D143" s="15" t="s">
        <v>9</v>
      </c>
      <c r="E143" s="15" t="s">
        <v>480</v>
      </c>
      <c r="F143" s="15" t="s">
        <v>30</v>
      </c>
      <c r="G143" s="15" t="s">
        <v>3798</v>
      </c>
      <c r="H143" s="24" t="s">
        <v>26</v>
      </c>
    </row>
    <row r="144" spans="1:8" x14ac:dyDescent="0.3">
      <c r="A144" s="23" t="s">
        <v>481</v>
      </c>
      <c r="B144" s="15" t="s">
        <v>482</v>
      </c>
      <c r="C144" s="11">
        <v>37</v>
      </c>
      <c r="D144" s="15" t="s">
        <v>9</v>
      </c>
      <c r="E144" s="15" t="s">
        <v>483</v>
      </c>
      <c r="F144" s="15" t="s">
        <v>66</v>
      </c>
      <c r="G144" s="15" t="s">
        <v>12</v>
      </c>
      <c r="H144" s="24" t="s">
        <v>26</v>
      </c>
    </row>
    <row r="145" spans="1:8" x14ac:dyDescent="0.3">
      <c r="A145" s="23" t="s">
        <v>484</v>
      </c>
      <c r="B145" s="15" t="s">
        <v>485</v>
      </c>
      <c r="C145" s="11">
        <v>46</v>
      </c>
      <c r="D145" s="15" t="s">
        <v>9</v>
      </c>
      <c r="E145" s="15" t="s">
        <v>486</v>
      </c>
      <c r="F145" s="15" t="s">
        <v>22</v>
      </c>
      <c r="G145" s="15" t="s">
        <v>12</v>
      </c>
      <c r="H145" s="24" t="s">
        <v>26</v>
      </c>
    </row>
    <row r="146" spans="1:8" x14ac:dyDescent="0.3">
      <c r="A146" s="23" t="s">
        <v>487</v>
      </c>
      <c r="B146" s="15" t="s">
        <v>488</v>
      </c>
      <c r="C146" s="11">
        <v>62</v>
      </c>
      <c r="D146" s="15" t="s">
        <v>16</v>
      </c>
      <c r="E146" s="15" t="s">
        <v>489</v>
      </c>
      <c r="F146" s="15" t="s">
        <v>184</v>
      </c>
      <c r="G146" s="15" t="s">
        <v>12</v>
      </c>
      <c r="H146" s="24" t="s">
        <v>26</v>
      </c>
    </row>
    <row r="147" spans="1:8" x14ac:dyDescent="0.3">
      <c r="A147" s="23" t="s">
        <v>490</v>
      </c>
      <c r="B147" s="15" t="s">
        <v>491</v>
      </c>
      <c r="C147" s="11">
        <v>46</v>
      </c>
      <c r="D147" s="15" t="s">
        <v>9</v>
      </c>
      <c r="E147" s="15" t="s">
        <v>492</v>
      </c>
      <c r="F147" s="15" t="s">
        <v>254</v>
      </c>
      <c r="G147" s="15" t="s">
        <v>12</v>
      </c>
      <c r="H147" s="24" t="s">
        <v>19</v>
      </c>
    </row>
    <row r="148" spans="1:8" x14ac:dyDescent="0.3">
      <c r="A148" s="23" t="s">
        <v>493</v>
      </c>
      <c r="B148" s="15" t="s">
        <v>494</v>
      </c>
      <c r="C148" s="11">
        <v>32</v>
      </c>
      <c r="D148" s="15" t="s">
        <v>16</v>
      </c>
      <c r="E148" s="15" t="s">
        <v>495</v>
      </c>
      <c r="F148" s="15" t="s">
        <v>317</v>
      </c>
      <c r="G148" s="15" t="s">
        <v>12</v>
      </c>
      <c r="H148" s="24" t="s">
        <v>13</v>
      </c>
    </row>
    <row r="149" spans="1:8" x14ac:dyDescent="0.3">
      <c r="A149" s="23" t="s">
        <v>496</v>
      </c>
      <c r="B149" s="15" t="s">
        <v>497</v>
      </c>
      <c r="C149" s="11">
        <v>49</v>
      </c>
      <c r="D149" s="15" t="s">
        <v>16</v>
      </c>
      <c r="E149" s="15" t="s">
        <v>498</v>
      </c>
      <c r="F149" s="15" t="s">
        <v>163</v>
      </c>
      <c r="G149" s="15" t="s">
        <v>12</v>
      </c>
      <c r="H149" s="24" t="s">
        <v>19</v>
      </c>
    </row>
    <row r="150" spans="1:8" x14ac:dyDescent="0.3">
      <c r="A150" s="23" t="s">
        <v>499</v>
      </c>
      <c r="B150" s="15" t="s">
        <v>500</v>
      </c>
      <c r="C150" s="11">
        <v>42</v>
      </c>
      <c r="D150" s="15" t="s">
        <v>16</v>
      </c>
      <c r="E150" s="15" t="s">
        <v>501</v>
      </c>
      <c r="F150" s="15" t="s">
        <v>324</v>
      </c>
      <c r="G150" s="15" t="s">
        <v>12</v>
      </c>
      <c r="H150" s="24" t="s">
        <v>26</v>
      </c>
    </row>
    <row r="151" spans="1:8" x14ac:dyDescent="0.3">
      <c r="A151" s="23" t="s">
        <v>502</v>
      </c>
      <c r="B151" s="15" t="s">
        <v>503</v>
      </c>
      <c r="C151" s="11">
        <v>33</v>
      </c>
      <c r="D151" s="15" t="s">
        <v>9</v>
      </c>
      <c r="E151" s="15" t="s">
        <v>504</v>
      </c>
      <c r="F151" s="15" t="s">
        <v>250</v>
      </c>
      <c r="G151" s="15" t="s">
        <v>12</v>
      </c>
      <c r="H151" s="24" t="s">
        <v>19</v>
      </c>
    </row>
    <row r="152" spans="1:8" x14ac:dyDescent="0.3">
      <c r="A152" s="23" t="s">
        <v>505</v>
      </c>
      <c r="B152" s="15" t="s">
        <v>506</v>
      </c>
      <c r="C152" s="11">
        <v>24</v>
      </c>
      <c r="D152" s="15" t="s">
        <v>9</v>
      </c>
      <c r="E152" s="15" t="s">
        <v>507</v>
      </c>
      <c r="F152" s="15" t="s">
        <v>313</v>
      </c>
      <c r="G152" s="15" t="s">
        <v>12</v>
      </c>
      <c r="H152" s="24" t="s">
        <v>13</v>
      </c>
    </row>
    <row r="153" spans="1:8" x14ac:dyDescent="0.3">
      <c r="A153" s="23" t="s">
        <v>508</v>
      </c>
      <c r="B153" s="15" t="s">
        <v>509</v>
      </c>
      <c r="C153" s="11">
        <v>25</v>
      </c>
      <c r="D153" s="15" t="s">
        <v>16</v>
      </c>
      <c r="E153" s="15" t="s">
        <v>510</v>
      </c>
      <c r="F153" s="15" t="s">
        <v>35</v>
      </c>
      <c r="G153" s="15" t="s">
        <v>12</v>
      </c>
      <c r="H153" s="24" t="s">
        <v>13</v>
      </c>
    </row>
    <row r="154" spans="1:8" x14ac:dyDescent="0.3">
      <c r="A154" s="23" t="s">
        <v>511</v>
      </c>
      <c r="B154" s="15" t="s">
        <v>512</v>
      </c>
      <c r="C154" s="11">
        <v>41</v>
      </c>
      <c r="D154" s="15" t="s">
        <v>16</v>
      </c>
      <c r="E154" s="15" t="s">
        <v>513</v>
      </c>
      <c r="F154" s="15" t="s">
        <v>113</v>
      </c>
      <c r="G154" s="15" t="s">
        <v>12</v>
      </c>
      <c r="H154" s="24" t="s">
        <v>19</v>
      </c>
    </row>
    <row r="155" spans="1:8" x14ac:dyDescent="0.3">
      <c r="A155" s="23" t="s">
        <v>514</v>
      </c>
      <c r="B155" s="15" t="s">
        <v>515</v>
      </c>
      <c r="C155" s="11">
        <v>31</v>
      </c>
      <c r="D155" s="15" t="s">
        <v>9</v>
      </c>
      <c r="E155" s="15" t="s">
        <v>516</v>
      </c>
      <c r="F155" s="15" t="s">
        <v>18</v>
      </c>
      <c r="G155" s="15" t="s">
        <v>12</v>
      </c>
      <c r="H155" s="24" t="s">
        <v>26</v>
      </c>
    </row>
    <row r="156" spans="1:8" x14ac:dyDescent="0.3">
      <c r="A156" s="23" t="s">
        <v>517</v>
      </c>
      <c r="B156" s="15" t="s">
        <v>518</v>
      </c>
      <c r="C156" s="11">
        <v>35</v>
      </c>
      <c r="D156" s="15" t="s">
        <v>16</v>
      </c>
      <c r="E156" s="15" t="s">
        <v>519</v>
      </c>
      <c r="F156" s="15" t="s">
        <v>171</v>
      </c>
      <c r="G156" s="15" t="s">
        <v>12</v>
      </c>
      <c r="H156" s="24" t="s">
        <v>13</v>
      </c>
    </row>
    <row r="157" spans="1:8" x14ac:dyDescent="0.3">
      <c r="A157" s="23" t="s">
        <v>520</v>
      </c>
      <c r="B157" s="15" t="s">
        <v>521</v>
      </c>
      <c r="C157" s="11">
        <v>60</v>
      </c>
      <c r="D157" s="15" t="s">
        <v>16</v>
      </c>
      <c r="E157" s="15" t="s">
        <v>522</v>
      </c>
      <c r="F157" s="15" t="s">
        <v>267</v>
      </c>
      <c r="G157" s="15" t="s">
        <v>12</v>
      </c>
      <c r="H157" s="24" t="s">
        <v>13</v>
      </c>
    </row>
    <row r="158" spans="1:8" x14ac:dyDescent="0.3">
      <c r="A158" s="23" t="s">
        <v>523</v>
      </c>
      <c r="B158" s="15" t="s">
        <v>524</v>
      </c>
      <c r="C158" s="11">
        <v>46</v>
      </c>
      <c r="D158" s="15" t="s">
        <v>9</v>
      </c>
      <c r="E158" s="15" t="s">
        <v>525</v>
      </c>
      <c r="F158" s="15" t="s">
        <v>18</v>
      </c>
      <c r="G158" s="15" t="s">
        <v>12</v>
      </c>
      <c r="H158" s="24" t="s">
        <v>26</v>
      </c>
    </row>
    <row r="159" spans="1:8" x14ac:dyDescent="0.3">
      <c r="A159" s="23" t="s">
        <v>526</v>
      </c>
      <c r="B159" s="15" t="s">
        <v>527</v>
      </c>
      <c r="C159" s="11">
        <v>59</v>
      </c>
      <c r="D159" s="15" t="s">
        <v>9</v>
      </c>
      <c r="E159" s="15" t="s">
        <v>528</v>
      </c>
      <c r="F159" s="15" t="s">
        <v>18</v>
      </c>
      <c r="G159" s="15" t="s">
        <v>12</v>
      </c>
      <c r="H159" s="24" t="s">
        <v>19</v>
      </c>
    </row>
    <row r="160" spans="1:8" x14ac:dyDescent="0.3">
      <c r="A160" s="23" t="s">
        <v>529</v>
      </c>
      <c r="B160" s="15" t="s">
        <v>530</v>
      </c>
      <c r="C160" s="11">
        <v>43</v>
      </c>
      <c r="D160" s="15" t="s">
        <v>9</v>
      </c>
      <c r="E160" s="15" t="s">
        <v>531</v>
      </c>
      <c r="F160" s="15" t="s">
        <v>171</v>
      </c>
      <c r="G160" s="15" t="s">
        <v>12</v>
      </c>
      <c r="H160" s="24" t="s">
        <v>26</v>
      </c>
    </row>
    <row r="161" spans="1:8" x14ac:dyDescent="0.3">
      <c r="A161" s="23" t="s">
        <v>532</v>
      </c>
      <c r="B161" s="15" t="s">
        <v>533</v>
      </c>
      <c r="C161" s="11">
        <v>46</v>
      </c>
      <c r="D161" s="15" t="s">
        <v>16</v>
      </c>
      <c r="E161" s="15" t="s">
        <v>534</v>
      </c>
      <c r="F161" s="15" t="s">
        <v>88</v>
      </c>
      <c r="G161" s="15" t="s">
        <v>12</v>
      </c>
      <c r="H161" s="24" t="s">
        <v>13</v>
      </c>
    </row>
    <row r="162" spans="1:8" x14ac:dyDescent="0.3">
      <c r="A162" s="23" t="s">
        <v>535</v>
      </c>
      <c r="B162" s="15" t="s">
        <v>536</v>
      </c>
      <c r="C162" s="11">
        <v>41</v>
      </c>
      <c r="D162" s="15" t="s">
        <v>16</v>
      </c>
      <c r="E162" s="15" t="s">
        <v>537</v>
      </c>
      <c r="F162" s="15" t="s">
        <v>11</v>
      </c>
      <c r="G162" s="15" t="s">
        <v>12</v>
      </c>
      <c r="H162" s="24" t="s">
        <v>19</v>
      </c>
    </row>
    <row r="163" spans="1:8" x14ac:dyDescent="0.3">
      <c r="A163" s="23" t="s">
        <v>538</v>
      </c>
      <c r="B163" s="15" t="s">
        <v>539</v>
      </c>
      <c r="C163" s="11">
        <v>18</v>
      </c>
      <c r="D163" s="15" t="s">
        <v>16</v>
      </c>
      <c r="E163" s="15" t="s">
        <v>540</v>
      </c>
      <c r="F163" s="15" t="s">
        <v>133</v>
      </c>
      <c r="G163" s="15" t="s">
        <v>12</v>
      </c>
      <c r="H163" s="24" t="s">
        <v>31</v>
      </c>
    </row>
    <row r="164" spans="1:8" x14ac:dyDescent="0.3">
      <c r="A164" s="23" t="s">
        <v>541</v>
      </c>
      <c r="B164" s="15" t="s">
        <v>542</v>
      </c>
      <c r="C164" s="11">
        <v>37</v>
      </c>
      <c r="D164" s="15" t="s">
        <v>9</v>
      </c>
      <c r="E164" s="15" t="s">
        <v>543</v>
      </c>
      <c r="F164" s="15" t="s">
        <v>237</v>
      </c>
      <c r="G164" s="15" t="s">
        <v>3798</v>
      </c>
      <c r="H164" s="24" t="s">
        <v>31</v>
      </c>
    </row>
    <row r="165" spans="1:8" x14ac:dyDescent="0.3">
      <c r="A165" s="23" t="s">
        <v>544</v>
      </c>
      <c r="B165" s="15" t="s">
        <v>545</v>
      </c>
      <c r="C165" s="11">
        <v>21</v>
      </c>
      <c r="D165" s="15" t="s">
        <v>9</v>
      </c>
      <c r="E165" s="15" t="s">
        <v>546</v>
      </c>
      <c r="F165" s="15" t="s">
        <v>194</v>
      </c>
      <c r="G165" s="15" t="s">
        <v>12</v>
      </c>
      <c r="H165" s="24" t="s">
        <v>26</v>
      </c>
    </row>
    <row r="166" spans="1:8" x14ac:dyDescent="0.3">
      <c r="A166" s="23" t="s">
        <v>547</v>
      </c>
      <c r="B166" s="15" t="s">
        <v>548</v>
      </c>
      <c r="C166" s="11">
        <v>39</v>
      </c>
      <c r="D166" s="15" t="s">
        <v>16</v>
      </c>
      <c r="E166" s="15" t="s">
        <v>549</v>
      </c>
      <c r="F166" s="15" t="s">
        <v>81</v>
      </c>
      <c r="G166" s="15" t="s">
        <v>12</v>
      </c>
      <c r="H166" s="24" t="s">
        <v>31</v>
      </c>
    </row>
    <row r="167" spans="1:8" x14ac:dyDescent="0.3">
      <c r="A167" s="23" t="s">
        <v>550</v>
      </c>
      <c r="B167" s="15" t="s">
        <v>551</v>
      </c>
      <c r="C167" s="11">
        <v>47</v>
      </c>
      <c r="D167" s="15" t="s">
        <v>16</v>
      </c>
      <c r="E167" s="15" t="s">
        <v>552</v>
      </c>
      <c r="F167" s="15" t="s">
        <v>194</v>
      </c>
      <c r="G167" s="15" t="s">
        <v>12</v>
      </c>
      <c r="H167" s="24" t="s">
        <v>19</v>
      </c>
    </row>
    <row r="168" spans="1:8" x14ac:dyDescent="0.3">
      <c r="A168" s="23" t="s">
        <v>553</v>
      </c>
      <c r="B168" s="15" t="s">
        <v>554</v>
      </c>
      <c r="C168" s="11">
        <v>25</v>
      </c>
      <c r="D168" s="15" t="s">
        <v>16</v>
      </c>
      <c r="E168" s="15" t="s">
        <v>555</v>
      </c>
      <c r="F168" s="15" t="s">
        <v>156</v>
      </c>
      <c r="G168" s="15" t="s">
        <v>12</v>
      </c>
      <c r="H168" s="24" t="s">
        <v>31</v>
      </c>
    </row>
    <row r="169" spans="1:8" x14ac:dyDescent="0.3">
      <c r="A169" s="23" t="s">
        <v>556</v>
      </c>
      <c r="B169" s="15" t="s">
        <v>557</v>
      </c>
      <c r="C169" s="11">
        <v>36</v>
      </c>
      <c r="D169" s="15" t="s">
        <v>16</v>
      </c>
      <c r="E169" s="15" t="s">
        <v>558</v>
      </c>
      <c r="F169" s="15" t="s">
        <v>237</v>
      </c>
      <c r="G169" s="15" t="s">
        <v>12</v>
      </c>
      <c r="H169" s="24" t="s">
        <v>13</v>
      </c>
    </row>
    <row r="170" spans="1:8" x14ac:dyDescent="0.3">
      <c r="A170" s="23" t="s">
        <v>559</v>
      </c>
      <c r="B170" s="15" t="s">
        <v>560</v>
      </c>
      <c r="C170" s="11">
        <v>36</v>
      </c>
      <c r="D170" s="15" t="s">
        <v>16</v>
      </c>
      <c r="E170" s="15" t="s">
        <v>561</v>
      </c>
      <c r="F170" s="15" t="s">
        <v>250</v>
      </c>
      <c r="G170" s="15" t="s">
        <v>12</v>
      </c>
      <c r="H170" s="24" t="s">
        <v>19</v>
      </c>
    </row>
    <row r="171" spans="1:8" x14ac:dyDescent="0.3">
      <c r="A171" s="23" t="s">
        <v>562</v>
      </c>
      <c r="B171" s="15" t="s">
        <v>563</v>
      </c>
      <c r="C171" s="11">
        <v>64</v>
      </c>
      <c r="D171" s="15" t="s">
        <v>9</v>
      </c>
      <c r="E171" s="15" t="s">
        <v>564</v>
      </c>
      <c r="F171" s="15" t="s">
        <v>47</v>
      </c>
      <c r="G171" s="15" t="s">
        <v>12</v>
      </c>
      <c r="H171" s="24" t="s">
        <v>26</v>
      </c>
    </row>
    <row r="172" spans="1:8" x14ac:dyDescent="0.3">
      <c r="A172" s="23" t="s">
        <v>565</v>
      </c>
      <c r="B172" s="15" t="s">
        <v>566</v>
      </c>
      <c r="C172" s="11">
        <v>18</v>
      </c>
      <c r="D172" s="15" t="s">
        <v>9</v>
      </c>
      <c r="E172" s="15" t="s">
        <v>567</v>
      </c>
      <c r="F172" s="15" t="s">
        <v>113</v>
      </c>
      <c r="G172" s="15" t="s">
        <v>12</v>
      </c>
      <c r="H172" s="24" t="s">
        <v>13</v>
      </c>
    </row>
    <row r="173" spans="1:8" x14ac:dyDescent="0.3">
      <c r="A173" s="23" t="s">
        <v>568</v>
      </c>
      <c r="B173" s="15" t="s">
        <v>569</v>
      </c>
      <c r="C173" s="11">
        <v>44</v>
      </c>
      <c r="D173" s="15" t="s">
        <v>16</v>
      </c>
      <c r="E173" s="15" t="s">
        <v>570</v>
      </c>
      <c r="F173" s="15" t="s">
        <v>254</v>
      </c>
      <c r="G173" s="15" t="s">
        <v>12</v>
      </c>
      <c r="H173" s="24" t="s">
        <v>19</v>
      </c>
    </row>
    <row r="174" spans="1:8" x14ac:dyDescent="0.3">
      <c r="A174" s="23" t="s">
        <v>571</v>
      </c>
      <c r="B174" s="15" t="s">
        <v>572</v>
      </c>
      <c r="C174" s="11">
        <v>41</v>
      </c>
      <c r="D174" s="15" t="s">
        <v>16</v>
      </c>
      <c r="E174" s="15" t="s">
        <v>573</v>
      </c>
      <c r="F174" s="15" t="s">
        <v>43</v>
      </c>
      <c r="G174" s="15" t="s">
        <v>12</v>
      </c>
      <c r="H174" s="24" t="s">
        <v>26</v>
      </c>
    </row>
    <row r="175" spans="1:8" x14ac:dyDescent="0.3">
      <c r="A175" s="23" t="s">
        <v>574</v>
      </c>
      <c r="B175" s="15" t="s">
        <v>575</v>
      </c>
      <c r="C175" s="11">
        <v>41</v>
      </c>
      <c r="D175" s="15" t="s">
        <v>16</v>
      </c>
      <c r="E175" s="15" t="s">
        <v>398</v>
      </c>
      <c r="F175" s="15" t="s">
        <v>267</v>
      </c>
      <c r="G175" s="15" t="s">
        <v>3799</v>
      </c>
      <c r="H175" s="24" t="s">
        <v>19</v>
      </c>
    </row>
    <row r="176" spans="1:8" x14ac:dyDescent="0.3">
      <c r="A176" s="23" t="s">
        <v>576</v>
      </c>
      <c r="B176" s="15" t="s">
        <v>577</v>
      </c>
      <c r="C176" s="11">
        <v>26</v>
      </c>
      <c r="D176" s="15" t="s">
        <v>16</v>
      </c>
      <c r="E176" s="15" t="s">
        <v>578</v>
      </c>
      <c r="F176" s="15" t="s">
        <v>171</v>
      </c>
      <c r="G176" s="15" t="s">
        <v>12</v>
      </c>
      <c r="H176" s="24" t="s">
        <v>13</v>
      </c>
    </row>
    <row r="177" spans="1:8" x14ac:dyDescent="0.3">
      <c r="A177" s="23" t="s">
        <v>579</v>
      </c>
      <c r="B177" s="15" t="s">
        <v>580</v>
      </c>
      <c r="C177" s="11">
        <v>56</v>
      </c>
      <c r="D177" s="15" t="s">
        <v>9</v>
      </c>
      <c r="E177" s="15" t="s">
        <v>581</v>
      </c>
      <c r="F177" s="15" t="s">
        <v>99</v>
      </c>
      <c r="G177" s="15" t="s">
        <v>12</v>
      </c>
      <c r="H177" s="24" t="s">
        <v>19</v>
      </c>
    </row>
    <row r="178" spans="1:8" x14ac:dyDescent="0.3">
      <c r="A178" s="23" t="s">
        <v>582</v>
      </c>
      <c r="B178" s="15" t="s">
        <v>583</v>
      </c>
      <c r="C178" s="11">
        <v>48</v>
      </c>
      <c r="D178" s="15" t="s">
        <v>9</v>
      </c>
      <c r="E178" s="15" t="s">
        <v>584</v>
      </c>
      <c r="F178" s="15" t="s">
        <v>171</v>
      </c>
      <c r="G178" s="15" t="s">
        <v>12</v>
      </c>
      <c r="H178" s="24" t="s">
        <v>31</v>
      </c>
    </row>
    <row r="179" spans="1:8" x14ac:dyDescent="0.3">
      <c r="A179" s="23" t="s">
        <v>585</v>
      </c>
      <c r="B179" s="15" t="s">
        <v>586</v>
      </c>
      <c r="C179" s="11">
        <v>55</v>
      </c>
      <c r="D179" s="15" t="s">
        <v>9</v>
      </c>
      <c r="E179" s="15" t="s">
        <v>587</v>
      </c>
      <c r="F179" s="15" t="s">
        <v>588</v>
      </c>
      <c r="G179" s="15" t="s">
        <v>12</v>
      </c>
      <c r="H179" s="24" t="s">
        <v>19</v>
      </c>
    </row>
    <row r="180" spans="1:8" x14ac:dyDescent="0.3">
      <c r="A180" s="23" t="s">
        <v>589</v>
      </c>
      <c r="B180" s="15" t="s">
        <v>590</v>
      </c>
      <c r="C180" s="11">
        <v>33</v>
      </c>
      <c r="D180" s="15" t="s">
        <v>16</v>
      </c>
      <c r="E180" s="15" t="s">
        <v>591</v>
      </c>
      <c r="F180" s="15" t="s">
        <v>317</v>
      </c>
      <c r="G180" s="15" t="s">
        <v>12</v>
      </c>
      <c r="H180" s="24" t="s">
        <v>26</v>
      </c>
    </row>
    <row r="181" spans="1:8" x14ac:dyDescent="0.3">
      <c r="A181" s="23" t="s">
        <v>592</v>
      </c>
      <c r="B181" s="15" t="s">
        <v>593</v>
      </c>
      <c r="C181" s="11">
        <v>43</v>
      </c>
      <c r="D181" s="15" t="s">
        <v>16</v>
      </c>
      <c r="E181" s="15" t="s">
        <v>594</v>
      </c>
      <c r="F181" s="15" t="s">
        <v>117</v>
      </c>
      <c r="G181" s="15" t="s">
        <v>12</v>
      </c>
      <c r="H181" s="24" t="s">
        <v>31</v>
      </c>
    </row>
    <row r="182" spans="1:8" x14ac:dyDescent="0.3">
      <c r="A182" s="23" t="s">
        <v>595</v>
      </c>
      <c r="B182" s="15" t="s">
        <v>596</v>
      </c>
      <c r="C182" s="11">
        <v>38</v>
      </c>
      <c r="D182" s="15" t="s">
        <v>9</v>
      </c>
      <c r="E182" s="15" t="s">
        <v>597</v>
      </c>
      <c r="F182" s="15" t="s">
        <v>434</v>
      </c>
      <c r="G182" s="15" t="s">
        <v>12</v>
      </c>
      <c r="H182" s="24" t="s">
        <v>26</v>
      </c>
    </row>
    <row r="183" spans="1:8" x14ac:dyDescent="0.3">
      <c r="A183" s="23" t="s">
        <v>598</v>
      </c>
      <c r="B183" s="15" t="s">
        <v>599</v>
      </c>
      <c r="C183" s="11">
        <v>60</v>
      </c>
      <c r="D183" s="15" t="s">
        <v>9</v>
      </c>
      <c r="E183" s="15" t="s">
        <v>600</v>
      </c>
      <c r="F183" s="15" t="s">
        <v>58</v>
      </c>
      <c r="G183" s="15" t="s">
        <v>12</v>
      </c>
      <c r="H183" s="24" t="s">
        <v>26</v>
      </c>
    </row>
    <row r="184" spans="1:8" x14ac:dyDescent="0.3">
      <c r="A184" s="23" t="s">
        <v>601</v>
      </c>
      <c r="B184" s="15" t="s">
        <v>602</v>
      </c>
      <c r="C184" s="11">
        <v>23</v>
      </c>
      <c r="D184" s="15" t="s">
        <v>16</v>
      </c>
      <c r="E184" s="15" t="s">
        <v>603</v>
      </c>
      <c r="F184" s="15" t="s">
        <v>96</v>
      </c>
      <c r="G184" s="15" t="s">
        <v>12</v>
      </c>
      <c r="H184" s="24" t="s">
        <v>31</v>
      </c>
    </row>
    <row r="185" spans="1:8" x14ac:dyDescent="0.3">
      <c r="A185" s="23" t="s">
        <v>604</v>
      </c>
      <c r="B185" s="15" t="s">
        <v>605</v>
      </c>
      <c r="C185" s="11">
        <v>18</v>
      </c>
      <c r="D185" s="15" t="s">
        <v>9</v>
      </c>
      <c r="E185" s="15" t="s">
        <v>606</v>
      </c>
      <c r="F185" s="15" t="s">
        <v>58</v>
      </c>
      <c r="G185" s="15" t="s">
        <v>12</v>
      </c>
      <c r="H185" s="24" t="s">
        <v>19</v>
      </c>
    </row>
    <row r="186" spans="1:8" x14ac:dyDescent="0.3">
      <c r="A186" s="23" t="s">
        <v>607</v>
      </c>
      <c r="B186" s="15" t="s">
        <v>608</v>
      </c>
      <c r="C186" s="11">
        <v>46</v>
      </c>
      <c r="D186" s="15" t="s">
        <v>16</v>
      </c>
      <c r="E186" s="15" t="s">
        <v>609</v>
      </c>
      <c r="F186" s="15" t="s">
        <v>18</v>
      </c>
      <c r="G186" s="15" t="s">
        <v>12</v>
      </c>
      <c r="H186" s="24" t="s">
        <v>31</v>
      </c>
    </row>
    <row r="187" spans="1:8" x14ac:dyDescent="0.3">
      <c r="A187" s="23" t="s">
        <v>610</v>
      </c>
      <c r="B187" s="15" t="s">
        <v>611</v>
      </c>
      <c r="C187" s="11">
        <v>54</v>
      </c>
      <c r="D187" s="15" t="s">
        <v>16</v>
      </c>
      <c r="E187" s="15" t="s">
        <v>612</v>
      </c>
      <c r="F187" s="15" t="s">
        <v>88</v>
      </c>
      <c r="G187" s="15" t="s">
        <v>12</v>
      </c>
      <c r="H187" s="24" t="s">
        <v>19</v>
      </c>
    </row>
    <row r="188" spans="1:8" x14ac:dyDescent="0.3">
      <c r="A188" s="23" t="s">
        <v>613</v>
      </c>
      <c r="B188" s="15" t="s">
        <v>614</v>
      </c>
      <c r="C188" s="11">
        <v>53</v>
      </c>
      <c r="D188" s="15" t="s">
        <v>9</v>
      </c>
      <c r="E188" s="15" t="s">
        <v>615</v>
      </c>
      <c r="F188" s="15" t="s">
        <v>113</v>
      </c>
      <c r="G188" s="15" t="s">
        <v>12</v>
      </c>
      <c r="H188" s="24" t="s">
        <v>31</v>
      </c>
    </row>
    <row r="189" spans="1:8" x14ac:dyDescent="0.3">
      <c r="A189" s="23" t="s">
        <v>616</v>
      </c>
      <c r="B189" s="15" t="s">
        <v>617</v>
      </c>
      <c r="C189" s="11">
        <v>60</v>
      </c>
      <c r="D189" s="15" t="s">
        <v>16</v>
      </c>
      <c r="E189" s="15" t="s">
        <v>618</v>
      </c>
      <c r="F189" s="15" t="s">
        <v>22</v>
      </c>
      <c r="G189" s="15" t="s">
        <v>12</v>
      </c>
      <c r="H189" s="24" t="s">
        <v>19</v>
      </c>
    </row>
    <row r="190" spans="1:8" x14ac:dyDescent="0.3">
      <c r="A190" s="23" t="s">
        <v>619</v>
      </c>
      <c r="B190" s="15" t="s">
        <v>620</v>
      </c>
      <c r="C190" s="11">
        <v>42</v>
      </c>
      <c r="D190" s="15" t="s">
        <v>9</v>
      </c>
      <c r="E190" s="15" t="s">
        <v>621</v>
      </c>
      <c r="F190" s="15" t="s">
        <v>233</v>
      </c>
      <c r="G190" s="15" t="s">
        <v>12</v>
      </c>
      <c r="H190" s="24" t="s">
        <v>31</v>
      </c>
    </row>
    <row r="191" spans="1:8" x14ac:dyDescent="0.3">
      <c r="A191" s="23" t="s">
        <v>622</v>
      </c>
      <c r="B191" s="15" t="s">
        <v>623</v>
      </c>
      <c r="C191" s="11">
        <v>29</v>
      </c>
      <c r="D191" s="15" t="s">
        <v>9</v>
      </c>
      <c r="E191" s="15" t="s">
        <v>624</v>
      </c>
      <c r="F191" s="15" t="s">
        <v>588</v>
      </c>
      <c r="G191" s="15" t="s">
        <v>12</v>
      </c>
      <c r="H191" s="24" t="s">
        <v>13</v>
      </c>
    </row>
    <row r="192" spans="1:8" x14ac:dyDescent="0.3">
      <c r="A192" s="23" t="s">
        <v>625</v>
      </c>
      <c r="B192" s="15" t="s">
        <v>626</v>
      </c>
      <c r="C192" s="11">
        <v>21</v>
      </c>
      <c r="D192" s="15" t="s">
        <v>9</v>
      </c>
      <c r="E192" s="15" t="s">
        <v>627</v>
      </c>
      <c r="F192" s="15" t="s">
        <v>58</v>
      </c>
      <c r="G192" s="15" t="s">
        <v>12</v>
      </c>
      <c r="H192" s="24" t="s">
        <v>26</v>
      </c>
    </row>
    <row r="193" spans="1:8" x14ac:dyDescent="0.3">
      <c r="A193" s="23" t="s">
        <v>628</v>
      </c>
      <c r="B193" s="15" t="s">
        <v>629</v>
      </c>
      <c r="C193" s="11">
        <v>29</v>
      </c>
      <c r="D193" s="15" t="s">
        <v>16</v>
      </c>
      <c r="E193" s="15" t="s">
        <v>630</v>
      </c>
      <c r="F193" s="15" t="s">
        <v>25</v>
      </c>
      <c r="G193" s="15" t="s">
        <v>12</v>
      </c>
      <c r="H193" s="24" t="s">
        <v>26</v>
      </c>
    </row>
    <row r="194" spans="1:8" x14ac:dyDescent="0.3">
      <c r="A194" s="23" t="s">
        <v>631</v>
      </c>
      <c r="B194" s="15" t="s">
        <v>632</v>
      </c>
      <c r="C194" s="11">
        <v>26</v>
      </c>
      <c r="D194" s="15" t="s">
        <v>9</v>
      </c>
      <c r="E194" s="15" t="s">
        <v>633</v>
      </c>
      <c r="F194" s="15" t="s">
        <v>106</v>
      </c>
      <c r="G194" s="15" t="s">
        <v>12</v>
      </c>
      <c r="H194" s="24" t="s">
        <v>13</v>
      </c>
    </row>
    <row r="195" spans="1:8" x14ac:dyDescent="0.3">
      <c r="A195" s="23" t="s">
        <v>634</v>
      </c>
      <c r="B195" s="15" t="s">
        <v>635</v>
      </c>
      <c r="C195" s="11">
        <v>38</v>
      </c>
      <c r="D195" s="15" t="s">
        <v>9</v>
      </c>
      <c r="E195" s="15" t="s">
        <v>636</v>
      </c>
      <c r="F195" s="15" t="s">
        <v>81</v>
      </c>
      <c r="G195" s="15" t="s">
        <v>12</v>
      </c>
      <c r="H195" s="24" t="s">
        <v>13</v>
      </c>
    </row>
    <row r="196" spans="1:8" x14ac:dyDescent="0.3">
      <c r="A196" s="23" t="s">
        <v>637</v>
      </c>
      <c r="B196" s="15" t="s">
        <v>638</v>
      </c>
      <c r="C196" s="11">
        <v>46</v>
      </c>
      <c r="D196" s="15" t="s">
        <v>9</v>
      </c>
      <c r="E196" s="15" t="s">
        <v>639</v>
      </c>
      <c r="F196" s="15" t="s">
        <v>51</v>
      </c>
      <c r="G196" s="15" t="s">
        <v>12</v>
      </c>
      <c r="H196" s="24" t="s">
        <v>13</v>
      </c>
    </row>
    <row r="197" spans="1:8" x14ac:dyDescent="0.3">
      <c r="A197" s="23" t="s">
        <v>640</v>
      </c>
      <c r="B197" s="15" t="s">
        <v>641</v>
      </c>
      <c r="C197" s="11">
        <v>60</v>
      </c>
      <c r="D197" s="15" t="s">
        <v>9</v>
      </c>
      <c r="E197" s="15" t="s">
        <v>642</v>
      </c>
      <c r="F197" s="15" t="s">
        <v>133</v>
      </c>
      <c r="G197" s="15" t="s">
        <v>12</v>
      </c>
      <c r="H197" s="24" t="s">
        <v>31</v>
      </c>
    </row>
    <row r="198" spans="1:8" x14ac:dyDescent="0.3">
      <c r="A198" s="23" t="s">
        <v>643</v>
      </c>
      <c r="B198" s="15" t="s">
        <v>644</v>
      </c>
      <c r="C198" s="11">
        <v>18</v>
      </c>
      <c r="D198" s="15" t="s">
        <v>16</v>
      </c>
      <c r="E198" s="15" t="s">
        <v>645</v>
      </c>
      <c r="F198" s="15" t="s">
        <v>163</v>
      </c>
      <c r="G198" s="15" t="s">
        <v>12</v>
      </c>
      <c r="H198" s="24" t="s">
        <v>19</v>
      </c>
    </row>
    <row r="199" spans="1:8" x14ac:dyDescent="0.3">
      <c r="A199" s="23" t="s">
        <v>646</v>
      </c>
      <c r="B199" s="15" t="s">
        <v>647</v>
      </c>
      <c r="C199" s="11">
        <v>45</v>
      </c>
      <c r="D199" s="15" t="s">
        <v>16</v>
      </c>
      <c r="E199" s="15" t="s">
        <v>207</v>
      </c>
      <c r="F199" s="15" t="s">
        <v>201</v>
      </c>
      <c r="G199" s="15" t="s">
        <v>12</v>
      </c>
      <c r="H199" s="24" t="s">
        <v>19</v>
      </c>
    </row>
    <row r="200" spans="1:8" x14ac:dyDescent="0.3">
      <c r="A200" s="23" t="s">
        <v>648</v>
      </c>
      <c r="B200" s="15" t="s">
        <v>649</v>
      </c>
      <c r="C200" s="11">
        <v>54</v>
      </c>
      <c r="D200" s="15" t="s">
        <v>9</v>
      </c>
      <c r="E200" s="15" t="s">
        <v>650</v>
      </c>
      <c r="F200" s="15" t="s">
        <v>171</v>
      </c>
      <c r="G200" s="15" t="s">
        <v>12</v>
      </c>
      <c r="H200" s="24" t="s">
        <v>26</v>
      </c>
    </row>
    <row r="201" spans="1:8" x14ac:dyDescent="0.3">
      <c r="A201" s="23" t="s">
        <v>651</v>
      </c>
      <c r="B201" s="15" t="s">
        <v>652</v>
      </c>
      <c r="C201" s="11">
        <v>46</v>
      </c>
      <c r="D201" s="15" t="s">
        <v>9</v>
      </c>
      <c r="E201" s="15" t="s">
        <v>653</v>
      </c>
      <c r="F201" s="15" t="s">
        <v>237</v>
      </c>
      <c r="G201" s="15" t="s">
        <v>12</v>
      </c>
      <c r="H201" s="24" t="s">
        <v>26</v>
      </c>
    </row>
    <row r="202" spans="1:8" x14ac:dyDescent="0.3">
      <c r="A202" s="23" t="s">
        <v>654</v>
      </c>
      <c r="B202" s="15" t="s">
        <v>655</v>
      </c>
      <c r="C202" s="11">
        <v>30</v>
      </c>
      <c r="D202" s="15" t="s">
        <v>9</v>
      </c>
      <c r="E202" s="15" t="s">
        <v>656</v>
      </c>
      <c r="F202" s="15" t="s">
        <v>434</v>
      </c>
      <c r="G202" s="15" t="s">
        <v>12</v>
      </c>
      <c r="H202" s="24" t="s">
        <v>19</v>
      </c>
    </row>
    <row r="203" spans="1:8" x14ac:dyDescent="0.3">
      <c r="A203" s="23" t="s">
        <v>657</v>
      </c>
      <c r="B203" s="15" t="s">
        <v>658</v>
      </c>
      <c r="C203" s="11">
        <v>25</v>
      </c>
      <c r="D203" s="15" t="s">
        <v>16</v>
      </c>
      <c r="E203" s="15" t="s">
        <v>659</v>
      </c>
      <c r="F203" s="15" t="s">
        <v>156</v>
      </c>
      <c r="G203" s="15" t="s">
        <v>12</v>
      </c>
      <c r="H203" s="24" t="s">
        <v>26</v>
      </c>
    </row>
    <row r="204" spans="1:8" x14ac:dyDescent="0.3">
      <c r="A204" s="23" t="s">
        <v>660</v>
      </c>
      <c r="B204" s="15" t="s">
        <v>661</v>
      </c>
      <c r="C204" s="11">
        <v>37</v>
      </c>
      <c r="D204" s="15" t="s">
        <v>16</v>
      </c>
      <c r="E204" s="15" t="s">
        <v>662</v>
      </c>
      <c r="F204" s="15" t="s">
        <v>62</v>
      </c>
      <c r="G204" s="15" t="s">
        <v>12</v>
      </c>
      <c r="H204" s="24" t="s">
        <v>19</v>
      </c>
    </row>
    <row r="205" spans="1:8" x14ac:dyDescent="0.3">
      <c r="A205" s="23" t="s">
        <v>663</v>
      </c>
      <c r="B205" s="15" t="s">
        <v>664</v>
      </c>
      <c r="C205" s="11">
        <v>47</v>
      </c>
      <c r="D205" s="15" t="s">
        <v>9</v>
      </c>
      <c r="E205" s="15" t="s">
        <v>665</v>
      </c>
      <c r="F205" s="15" t="s">
        <v>267</v>
      </c>
      <c r="G205" s="15" t="s">
        <v>12</v>
      </c>
      <c r="H205" s="24" t="s">
        <v>19</v>
      </c>
    </row>
    <row r="206" spans="1:8" x14ac:dyDescent="0.3">
      <c r="A206" s="23" t="s">
        <v>666</v>
      </c>
      <c r="B206" s="15" t="s">
        <v>667</v>
      </c>
      <c r="C206" s="11">
        <v>52</v>
      </c>
      <c r="D206" s="15" t="s">
        <v>9</v>
      </c>
      <c r="E206" s="15" t="s">
        <v>668</v>
      </c>
      <c r="F206" s="15" t="s">
        <v>287</v>
      </c>
      <c r="G206" s="15" t="s">
        <v>12</v>
      </c>
      <c r="H206" s="24" t="s">
        <v>19</v>
      </c>
    </row>
    <row r="207" spans="1:8" x14ac:dyDescent="0.3">
      <c r="A207" s="23" t="s">
        <v>669</v>
      </c>
      <c r="B207" s="15" t="s">
        <v>670</v>
      </c>
      <c r="C207" s="11">
        <v>44</v>
      </c>
      <c r="D207" s="15" t="s">
        <v>16</v>
      </c>
      <c r="E207" s="15" t="s">
        <v>671</v>
      </c>
      <c r="F207" s="15" t="s">
        <v>88</v>
      </c>
      <c r="G207" s="15" t="s">
        <v>12</v>
      </c>
      <c r="H207" s="24" t="s">
        <v>13</v>
      </c>
    </row>
    <row r="208" spans="1:8" x14ac:dyDescent="0.3">
      <c r="A208" s="23" t="s">
        <v>672</v>
      </c>
      <c r="B208" s="15" t="s">
        <v>673</v>
      </c>
      <c r="C208" s="11">
        <v>26</v>
      </c>
      <c r="D208" s="15" t="s">
        <v>16</v>
      </c>
      <c r="E208" s="15" t="s">
        <v>674</v>
      </c>
      <c r="F208" s="15" t="s">
        <v>237</v>
      </c>
      <c r="G208" s="15" t="s">
        <v>12</v>
      </c>
      <c r="H208" s="24" t="s">
        <v>31</v>
      </c>
    </row>
    <row r="209" spans="1:8" x14ac:dyDescent="0.3">
      <c r="A209" s="23" t="s">
        <v>675</v>
      </c>
      <c r="B209" s="15" t="s">
        <v>676</v>
      </c>
      <c r="C209" s="11">
        <v>28</v>
      </c>
      <c r="D209" s="15" t="s">
        <v>16</v>
      </c>
      <c r="E209" s="15" t="s">
        <v>677</v>
      </c>
      <c r="F209" s="15" t="s">
        <v>88</v>
      </c>
      <c r="G209" s="15" t="s">
        <v>12</v>
      </c>
      <c r="H209" s="24" t="s">
        <v>26</v>
      </c>
    </row>
    <row r="210" spans="1:8" x14ac:dyDescent="0.3">
      <c r="A210" s="23" t="s">
        <v>678</v>
      </c>
      <c r="B210" s="15" t="s">
        <v>679</v>
      </c>
      <c r="C210" s="11">
        <v>54</v>
      </c>
      <c r="D210" s="15" t="s">
        <v>9</v>
      </c>
      <c r="E210" s="15" t="s">
        <v>680</v>
      </c>
      <c r="F210" s="15" t="s">
        <v>328</v>
      </c>
      <c r="G210" s="15" t="s">
        <v>12</v>
      </c>
      <c r="H210" s="24" t="s">
        <v>19</v>
      </c>
    </row>
    <row r="211" spans="1:8" x14ac:dyDescent="0.3">
      <c r="A211" s="23" t="s">
        <v>681</v>
      </c>
      <c r="B211" s="15" t="s">
        <v>682</v>
      </c>
      <c r="C211" s="11">
        <v>50</v>
      </c>
      <c r="D211" s="15" t="s">
        <v>16</v>
      </c>
      <c r="E211" s="15" t="s">
        <v>683</v>
      </c>
      <c r="F211" s="15" t="s">
        <v>434</v>
      </c>
      <c r="G211" s="15" t="s">
        <v>12</v>
      </c>
      <c r="H211" s="24" t="s">
        <v>19</v>
      </c>
    </row>
    <row r="212" spans="1:8" x14ac:dyDescent="0.3">
      <c r="A212" s="23" t="s">
        <v>684</v>
      </c>
      <c r="B212" s="15" t="s">
        <v>685</v>
      </c>
      <c r="C212" s="11">
        <v>48</v>
      </c>
      <c r="D212" s="15" t="s">
        <v>9</v>
      </c>
      <c r="E212" s="15" t="s">
        <v>686</v>
      </c>
      <c r="F212" s="15" t="s">
        <v>81</v>
      </c>
      <c r="G212" s="15" t="s">
        <v>12</v>
      </c>
      <c r="H212" s="24" t="s">
        <v>31</v>
      </c>
    </row>
    <row r="213" spans="1:8" x14ac:dyDescent="0.3">
      <c r="A213" s="23" t="s">
        <v>687</v>
      </c>
      <c r="B213" s="15" t="s">
        <v>688</v>
      </c>
      <c r="C213" s="11">
        <v>20</v>
      </c>
      <c r="D213" s="15" t="s">
        <v>16</v>
      </c>
      <c r="E213" s="15" t="s">
        <v>689</v>
      </c>
      <c r="F213" s="15" t="s">
        <v>92</v>
      </c>
      <c r="G213" s="15" t="s">
        <v>12</v>
      </c>
      <c r="H213" s="24" t="s">
        <v>31</v>
      </c>
    </row>
    <row r="214" spans="1:8" x14ac:dyDescent="0.3">
      <c r="A214" s="23" t="s">
        <v>690</v>
      </c>
      <c r="B214" s="15" t="s">
        <v>691</v>
      </c>
      <c r="C214" s="11">
        <v>63</v>
      </c>
      <c r="D214" s="15" t="s">
        <v>16</v>
      </c>
      <c r="E214" s="15" t="s">
        <v>692</v>
      </c>
      <c r="F214" s="15" t="s">
        <v>74</v>
      </c>
      <c r="G214" s="15" t="s">
        <v>12</v>
      </c>
      <c r="H214" s="24" t="s">
        <v>19</v>
      </c>
    </row>
    <row r="215" spans="1:8" x14ac:dyDescent="0.3">
      <c r="A215" s="23" t="s">
        <v>693</v>
      </c>
      <c r="B215" s="15" t="s">
        <v>694</v>
      </c>
      <c r="C215" s="11">
        <v>42</v>
      </c>
      <c r="D215" s="15" t="s">
        <v>16</v>
      </c>
      <c r="E215" s="15" t="s">
        <v>695</v>
      </c>
      <c r="F215" s="15" t="s">
        <v>18</v>
      </c>
      <c r="G215" s="15" t="s">
        <v>12</v>
      </c>
      <c r="H215" s="24" t="s">
        <v>19</v>
      </c>
    </row>
    <row r="216" spans="1:8" x14ac:dyDescent="0.3">
      <c r="A216" s="23" t="s">
        <v>696</v>
      </c>
      <c r="B216" s="15" t="s">
        <v>697</v>
      </c>
      <c r="C216" s="11">
        <v>61</v>
      </c>
      <c r="D216" s="15" t="s">
        <v>9</v>
      </c>
      <c r="E216" s="15" t="s">
        <v>698</v>
      </c>
      <c r="F216" s="15" t="s">
        <v>66</v>
      </c>
      <c r="G216" s="15" t="s">
        <v>12</v>
      </c>
      <c r="H216" s="24" t="s">
        <v>13</v>
      </c>
    </row>
    <row r="217" spans="1:8" x14ac:dyDescent="0.3">
      <c r="A217" s="23" t="s">
        <v>699</v>
      </c>
      <c r="B217" s="15" t="s">
        <v>700</v>
      </c>
      <c r="C217" s="11">
        <v>50</v>
      </c>
      <c r="D217" s="15" t="s">
        <v>16</v>
      </c>
      <c r="E217" s="15" t="s">
        <v>701</v>
      </c>
      <c r="F217" s="15" t="s">
        <v>35</v>
      </c>
      <c r="G217" s="15" t="s">
        <v>12</v>
      </c>
      <c r="H217" s="24" t="s">
        <v>13</v>
      </c>
    </row>
    <row r="218" spans="1:8" x14ac:dyDescent="0.3">
      <c r="A218" s="23" t="s">
        <v>702</v>
      </c>
      <c r="B218" s="15" t="s">
        <v>703</v>
      </c>
      <c r="C218" s="11">
        <v>44</v>
      </c>
      <c r="D218" s="15" t="s">
        <v>9</v>
      </c>
      <c r="E218" s="15" t="s">
        <v>704</v>
      </c>
      <c r="F218" s="15" t="s">
        <v>30</v>
      </c>
      <c r="G218" s="15" t="s">
        <v>12</v>
      </c>
      <c r="H218" s="24" t="s">
        <v>19</v>
      </c>
    </row>
    <row r="219" spans="1:8" x14ac:dyDescent="0.3">
      <c r="A219" s="23" t="s">
        <v>705</v>
      </c>
      <c r="B219" s="15" t="s">
        <v>706</v>
      </c>
      <c r="C219" s="11">
        <v>42</v>
      </c>
      <c r="D219" s="15" t="s">
        <v>9</v>
      </c>
      <c r="E219" s="15" t="s">
        <v>707</v>
      </c>
      <c r="F219" s="15" t="s">
        <v>113</v>
      </c>
      <c r="G219" s="15" t="s">
        <v>12</v>
      </c>
      <c r="H219" s="24" t="s">
        <v>31</v>
      </c>
    </row>
    <row r="220" spans="1:8" x14ac:dyDescent="0.3">
      <c r="A220" s="23" t="s">
        <v>708</v>
      </c>
      <c r="B220" s="15" t="s">
        <v>709</v>
      </c>
      <c r="C220" s="11">
        <v>46</v>
      </c>
      <c r="D220" s="15" t="s">
        <v>9</v>
      </c>
      <c r="E220" s="15" t="s">
        <v>710</v>
      </c>
      <c r="F220" s="15" t="s">
        <v>30</v>
      </c>
      <c r="G220" s="15" t="s">
        <v>12</v>
      </c>
      <c r="H220" s="24" t="s">
        <v>19</v>
      </c>
    </row>
    <row r="221" spans="1:8" x14ac:dyDescent="0.3">
      <c r="A221" s="23" t="s">
        <v>711</v>
      </c>
      <c r="B221" s="15" t="s">
        <v>712</v>
      </c>
      <c r="C221" s="11">
        <v>47</v>
      </c>
      <c r="D221" s="15" t="s">
        <v>16</v>
      </c>
      <c r="E221" s="15" t="s">
        <v>3801</v>
      </c>
      <c r="F221" s="15" t="s">
        <v>88</v>
      </c>
      <c r="G221" s="15" t="s">
        <v>12</v>
      </c>
      <c r="H221" s="24" t="s">
        <v>13</v>
      </c>
    </row>
    <row r="222" spans="1:8" x14ac:dyDescent="0.3">
      <c r="A222" s="23" t="s">
        <v>713</v>
      </c>
      <c r="B222" s="15" t="s">
        <v>714</v>
      </c>
      <c r="C222" s="11">
        <v>50</v>
      </c>
      <c r="D222" s="15" t="s">
        <v>16</v>
      </c>
      <c r="E222" s="15" t="s">
        <v>3800</v>
      </c>
      <c r="F222" s="15" t="s">
        <v>715</v>
      </c>
      <c r="G222" s="15" t="s">
        <v>3799</v>
      </c>
      <c r="H222" s="24" t="s">
        <v>26</v>
      </c>
    </row>
    <row r="223" spans="1:8" x14ac:dyDescent="0.3">
      <c r="A223" s="23" t="s">
        <v>716</v>
      </c>
      <c r="B223" s="15" t="s">
        <v>717</v>
      </c>
      <c r="C223" s="11">
        <v>38</v>
      </c>
      <c r="D223" s="15" t="s">
        <v>9</v>
      </c>
      <c r="E223" s="15" t="s">
        <v>718</v>
      </c>
      <c r="F223" s="15" t="s">
        <v>81</v>
      </c>
      <c r="G223" s="15" t="s">
        <v>12</v>
      </c>
      <c r="H223" s="24" t="s">
        <v>19</v>
      </c>
    </row>
    <row r="224" spans="1:8" x14ac:dyDescent="0.3">
      <c r="A224" s="23" t="s">
        <v>719</v>
      </c>
      <c r="B224" s="15" t="s">
        <v>720</v>
      </c>
      <c r="C224" s="11">
        <v>35</v>
      </c>
      <c r="D224" s="15" t="s">
        <v>9</v>
      </c>
      <c r="E224" s="15" t="s">
        <v>721</v>
      </c>
      <c r="F224" s="15" t="s">
        <v>233</v>
      </c>
      <c r="G224" s="15" t="s">
        <v>12</v>
      </c>
      <c r="H224" s="24" t="s">
        <v>19</v>
      </c>
    </row>
    <row r="225" spans="1:8" x14ac:dyDescent="0.3">
      <c r="A225" s="23" t="s">
        <v>722</v>
      </c>
      <c r="B225" s="15" t="s">
        <v>723</v>
      </c>
      <c r="C225" s="11">
        <v>50</v>
      </c>
      <c r="D225" s="15" t="s">
        <v>9</v>
      </c>
      <c r="E225" s="15" t="s">
        <v>3802</v>
      </c>
      <c r="F225" s="15" t="s">
        <v>267</v>
      </c>
      <c r="G225" s="15" t="s">
        <v>12</v>
      </c>
      <c r="H225" s="24" t="s">
        <v>19</v>
      </c>
    </row>
    <row r="226" spans="1:8" x14ac:dyDescent="0.3">
      <c r="A226" s="23" t="s">
        <v>724</v>
      </c>
      <c r="B226" s="15" t="s">
        <v>725</v>
      </c>
      <c r="C226" s="11">
        <v>29</v>
      </c>
      <c r="D226" s="15" t="s">
        <v>9</v>
      </c>
      <c r="E226" s="15" t="s">
        <v>726</v>
      </c>
      <c r="F226" s="15" t="s">
        <v>113</v>
      </c>
      <c r="G226" s="15" t="s">
        <v>12</v>
      </c>
      <c r="H226" s="24" t="s">
        <v>31</v>
      </c>
    </row>
    <row r="227" spans="1:8" x14ac:dyDescent="0.3">
      <c r="A227" s="23" t="s">
        <v>727</v>
      </c>
      <c r="B227" s="15" t="s">
        <v>728</v>
      </c>
      <c r="C227" s="11">
        <v>46</v>
      </c>
      <c r="D227" s="15" t="s">
        <v>16</v>
      </c>
      <c r="E227" s="15" t="s">
        <v>729</v>
      </c>
      <c r="F227" s="15" t="s">
        <v>117</v>
      </c>
      <c r="G227" s="15" t="s">
        <v>12</v>
      </c>
      <c r="H227" s="24" t="s">
        <v>19</v>
      </c>
    </row>
    <row r="228" spans="1:8" x14ac:dyDescent="0.3">
      <c r="A228" s="23" t="s">
        <v>730</v>
      </c>
      <c r="B228" s="15" t="s">
        <v>731</v>
      </c>
      <c r="C228" s="11">
        <v>54</v>
      </c>
      <c r="D228" s="15" t="s">
        <v>9</v>
      </c>
      <c r="E228" s="15" t="s">
        <v>216</v>
      </c>
      <c r="F228" s="15" t="s">
        <v>163</v>
      </c>
      <c r="G228" s="15" t="s">
        <v>12</v>
      </c>
      <c r="H228" s="24" t="s">
        <v>13</v>
      </c>
    </row>
    <row r="229" spans="1:8" x14ac:dyDescent="0.3">
      <c r="A229" s="23" t="s">
        <v>732</v>
      </c>
      <c r="B229" s="15" t="s">
        <v>733</v>
      </c>
      <c r="C229" s="11">
        <v>63</v>
      </c>
      <c r="D229" s="15" t="s">
        <v>16</v>
      </c>
      <c r="E229" s="15" t="s">
        <v>734</v>
      </c>
      <c r="F229" s="15" t="s">
        <v>62</v>
      </c>
      <c r="G229" s="15" t="s">
        <v>12</v>
      </c>
      <c r="H229" s="24" t="s">
        <v>13</v>
      </c>
    </row>
    <row r="230" spans="1:8" x14ac:dyDescent="0.3">
      <c r="A230" s="23" t="s">
        <v>735</v>
      </c>
      <c r="B230" s="15" t="s">
        <v>736</v>
      </c>
      <c r="C230" s="11">
        <v>52</v>
      </c>
      <c r="D230" s="15" t="s">
        <v>16</v>
      </c>
      <c r="E230" s="15" t="s">
        <v>395</v>
      </c>
      <c r="F230" s="15" t="s">
        <v>117</v>
      </c>
      <c r="G230" s="15" t="s">
        <v>12</v>
      </c>
      <c r="H230" s="24" t="s">
        <v>13</v>
      </c>
    </row>
    <row r="231" spans="1:8" x14ac:dyDescent="0.3">
      <c r="A231" s="23" t="s">
        <v>737</v>
      </c>
      <c r="B231" s="15" t="s">
        <v>738</v>
      </c>
      <c r="C231" s="11">
        <v>32</v>
      </c>
      <c r="D231" s="15" t="s">
        <v>16</v>
      </c>
      <c r="E231" s="15" t="s">
        <v>739</v>
      </c>
      <c r="F231" s="15" t="s">
        <v>140</v>
      </c>
      <c r="G231" s="15" t="s">
        <v>12</v>
      </c>
      <c r="H231" s="24" t="s">
        <v>26</v>
      </c>
    </row>
    <row r="232" spans="1:8" x14ac:dyDescent="0.3">
      <c r="A232" s="23" t="s">
        <v>740</v>
      </c>
      <c r="B232" s="15" t="s">
        <v>741</v>
      </c>
      <c r="C232" s="11">
        <v>29</v>
      </c>
      <c r="D232" s="15" t="s">
        <v>9</v>
      </c>
      <c r="E232" s="15" t="s">
        <v>742</v>
      </c>
      <c r="F232" s="15" t="s">
        <v>250</v>
      </c>
      <c r="G232" s="15" t="s">
        <v>12</v>
      </c>
      <c r="H232" s="24" t="s">
        <v>26</v>
      </c>
    </row>
    <row r="233" spans="1:8" x14ac:dyDescent="0.3">
      <c r="A233" s="23" t="s">
        <v>743</v>
      </c>
      <c r="B233" s="15" t="s">
        <v>744</v>
      </c>
      <c r="C233" s="11">
        <v>22</v>
      </c>
      <c r="D233" s="15" t="s">
        <v>16</v>
      </c>
      <c r="E233" s="15" t="s">
        <v>745</v>
      </c>
      <c r="F233" s="15" t="s">
        <v>317</v>
      </c>
      <c r="G233" s="15" t="s">
        <v>12</v>
      </c>
      <c r="H233" s="24" t="s">
        <v>26</v>
      </c>
    </row>
    <row r="234" spans="1:8" x14ac:dyDescent="0.3">
      <c r="A234" s="23" t="s">
        <v>746</v>
      </c>
      <c r="B234" s="15" t="s">
        <v>747</v>
      </c>
      <c r="C234" s="11">
        <v>27</v>
      </c>
      <c r="D234" s="15" t="s">
        <v>16</v>
      </c>
      <c r="E234" s="15" t="s">
        <v>748</v>
      </c>
      <c r="F234" s="15" t="s">
        <v>88</v>
      </c>
      <c r="G234" s="15" t="s">
        <v>12</v>
      </c>
      <c r="H234" s="24" t="s">
        <v>19</v>
      </c>
    </row>
    <row r="235" spans="1:8" x14ac:dyDescent="0.3">
      <c r="A235" s="23" t="s">
        <v>749</v>
      </c>
      <c r="B235" s="15" t="s">
        <v>750</v>
      </c>
      <c r="C235" s="11">
        <v>59</v>
      </c>
      <c r="D235" s="15" t="s">
        <v>9</v>
      </c>
      <c r="E235" s="15" t="s">
        <v>751</v>
      </c>
      <c r="F235" s="15" t="s">
        <v>43</v>
      </c>
      <c r="G235" s="15" t="s">
        <v>12</v>
      </c>
      <c r="H235" s="24" t="s">
        <v>31</v>
      </c>
    </row>
    <row r="236" spans="1:8" x14ac:dyDescent="0.3">
      <c r="A236" s="23" t="s">
        <v>752</v>
      </c>
      <c r="B236" s="15" t="s">
        <v>753</v>
      </c>
      <c r="C236" s="11">
        <v>43</v>
      </c>
      <c r="D236" s="15" t="s">
        <v>16</v>
      </c>
      <c r="E236" s="15" t="s">
        <v>754</v>
      </c>
      <c r="F236" s="15" t="s">
        <v>62</v>
      </c>
      <c r="G236" s="15" t="s">
        <v>12</v>
      </c>
      <c r="H236" s="24" t="s">
        <v>13</v>
      </c>
    </row>
    <row r="237" spans="1:8" x14ac:dyDescent="0.3">
      <c r="A237" s="23" t="s">
        <v>755</v>
      </c>
      <c r="B237" s="15" t="s">
        <v>756</v>
      </c>
      <c r="C237" s="11">
        <v>28</v>
      </c>
      <c r="D237" s="15" t="s">
        <v>16</v>
      </c>
      <c r="E237" s="15" t="s">
        <v>757</v>
      </c>
      <c r="F237" s="15" t="s">
        <v>92</v>
      </c>
      <c r="G237" s="15" t="s">
        <v>12</v>
      </c>
      <c r="H237" s="24" t="s">
        <v>26</v>
      </c>
    </row>
    <row r="238" spans="1:8" x14ac:dyDescent="0.3">
      <c r="A238" s="23" t="s">
        <v>758</v>
      </c>
      <c r="B238" s="15" t="s">
        <v>759</v>
      </c>
      <c r="C238" s="11">
        <v>42</v>
      </c>
      <c r="D238" s="15" t="s">
        <v>16</v>
      </c>
      <c r="E238" s="15" t="s">
        <v>760</v>
      </c>
      <c r="F238" s="15" t="s">
        <v>287</v>
      </c>
      <c r="G238" s="15" t="s">
        <v>12</v>
      </c>
      <c r="H238" s="24" t="s">
        <v>26</v>
      </c>
    </row>
    <row r="239" spans="1:8" x14ac:dyDescent="0.3">
      <c r="A239" s="23" t="s">
        <v>761</v>
      </c>
      <c r="B239" s="15" t="s">
        <v>762</v>
      </c>
      <c r="C239" s="11">
        <v>41</v>
      </c>
      <c r="D239" s="15" t="s">
        <v>16</v>
      </c>
      <c r="E239" s="15" t="s">
        <v>763</v>
      </c>
      <c r="F239" s="15" t="s">
        <v>66</v>
      </c>
      <c r="G239" s="15" t="s">
        <v>12</v>
      </c>
      <c r="H239" s="24" t="s">
        <v>13</v>
      </c>
    </row>
    <row r="240" spans="1:8" x14ac:dyDescent="0.3">
      <c r="A240" s="23" t="s">
        <v>764</v>
      </c>
      <c r="B240" s="15" t="s">
        <v>765</v>
      </c>
      <c r="C240" s="11">
        <v>40</v>
      </c>
      <c r="D240" s="15" t="s">
        <v>9</v>
      </c>
      <c r="E240" s="15" t="s">
        <v>766</v>
      </c>
      <c r="F240" s="15" t="s">
        <v>43</v>
      </c>
      <c r="G240" s="15" t="s">
        <v>12</v>
      </c>
      <c r="H240" s="24" t="s">
        <v>19</v>
      </c>
    </row>
    <row r="241" spans="1:8" x14ac:dyDescent="0.3">
      <c r="A241" s="23" t="s">
        <v>767</v>
      </c>
      <c r="B241" s="15" t="s">
        <v>768</v>
      </c>
      <c r="C241" s="11">
        <v>58</v>
      </c>
      <c r="D241" s="15" t="s">
        <v>16</v>
      </c>
      <c r="E241" s="15" t="s">
        <v>769</v>
      </c>
      <c r="F241" s="15" t="s">
        <v>184</v>
      </c>
      <c r="G241" s="15" t="s">
        <v>12</v>
      </c>
      <c r="H241" s="24" t="s">
        <v>19</v>
      </c>
    </row>
    <row r="242" spans="1:8" x14ac:dyDescent="0.3">
      <c r="A242" s="23" t="s">
        <v>770</v>
      </c>
      <c r="B242" s="15" t="s">
        <v>771</v>
      </c>
      <c r="C242" s="11">
        <v>59</v>
      </c>
      <c r="D242" s="15" t="s">
        <v>16</v>
      </c>
      <c r="E242" s="15" t="s">
        <v>772</v>
      </c>
      <c r="F242" s="15" t="s">
        <v>156</v>
      </c>
      <c r="G242" s="15" t="s">
        <v>12</v>
      </c>
      <c r="H242" s="24" t="s">
        <v>19</v>
      </c>
    </row>
    <row r="243" spans="1:8" x14ac:dyDescent="0.3">
      <c r="A243" s="23" t="s">
        <v>773</v>
      </c>
      <c r="B243" s="15" t="s">
        <v>774</v>
      </c>
      <c r="C243" s="11">
        <v>31</v>
      </c>
      <c r="D243" s="15" t="s">
        <v>9</v>
      </c>
      <c r="E243" s="15" t="s">
        <v>775</v>
      </c>
      <c r="F243" s="15" t="s">
        <v>287</v>
      </c>
      <c r="G243" s="15" t="s">
        <v>12</v>
      </c>
      <c r="H243" s="24" t="s">
        <v>19</v>
      </c>
    </row>
    <row r="244" spans="1:8" x14ac:dyDescent="0.3">
      <c r="A244" s="23" t="s">
        <v>776</v>
      </c>
      <c r="B244" s="15" t="s">
        <v>777</v>
      </c>
      <c r="C244" s="11">
        <v>58</v>
      </c>
      <c r="D244" s="15" t="s">
        <v>16</v>
      </c>
      <c r="E244" s="15" t="s">
        <v>778</v>
      </c>
      <c r="F244" s="15" t="s">
        <v>167</v>
      </c>
      <c r="G244" s="15" t="s">
        <v>12</v>
      </c>
      <c r="H244" s="24" t="s">
        <v>31</v>
      </c>
    </row>
    <row r="245" spans="1:8" x14ac:dyDescent="0.3">
      <c r="A245" s="23" t="s">
        <v>779</v>
      </c>
      <c r="B245" s="15" t="s">
        <v>780</v>
      </c>
      <c r="C245" s="11">
        <v>56</v>
      </c>
      <c r="D245" s="15" t="s">
        <v>16</v>
      </c>
      <c r="E245" s="15" t="s">
        <v>781</v>
      </c>
      <c r="F245" s="15" t="s">
        <v>359</v>
      </c>
      <c r="G245" s="15" t="s">
        <v>12</v>
      </c>
      <c r="H245" s="24" t="s">
        <v>13</v>
      </c>
    </row>
    <row r="246" spans="1:8" x14ac:dyDescent="0.3">
      <c r="A246" s="23" t="s">
        <v>782</v>
      </c>
      <c r="B246" s="15" t="s">
        <v>783</v>
      </c>
      <c r="C246" s="11">
        <v>19</v>
      </c>
      <c r="D246" s="15" t="s">
        <v>9</v>
      </c>
      <c r="E246" s="15" t="s">
        <v>784</v>
      </c>
      <c r="F246" s="15" t="s">
        <v>117</v>
      </c>
      <c r="G246" s="15" t="s">
        <v>12</v>
      </c>
      <c r="H246" s="24" t="s">
        <v>26</v>
      </c>
    </row>
    <row r="247" spans="1:8" x14ac:dyDescent="0.3">
      <c r="A247" s="23" t="s">
        <v>785</v>
      </c>
      <c r="B247" s="15" t="s">
        <v>786</v>
      </c>
      <c r="C247" s="11">
        <v>57</v>
      </c>
      <c r="D247" s="15" t="s">
        <v>16</v>
      </c>
      <c r="E247" s="15" t="s">
        <v>787</v>
      </c>
      <c r="F247" s="15" t="s">
        <v>156</v>
      </c>
      <c r="G247" s="15" t="s">
        <v>12</v>
      </c>
      <c r="H247" s="24" t="s">
        <v>19</v>
      </c>
    </row>
    <row r="248" spans="1:8" x14ac:dyDescent="0.3">
      <c r="A248" s="23" t="s">
        <v>788</v>
      </c>
      <c r="B248" s="15" t="s">
        <v>789</v>
      </c>
      <c r="C248" s="11">
        <v>58</v>
      </c>
      <c r="D248" s="15" t="s">
        <v>9</v>
      </c>
      <c r="E248" s="15" t="s">
        <v>790</v>
      </c>
      <c r="F248" s="15" t="s">
        <v>291</v>
      </c>
      <c r="G248" s="15" t="s">
        <v>12</v>
      </c>
      <c r="H248" s="24" t="s">
        <v>26</v>
      </c>
    </row>
    <row r="249" spans="1:8" x14ac:dyDescent="0.3">
      <c r="A249" s="23" t="s">
        <v>791</v>
      </c>
      <c r="B249" s="15" t="s">
        <v>792</v>
      </c>
      <c r="C249" s="11">
        <v>32</v>
      </c>
      <c r="D249" s="15" t="s">
        <v>9</v>
      </c>
      <c r="E249" s="15" t="s">
        <v>793</v>
      </c>
      <c r="F249" s="15" t="s">
        <v>47</v>
      </c>
      <c r="G249" s="15" t="s">
        <v>12</v>
      </c>
      <c r="H249" s="24" t="s">
        <v>19</v>
      </c>
    </row>
    <row r="250" spans="1:8" x14ac:dyDescent="0.3">
      <c r="A250" s="23" t="s">
        <v>794</v>
      </c>
      <c r="B250" s="15" t="s">
        <v>795</v>
      </c>
      <c r="C250" s="11">
        <v>19</v>
      </c>
      <c r="D250" s="15" t="s">
        <v>9</v>
      </c>
      <c r="E250" s="15" t="s">
        <v>796</v>
      </c>
      <c r="F250" s="15" t="s">
        <v>184</v>
      </c>
      <c r="G250" s="15" t="s">
        <v>12</v>
      </c>
      <c r="H250" s="24" t="s">
        <v>13</v>
      </c>
    </row>
    <row r="251" spans="1:8" x14ac:dyDescent="0.3">
      <c r="A251" s="23" t="s">
        <v>797</v>
      </c>
      <c r="B251" s="15" t="s">
        <v>798</v>
      </c>
      <c r="C251" s="11">
        <v>41</v>
      </c>
      <c r="D251" s="15" t="s">
        <v>16</v>
      </c>
      <c r="E251" s="15" t="s">
        <v>799</v>
      </c>
      <c r="F251" s="15" t="s">
        <v>58</v>
      </c>
      <c r="G251" s="15" t="s">
        <v>12</v>
      </c>
      <c r="H251" s="24" t="s">
        <v>13</v>
      </c>
    </row>
    <row r="252" spans="1:8" x14ac:dyDescent="0.3">
      <c r="A252" s="23" t="s">
        <v>800</v>
      </c>
      <c r="B252" s="15" t="s">
        <v>801</v>
      </c>
      <c r="C252" s="11">
        <v>48</v>
      </c>
      <c r="D252" s="15" t="s">
        <v>9</v>
      </c>
      <c r="E252" s="15" t="s">
        <v>802</v>
      </c>
      <c r="F252" s="15" t="s">
        <v>92</v>
      </c>
      <c r="G252" s="15" t="s">
        <v>12</v>
      </c>
      <c r="H252" s="24" t="s">
        <v>19</v>
      </c>
    </row>
    <row r="253" spans="1:8" x14ac:dyDescent="0.3">
      <c r="A253" s="23" t="s">
        <v>803</v>
      </c>
      <c r="B253" s="15" t="s">
        <v>804</v>
      </c>
      <c r="C253" s="11">
        <v>64</v>
      </c>
      <c r="D253" s="15" t="s">
        <v>9</v>
      </c>
      <c r="E253" s="15" t="s">
        <v>805</v>
      </c>
      <c r="F253" s="15" t="s">
        <v>22</v>
      </c>
      <c r="G253" s="15" t="s">
        <v>12</v>
      </c>
      <c r="H253" s="24" t="s">
        <v>31</v>
      </c>
    </row>
    <row r="254" spans="1:8" x14ac:dyDescent="0.3">
      <c r="A254" s="23" t="s">
        <v>806</v>
      </c>
      <c r="B254" s="15" t="s">
        <v>807</v>
      </c>
      <c r="C254" s="11">
        <v>26</v>
      </c>
      <c r="D254" s="15" t="s">
        <v>9</v>
      </c>
      <c r="E254" s="15" t="s">
        <v>808</v>
      </c>
      <c r="F254" s="15" t="s">
        <v>39</v>
      </c>
      <c r="G254" s="15" t="s">
        <v>12</v>
      </c>
      <c r="H254" s="24" t="s">
        <v>31</v>
      </c>
    </row>
    <row r="255" spans="1:8" x14ac:dyDescent="0.3">
      <c r="A255" s="23" t="s">
        <v>809</v>
      </c>
      <c r="B255" s="15" t="s">
        <v>810</v>
      </c>
      <c r="C255" s="11">
        <v>32</v>
      </c>
      <c r="D255" s="15" t="s">
        <v>9</v>
      </c>
      <c r="E255" s="15" t="s">
        <v>811</v>
      </c>
      <c r="F255" s="15" t="s">
        <v>324</v>
      </c>
      <c r="G255" s="15" t="s">
        <v>12</v>
      </c>
      <c r="H255" s="24" t="s">
        <v>26</v>
      </c>
    </row>
    <row r="256" spans="1:8" x14ac:dyDescent="0.3">
      <c r="A256" s="23" t="s">
        <v>812</v>
      </c>
      <c r="B256" s="15" t="s">
        <v>813</v>
      </c>
      <c r="C256" s="11">
        <v>34</v>
      </c>
      <c r="D256" s="15" t="s">
        <v>9</v>
      </c>
      <c r="E256" s="15" t="s">
        <v>814</v>
      </c>
      <c r="F256" s="15" t="s">
        <v>163</v>
      </c>
      <c r="G256" s="15" t="s">
        <v>12</v>
      </c>
      <c r="H256" s="24" t="s">
        <v>31</v>
      </c>
    </row>
    <row r="257" spans="1:8" x14ac:dyDescent="0.3">
      <c r="A257" s="23" t="s">
        <v>815</v>
      </c>
      <c r="B257" s="15" t="s">
        <v>816</v>
      </c>
      <c r="C257" s="11">
        <v>21</v>
      </c>
      <c r="D257" s="15" t="s">
        <v>9</v>
      </c>
      <c r="E257" s="15" t="s">
        <v>817</v>
      </c>
      <c r="F257" s="15" t="s">
        <v>25</v>
      </c>
      <c r="G257" s="15" t="s">
        <v>12</v>
      </c>
      <c r="H257" s="24" t="s">
        <v>13</v>
      </c>
    </row>
    <row r="258" spans="1:8" x14ac:dyDescent="0.3">
      <c r="A258" s="23" t="s">
        <v>818</v>
      </c>
      <c r="B258" s="15" t="s">
        <v>819</v>
      </c>
      <c r="C258" s="11">
        <v>57</v>
      </c>
      <c r="D258" s="15" t="s">
        <v>9</v>
      </c>
      <c r="E258" s="15" t="s">
        <v>820</v>
      </c>
      <c r="F258" s="15" t="s">
        <v>291</v>
      </c>
      <c r="G258" s="15" t="s">
        <v>12</v>
      </c>
      <c r="H258" s="24" t="s">
        <v>19</v>
      </c>
    </row>
    <row r="259" spans="1:8" x14ac:dyDescent="0.3">
      <c r="A259" s="23" t="s">
        <v>821</v>
      </c>
      <c r="B259" s="15" t="s">
        <v>822</v>
      </c>
      <c r="C259" s="11">
        <v>42</v>
      </c>
      <c r="D259" s="15" t="s">
        <v>9</v>
      </c>
      <c r="E259" s="15" t="s">
        <v>823</v>
      </c>
      <c r="F259" s="15" t="s">
        <v>715</v>
      </c>
      <c r="G259" s="15" t="s">
        <v>12</v>
      </c>
      <c r="H259" s="24" t="s">
        <v>31</v>
      </c>
    </row>
    <row r="260" spans="1:8" x14ac:dyDescent="0.3">
      <c r="A260" s="23" t="s">
        <v>824</v>
      </c>
      <c r="B260" s="15" t="s">
        <v>825</v>
      </c>
      <c r="C260" s="11">
        <v>24</v>
      </c>
      <c r="D260" s="15" t="s">
        <v>16</v>
      </c>
      <c r="E260" s="15" t="s">
        <v>826</v>
      </c>
      <c r="F260" s="15" t="s">
        <v>359</v>
      </c>
      <c r="G260" s="15" t="s">
        <v>12</v>
      </c>
      <c r="H260" s="24" t="s">
        <v>19</v>
      </c>
    </row>
    <row r="261" spans="1:8" x14ac:dyDescent="0.3">
      <c r="A261" s="23" t="s">
        <v>827</v>
      </c>
      <c r="B261" s="15" t="s">
        <v>828</v>
      </c>
      <c r="C261" s="11">
        <v>32</v>
      </c>
      <c r="D261" s="15" t="s">
        <v>16</v>
      </c>
      <c r="E261" s="15" t="s">
        <v>829</v>
      </c>
      <c r="F261" s="15" t="s">
        <v>96</v>
      </c>
      <c r="G261" s="15" t="s">
        <v>12</v>
      </c>
      <c r="H261" s="24" t="s">
        <v>31</v>
      </c>
    </row>
    <row r="262" spans="1:8" x14ac:dyDescent="0.3">
      <c r="A262" s="23" t="s">
        <v>830</v>
      </c>
      <c r="B262" s="15" t="s">
        <v>831</v>
      </c>
      <c r="C262" s="11">
        <v>63</v>
      </c>
      <c r="D262" s="15" t="s">
        <v>16</v>
      </c>
      <c r="E262" s="15" t="s">
        <v>832</v>
      </c>
      <c r="F262" s="15" t="s">
        <v>133</v>
      </c>
      <c r="G262" s="15" t="s">
        <v>12</v>
      </c>
      <c r="H262" s="24" t="s">
        <v>19</v>
      </c>
    </row>
    <row r="263" spans="1:8" x14ac:dyDescent="0.3">
      <c r="A263" s="23" t="s">
        <v>833</v>
      </c>
      <c r="B263" s="15" t="s">
        <v>834</v>
      </c>
      <c r="C263" s="11">
        <v>27</v>
      </c>
      <c r="D263" s="15" t="s">
        <v>16</v>
      </c>
      <c r="E263" s="15" t="s">
        <v>835</v>
      </c>
      <c r="F263" s="15" t="s">
        <v>35</v>
      </c>
      <c r="G263" s="15" t="s">
        <v>12</v>
      </c>
      <c r="H263" s="24" t="s">
        <v>31</v>
      </c>
    </row>
    <row r="264" spans="1:8" x14ac:dyDescent="0.3">
      <c r="A264" s="23" t="s">
        <v>836</v>
      </c>
      <c r="B264" s="15" t="s">
        <v>837</v>
      </c>
      <c r="C264" s="11">
        <v>60</v>
      </c>
      <c r="D264" s="15" t="s">
        <v>16</v>
      </c>
      <c r="E264" s="15" t="s">
        <v>838</v>
      </c>
      <c r="F264" s="15" t="s">
        <v>66</v>
      </c>
      <c r="G264" s="15" t="s">
        <v>12</v>
      </c>
      <c r="H264" s="24" t="s">
        <v>31</v>
      </c>
    </row>
    <row r="265" spans="1:8" x14ac:dyDescent="0.3">
      <c r="A265" s="23" t="s">
        <v>839</v>
      </c>
      <c r="B265" s="15" t="s">
        <v>840</v>
      </c>
      <c r="C265" s="11">
        <v>50</v>
      </c>
      <c r="D265" s="15" t="s">
        <v>9</v>
      </c>
      <c r="E265" s="15" t="s">
        <v>841</v>
      </c>
      <c r="F265" s="15" t="s">
        <v>328</v>
      </c>
      <c r="G265" s="15" t="s">
        <v>12</v>
      </c>
      <c r="H265" s="24" t="s">
        <v>26</v>
      </c>
    </row>
    <row r="266" spans="1:8" x14ac:dyDescent="0.3">
      <c r="A266" s="23" t="s">
        <v>842</v>
      </c>
      <c r="B266" s="15" t="s">
        <v>843</v>
      </c>
      <c r="C266" s="11">
        <v>25</v>
      </c>
      <c r="D266" s="15" t="s">
        <v>9</v>
      </c>
      <c r="E266" s="15" t="s">
        <v>844</v>
      </c>
      <c r="F266" s="15" t="s">
        <v>845</v>
      </c>
      <c r="G266" s="15" t="s">
        <v>12</v>
      </c>
      <c r="H266" s="24" t="s">
        <v>13</v>
      </c>
    </row>
    <row r="267" spans="1:8" x14ac:dyDescent="0.3">
      <c r="A267" s="23" t="s">
        <v>846</v>
      </c>
      <c r="B267" s="15" t="s">
        <v>847</v>
      </c>
      <c r="C267" s="11">
        <v>38</v>
      </c>
      <c r="D267" s="15" t="s">
        <v>9</v>
      </c>
      <c r="E267" s="15" t="s">
        <v>848</v>
      </c>
      <c r="F267" s="15" t="s">
        <v>237</v>
      </c>
      <c r="G267" s="15" t="s">
        <v>12</v>
      </c>
      <c r="H267" s="24" t="s">
        <v>31</v>
      </c>
    </row>
    <row r="268" spans="1:8" x14ac:dyDescent="0.3">
      <c r="A268" s="23" t="s">
        <v>849</v>
      </c>
      <c r="B268" s="15" t="s">
        <v>850</v>
      </c>
      <c r="C268" s="11">
        <v>32</v>
      </c>
      <c r="D268" s="15" t="s">
        <v>16</v>
      </c>
      <c r="E268" s="15" t="s">
        <v>851</v>
      </c>
      <c r="F268" s="15" t="s">
        <v>588</v>
      </c>
      <c r="G268" s="15" t="s">
        <v>12</v>
      </c>
      <c r="H268" s="24" t="s">
        <v>26</v>
      </c>
    </row>
    <row r="269" spans="1:8" x14ac:dyDescent="0.3">
      <c r="A269" s="23" t="s">
        <v>852</v>
      </c>
      <c r="B269" s="15" t="s">
        <v>853</v>
      </c>
      <c r="C269" s="11">
        <v>18</v>
      </c>
      <c r="D269" s="15" t="s">
        <v>9</v>
      </c>
      <c r="E269" s="15" t="s">
        <v>781</v>
      </c>
      <c r="F269" s="15" t="s">
        <v>66</v>
      </c>
      <c r="G269" s="15" t="s">
        <v>12</v>
      </c>
      <c r="H269" s="24" t="s">
        <v>26</v>
      </c>
    </row>
    <row r="270" spans="1:8" x14ac:dyDescent="0.3">
      <c r="A270" s="23" t="s">
        <v>854</v>
      </c>
      <c r="B270" s="15" t="s">
        <v>855</v>
      </c>
      <c r="C270" s="11">
        <v>53</v>
      </c>
      <c r="D270" s="15" t="s">
        <v>16</v>
      </c>
      <c r="E270" s="15" t="s">
        <v>856</v>
      </c>
      <c r="F270" s="15" t="s">
        <v>201</v>
      </c>
      <c r="G270" s="15" t="s">
        <v>12</v>
      </c>
      <c r="H270" s="24" t="s">
        <v>26</v>
      </c>
    </row>
    <row r="271" spans="1:8" x14ac:dyDescent="0.3">
      <c r="A271" s="23" t="s">
        <v>857</v>
      </c>
      <c r="B271" s="15" t="s">
        <v>858</v>
      </c>
      <c r="C271" s="11">
        <v>45</v>
      </c>
      <c r="D271" s="15" t="s">
        <v>16</v>
      </c>
      <c r="E271" s="15" t="s">
        <v>859</v>
      </c>
      <c r="F271" s="15" t="s">
        <v>30</v>
      </c>
      <c r="G271" s="15" t="s">
        <v>12</v>
      </c>
      <c r="H271" s="24" t="s">
        <v>31</v>
      </c>
    </row>
    <row r="272" spans="1:8" x14ac:dyDescent="0.3">
      <c r="A272" s="23" t="s">
        <v>860</v>
      </c>
      <c r="B272" s="15" t="s">
        <v>861</v>
      </c>
      <c r="C272" s="11">
        <v>31</v>
      </c>
      <c r="D272" s="15" t="s">
        <v>16</v>
      </c>
      <c r="E272" s="15" t="s">
        <v>862</v>
      </c>
      <c r="F272" s="15" t="s">
        <v>328</v>
      </c>
      <c r="G272" s="15" t="s">
        <v>12</v>
      </c>
      <c r="H272" s="24" t="s">
        <v>13</v>
      </c>
    </row>
    <row r="273" spans="1:8" x14ac:dyDescent="0.3">
      <c r="A273" s="23" t="s">
        <v>863</v>
      </c>
      <c r="B273" s="15" t="s">
        <v>864</v>
      </c>
      <c r="C273" s="11">
        <v>64</v>
      </c>
      <c r="D273" s="15" t="s">
        <v>9</v>
      </c>
      <c r="E273" s="15" t="s">
        <v>865</v>
      </c>
      <c r="F273" s="15" t="s">
        <v>70</v>
      </c>
      <c r="G273" s="15" t="s">
        <v>12</v>
      </c>
      <c r="H273" s="24" t="s">
        <v>19</v>
      </c>
    </row>
    <row r="274" spans="1:8" x14ac:dyDescent="0.3">
      <c r="A274" s="23" t="s">
        <v>866</v>
      </c>
      <c r="B274" s="15" t="s">
        <v>867</v>
      </c>
      <c r="C274" s="11">
        <v>48</v>
      </c>
      <c r="D274" s="15" t="s">
        <v>16</v>
      </c>
      <c r="E274" s="15" t="s">
        <v>868</v>
      </c>
      <c r="F274" s="15" t="s">
        <v>30</v>
      </c>
      <c r="G274" s="15" t="s">
        <v>12</v>
      </c>
      <c r="H274" s="24" t="s">
        <v>13</v>
      </c>
    </row>
    <row r="275" spans="1:8" x14ac:dyDescent="0.3">
      <c r="A275" s="23" t="s">
        <v>869</v>
      </c>
      <c r="B275" s="15" t="s">
        <v>870</v>
      </c>
      <c r="C275" s="11">
        <v>23</v>
      </c>
      <c r="D275" s="15" t="s">
        <v>9</v>
      </c>
      <c r="E275" s="15" t="s">
        <v>871</v>
      </c>
      <c r="F275" s="15" t="s">
        <v>313</v>
      </c>
      <c r="G275" s="15" t="s">
        <v>12</v>
      </c>
      <c r="H275" s="24" t="s">
        <v>26</v>
      </c>
    </row>
    <row r="276" spans="1:8" x14ac:dyDescent="0.3">
      <c r="A276" s="23" t="s">
        <v>872</v>
      </c>
      <c r="B276" s="15" t="s">
        <v>873</v>
      </c>
      <c r="C276" s="11">
        <v>38</v>
      </c>
      <c r="D276" s="15" t="s">
        <v>9</v>
      </c>
      <c r="E276" s="15" t="s">
        <v>874</v>
      </c>
      <c r="F276" s="15" t="s">
        <v>171</v>
      </c>
      <c r="G276" s="15" t="s">
        <v>12</v>
      </c>
      <c r="H276" s="24" t="s">
        <v>31</v>
      </c>
    </row>
    <row r="277" spans="1:8" x14ac:dyDescent="0.3">
      <c r="A277" s="23" t="s">
        <v>875</v>
      </c>
      <c r="B277" s="15" t="s">
        <v>876</v>
      </c>
      <c r="C277" s="11">
        <v>22</v>
      </c>
      <c r="D277" s="15" t="s">
        <v>9</v>
      </c>
      <c r="E277" s="15" t="s">
        <v>877</v>
      </c>
      <c r="F277" s="15" t="s">
        <v>588</v>
      </c>
      <c r="G277" s="15" t="s">
        <v>12</v>
      </c>
      <c r="H277" s="24" t="s">
        <v>13</v>
      </c>
    </row>
    <row r="278" spans="1:8" x14ac:dyDescent="0.3">
      <c r="A278" s="23" t="s">
        <v>878</v>
      </c>
      <c r="B278" s="15" t="s">
        <v>879</v>
      </c>
      <c r="C278" s="11">
        <v>38</v>
      </c>
      <c r="D278" s="15" t="s">
        <v>9</v>
      </c>
      <c r="E278" s="15" t="s">
        <v>880</v>
      </c>
      <c r="F278" s="15" t="s">
        <v>184</v>
      </c>
      <c r="G278" s="15" t="s">
        <v>12</v>
      </c>
      <c r="H278" s="24" t="s">
        <v>13</v>
      </c>
    </row>
    <row r="279" spans="1:8" x14ac:dyDescent="0.3">
      <c r="A279" s="23" t="s">
        <v>881</v>
      </c>
      <c r="B279" s="15" t="s">
        <v>882</v>
      </c>
      <c r="C279" s="11">
        <v>22</v>
      </c>
      <c r="D279" s="15" t="s">
        <v>16</v>
      </c>
      <c r="E279" s="15" t="s">
        <v>883</v>
      </c>
      <c r="F279" s="15" t="s">
        <v>274</v>
      </c>
      <c r="G279" s="15" t="s">
        <v>12</v>
      </c>
      <c r="H279" s="24" t="s">
        <v>19</v>
      </c>
    </row>
    <row r="280" spans="1:8" x14ac:dyDescent="0.3">
      <c r="A280" s="23" t="s">
        <v>884</v>
      </c>
      <c r="B280" s="15" t="s">
        <v>885</v>
      </c>
      <c r="C280" s="11">
        <v>42</v>
      </c>
      <c r="D280" s="15" t="s">
        <v>16</v>
      </c>
      <c r="E280" s="15" t="s">
        <v>886</v>
      </c>
      <c r="F280" s="15" t="s">
        <v>217</v>
      </c>
      <c r="G280" s="15" t="s">
        <v>12</v>
      </c>
      <c r="H280" s="24" t="s">
        <v>19</v>
      </c>
    </row>
    <row r="281" spans="1:8" x14ac:dyDescent="0.3">
      <c r="A281" s="23" t="s">
        <v>887</v>
      </c>
      <c r="B281" s="15" t="s">
        <v>888</v>
      </c>
      <c r="C281" s="11">
        <v>21</v>
      </c>
      <c r="D281" s="15" t="s">
        <v>16</v>
      </c>
      <c r="E281" s="15" t="s">
        <v>889</v>
      </c>
      <c r="F281" s="15" t="s">
        <v>25</v>
      </c>
      <c r="G281" s="15" t="s">
        <v>12</v>
      </c>
      <c r="H281" s="24" t="s">
        <v>26</v>
      </c>
    </row>
    <row r="282" spans="1:8" x14ac:dyDescent="0.3">
      <c r="A282" s="23" t="s">
        <v>890</v>
      </c>
      <c r="B282" s="15" t="s">
        <v>891</v>
      </c>
      <c r="C282" s="11">
        <v>48</v>
      </c>
      <c r="D282" s="15" t="s">
        <v>9</v>
      </c>
      <c r="E282" s="15" t="s">
        <v>892</v>
      </c>
      <c r="F282" s="15" t="s">
        <v>99</v>
      </c>
      <c r="G282" s="15" t="s">
        <v>12</v>
      </c>
      <c r="H282" s="24" t="s">
        <v>26</v>
      </c>
    </row>
    <row r="283" spans="1:8" x14ac:dyDescent="0.3">
      <c r="A283" s="23" t="s">
        <v>893</v>
      </c>
      <c r="B283" s="15" t="s">
        <v>894</v>
      </c>
      <c r="C283" s="11">
        <v>59</v>
      </c>
      <c r="D283" s="15" t="s">
        <v>9</v>
      </c>
      <c r="E283" s="15" t="s">
        <v>895</v>
      </c>
      <c r="F283" s="15" t="s">
        <v>167</v>
      </c>
      <c r="G283" s="15" t="s">
        <v>12</v>
      </c>
      <c r="H283" s="24" t="s">
        <v>19</v>
      </c>
    </row>
    <row r="284" spans="1:8" x14ac:dyDescent="0.3">
      <c r="A284" s="23" t="s">
        <v>896</v>
      </c>
      <c r="B284" s="15" t="s">
        <v>897</v>
      </c>
      <c r="C284" s="11">
        <v>46</v>
      </c>
      <c r="D284" s="15" t="s">
        <v>16</v>
      </c>
      <c r="E284" s="15" t="s">
        <v>898</v>
      </c>
      <c r="F284" s="15" t="s">
        <v>88</v>
      </c>
      <c r="G284" s="15" t="s">
        <v>12</v>
      </c>
      <c r="H284" s="24" t="s">
        <v>13</v>
      </c>
    </row>
    <row r="285" spans="1:8" x14ac:dyDescent="0.3">
      <c r="A285" s="23" t="s">
        <v>899</v>
      </c>
      <c r="B285" s="15" t="s">
        <v>900</v>
      </c>
      <c r="C285" s="11">
        <v>54</v>
      </c>
      <c r="D285" s="15" t="s">
        <v>16</v>
      </c>
      <c r="E285" s="15" t="s">
        <v>901</v>
      </c>
      <c r="F285" s="15" t="s">
        <v>845</v>
      </c>
      <c r="G285" s="15" t="s">
        <v>12</v>
      </c>
      <c r="H285" s="24" t="s">
        <v>31</v>
      </c>
    </row>
    <row r="286" spans="1:8" x14ac:dyDescent="0.3">
      <c r="A286" s="23" t="s">
        <v>902</v>
      </c>
      <c r="B286" s="15" t="s">
        <v>903</v>
      </c>
      <c r="C286" s="11">
        <v>54</v>
      </c>
      <c r="D286" s="15" t="s">
        <v>9</v>
      </c>
      <c r="E286" s="15" t="s">
        <v>904</v>
      </c>
      <c r="F286" s="15" t="s">
        <v>167</v>
      </c>
      <c r="G286" s="15" t="s">
        <v>12</v>
      </c>
      <c r="H286" s="24" t="s">
        <v>13</v>
      </c>
    </row>
    <row r="287" spans="1:8" x14ac:dyDescent="0.3">
      <c r="A287" s="23" t="s">
        <v>905</v>
      </c>
      <c r="B287" s="15" t="s">
        <v>906</v>
      </c>
      <c r="C287" s="11">
        <v>46</v>
      </c>
      <c r="D287" s="15" t="s">
        <v>16</v>
      </c>
      <c r="E287" s="15" t="s">
        <v>907</v>
      </c>
      <c r="F287" s="15" t="s">
        <v>715</v>
      </c>
      <c r="G287" s="15" t="s">
        <v>12</v>
      </c>
      <c r="H287" s="24" t="s">
        <v>31</v>
      </c>
    </row>
    <row r="288" spans="1:8" x14ac:dyDescent="0.3">
      <c r="A288" s="23" t="s">
        <v>908</v>
      </c>
      <c r="B288" s="15" t="s">
        <v>909</v>
      </c>
      <c r="C288" s="11">
        <v>22</v>
      </c>
      <c r="D288" s="15" t="s">
        <v>9</v>
      </c>
      <c r="E288" s="15" t="s">
        <v>910</v>
      </c>
      <c r="F288" s="15" t="s">
        <v>39</v>
      </c>
      <c r="G288" s="15" t="s">
        <v>12</v>
      </c>
      <c r="H288" s="24" t="s">
        <v>31</v>
      </c>
    </row>
    <row r="289" spans="1:8" x14ac:dyDescent="0.3">
      <c r="A289" s="23" t="s">
        <v>911</v>
      </c>
      <c r="B289" s="15" t="s">
        <v>912</v>
      </c>
      <c r="C289" s="11">
        <v>22</v>
      </c>
      <c r="D289" s="15" t="s">
        <v>16</v>
      </c>
      <c r="E289" s="15" t="s">
        <v>913</v>
      </c>
      <c r="F289" s="15" t="s">
        <v>171</v>
      </c>
      <c r="G289" s="15" t="s">
        <v>12</v>
      </c>
      <c r="H289" s="24" t="s">
        <v>13</v>
      </c>
    </row>
    <row r="290" spans="1:8" x14ac:dyDescent="0.3">
      <c r="A290" s="23" t="s">
        <v>914</v>
      </c>
      <c r="B290" s="15" t="s">
        <v>915</v>
      </c>
      <c r="C290" s="11">
        <v>58</v>
      </c>
      <c r="D290" s="15" t="s">
        <v>9</v>
      </c>
      <c r="E290" s="15" t="s">
        <v>916</v>
      </c>
      <c r="F290" s="15" t="s">
        <v>167</v>
      </c>
      <c r="G290" s="15" t="s">
        <v>12</v>
      </c>
      <c r="H290" s="24" t="s">
        <v>13</v>
      </c>
    </row>
    <row r="291" spans="1:8" x14ac:dyDescent="0.3">
      <c r="A291" s="23" t="s">
        <v>917</v>
      </c>
      <c r="B291" s="15" t="s">
        <v>918</v>
      </c>
      <c r="C291" s="11">
        <v>45</v>
      </c>
      <c r="D291" s="15" t="s">
        <v>9</v>
      </c>
      <c r="E291" s="15" t="s">
        <v>919</v>
      </c>
      <c r="F291" s="15" t="s">
        <v>25</v>
      </c>
      <c r="G291" s="15" t="s">
        <v>12</v>
      </c>
      <c r="H291" s="24" t="s">
        <v>26</v>
      </c>
    </row>
    <row r="292" spans="1:8" x14ac:dyDescent="0.3">
      <c r="A292" s="23" t="s">
        <v>920</v>
      </c>
      <c r="B292" s="15" t="s">
        <v>921</v>
      </c>
      <c r="C292" s="11">
        <v>52</v>
      </c>
      <c r="D292" s="15" t="s">
        <v>16</v>
      </c>
      <c r="E292" s="15" t="s">
        <v>922</v>
      </c>
      <c r="F292" s="15" t="s">
        <v>287</v>
      </c>
      <c r="G292" s="15" t="s">
        <v>12</v>
      </c>
      <c r="H292" s="24" t="s">
        <v>31</v>
      </c>
    </row>
    <row r="293" spans="1:8" x14ac:dyDescent="0.3">
      <c r="A293" s="23" t="s">
        <v>923</v>
      </c>
      <c r="B293" s="15" t="s">
        <v>924</v>
      </c>
      <c r="C293" s="11">
        <v>40</v>
      </c>
      <c r="D293" s="15" t="s">
        <v>16</v>
      </c>
      <c r="E293" s="15" t="s">
        <v>925</v>
      </c>
      <c r="F293" s="15" t="s">
        <v>113</v>
      </c>
      <c r="G293" s="15" t="s">
        <v>12</v>
      </c>
      <c r="H293" s="24" t="s">
        <v>26</v>
      </c>
    </row>
    <row r="294" spans="1:8" x14ac:dyDescent="0.3">
      <c r="A294" s="23" t="s">
        <v>926</v>
      </c>
      <c r="B294" s="15" t="s">
        <v>927</v>
      </c>
      <c r="C294" s="11">
        <v>30</v>
      </c>
      <c r="D294" s="15" t="s">
        <v>9</v>
      </c>
      <c r="E294" s="15" t="s">
        <v>928</v>
      </c>
      <c r="F294" s="15" t="s">
        <v>201</v>
      </c>
      <c r="G294" s="15" t="s">
        <v>12</v>
      </c>
      <c r="H294" s="24" t="s">
        <v>31</v>
      </c>
    </row>
    <row r="295" spans="1:8" x14ac:dyDescent="0.3">
      <c r="A295" s="23" t="s">
        <v>929</v>
      </c>
      <c r="B295" s="15" t="s">
        <v>930</v>
      </c>
      <c r="C295" s="11">
        <v>56</v>
      </c>
      <c r="D295" s="15" t="s">
        <v>16</v>
      </c>
      <c r="E295" s="15" t="s">
        <v>931</v>
      </c>
      <c r="F295" s="15" t="s">
        <v>328</v>
      </c>
      <c r="G295" s="15" t="s">
        <v>12</v>
      </c>
      <c r="H295" s="24" t="s">
        <v>19</v>
      </c>
    </row>
    <row r="296" spans="1:8" x14ac:dyDescent="0.3">
      <c r="A296" s="23" t="s">
        <v>932</v>
      </c>
      <c r="B296" s="15" t="s">
        <v>933</v>
      </c>
      <c r="C296" s="11">
        <v>29</v>
      </c>
      <c r="D296" s="15" t="s">
        <v>9</v>
      </c>
      <c r="E296" s="15" t="s">
        <v>573</v>
      </c>
      <c r="F296" s="15" t="s">
        <v>66</v>
      </c>
      <c r="G296" s="15" t="s">
        <v>12</v>
      </c>
      <c r="H296" s="24" t="s">
        <v>19</v>
      </c>
    </row>
    <row r="297" spans="1:8" x14ac:dyDescent="0.3">
      <c r="A297" s="23" t="s">
        <v>934</v>
      </c>
      <c r="B297" s="15" t="s">
        <v>935</v>
      </c>
      <c r="C297" s="11">
        <v>19</v>
      </c>
      <c r="D297" s="15" t="s">
        <v>16</v>
      </c>
      <c r="E297" s="15" t="s">
        <v>936</v>
      </c>
      <c r="F297" s="15" t="s">
        <v>62</v>
      </c>
      <c r="G297" s="15" t="s">
        <v>12</v>
      </c>
      <c r="H297" s="24" t="s">
        <v>26</v>
      </c>
    </row>
    <row r="298" spans="1:8" x14ac:dyDescent="0.3">
      <c r="A298" s="23" t="s">
        <v>937</v>
      </c>
      <c r="B298" s="15" t="s">
        <v>938</v>
      </c>
      <c r="C298" s="11">
        <v>28</v>
      </c>
      <c r="D298" s="15" t="s">
        <v>16</v>
      </c>
      <c r="E298" s="15" t="s">
        <v>297</v>
      </c>
      <c r="F298" s="15" t="s">
        <v>43</v>
      </c>
      <c r="G298" s="15" t="s">
        <v>12</v>
      </c>
      <c r="H298" s="24" t="s">
        <v>26</v>
      </c>
    </row>
    <row r="299" spans="1:8" x14ac:dyDescent="0.3">
      <c r="A299" s="23" t="s">
        <v>939</v>
      </c>
      <c r="B299" s="15" t="s">
        <v>940</v>
      </c>
      <c r="C299" s="11">
        <v>47</v>
      </c>
      <c r="D299" s="15" t="s">
        <v>16</v>
      </c>
      <c r="E299" s="15" t="s">
        <v>941</v>
      </c>
      <c r="F299" s="15" t="s">
        <v>113</v>
      </c>
      <c r="G299" s="15" t="s">
        <v>12</v>
      </c>
      <c r="H299" s="24" t="s">
        <v>31</v>
      </c>
    </row>
    <row r="300" spans="1:8" x14ac:dyDescent="0.3">
      <c r="A300" s="23" t="s">
        <v>942</v>
      </c>
      <c r="B300" s="15" t="s">
        <v>943</v>
      </c>
      <c r="C300" s="11">
        <v>64</v>
      </c>
      <c r="D300" s="15" t="s">
        <v>9</v>
      </c>
      <c r="E300" s="15" t="s">
        <v>944</v>
      </c>
      <c r="F300" s="15" t="s">
        <v>434</v>
      </c>
      <c r="G300" s="15" t="s">
        <v>12</v>
      </c>
      <c r="H300" s="24" t="s">
        <v>19</v>
      </c>
    </row>
    <row r="301" spans="1:8" x14ac:dyDescent="0.3">
      <c r="A301" s="23" t="s">
        <v>945</v>
      </c>
      <c r="B301" s="15" t="s">
        <v>946</v>
      </c>
      <c r="C301" s="11">
        <v>48</v>
      </c>
      <c r="D301" s="15" t="s">
        <v>16</v>
      </c>
      <c r="E301" s="15" t="s">
        <v>947</v>
      </c>
      <c r="F301" s="15" t="s">
        <v>328</v>
      </c>
      <c r="G301" s="15" t="s">
        <v>12</v>
      </c>
      <c r="H301" s="24" t="s">
        <v>19</v>
      </c>
    </row>
    <row r="302" spans="1:8" x14ac:dyDescent="0.3">
      <c r="A302" s="23" t="s">
        <v>948</v>
      </c>
      <c r="B302" s="15" t="s">
        <v>949</v>
      </c>
      <c r="C302" s="11">
        <v>29</v>
      </c>
      <c r="D302" s="15" t="s">
        <v>9</v>
      </c>
      <c r="E302" s="15" t="s">
        <v>950</v>
      </c>
      <c r="F302" s="15" t="s">
        <v>35</v>
      </c>
      <c r="G302" s="15" t="s">
        <v>12</v>
      </c>
      <c r="H302" s="24" t="s">
        <v>31</v>
      </c>
    </row>
    <row r="303" spans="1:8" x14ac:dyDescent="0.3">
      <c r="A303" s="23" t="s">
        <v>951</v>
      </c>
      <c r="B303" s="15" t="s">
        <v>952</v>
      </c>
      <c r="C303" s="11">
        <v>50</v>
      </c>
      <c r="D303" s="15" t="s">
        <v>9</v>
      </c>
      <c r="E303" s="15" t="s">
        <v>953</v>
      </c>
      <c r="F303" s="15" t="s">
        <v>287</v>
      </c>
      <c r="G303" s="15" t="s">
        <v>12</v>
      </c>
      <c r="H303" s="24" t="s">
        <v>13</v>
      </c>
    </row>
    <row r="304" spans="1:8" x14ac:dyDescent="0.3">
      <c r="A304" s="23" t="s">
        <v>954</v>
      </c>
      <c r="B304" s="15" t="s">
        <v>955</v>
      </c>
      <c r="C304" s="11">
        <v>36</v>
      </c>
      <c r="D304" s="15" t="s">
        <v>9</v>
      </c>
      <c r="E304" s="15" t="s">
        <v>956</v>
      </c>
      <c r="F304" s="15" t="s">
        <v>133</v>
      </c>
      <c r="G304" s="15" t="s">
        <v>12</v>
      </c>
      <c r="H304" s="24" t="s">
        <v>13</v>
      </c>
    </row>
    <row r="305" spans="1:8" x14ac:dyDescent="0.3">
      <c r="A305" s="23" t="s">
        <v>957</v>
      </c>
      <c r="B305" s="15" t="s">
        <v>958</v>
      </c>
      <c r="C305" s="11">
        <v>23</v>
      </c>
      <c r="D305" s="15" t="s">
        <v>16</v>
      </c>
      <c r="E305" s="15" t="s">
        <v>959</v>
      </c>
      <c r="F305" s="15" t="s">
        <v>92</v>
      </c>
      <c r="G305" s="15" t="s">
        <v>12</v>
      </c>
      <c r="H305" s="24" t="s">
        <v>19</v>
      </c>
    </row>
    <row r="306" spans="1:8" x14ac:dyDescent="0.3">
      <c r="A306" s="23" t="s">
        <v>960</v>
      </c>
      <c r="B306" s="15" t="s">
        <v>961</v>
      </c>
      <c r="C306" s="11">
        <v>41</v>
      </c>
      <c r="D306" s="15" t="s">
        <v>9</v>
      </c>
      <c r="E306" s="15" t="s">
        <v>962</v>
      </c>
      <c r="F306" s="15" t="s">
        <v>62</v>
      </c>
      <c r="G306" s="15" t="s">
        <v>12</v>
      </c>
      <c r="H306" s="24" t="s">
        <v>31</v>
      </c>
    </row>
    <row r="307" spans="1:8" x14ac:dyDescent="0.3">
      <c r="A307" s="23" t="s">
        <v>963</v>
      </c>
      <c r="B307" s="15" t="s">
        <v>964</v>
      </c>
      <c r="C307" s="11">
        <v>64</v>
      </c>
      <c r="D307" s="15" t="s">
        <v>9</v>
      </c>
      <c r="E307" s="15" t="s">
        <v>965</v>
      </c>
      <c r="F307" s="15" t="s">
        <v>74</v>
      </c>
      <c r="G307" s="15" t="s">
        <v>12</v>
      </c>
      <c r="H307" s="24" t="s">
        <v>19</v>
      </c>
    </row>
    <row r="308" spans="1:8" x14ac:dyDescent="0.3">
      <c r="A308" s="23" t="s">
        <v>966</v>
      </c>
      <c r="B308" s="15" t="s">
        <v>967</v>
      </c>
      <c r="C308" s="11">
        <v>44</v>
      </c>
      <c r="D308" s="15" t="s">
        <v>9</v>
      </c>
      <c r="E308" s="15" t="s">
        <v>968</v>
      </c>
      <c r="F308" s="15" t="s">
        <v>237</v>
      </c>
      <c r="G308" s="15" t="s">
        <v>12</v>
      </c>
      <c r="H308" s="24" t="s">
        <v>19</v>
      </c>
    </row>
    <row r="309" spans="1:8" x14ac:dyDescent="0.3">
      <c r="A309" s="23" t="s">
        <v>969</v>
      </c>
      <c r="B309" s="15" t="s">
        <v>970</v>
      </c>
      <c r="C309" s="11">
        <v>56</v>
      </c>
      <c r="D309" s="15" t="s">
        <v>16</v>
      </c>
      <c r="E309" s="15" t="s">
        <v>971</v>
      </c>
      <c r="F309" s="15" t="s">
        <v>22</v>
      </c>
      <c r="G309" s="15" t="s">
        <v>12</v>
      </c>
      <c r="H309" s="24" t="s">
        <v>26</v>
      </c>
    </row>
    <row r="310" spans="1:8" x14ac:dyDescent="0.3">
      <c r="A310" s="23" t="s">
        <v>972</v>
      </c>
      <c r="B310" s="15" t="s">
        <v>973</v>
      </c>
      <c r="C310" s="11">
        <v>60</v>
      </c>
      <c r="D310" s="15" t="s">
        <v>16</v>
      </c>
      <c r="E310" s="15" t="s">
        <v>974</v>
      </c>
      <c r="F310" s="15" t="s">
        <v>267</v>
      </c>
      <c r="G310" s="15" t="s">
        <v>12</v>
      </c>
      <c r="H310" s="24" t="s">
        <v>13</v>
      </c>
    </row>
    <row r="311" spans="1:8" x14ac:dyDescent="0.3">
      <c r="A311" s="23" t="s">
        <v>975</v>
      </c>
      <c r="B311" s="15" t="s">
        <v>976</v>
      </c>
      <c r="C311" s="11">
        <v>41</v>
      </c>
      <c r="D311" s="15" t="s">
        <v>16</v>
      </c>
      <c r="E311" s="15" t="s">
        <v>977</v>
      </c>
      <c r="F311" s="15" t="s">
        <v>30</v>
      </c>
      <c r="G311" s="15" t="s">
        <v>12</v>
      </c>
      <c r="H311" s="24" t="s">
        <v>26</v>
      </c>
    </row>
    <row r="312" spans="1:8" x14ac:dyDescent="0.3">
      <c r="A312" s="23" t="s">
        <v>978</v>
      </c>
      <c r="B312" s="15" t="s">
        <v>979</v>
      </c>
      <c r="C312" s="11">
        <v>20</v>
      </c>
      <c r="D312" s="15" t="s">
        <v>9</v>
      </c>
      <c r="E312" s="15" t="s">
        <v>980</v>
      </c>
      <c r="F312" s="15" t="s">
        <v>171</v>
      </c>
      <c r="G312" s="15" t="s">
        <v>12</v>
      </c>
      <c r="H312" s="24" t="s">
        <v>31</v>
      </c>
    </row>
    <row r="313" spans="1:8" x14ac:dyDescent="0.3">
      <c r="A313" s="23" t="s">
        <v>981</v>
      </c>
      <c r="B313" s="15" t="s">
        <v>982</v>
      </c>
      <c r="C313" s="11">
        <v>35</v>
      </c>
      <c r="D313" s="15" t="s">
        <v>9</v>
      </c>
      <c r="E313" s="15" t="s">
        <v>983</v>
      </c>
      <c r="F313" s="15" t="s">
        <v>35</v>
      </c>
      <c r="G313" s="15" t="s">
        <v>12</v>
      </c>
      <c r="H313" s="24" t="s">
        <v>19</v>
      </c>
    </row>
    <row r="314" spans="1:8" x14ac:dyDescent="0.3">
      <c r="A314" s="23" t="s">
        <v>984</v>
      </c>
      <c r="B314" s="15" t="s">
        <v>985</v>
      </c>
      <c r="C314" s="11">
        <v>47</v>
      </c>
      <c r="D314" s="15" t="s">
        <v>16</v>
      </c>
      <c r="E314" s="15" t="s">
        <v>986</v>
      </c>
      <c r="F314" s="15" t="s">
        <v>92</v>
      </c>
      <c r="G314" s="15" t="s">
        <v>12</v>
      </c>
      <c r="H314" s="24" t="s">
        <v>31</v>
      </c>
    </row>
    <row r="315" spans="1:8" x14ac:dyDescent="0.3">
      <c r="A315" s="23" t="s">
        <v>987</v>
      </c>
      <c r="B315" s="15" t="s">
        <v>988</v>
      </c>
      <c r="C315" s="11">
        <v>62</v>
      </c>
      <c r="D315" s="15" t="s">
        <v>9</v>
      </c>
      <c r="E315" s="15" t="s">
        <v>989</v>
      </c>
      <c r="F315" s="15" t="s">
        <v>140</v>
      </c>
      <c r="G315" s="15" t="s">
        <v>12</v>
      </c>
      <c r="H315" s="24" t="s">
        <v>19</v>
      </c>
    </row>
    <row r="316" spans="1:8" x14ac:dyDescent="0.3">
      <c r="A316" s="23" t="s">
        <v>990</v>
      </c>
      <c r="B316" s="15" t="s">
        <v>991</v>
      </c>
      <c r="C316" s="11">
        <v>53</v>
      </c>
      <c r="D316" s="15" t="s">
        <v>16</v>
      </c>
      <c r="E316" s="15" t="s">
        <v>992</v>
      </c>
      <c r="F316" s="15" t="s">
        <v>74</v>
      </c>
      <c r="G316" s="15" t="s">
        <v>12</v>
      </c>
      <c r="H316" s="24" t="s">
        <v>31</v>
      </c>
    </row>
    <row r="317" spans="1:8" x14ac:dyDescent="0.3">
      <c r="A317" s="23" t="s">
        <v>993</v>
      </c>
      <c r="B317" s="15" t="s">
        <v>994</v>
      </c>
      <c r="C317" s="11">
        <v>49</v>
      </c>
      <c r="D317" s="15" t="s">
        <v>9</v>
      </c>
      <c r="E317" s="15" t="s">
        <v>995</v>
      </c>
      <c r="F317" s="15" t="s">
        <v>715</v>
      </c>
      <c r="G317" s="15" t="s">
        <v>12</v>
      </c>
      <c r="H317" s="24" t="s">
        <v>31</v>
      </c>
    </row>
    <row r="318" spans="1:8" x14ac:dyDescent="0.3">
      <c r="A318" s="23" t="s">
        <v>996</v>
      </c>
      <c r="B318" s="15" t="s">
        <v>997</v>
      </c>
      <c r="C318" s="11">
        <v>34</v>
      </c>
      <c r="D318" s="15" t="s">
        <v>9</v>
      </c>
      <c r="E318" s="15" t="s">
        <v>998</v>
      </c>
      <c r="F318" s="15" t="s">
        <v>140</v>
      </c>
      <c r="G318" s="15" t="s">
        <v>12</v>
      </c>
      <c r="H318" s="24" t="s">
        <v>13</v>
      </c>
    </row>
    <row r="319" spans="1:8" x14ac:dyDescent="0.3">
      <c r="A319" s="23" t="s">
        <v>999</v>
      </c>
      <c r="B319" s="15" t="s">
        <v>1000</v>
      </c>
      <c r="C319" s="11">
        <v>64</v>
      </c>
      <c r="D319" s="15" t="s">
        <v>16</v>
      </c>
      <c r="E319" s="15" t="s">
        <v>1001</v>
      </c>
      <c r="F319" s="15" t="s">
        <v>47</v>
      </c>
      <c r="G319" s="15" t="s">
        <v>12</v>
      </c>
      <c r="H319" s="24" t="s">
        <v>13</v>
      </c>
    </row>
    <row r="320" spans="1:8" x14ac:dyDescent="0.3">
      <c r="A320" s="23" t="s">
        <v>1002</v>
      </c>
      <c r="B320" s="15" t="s">
        <v>1003</v>
      </c>
      <c r="C320" s="11">
        <v>25</v>
      </c>
      <c r="D320" s="15" t="s">
        <v>9</v>
      </c>
      <c r="E320" s="15" t="s">
        <v>1004</v>
      </c>
      <c r="F320" s="15" t="s">
        <v>62</v>
      </c>
      <c r="G320" s="15" t="s">
        <v>12</v>
      </c>
      <c r="H320" s="24" t="s">
        <v>19</v>
      </c>
    </row>
    <row r="321" spans="1:8" x14ac:dyDescent="0.3">
      <c r="A321" s="23" t="s">
        <v>1005</v>
      </c>
      <c r="B321" s="15" t="s">
        <v>1006</v>
      </c>
      <c r="C321" s="11">
        <v>54</v>
      </c>
      <c r="D321" s="15" t="s">
        <v>9</v>
      </c>
      <c r="E321" s="15" t="s">
        <v>1007</v>
      </c>
      <c r="F321" s="15" t="s">
        <v>313</v>
      </c>
      <c r="G321" s="15" t="s">
        <v>12</v>
      </c>
      <c r="H321" s="24" t="s">
        <v>19</v>
      </c>
    </row>
    <row r="322" spans="1:8" x14ac:dyDescent="0.3">
      <c r="A322" s="23" t="s">
        <v>1008</v>
      </c>
      <c r="B322" s="15" t="s">
        <v>1009</v>
      </c>
      <c r="C322" s="11">
        <v>34</v>
      </c>
      <c r="D322" s="15" t="s">
        <v>16</v>
      </c>
      <c r="E322" s="15" t="s">
        <v>1010</v>
      </c>
      <c r="F322" s="15" t="s">
        <v>267</v>
      </c>
      <c r="G322" s="15" t="s">
        <v>12</v>
      </c>
      <c r="H322" s="24" t="s">
        <v>26</v>
      </c>
    </row>
    <row r="323" spans="1:8" x14ac:dyDescent="0.3">
      <c r="A323" s="23" t="s">
        <v>1011</v>
      </c>
      <c r="B323" s="15" t="s">
        <v>1012</v>
      </c>
      <c r="C323" s="11">
        <v>21</v>
      </c>
      <c r="D323" s="15" t="s">
        <v>16</v>
      </c>
      <c r="E323" s="15" t="s">
        <v>1013</v>
      </c>
      <c r="F323" s="15" t="s">
        <v>237</v>
      </c>
      <c r="G323" s="15" t="s">
        <v>12</v>
      </c>
      <c r="H323" s="24" t="s">
        <v>26</v>
      </c>
    </row>
    <row r="324" spans="1:8" x14ac:dyDescent="0.3">
      <c r="A324" s="23" t="s">
        <v>1014</v>
      </c>
      <c r="B324" s="15" t="s">
        <v>1015</v>
      </c>
      <c r="C324" s="11">
        <v>54</v>
      </c>
      <c r="D324" s="15" t="s">
        <v>9</v>
      </c>
      <c r="E324" s="15" t="s">
        <v>1016</v>
      </c>
      <c r="F324" s="15" t="s">
        <v>845</v>
      </c>
      <c r="G324" s="15" t="s">
        <v>12</v>
      </c>
      <c r="H324" s="24" t="s">
        <v>26</v>
      </c>
    </row>
    <row r="325" spans="1:8" x14ac:dyDescent="0.3">
      <c r="A325" s="23" t="s">
        <v>1017</v>
      </c>
      <c r="B325" s="15" t="s">
        <v>1018</v>
      </c>
      <c r="C325" s="11">
        <v>64</v>
      </c>
      <c r="D325" s="15" t="s">
        <v>16</v>
      </c>
      <c r="E325" s="15" t="s">
        <v>1019</v>
      </c>
      <c r="F325" s="15" t="s">
        <v>11</v>
      </c>
      <c r="G325" s="15" t="s">
        <v>12</v>
      </c>
      <c r="H325" s="24" t="s">
        <v>19</v>
      </c>
    </row>
    <row r="326" spans="1:8" x14ac:dyDescent="0.3">
      <c r="A326" s="23" t="s">
        <v>1020</v>
      </c>
      <c r="B326" s="15" t="s">
        <v>1021</v>
      </c>
      <c r="C326" s="11">
        <v>58</v>
      </c>
      <c r="D326" s="15" t="s">
        <v>9</v>
      </c>
      <c r="E326" s="15" t="s">
        <v>1022</v>
      </c>
      <c r="F326" s="15" t="s">
        <v>96</v>
      </c>
      <c r="G326" s="15" t="s">
        <v>12</v>
      </c>
      <c r="H326" s="24" t="s">
        <v>26</v>
      </c>
    </row>
    <row r="327" spans="1:8" x14ac:dyDescent="0.3">
      <c r="A327" s="23" t="s">
        <v>1023</v>
      </c>
      <c r="B327" s="15" t="s">
        <v>1024</v>
      </c>
      <c r="C327" s="11">
        <v>60</v>
      </c>
      <c r="D327" s="15" t="s">
        <v>9</v>
      </c>
      <c r="E327" s="15" t="s">
        <v>1025</v>
      </c>
      <c r="F327" s="15" t="s">
        <v>324</v>
      </c>
      <c r="G327" s="15" t="s">
        <v>12</v>
      </c>
      <c r="H327" s="24" t="s">
        <v>26</v>
      </c>
    </row>
    <row r="328" spans="1:8" x14ac:dyDescent="0.3">
      <c r="A328" s="23" t="s">
        <v>1026</v>
      </c>
      <c r="B328" s="15" t="s">
        <v>1027</v>
      </c>
      <c r="C328" s="11">
        <v>58</v>
      </c>
      <c r="D328" s="15" t="s">
        <v>16</v>
      </c>
      <c r="E328" s="15" t="s">
        <v>1028</v>
      </c>
      <c r="F328" s="15" t="s">
        <v>217</v>
      </c>
      <c r="G328" s="15" t="s">
        <v>12</v>
      </c>
      <c r="H328" s="24" t="s">
        <v>13</v>
      </c>
    </row>
    <row r="329" spans="1:8" x14ac:dyDescent="0.3">
      <c r="A329" s="23" t="s">
        <v>1029</v>
      </c>
      <c r="B329" s="15" t="s">
        <v>1030</v>
      </c>
      <c r="C329" s="11">
        <v>62</v>
      </c>
      <c r="D329" s="15" t="s">
        <v>16</v>
      </c>
      <c r="E329" s="15" t="s">
        <v>1031</v>
      </c>
      <c r="F329" s="15" t="s">
        <v>58</v>
      </c>
      <c r="G329" s="15" t="s">
        <v>12</v>
      </c>
      <c r="H329" s="24" t="s">
        <v>26</v>
      </c>
    </row>
    <row r="330" spans="1:8" x14ac:dyDescent="0.3">
      <c r="A330" s="23" t="s">
        <v>1032</v>
      </c>
      <c r="B330" s="15" t="s">
        <v>1033</v>
      </c>
      <c r="C330" s="11">
        <v>46</v>
      </c>
      <c r="D330" s="15" t="s">
        <v>9</v>
      </c>
      <c r="E330" s="15" t="s">
        <v>1034</v>
      </c>
      <c r="F330" s="15" t="s">
        <v>201</v>
      </c>
      <c r="G330" s="15" t="s">
        <v>12</v>
      </c>
      <c r="H330" s="24" t="s">
        <v>19</v>
      </c>
    </row>
    <row r="331" spans="1:8" x14ac:dyDescent="0.3">
      <c r="A331" s="23" t="s">
        <v>1035</v>
      </c>
      <c r="B331" s="15" t="s">
        <v>1036</v>
      </c>
      <c r="C331" s="11">
        <v>62</v>
      </c>
      <c r="D331" s="15" t="s">
        <v>16</v>
      </c>
      <c r="E331" s="15" t="s">
        <v>1037</v>
      </c>
      <c r="F331" s="15" t="s">
        <v>201</v>
      </c>
      <c r="G331" s="15" t="s">
        <v>12</v>
      </c>
      <c r="H331" s="24" t="s">
        <v>26</v>
      </c>
    </row>
    <row r="332" spans="1:8" x14ac:dyDescent="0.3">
      <c r="A332" s="23" t="s">
        <v>1038</v>
      </c>
      <c r="B332" s="15" t="s">
        <v>1039</v>
      </c>
      <c r="C332" s="11">
        <v>54</v>
      </c>
      <c r="D332" s="15" t="s">
        <v>9</v>
      </c>
      <c r="E332" s="15" t="s">
        <v>1040</v>
      </c>
      <c r="F332" s="15" t="s">
        <v>194</v>
      </c>
      <c r="G332" s="15" t="s">
        <v>12</v>
      </c>
      <c r="H332" s="24" t="s">
        <v>19</v>
      </c>
    </row>
    <row r="333" spans="1:8" x14ac:dyDescent="0.3">
      <c r="A333" s="23" t="s">
        <v>1041</v>
      </c>
      <c r="B333" s="15" t="s">
        <v>1042</v>
      </c>
      <c r="C333" s="11">
        <v>38</v>
      </c>
      <c r="D333" s="15" t="s">
        <v>16</v>
      </c>
      <c r="E333" s="15" t="s">
        <v>1043</v>
      </c>
      <c r="F333" s="15" t="s">
        <v>66</v>
      </c>
      <c r="G333" s="15" t="s">
        <v>12</v>
      </c>
      <c r="H333" s="24" t="s">
        <v>26</v>
      </c>
    </row>
    <row r="334" spans="1:8" x14ac:dyDescent="0.3">
      <c r="A334" s="23" t="s">
        <v>1044</v>
      </c>
      <c r="B334" s="15" t="s">
        <v>1045</v>
      </c>
      <c r="C334" s="11">
        <v>34</v>
      </c>
      <c r="D334" s="15" t="s">
        <v>16</v>
      </c>
      <c r="E334" s="15" t="s">
        <v>1046</v>
      </c>
      <c r="F334" s="15" t="s">
        <v>99</v>
      </c>
      <c r="G334" s="15" t="s">
        <v>12</v>
      </c>
      <c r="H334" s="24" t="s">
        <v>26</v>
      </c>
    </row>
    <row r="335" spans="1:8" x14ac:dyDescent="0.3">
      <c r="A335" s="23" t="s">
        <v>1047</v>
      </c>
      <c r="B335" s="15" t="s">
        <v>1048</v>
      </c>
      <c r="C335" s="11">
        <v>64</v>
      </c>
      <c r="D335" s="15" t="s">
        <v>16</v>
      </c>
      <c r="E335" s="15" t="s">
        <v>1049</v>
      </c>
      <c r="F335" s="15" t="s">
        <v>81</v>
      </c>
      <c r="G335" s="15" t="s">
        <v>12</v>
      </c>
      <c r="H335" s="24" t="s">
        <v>13</v>
      </c>
    </row>
    <row r="336" spans="1:8" x14ac:dyDescent="0.3">
      <c r="A336" s="23" t="s">
        <v>1050</v>
      </c>
      <c r="B336" s="15" t="s">
        <v>1051</v>
      </c>
      <c r="C336" s="11">
        <v>50</v>
      </c>
      <c r="D336" s="15" t="s">
        <v>16</v>
      </c>
      <c r="E336" s="15" t="s">
        <v>1052</v>
      </c>
      <c r="F336" s="15" t="s">
        <v>167</v>
      </c>
      <c r="G336" s="15" t="s">
        <v>12</v>
      </c>
      <c r="H336" s="24" t="s">
        <v>31</v>
      </c>
    </row>
    <row r="337" spans="1:8" x14ac:dyDescent="0.3">
      <c r="A337" s="23" t="s">
        <v>1053</v>
      </c>
      <c r="B337" s="15" t="s">
        <v>1054</v>
      </c>
      <c r="C337" s="11">
        <v>37</v>
      </c>
      <c r="D337" s="15" t="s">
        <v>9</v>
      </c>
      <c r="E337" s="15" t="s">
        <v>1055</v>
      </c>
      <c r="F337" s="15" t="s">
        <v>11</v>
      </c>
      <c r="G337" s="15" t="s">
        <v>12</v>
      </c>
      <c r="H337" s="24" t="s">
        <v>19</v>
      </c>
    </row>
    <row r="338" spans="1:8" x14ac:dyDescent="0.3">
      <c r="A338" s="23" t="s">
        <v>1056</v>
      </c>
      <c r="B338" s="15" t="s">
        <v>1057</v>
      </c>
      <c r="C338" s="11">
        <v>58</v>
      </c>
      <c r="D338" s="15" t="s">
        <v>16</v>
      </c>
      <c r="E338" s="15" t="s">
        <v>1058</v>
      </c>
      <c r="F338" s="15" t="s">
        <v>35</v>
      </c>
      <c r="G338" s="15" t="s">
        <v>12</v>
      </c>
      <c r="H338" s="24" t="s">
        <v>31</v>
      </c>
    </row>
    <row r="339" spans="1:8" x14ac:dyDescent="0.3">
      <c r="A339" s="23" t="s">
        <v>1059</v>
      </c>
      <c r="B339" s="15" t="s">
        <v>1060</v>
      </c>
      <c r="C339" s="11">
        <v>40</v>
      </c>
      <c r="D339" s="15" t="s">
        <v>16</v>
      </c>
      <c r="E339" s="15" t="s">
        <v>1061</v>
      </c>
      <c r="F339" s="15" t="s">
        <v>11</v>
      </c>
      <c r="G339" s="15" t="s">
        <v>12</v>
      </c>
      <c r="H339" s="24" t="s">
        <v>26</v>
      </c>
    </row>
    <row r="340" spans="1:8" x14ac:dyDescent="0.3">
      <c r="A340" s="23" t="s">
        <v>1062</v>
      </c>
      <c r="B340" s="15" t="s">
        <v>1063</v>
      </c>
      <c r="C340" s="11">
        <v>46</v>
      </c>
      <c r="D340" s="15" t="s">
        <v>16</v>
      </c>
      <c r="E340" s="15" t="s">
        <v>1064</v>
      </c>
      <c r="F340" s="15" t="s">
        <v>167</v>
      </c>
      <c r="G340" s="15" t="s">
        <v>12</v>
      </c>
      <c r="H340" s="24" t="s">
        <v>31</v>
      </c>
    </row>
    <row r="341" spans="1:8" x14ac:dyDescent="0.3">
      <c r="A341" s="23" t="s">
        <v>1065</v>
      </c>
      <c r="B341" s="15" t="s">
        <v>1066</v>
      </c>
      <c r="C341" s="11">
        <v>52</v>
      </c>
      <c r="D341" s="15" t="s">
        <v>16</v>
      </c>
      <c r="E341" s="15" t="s">
        <v>1067</v>
      </c>
      <c r="F341" s="15" t="s">
        <v>133</v>
      </c>
      <c r="G341" s="15" t="s">
        <v>12</v>
      </c>
      <c r="H341" s="24" t="s">
        <v>19</v>
      </c>
    </row>
    <row r="342" spans="1:8" x14ac:dyDescent="0.3">
      <c r="A342" s="23" t="s">
        <v>1068</v>
      </c>
      <c r="B342" s="15" t="s">
        <v>1069</v>
      </c>
      <c r="C342" s="11">
        <v>27</v>
      </c>
      <c r="D342" s="15" t="s">
        <v>9</v>
      </c>
      <c r="E342" s="15" t="s">
        <v>1070</v>
      </c>
      <c r="F342" s="15" t="s">
        <v>274</v>
      </c>
      <c r="G342" s="15" t="s">
        <v>12</v>
      </c>
      <c r="H342" s="24" t="s">
        <v>26</v>
      </c>
    </row>
    <row r="343" spans="1:8" x14ac:dyDescent="0.3">
      <c r="A343" s="23" t="s">
        <v>1071</v>
      </c>
      <c r="B343" s="15" t="s">
        <v>1072</v>
      </c>
      <c r="C343" s="11">
        <v>56</v>
      </c>
      <c r="D343" s="15" t="s">
        <v>16</v>
      </c>
      <c r="E343" s="15" t="s">
        <v>1073</v>
      </c>
      <c r="F343" s="15" t="s">
        <v>194</v>
      </c>
      <c r="G343" s="15" t="s">
        <v>12</v>
      </c>
      <c r="H343" s="24" t="s">
        <v>26</v>
      </c>
    </row>
    <row r="344" spans="1:8" x14ac:dyDescent="0.3">
      <c r="A344" s="23" t="s">
        <v>1074</v>
      </c>
      <c r="B344" s="15" t="s">
        <v>1075</v>
      </c>
      <c r="C344" s="11">
        <v>30</v>
      </c>
      <c r="D344" s="15" t="s">
        <v>16</v>
      </c>
      <c r="E344" s="15" t="s">
        <v>1076</v>
      </c>
      <c r="F344" s="15" t="s">
        <v>167</v>
      </c>
      <c r="G344" s="15" t="s">
        <v>12</v>
      </c>
      <c r="H344" s="24" t="s">
        <v>26</v>
      </c>
    </row>
    <row r="345" spans="1:8" x14ac:dyDescent="0.3">
      <c r="A345" s="23" t="s">
        <v>1077</v>
      </c>
      <c r="B345" s="15" t="s">
        <v>1078</v>
      </c>
      <c r="C345" s="11">
        <v>38</v>
      </c>
      <c r="D345" s="15" t="s">
        <v>9</v>
      </c>
      <c r="E345" s="15" t="s">
        <v>1079</v>
      </c>
      <c r="F345" s="15" t="s">
        <v>287</v>
      </c>
      <c r="G345" s="15" t="s">
        <v>12</v>
      </c>
      <c r="H345" s="24" t="s">
        <v>26</v>
      </c>
    </row>
    <row r="346" spans="1:8" x14ac:dyDescent="0.3">
      <c r="A346" s="23" t="s">
        <v>1080</v>
      </c>
      <c r="B346" s="15" t="s">
        <v>1081</v>
      </c>
      <c r="C346" s="11">
        <v>39</v>
      </c>
      <c r="D346" s="15" t="s">
        <v>9</v>
      </c>
      <c r="E346" s="15" t="s">
        <v>1082</v>
      </c>
      <c r="F346" s="15" t="s">
        <v>233</v>
      </c>
      <c r="G346" s="15" t="s">
        <v>12</v>
      </c>
      <c r="H346" s="24" t="s">
        <v>13</v>
      </c>
    </row>
    <row r="347" spans="1:8" x14ac:dyDescent="0.3">
      <c r="A347" s="23" t="s">
        <v>1083</v>
      </c>
      <c r="B347" s="15" t="s">
        <v>1084</v>
      </c>
      <c r="C347" s="11">
        <v>33</v>
      </c>
      <c r="D347" s="15" t="s">
        <v>9</v>
      </c>
      <c r="E347" s="15" t="s">
        <v>1085</v>
      </c>
      <c r="F347" s="15" t="s">
        <v>96</v>
      </c>
      <c r="G347" s="15" t="s">
        <v>12</v>
      </c>
      <c r="H347" s="24" t="s">
        <v>26</v>
      </c>
    </row>
    <row r="348" spans="1:8" x14ac:dyDescent="0.3">
      <c r="A348" s="23" t="s">
        <v>1086</v>
      </c>
      <c r="B348" s="15" t="s">
        <v>1087</v>
      </c>
      <c r="C348" s="11">
        <v>58</v>
      </c>
      <c r="D348" s="15" t="s">
        <v>16</v>
      </c>
      <c r="E348" s="15" t="s">
        <v>1088</v>
      </c>
      <c r="F348" s="15" t="s">
        <v>237</v>
      </c>
      <c r="G348" s="15" t="s">
        <v>12</v>
      </c>
      <c r="H348" s="24" t="s">
        <v>19</v>
      </c>
    </row>
    <row r="349" spans="1:8" x14ac:dyDescent="0.3">
      <c r="A349" s="23" t="s">
        <v>1089</v>
      </c>
      <c r="B349" s="15" t="s">
        <v>1090</v>
      </c>
      <c r="C349" s="11">
        <v>39</v>
      </c>
      <c r="D349" s="15" t="s">
        <v>16</v>
      </c>
      <c r="E349" s="15" t="s">
        <v>1091</v>
      </c>
      <c r="F349" s="15" t="s">
        <v>167</v>
      </c>
      <c r="G349" s="15" t="s">
        <v>12</v>
      </c>
      <c r="H349" s="24" t="s">
        <v>13</v>
      </c>
    </row>
    <row r="350" spans="1:8" x14ac:dyDescent="0.3">
      <c r="A350" s="23" t="s">
        <v>1092</v>
      </c>
      <c r="B350" s="15" t="s">
        <v>1093</v>
      </c>
      <c r="C350" s="11">
        <v>55</v>
      </c>
      <c r="D350" s="15" t="s">
        <v>9</v>
      </c>
      <c r="E350" s="15" t="s">
        <v>1094</v>
      </c>
      <c r="F350" s="15" t="s">
        <v>51</v>
      </c>
      <c r="G350" s="15" t="s">
        <v>12</v>
      </c>
      <c r="H350" s="24" t="s">
        <v>31</v>
      </c>
    </row>
    <row r="351" spans="1:8" x14ac:dyDescent="0.3">
      <c r="A351" s="23" t="s">
        <v>1095</v>
      </c>
      <c r="B351" s="15" t="s">
        <v>1096</v>
      </c>
      <c r="C351" s="11">
        <v>31</v>
      </c>
      <c r="D351" s="15" t="s">
        <v>9</v>
      </c>
      <c r="E351" s="15" t="s">
        <v>1097</v>
      </c>
      <c r="F351" s="15" t="s">
        <v>163</v>
      </c>
      <c r="G351" s="15" t="s">
        <v>12</v>
      </c>
      <c r="H351" s="24" t="s">
        <v>26</v>
      </c>
    </row>
    <row r="352" spans="1:8" x14ac:dyDescent="0.3">
      <c r="A352" s="23" t="s">
        <v>1098</v>
      </c>
      <c r="B352" s="15" t="s">
        <v>1099</v>
      </c>
      <c r="C352" s="11">
        <v>26</v>
      </c>
      <c r="D352" s="15" t="s">
        <v>9</v>
      </c>
      <c r="E352" s="15" t="s">
        <v>1100</v>
      </c>
      <c r="F352" s="15" t="s">
        <v>267</v>
      </c>
      <c r="G352" s="15" t="s">
        <v>12</v>
      </c>
      <c r="H352" s="24" t="s">
        <v>31</v>
      </c>
    </row>
    <row r="353" spans="1:8" x14ac:dyDescent="0.3">
      <c r="A353" s="23" t="s">
        <v>1101</v>
      </c>
      <c r="B353" s="15" t="s">
        <v>1102</v>
      </c>
      <c r="C353" s="11">
        <v>25</v>
      </c>
      <c r="D353" s="15" t="s">
        <v>16</v>
      </c>
      <c r="E353" s="15" t="s">
        <v>1103</v>
      </c>
      <c r="F353" s="15" t="s">
        <v>70</v>
      </c>
      <c r="G353" s="15" t="s">
        <v>12</v>
      </c>
      <c r="H353" s="24" t="s">
        <v>26</v>
      </c>
    </row>
    <row r="354" spans="1:8" x14ac:dyDescent="0.3">
      <c r="A354" s="23" t="s">
        <v>1104</v>
      </c>
      <c r="B354" s="15" t="s">
        <v>1105</v>
      </c>
      <c r="C354" s="11">
        <v>52</v>
      </c>
      <c r="D354" s="15" t="s">
        <v>16</v>
      </c>
      <c r="E354" s="15" t="s">
        <v>1106</v>
      </c>
      <c r="F354" s="15" t="s">
        <v>324</v>
      </c>
      <c r="G354" s="15" t="s">
        <v>12</v>
      </c>
      <c r="H354" s="24" t="s">
        <v>31</v>
      </c>
    </row>
    <row r="355" spans="1:8" x14ac:dyDescent="0.3">
      <c r="A355" s="23" t="s">
        <v>1107</v>
      </c>
      <c r="B355" s="15" t="s">
        <v>3931</v>
      </c>
      <c r="C355" s="11">
        <v>56</v>
      </c>
      <c r="D355" s="15" t="s">
        <v>16</v>
      </c>
      <c r="E355" s="15" t="s">
        <v>1108</v>
      </c>
      <c r="F355" s="15" t="s">
        <v>35</v>
      </c>
      <c r="G355" s="15" t="s">
        <v>12</v>
      </c>
      <c r="H355" s="24" t="s">
        <v>19</v>
      </c>
    </row>
    <row r="356" spans="1:8" x14ac:dyDescent="0.3">
      <c r="A356" s="23" t="s">
        <v>1109</v>
      </c>
      <c r="B356" s="15" t="s">
        <v>1110</v>
      </c>
      <c r="C356" s="11">
        <v>38</v>
      </c>
      <c r="D356" s="15" t="s">
        <v>9</v>
      </c>
      <c r="E356" s="15" t="s">
        <v>1111</v>
      </c>
      <c r="F356" s="15" t="s">
        <v>167</v>
      </c>
      <c r="G356" s="15" t="s">
        <v>12</v>
      </c>
      <c r="H356" s="24" t="s">
        <v>31</v>
      </c>
    </row>
    <row r="357" spans="1:8" x14ac:dyDescent="0.3">
      <c r="A357" s="23" t="s">
        <v>1112</v>
      </c>
      <c r="B357" s="15" t="s">
        <v>1113</v>
      </c>
      <c r="C357" s="11">
        <v>20</v>
      </c>
      <c r="D357" s="15" t="s">
        <v>9</v>
      </c>
      <c r="E357" s="15" t="s">
        <v>1114</v>
      </c>
      <c r="F357" s="15" t="s">
        <v>74</v>
      </c>
      <c r="G357" s="15" t="s">
        <v>12</v>
      </c>
      <c r="H357" s="24" t="s">
        <v>13</v>
      </c>
    </row>
    <row r="358" spans="1:8" x14ac:dyDescent="0.3">
      <c r="A358" s="23" t="s">
        <v>1115</v>
      </c>
      <c r="B358" s="15" t="s">
        <v>1116</v>
      </c>
      <c r="C358" s="11">
        <v>54</v>
      </c>
      <c r="D358" s="15" t="s">
        <v>9</v>
      </c>
      <c r="E358" s="15" t="s">
        <v>1117</v>
      </c>
      <c r="F358" s="15" t="s">
        <v>287</v>
      </c>
      <c r="G358" s="15" t="s">
        <v>12</v>
      </c>
      <c r="H358" s="24" t="s">
        <v>26</v>
      </c>
    </row>
    <row r="359" spans="1:8" x14ac:dyDescent="0.3">
      <c r="A359" s="23" t="s">
        <v>1118</v>
      </c>
      <c r="B359" s="15" t="s">
        <v>1119</v>
      </c>
      <c r="C359" s="11">
        <v>41</v>
      </c>
      <c r="D359" s="15" t="s">
        <v>9</v>
      </c>
      <c r="E359" s="15" t="s">
        <v>1120</v>
      </c>
      <c r="F359" s="15" t="s">
        <v>237</v>
      </c>
      <c r="G359" s="15" t="s">
        <v>12</v>
      </c>
      <c r="H359" s="24" t="s">
        <v>13</v>
      </c>
    </row>
    <row r="360" spans="1:8" x14ac:dyDescent="0.3">
      <c r="A360" s="23" t="s">
        <v>1121</v>
      </c>
      <c r="B360" s="15" t="s">
        <v>1122</v>
      </c>
      <c r="C360" s="11">
        <v>60</v>
      </c>
      <c r="D360" s="15" t="s">
        <v>16</v>
      </c>
      <c r="E360" s="15" t="s">
        <v>1123</v>
      </c>
      <c r="F360" s="15" t="s">
        <v>313</v>
      </c>
      <c r="G360" s="15" t="s">
        <v>12</v>
      </c>
      <c r="H360" s="24" t="s">
        <v>13</v>
      </c>
    </row>
    <row r="361" spans="1:8" x14ac:dyDescent="0.3">
      <c r="A361" s="23" t="s">
        <v>1124</v>
      </c>
      <c r="B361" s="15" t="s">
        <v>1125</v>
      </c>
      <c r="C361" s="11">
        <v>32</v>
      </c>
      <c r="D361" s="15" t="s">
        <v>9</v>
      </c>
      <c r="E361" s="15" t="s">
        <v>1126</v>
      </c>
      <c r="F361" s="15" t="s">
        <v>62</v>
      </c>
      <c r="G361" s="15" t="s">
        <v>12</v>
      </c>
      <c r="H361" s="24" t="s">
        <v>31</v>
      </c>
    </row>
    <row r="362" spans="1:8" x14ac:dyDescent="0.3">
      <c r="A362" s="23" t="s">
        <v>1127</v>
      </c>
      <c r="B362" s="15" t="s">
        <v>1128</v>
      </c>
      <c r="C362" s="11">
        <v>34</v>
      </c>
      <c r="D362" s="15" t="s">
        <v>9</v>
      </c>
      <c r="E362" s="15" t="s">
        <v>1129</v>
      </c>
      <c r="F362" s="15" t="s">
        <v>291</v>
      </c>
      <c r="G362" s="15" t="s">
        <v>12</v>
      </c>
      <c r="H362" s="24" t="s">
        <v>19</v>
      </c>
    </row>
    <row r="363" spans="1:8" x14ac:dyDescent="0.3">
      <c r="A363" s="23" t="s">
        <v>1130</v>
      </c>
      <c r="B363" s="15" t="s">
        <v>1131</v>
      </c>
      <c r="C363" s="11">
        <v>64</v>
      </c>
      <c r="D363" s="15" t="s">
        <v>9</v>
      </c>
      <c r="E363" s="15" t="s">
        <v>1132</v>
      </c>
      <c r="F363" s="15" t="s">
        <v>254</v>
      </c>
      <c r="G363" s="15" t="s">
        <v>12</v>
      </c>
      <c r="H363" s="24" t="s">
        <v>19</v>
      </c>
    </row>
    <row r="364" spans="1:8" x14ac:dyDescent="0.3">
      <c r="A364" s="23" t="s">
        <v>1133</v>
      </c>
      <c r="B364" s="15" t="s">
        <v>1134</v>
      </c>
      <c r="C364" s="11">
        <v>60</v>
      </c>
      <c r="D364" s="15" t="s">
        <v>9</v>
      </c>
      <c r="E364" s="15" t="s">
        <v>1135</v>
      </c>
      <c r="F364" s="15" t="s">
        <v>163</v>
      </c>
      <c r="G364" s="15" t="s">
        <v>12</v>
      </c>
      <c r="H364" s="24" t="s">
        <v>13</v>
      </c>
    </row>
    <row r="365" spans="1:8" x14ac:dyDescent="0.3">
      <c r="A365" s="23" t="s">
        <v>1136</v>
      </c>
      <c r="B365" s="15" t="s">
        <v>1137</v>
      </c>
      <c r="C365" s="11">
        <v>23</v>
      </c>
      <c r="D365" s="15" t="s">
        <v>9</v>
      </c>
      <c r="E365" s="15" t="s">
        <v>1138</v>
      </c>
      <c r="F365" s="15" t="s">
        <v>25</v>
      </c>
      <c r="G365" s="15" t="s">
        <v>12</v>
      </c>
      <c r="H365" s="24" t="s">
        <v>26</v>
      </c>
    </row>
    <row r="366" spans="1:8" x14ac:dyDescent="0.3">
      <c r="A366" s="23" t="s">
        <v>1139</v>
      </c>
      <c r="B366" s="15" t="s">
        <v>1140</v>
      </c>
      <c r="C366" s="11">
        <v>58</v>
      </c>
      <c r="D366" s="15" t="s">
        <v>9</v>
      </c>
      <c r="E366" s="15" t="s">
        <v>1141</v>
      </c>
      <c r="F366" s="15" t="s">
        <v>133</v>
      </c>
      <c r="G366" s="15" t="s">
        <v>12</v>
      </c>
      <c r="H366" s="24" t="s">
        <v>26</v>
      </c>
    </row>
    <row r="367" spans="1:8" x14ac:dyDescent="0.3">
      <c r="A367" s="23" t="s">
        <v>1142</v>
      </c>
      <c r="B367" s="15" t="s">
        <v>1143</v>
      </c>
      <c r="C367" s="11">
        <v>63</v>
      </c>
      <c r="D367" s="15" t="s">
        <v>16</v>
      </c>
      <c r="E367" s="15" t="s">
        <v>1144</v>
      </c>
      <c r="F367" s="15" t="s">
        <v>163</v>
      </c>
      <c r="G367" s="15" t="s">
        <v>12</v>
      </c>
      <c r="H367" s="24" t="s">
        <v>19</v>
      </c>
    </row>
    <row r="368" spans="1:8" x14ac:dyDescent="0.3">
      <c r="A368" s="23" t="s">
        <v>1145</v>
      </c>
      <c r="B368" s="15" t="s">
        <v>1146</v>
      </c>
      <c r="C368" s="11">
        <v>40</v>
      </c>
      <c r="D368" s="15" t="s">
        <v>16</v>
      </c>
      <c r="E368" s="15" t="s">
        <v>1147</v>
      </c>
      <c r="F368" s="15" t="s">
        <v>22</v>
      </c>
      <c r="G368" s="15" t="s">
        <v>12</v>
      </c>
      <c r="H368" s="24" t="s">
        <v>19</v>
      </c>
    </row>
    <row r="369" spans="1:8" x14ac:dyDescent="0.3">
      <c r="A369" s="23" t="s">
        <v>1148</v>
      </c>
      <c r="B369" s="15" t="s">
        <v>1149</v>
      </c>
      <c r="C369" s="11">
        <v>51</v>
      </c>
      <c r="D369" s="15" t="s">
        <v>9</v>
      </c>
      <c r="E369" s="15" t="s">
        <v>1150</v>
      </c>
      <c r="F369" s="15" t="s">
        <v>25</v>
      </c>
      <c r="G369" s="15" t="s">
        <v>12</v>
      </c>
      <c r="H369" s="24" t="s">
        <v>26</v>
      </c>
    </row>
    <row r="370" spans="1:8" x14ac:dyDescent="0.3">
      <c r="A370" s="23" t="s">
        <v>1151</v>
      </c>
      <c r="B370" s="15" t="s">
        <v>1152</v>
      </c>
      <c r="C370" s="11">
        <v>34</v>
      </c>
      <c r="D370" s="15" t="s">
        <v>16</v>
      </c>
      <c r="E370" s="15" t="s">
        <v>1153</v>
      </c>
      <c r="F370" s="15" t="s">
        <v>58</v>
      </c>
      <c r="G370" s="15" t="s">
        <v>12</v>
      </c>
      <c r="H370" s="24" t="s">
        <v>19</v>
      </c>
    </row>
    <row r="371" spans="1:8" x14ac:dyDescent="0.3">
      <c r="A371" s="23" t="s">
        <v>1154</v>
      </c>
      <c r="B371" s="15" t="s">
        <v>1155</v>
      </c>
      <c r="C371" s="11">
        <v>20</v>
      </c>
      <c r="D371" s="15" t="s">
        <v>16</v>
      </c>
      <c r="E371" s="15" t="s">
        <v>1156</v>
      </c>
      <c r="F371" s="15" t="s">
        <v>171</v>
      </c>
      <c r="G371" s="15" t="s">
        <v>12</v>
      </c>
      <c r="H371" s="24" t="s">
        <v>19</v>
      </c>
    </row>
    <row r="372" spans="1:8" x14ac:dyDescent="0.3">
      <c r="A372" s="23" t="s">
        <v>1157</v>
      </c>
      <c r="B372" s="15" t="s">
        <v>1158</v>
      </c>
      <c r="C372" s="11">
        <v>45</v>
      </c>
      <c r="D372" s="15" t="s">
        <v>9</v>
      </c>
      <c r="E372" s="15" t="s">
        <v>1159</v>
      </c>
      <c r="F372" s="15" t="s">
        <v>254</v>
      </c>
      <c r="G372" s="15" t="s">
        <v>12</v>
      </c>
      <c r="H372" s="24" t="s">
        <v>31</v>
      </c>
    </row>
    <row r="373" spans="1:8" x14ac:dyDescent="0.3">
      <c r="A373" s="23" t="s">
        <v>1160</v>
      </c>
      <c r="B373" s="15" t="s">
        <v>1161</v>
      </c>
      <c r="C373" s="11">
        <v>21</v>
      </c>
      <c r="D373" s="15" t="s">
        <v>16</v>
      </c>
      <c r="E373" s="15" t="s">
        <v>1162</v>
      </c>
      <c r="F373" s="15" t="s">
        <v>47</v>
      </c>
      <c r="G373" s="15" t="s">
        <v>12</v>
      </c>
      <c r="H373" s="24" t="s">
        <v>19</v>
      </c>
    </row>
    <row r="374" spans="1:8" x14ac:dyDescent="0.3">
      <c r="A374" s="23" t="s">
        <v>1163</v>
      </c>
      <c r="B374" s="15" t="s">
        <v>1164</v>
      </c>
      <c r="C374" s="11">
        <v>28</v>
      </c>
      <c r="D374" s="15" t="s">
        <v>9</v>
      </c>
      <c r="E374" s="15" t="s">
        <v>1165</v>
      </c>
      <c r="F374" s="15" t="s">
        <v>25</v>
      </c>
      <c r="G374" s="15" t="s">
        <v>12</v>
      </c>
      <c r="H374" s="24" t="s">
        <v>26</v>
      </c>
    </row>
    <row r="375" spans="1:8" x14ac:dyDescent="0.3">
      <c r="A375" s="23" t="s">
        <v>1166</v>
      </c>
      <c r="B375" s="15" t="s">
        <v>1167</v>
      </c>
      <c r="C375" s="11">
        <v>37</v>
      </c>
      <c r="D375" s="15" t="s">
        <v>16</v>
      </c>
      <c r="E375" s="15" t="s">
        <v>1168</v>
      </c>
      <c r="F375" s="15" t="s">
        <v>434</v>
      </c>
      <c r="G375" s="15" t="s">
        <v>12</v>
      </c>
      <c r="H375" s="24" t="s">
        <v>13</v>
      </c>
    </row>
    <row r="376" spans="1:8" x14ac:dyDescent="0.3">
      <c r="A376" s="23" t="s">
        <v>1169</v>
      </c>
      <c r="B376" s="15" t="s">
        <v>1170</v>
      </c>
      <c r="C376" s="11">
        <v>60</v>
      </c>
      <c r="D376" s="15" t="s">
        <v>9</v>
      </c>
      <c r="E376" s="15" t="s">
        <v>1171</v>
      </c>
      <c r="F376" s="15" t="s">
        <v>99</v>
      </c>
      <c r="G376" s="15" t="s">
        <v>12</v>
      </c>
      <c r="H376" s="24" t="s">
        <v>19</v>
      </c>
    </row>
    <row r="377" spans="1:8" x14ac:dyDescent="0.3">
      <c r="A377" s="23" t="s">
        <v>1172</v>
      </c>
      <c r="B377" s="15" t="s">
        <v>1173</v>
      </c>
      <c r="C377" s="11">
        <v>26</v>
      </c>
      <c r="D377" s="15" t="s">
        <v>9</v>
      </c>
      <c r="E377" s="15" t="s">
        <v>1174</v>
      </c>
      <c r="F377" s="15" t="s">
        <v>201</v>
      </c>
      <c r="G377" s="15" t="s">
        <v>12</v>
      </c>
      <c r="H377" s="24" t="s">
        <v>19</v>
      </c>
    </row>
    <row r="378" spans="1:8" x14ac:dyDescent="0.3">
      <c r="A378" s="23" t="s">
        <v>1175</v>
      </c>
      <c r="B378" s="15" t="s">
        <v>1176</v>
      </c>
      <c r="C378" s="11">
        <v>30</v>
      </c>
      <c r="D378" s="15" t="s">
        <v>9</v>
      </c>
      <c r="E378" s="15" t="s">
        <v>1177</v>
      </c>
      <c r="F378" s="15" t="s">
        <v>167</v>
      </c>
      <c r="G378" s="15" t="s">
        <v>12</v>
      </c>
      <c r="H378" s="24" t="s">
        <v>26</v>
      </c>
    </row>
    <row r="379" spans="1:8" x14ac:dyDescent="0.3">
      <c r="A379" s="23" t="s">
        <v>1178</v>
      </c>
      <c r="B379" s="15" t="s">
        <v>1179</v>
      </c>
      <c r="C379" s="11">
        <v>39</v>
      </c>
      <c r="D379" s="15" t="s">
        <v>16</v>
      </c>
      <c r="E379" s="15" t="s">
        <v>1180</v>
      </c>
      <c r="F379" s="15" t="s">
        <v>434</v>
      </c>
      <c r="G379" s="15" t="s">
        <v>12</v>
      </c>
      <c r="H379" s="24" t="s">
        <v>13</v>
      </c>
    </row>
    <row r="380" spans="1:8" x14ac:dyDescent="0.3">
      <c r="A380" s="23" t="s">
        <v>1181</v>
      </c>
      <c r="B380" s="15" t="s">
        <v>1182</v>
      </c>
      <c r="C380" s="11">
        <v>44</v>
      </c>
      <c r="D380" s="15" t="s">
        <v>16</v>
      </c>
      <c r="E380" s="15" t="s">
        <v>1183</v>
      </c>
      <c r="F380" s="15" t="s">
        <v>92</v>
      </c>
      <c r="G380" s="15" t="s">
        <v>12</v>
      </c>
      <c r="H380" s="24" t="s">
        <v>26</v>
      </c>
    </row>
    <row r="381" spans="1:8" x14ac:dyDescent="0.3">
      <c r="A381" s="23" t="s">
        <v>1184</v>
      </c>
      <c r="B381" s="15" t="s">
        <v>1185</v>
      </c>
      <c r="C381" s="11">
        <v>34</v>
      </c>
      <c r="D381" s="15" t="s">
        <v>16</v>
      </c>
      <c r="E381" s="15" t="s">
        <v>1186</v>
      </c>
      <c r="F381" s="15" t="s">
        <v>267</v>
      </c>
      <c r="G381" s="15" t="s">
        <v>12</v>
      </c>
      <c r="H381" s="24" t="s">
        <v>13</v>
      </c>
    </row>
    <row r="382" spans="1:8" x14ac:dyDescent="0.3">
      <c r="A382" s="23" t="s">
        <v>1187</v>
      </c>
      <c r="B382" s="15" t="s">
        <v>1188</v>
      </c>
      <c r="C382" s="11">
        <v>23</v>
      </c>
      <c r="D382" s="15" t="s">
        <v>9</v>
      </c>
      <c r="E382" s="15" t="s">
        <v>1189</v>
      </c>
      <c r="F382" s="15" t="s">
        <v>217</v>
      </c>
      <c r="G382" s="15" t="s">
        <v>12</v>
      </c>
      <c r="H382" s="24" t="s">
        <v>13</v>
      </c>
    </row>
    <row r="383" spans="1:8" x14ac:dyDescent="0.3">
      <c r="A383" s="23" t="s">
        <v>1190</v>
      </c>
      <c r="B383" s="15" t="s">
        <v>1191</v>
      </c>
      <c r="C383" s="11">
        <v>50</v>
      </c>
      <c r="D383" s="15" t="s">
        <v>9</v>
      </c>
      <c r="E383" s="15" t="s">
        <v>1192</v>
      </c>
      <c r="F383" s="15" t="s">
        <v>22</v>
      </c>
      <c r="G383" s="15" t="s">
        <v>12</v>
      </c>
      <c r="H383" s="24" t="s">
        <v>31</v>
      </c>
    </row>
    <row r="384" spans="1:8" x14ac:dyDescent="0.3">
      <c r="A384" s="23" t="s">
        <v>1193</v>
      </c>
      <c r="B384" s="15" t="s">
        <v>1194</v>
      </c>
      <c r="C384" s="11">
        <v>20</v>
      </c>
      <c r="D384" s="15" t="s">
        <v>16</v>
      </c>
      <c r="E384" s="15" t="s">
        <v>1195</v>
      </c>
      <c r="F384" s="15" t="s">
        <v>30</v>
      </c>
      <c r="G384" s="15" t="s">
        <v>12</v>
      </c>
      <c r="H384" s="24" t="s">
        <v>13</v>
      </c>
    </row>
    <row r="385" spans="1:8" x14ac:dyDescent="0.3">
      <c r="A385" s="23" t="s">
        <v>1196</v>
      </c>
      <c r="B385" s="15" t="s">
        <v>1197</v>
      </c>
      <c r="C385" s="11">
        <v>27</v>
      </c>
      <c r="D385" s="15" t="s">
        <v>16</v>
      </c>
      <c r="E385" s="15" t="s">
        <v>1198</v>
      </c>
      <c r="F385" s="15" t="s">
        <v>317</v>
      </c>
      <c r="G385" s="15" t="s">
        <v>12</v>
      </c>
      <c r="H385" s="24" t="s">
        <v>31</v>
      </c>
    </row>
    <row r="386" spans="1:8" x14ac:dyDescent="0.3">
      <c r="A386" s="23" t="s">
        <v>1199</v>
      </c>
      <c r="B386" s="15" t="s">
        <v>1200</v>
      </c>
      <c r="C386" s="11">
        <v>52</v>
      </c>
      <c r="D386" s="15" t="s">
        <v>16</v>
      </c>
      <c r="E386" s="15" t="s">
        <v>1201</v>
      </c>
      <c r="F386" s="15" t="s">
        <v>267</v>
      </c>
      <c r="G386" s="15" t="s">
        <v>12</v>
      </c>
      <c r="H386" s="24" t="s">
        <v>26</v>
      </c>
    </row>
    <row r="387" spans="1:8" x14ac:dyDescent="0.3">
      <c r="A387" s="23" t="s">
        <v>1202</v>
      </c>
      <c r="B387" s="15" t="s">
        <v>1203</v>
      </c>
      <c r="C387" s="11">
        <v>60</v>
      </c>
      <c r="D387" s="15" t="s">
        <v>9</v>
      </c>
      <c r="E387" s="15" t="s">
        <v>1204</v>
      </c>
      <c r="F387" s="15" t="s">
        <v>317</v>
      </c>
      <c r="G387" s="15" t="s">
        <v>12</v>
      </c>
      <c r="H387" s="24" t="s">
        <v>13</v>
      </c>
    </row>
    <row r="388" spans="1:8" x14ac:dyDescent="0.3">
      <c r="A388" s="23" t="s">
        <v>1205</v>
      </c>
      <c r="B388" s="15" t="s">
        <v>1206</v>
      </c>
      <c r="C388" s="11">
        <v>18</v>
      </c>
      <c r="D388" s="15" t="s">
        <v>16</v>
      </c>
      <c r="E388" s="15" t="s">
        <v>1207</v>
      </c>
      <c r="F388" s="15" t="s">
        <v>140</v>
      </c>
      <c r="G388" s="15" t="s">
        <v>12</v>
      </c>
      <c r="H388" s="24" t="s">
        <v>26</v>
      </c>
    </row>
    <row r="389" spans="1:8" x14ac:dyDescent="0.3">
      <c r="A389" s="23" t="s">
        <v>1208</v>
      </c>
      <c r="B389" s="15" t="s">
        <v>1209</v>
      </c>
      <c r="C389" s="11">
        <v>28</v>
      </c>
      <c r="D389" s="15" t="s">
        <v>16</v>
      </c>
      <c r="E389" s="15" t="s">
        <v>1210</v>
      </c>
      <c r="F389" s="15" t="s">
        <v>88</v>
      </c>
      <c r="G389" s="15" t="s">
        <v>12</v>
      </c>
      <c r="H389" s="24" t="s">
        <v>31</v>
      </c>
    </row>
    <row r="390" spans="1:8" x14ac:dyDescent="0.3">
      <c r="A390" s="23" t="s">
        <v>1211</v>
      </c>
      <c r="B390" s="15" t="s">
        <v>1212</v>
      </c>
      <c r="C390" s="11">
        <v>53</v>
      </c>
      <c r="D390" s="15" t="s">
        <v>9</v>
      </c>
      <c r="E390" s="15" t="s">
        <v>1213</v>
      </c>
      <c r="F390" s="15" t="s">
        <v>113</v>
      </c>
      <c r="G390" s="15" t="s">
        <v>12</v>
      </c>
      <c r="H390" s="24" t="s">
        <v>19</v>
      </c>
    </row>
    <row r="391" spans="1:8" x14ac:dyDescent="0.3">
      <c r="A391" s="23" t="s">
        <v>1214</v>
      </c>
      <c r="B391" s="15" t="s">
        <v>1215</v>
      </c>
      <c r="C391" s="11">
        <v>50</v>
      </c>
      <c r="D391" s="15" t="s">
        <v>9</v>
      </c>
      <c r="E391" s="15" t="s">
        <v>1216</v>
      </c>
      <c r="F391" s="15" t="s">
        <v>70</v>
      </c>
      <c r="G391" s="15" t="s">
        <v>12</v>
      </c>
      <c r="H391" s="24" t="s">
        <v>19</v>
      </c>
    </row>
    <row r="392" spans="1:8" x14ac:dyDescent="0.3">
      <c r="A392" s="23" t="s">
        <v>1217</v>
      </c>
      <c r="B392" s="15" t="s">
        <v>1218</v>
      </c>
      <c r="C392" s="11">
        <v>56</v>
      </c>
      <c r="D392" s="15" t="s">
        <v>9</v>
      </c>
      <c r="E392" s="15" t="s">
        <v>1219</v>
      </c>
      <c r="F392" s="15" t="s">
        <v>291</v>
      </c>
      <c r="G392" s="15" t="s">
        <v>12</v>
      </c>
      <c r="H392" s="24" t="s">
        <v>31</v>
      </c>
    </row>
    <row r="393" spans="1:8" x14ac:dyDescent="0.3">
      <c r="A393" s="23" t="s">
        <v>1220</v>
      </c>
      <c r="B393" s="15" t="s">
        <v>1221</v>
      </c>
      <c r="C393" s="11">
        <v>40</v>
      </c>
      <c r="D393" s="15" t="s">
        <v>16</v>
      </c>
      <c r="E393" s="15" t="s">
        <v>1222</v>
      </c>
      <c r="F393" s="15" t="s">
        <v>35</v>
      </c>
      <c r="G393" s="15" t="s">
        <v>12</v>
      </c>
      <c r="H393" s="24" t="s">
        <v>26</v>
      </c>
    </row>
    <row r="394" spans="1:8" x14ac:dyDescent="0.3">
      <c r="A394" s="23" t="s">
        <v>1223</v>
      </c>
      <c r="B394" s="15" t="s">
        <v>1224</v>
      </c>
      <c r="C394" s="11">
        <v>46</v>
      </c>
      <c r="D394" s="15" t="s">
        <v>9</v>
      </c>
      <c r="E394" s="15" t="s">
        <v>1225</v>
      </c>
      <c r="F394" s="15" t="s">
        <v>113</v>
      </c>
      <c r="G394" s="15" t="s">
        <v>12</v>
      </c>
      <c r="H394" s="24" t="s">
        <v>13</v>
      </c>
    </row>
    <row r="395" spans="1:8" x14ac:dyDescent="0.3">
      <c r="A395" s="23" t="s">
        <v>1226</v>
      </c>
      <c r="B395" s="15" t="s">
        <v>1227</v>
      </c>
      <c r="C395" s="11">
        <v>46</v>
      </c>
      <c r="D395" s="15" t="s">
        <v>9</v>
      </c>
      <c r="E395" s="15" t="s">
        <v>1228</v>
      </c>
      <c r="F395" s="15" t="s">
        <v>117</v>
      </c>
      <c r="G395" s="15" t="s">
        <v>12</v>
      </c>
      <c r="H395" s="24" t="s">
        <v>26</v>
      </c>
    </row>
    <row r="396" spans="1:8" x14ac:dyDescent="0.3">
      <c r="A396" s="23" t="s">
        <v>1229</v>
      </c>
      <c r="B396" s="15" t="s">
        <v>1230</v>
      </c>
      <c r="C396" s="11">
        <v>43</v>
      </c>
      <c r="D396" s="15" t="s">
        <v>16</v>
      </c>
      <c r="E396" s="15" t="s">
        <v>1231</v>
      </c>
      <c r="F396" s="15" t="s">
        <v>167</v>
      </c>
      <c r="G396" s="15" t="s">
        <v>12</v>
      </c>
      <c r="H396" s="24" t="s">
        <v>26</v>
      </c>
    </row>
    <row r="397" spans="1:8" x14ac:dyDescent="0.3">
      <c r="A397" s="23" t="s">
        <v>1232</v>
      </c>
      <c r="B397" s="15" t="s">
        <v>1233</v>
      </c>
      <c r="C397" s="11">
        <v>50</v>
      </c>
      <c r="D397" s="15" t="s">
        <v>9</v>
      </c>
      <c r="E397" s="15" t="s">
        <v>1234</v>
      </c>
      <c r="F397" s="15" t="s">
        <v>62</v>
      </c>
      <c r="G397" s="15" t="s">
        <v>12</v>
      </c>
      <c r="H397" s="24" t="s">
        <v>13</v>
      </c>
    </row>
    <row r="398" spans="1:8" x14ac:dyDescent="0.3">
      <c r="A398" s="23" t="s">
        <v>1235</v>
      </c>
      <c r="B398" s="15" t="s">
        <v>1236</v>
      </c>
      <c r="C398" s="11">
        <v>25</v>
      </c>
      <c r="D398" s="15" t="s">
        <v>16</v>
      </c>
      <c r="E398" s="15" t="s">
        <v>1237</v>
      </c>
      <c r="F398" s="15" t="s">
        <v>58</v>
      </c>
      <c r="G398" s="15" t="s">
        <v>12</v>
      </c>
      <c r="H398" s="24" t="s">
        <v>31</v>
      </c>
    </row>
    <row r="399" spans="1:8" x14ac:dyDescent="0.3">
      <c r="A399" s="23" t="s">
        <v>1238</v>
      </c>
      <c r="B399" s="15" t="s">
        <v>1239</v>
      </c>
      <c r="C399" s="11">
        <v>62</v>
      </c>
      <c r="D399" s="15" t="s">
        <v>16</v>
      </c>
      <c r="E399" s="15" t="s">
        <v>123</v>
      </c>
      <c r="F399" s="15" t="s">
        <v>62</v>
      </c>
      <c r="G399" s="15" t="s">
        <v>12</v>
      </c>
      <c r="H399" s="24" t="s">
        <v>19</v>
      </c>
    </row>
    <row r="400" spans="1:8" x14ac:dyDescent="0.3">
      <c r="A400" s="23" t="s">
        <v>1240</v>
      </c>
      <c r="B400" s="15" t="s">
        <v>1241</v>
      </c>
      <c r="C400" s="11">
        <v>54</v>
      </c>
      <c r="D400" s="15" t="s">
        <v>9</v>
      </c>
      <c r="E400" s="15" t="s">
        <v>1242</v>
      </c>
      <c r="F400" s="15" t="s">
        <v>47</v>
      </c>
      <c r="G400" s="15" t="s">
        <v>12</v>
      </c>
      <c r="H400" s="24" t="s">
        <v>26</v>
      </c>
    </row>
    <row r="401" spans="1:8" x14ac:dyDescent="0.3">
      <c r="A401" s="23" t="s">
        <v>1243</v>
      </c>
      <c r="B401" s="15" t="s">
        <v>1244</v>
      </c>
      <c r="C401" s="11">
        <v>27</v>
      </c>
      <c r="D401" s="15" t="s">
        <v>9</v>
      </c>
      <c r="E401" s="15" t="s">
        <v>1245</v>
      </c>
      <c r="F401" s="15" t="s">
        <v>434</v>
      </c>
      <c r="G401" s="15" t="s">
        <v>12</v>
      </c>
      <c r="H401" s="24" t="s">
        <v>26</v>
      </c>
    </row>
    <row r="402" spans="1:8" x14ac:dyDescent="0.3">
      <c r="A402" s="23" t="s">
        <v>1246</v>
      </c>
      <c r="B402" s="15" t="s">
        <v>1247</v>
      </c>
      <c r="C402" s="11">
        <v>57</v>
      </c>
      <c r="D402" s="15" t="s">
        <v>16</v>
      </c>
      <c r="E402" s="15" t="s">
        <v>1248</v>
      </c>
      <c r="F402" s="15" t="s">
        <v>96</v>
      </c>
      <c r="G402" s="15" t="s">
        <v>12</v>
      </c>
      <c r="H402" s="24" t="s">
        <v>19</v>
      </c>
    </row>
    <row r="403" spans="1:8" x14ac:dyDescent="0.3">
      <c r="A403" s="23" t="s">
        <v>1249</v>
      </c>
      <c r="B403" s="15" t="s">
        <v>1250</v>
      </c>
      <c r="C403" s="11">
        <v>51</v>
      </c>
      <c r="D403" s="15" t="s">
        <v>16</v>
      </c>
      <c r="E403" s="15" t="s">
        <v>1251</v>
      </c>
      <c r="F403" s="15" t="s">
        <v>184</v>
      </c>
      <c r="G403" s="15" t="s">
        <v>12</v>
      </c>
      <c r="H403" s="24" t="s">
        <v>19</v>
      </c>
    </row>
    <row r="404" spans="1:8" x14ac:dyDescent="0.3">
      <c r="A404" s="23" t="s">
        <v>1252</v>
      </c>
      <c r="B404" s="15" t="s">
        <v>1253</v>
      </c>
      <c r="C404" s="11">
        <v>31</v>
      </c>
      <c r="D404" s="15" t="s">
        <v>9</v>
      </c>
      <c r="E404" s="15" t="s">
        <v>80</v>
      </c>
      <c r="F404" s="15" t="s">
        <v>313</v>
      </c>
      <c r="G404" s="15" t="s">
        <v>12</v>
      </c>
      <c r="H404" s="24" t="s">
        <v>26</v>
      </c>
    </row>
    <row r="405" spans="1:8" x14ac:dyDescent="0.3">
      <c r="A405" s="23" t="s">
        <v>1254</v>
      </c>
      <c r="B405" s="15" t="s">
        <v>1255</v>
      </c>
      <c r="C405" s="11">
        <v>34</v>
      </c>
      <c r="D405" s="15" t="s">
        <v>9</v>
      </c>
      <c r="E405" s="15" t="s">
        <v>1256</v>
      </c>
      <c r="F405" s="15" t="s">
        <v>328</v>
      </c>
      <c r="G405" s="15" t="s">
        <v>12</v>
      </c>
      <c r="H405" s="24" t="s">
        <v>26</v>
      </c>
    </row>
    <row r="406" spans="1:8" x14ac:dyDescent="0.3">
      <c r="A406" s="23" t="s">
        <v>1257</v>
      </c>
      <c r="B406" s="15" t="s">
        <v>1258</v>
      </c>
      <c r="C406" s="11">
        <v>22</v>
      </c>
      <c r="D406" s="15" t="s">
        <v>16</v>
      </c>
      <c r="E406" s="15" t="s">
        <v>1259</v>
      </c>
      <c r="F406" s="15" t="s">
        <v>291</v>
      </c>
      <c r="G406" s="15" t="s">
        <v>12</v>
      </c>
      <c r="H406" s="24" t="s">
        <v>31</v>
      </c>
    </row>
    <row r="407" spans="1:8" x14ac:dyDescent="0.3">
      <c r="A407" s="23" t="s">
        <v>1260</v>
      </c>
      <c r="B407" s="15" t="s">
        <v>1261</v>
      </c>
      <c r="C407" s="11">
        <v>18</v>
      </c>
      <c r="D407" s="15" t="s">
        <v>16</v>
      </c>
      <c r="E407" s="15" t="s">
        <v>1262</v>
      </c>
      <c r="F407" s="15" t="s">
        <v>328</v>
      </c>
      <c r="G407" s="15" t="s">
        <v>12</v>
      </c>
      <c r="H407" s="24" t="s">
        <v>13</v>
      </c>
    </row>
    <row r="408" spans="1:8" x14ac:dyDescent="0.3">
      <c r="A408" s="23" t="s">
        <v>1263</v>
      </c>
      <c r="B408" s="15" t="s">
        <v>1264</v>
      </c>
      <c r="C408" s="11">
        <v>23</v>
      </c>
      <c r="D408" s="15" t="s">
        <v>16</v>
      </c>
      <c r="E408" s="15" t="s">
        <v>1265</v>
      </c>
      <c r="F408" s="15" t="s">
        <v>324</v>
      </c>
      <c r="G408" s="15" t="s">
        <v>12</v>
      </c>
      <c r="H408" s="24" t="s">
        <v>13</v>
      </c>
    </row>
    <row r="409" spans="1:8" x14ac:dyDescent="0.3">
      <c r="A409" s="23" t="s">
        <v>1266</v>
      </c>
      <c r="B409" s="15" t="s">
        <v>1267</v>
      </c>
      <c r="C409" s="11">
        <v>33</v>
      </c>
      <c r="D409" s="15" t="s">
        <v>9</v>
      </c>
      <c r="E409" s="15" t="s">
        <v>1268</v>
      </c>
      <c r="F409" s="15" t="s">
        <v>140</v>
      </c>
      <c r="G409" s="15" t="s">
        <v>12</v>
      </c>
      <c r="H409" s="24" t="s">
        <v>13</v>
      </c>
    </row>
    <row r="410" spans="1:8" x14ac:dyDescent="0.3">
      <c r="A410" s="23" t="s">
        <v>1269</v>
      </c>
      <c r="B410" s="15" t="s">
        <v>1270</v>
      </c>
      <c r="C410" s="11">
        <v>36</v>
      </c>
      <c r="D410" s="15" t="s">
        <v>9</v>
      </c>
      <c r="E410" s="15" t="s">
        <v>1271</v>
      </c>
      <c r="F410" s="15" t="s">
        <v>88</v>
      </c>
      <c r="G410" s="15" t="s">
        <v>12</v>
      </c>
      <c r="H410" s="24" t="s">
        <v>13</v>
      </c>
    </row>
    <row r="411" spans="1:8" x14ac:dyDescent="0.3">
      <c r="A411" s="23" t="s">
        <v>1272</v>
      </c>
      <c r="B411" s="15" t="s">
        <v>1273</v>
      </c>
      <c r="C411" s="11">
        <v>55</v>
      </c>
      <c r="D411" s="15" t="s">
        <v>9</v>
      </c>
      <c r="E411" s="15" t="s">
        <v>1274</v>
      </c>
      <c r="F411" s="15" t="s">
        <v>845</v>
      </c>
      <c r="G411" s="15" t="s">
        <v>12</v>
      </c>
      <c r="H411" s="24" t="s">
        <v>13</v>
      </c>
    </row>
    <row r="412" spans="1:8" x14ac:dyDescent="0.3">
      <c r="A412" s="23" t="s">
        <v>1275</v>
      </c>
      <c r="B412" s="15" t="s">
        <v>1276</v>
      </c>
      <c r="C412" s="11">
        <v>48</v>
      </c>
      <c r="D412" s="15" t="s">
        <v>16</v>
      </c>
      <c r="E412" s="15" t="s">
        <v>1277</v>
      </c>
      <c r="F412" s="15" t="s">
        <v>88</v>
      </c>
      <c r="G412" s="15" t="s">
        <v>12</v>
      </c>
      <c r="H412" s="24" t="s">
        <v>26</v>
      </c>
    </row>
    <row r="413" spans="1:8" x14ac:dyDescent="0.3">
      <c r="A413" s="23" t="s">
        <v>1278</v>
      </c>
      <c r="B413" s="15" t="s">
        <v>1279</v>
      </c>
      <c r="C413" s="11">
        <v>63</v>
      </c>
      <c r="D413" s="15" t="s">
        <v>9</v>
      </c>
      <c r="E413" s="15" t="s">
        <v>1280</v>
      </c>
      <c r="F413" s="15" t="s">
        <v>25</v>
      </c>
      <c r="G413" s="15" t="s">
        <v>12</v>
      </c>
      <c r="H413" s="24" t="s">
        <v>31</v>
      </c>
    </row>
    <row r="414" spans="1:8" x14ac:dyDescent="0.3">
      <c r="A414" s="23" t="s">
        <v>1281</v>
      </c>
      <c r="B414" s="15" t="s">
        <v>1282</v>
      </c>
      <c r="C414" s="11">
        <v>23</v>
      </c>
      <c r="D414" s="15" t="s">
        <v>16</v>
      </c>
      <c r="E414" s="15" t="s">
        <v>204</v>
      </c>
      <c r="F414" s="15" t="s">
        <v>156</v>
      </c>
      <c r="G414" s="15" t="s">
        <v>12</v>
      </c>
      <c r="H414" s="24" t="s">
        <v>13</v>
      </c>
    </row>
    <row r="415" spans="1:8" x14ac:dyDescent="0.3">
      <c r="A415" s="23" t="s">
        <v>1283</v>
      </c>
      <c r="B415" s="15" t="s">
        <v>1284</v>
      </c>
      <c r="C415" s="11">
        <v>59</v>
      </c>
      <c r="D415" s="15" t="s">
        <v>16</v>
      </c>
      <c r="E415" s="15" t="s">
        <v>1285</v>
      </c>
      <c r="F415" s="15" t="s">
        <v>106</v>
      </c>
      <c r="G415" s="15" t="s">
        <v>12</v>
      </c>
      <c r="H415" s="24" t="s">
        <v>26</v>
      </c>
    </row>
    <row r="416" spans="1:8" x14ac:dyDescent="0.3">
      <c r="A416" s="23" t="s">
        <v>1286</v>
      </c>
      <c r="B416" s="15" t="s">
        <v>1287</v>
      </c>
      <c r="C416" s="11">
        <v>35</v>
      </c>
      <c r="D416" s="15" t="s">
        <v>16</v>
      </c>
      <c r="E416" s="15" t="s">
        <v>1288</v>
      </c>
      <c r="F416" s="15" t="s">
        <v>113</v>
      </c>
      <c r="G416" s="15" t="s">
        <v>12</v>
      </c>
      <c r="H416" s="24" t="s">
        <v>13</v>
      </c>
    </row>
    <row r="417" spans="1:8" x14ac:dyDescent="0.3">
      <c r="A417" s="23" t="s">
        <v>1289</v>
      </c>
      <c r="B417" s="15" t="s">
        <v>1290</v>
      </c>
      <c r="C417" s="11">
        <v>26</v>
      </c>
      <c r="D417" s="15" t="s">
        <v>16</v>
      </c>
      <c r="E417" s="15" t="s">
        <v>1291</v>
      </c>
      <c r="F417" s="15" t="s">
        <v>163</v>
      </c>
      <c r="G417" s="15" t="s">
        <v>12</v>
      </c>
      <c r="H417" s="24" t="s">
        <v>31</v>
      </c>
    </row>
    <row r="418" spans="1:8" x14ac:dyDescent="0.3">
      <c r="A418" s="23" t="s">
        <v>1292</v>
      </c>
      <c r="B418" s="15" t="s">
        <v>1293</v>
      </c>
      <c r="C418" s="11">
        <v>46</v>
      </c>
      <c r="D418" s="15" t="s">
        <v>9</v>
      </c>
      <c r="E418" s="15" t="s">
        <v>1294</v>
      </c>
      <c r="F418" s="15" t="s">
        <v>324</v>
      </c>
      <c r="G418" s="15" t="s">
        <v>12</v>
      </c>
      <c r="H418" s="24" t="s">
        <v>19</v>
      </c>
    </row>
    <row r="419" spans="1:8" x14ac:dyDescent="0.3">
      <c r="A419" s="23" t="s">
        <v>1295</v>
      </c>
      <c r="B419" s="15" t="s">
        <v>1296</v>
      </c>
      <c r="C419" s="11">
        <v>64</v>
      </c>
      <c r="D419" s="15" t="s">
        <v>16</v>
      </c>
      <c r="E419" s="15" t="s">
        <v>1297</v>
      </c>
      <c r="F419" s="15" t="s">
        <v>11</v>
      </c>
      <c r="G419" s="15" t="s">
        <v>12</v>
      </c>
      <c r="H419" s="24" t="s">
        <v>26</v>
      </c>
    </row>
    <row r="420" spans="1:8" x14ac:dyDescent="0.3">
      <c r="A420" s="23" t="s">
        <v>1298</v>
      </c>
      <c r="B420" s="15" t="s">
        <v>1299</v>
      </c>
      <c r="C420" s="11">
        <v>60</v>
      </c>
      <c r="D420" s="15" t="s">
        <v>16</v>
      </c>
      <c r="E420" s="15" t="s">
        <v>1300</v>
      </c>
      <c r="F420" s="15" t="s">
        <v>47</v>
      </c>
      <c r="G420" s="15" t="s">
        <v>12</v>
      </c>
      <c r="H420" s="24" t="s">
        <v>31</v>
      </c>
    </row>
    <row r="421" spans="1:8" x14ac:dyDescent="0.3">
      <c r="A421" s="23" t="s">
        <v>1301</v>
      </c>
      <c r="B421" s="15" t="s">
        <v>1302</v>
      </c>
      <c r="C421" s="11">
        <v>33</v>
      </c>
      <c r="D421" s="15" t="s">
        <v>9</v>
      </c>
      <c r="E421" s="15" t="s">
        <v>1303</v>
      </c>
      <c r="F421" s="15" t="s">
        <v>313</v>
      </c>
      <c r="G421" s="15" t="s">
        <v>12</v>
      </c>
      <c r="H421" s="24" t="s">
        <v>13</v>
      </c>
    </row>
    <row r="422" spans="1:8" x14ac:dyDescent="0.3">
      <c r="A422" s="23" t="s">
        <v>1304</v>
      </c>
      <c r="B422" s="15" t="s">
        <v>1305</v>
      </c>
      <c r="C422" s="11">
        <v>60</v>
      </c>
      <c r="D422" s="15" t="s">
        <v>9</v>
      </c>
      <c r="E422" s="15" t="s">
        <v>1306</v>
      </c>
      <c r="F422" s="15" t="s">
        <v>11</v>
      </c>
      <c r="G422" s="15" t="s">
        <v>12</v>
      </c>
      <c r="H422" s="24" t="s">
        <v>26</v>
      </c>
    </row>
    <row r="423" spans="1:8" x14ac:dyDescent="0.3">
      <c r="A423" s="23" t="s">
        <v>1307</v>
      </c>
      <c r="B423" s="15" t="s">
        <v>1308</v>
      </c>
      <c r="C423" s="11">
        <v>45</v>
      </c>
      <c r="D423" s="15" t="s">
        <v>16</v>
      </c>
      <c r="E423" s="15" t="s">
        <v>1309</v>
      </c>
      <c r="F423" s="15" t="s">
        <v>74</v>
      </c>
      <c r="G423" s="15" t="s">
        <v>12</v>
      </c>
      <c r="H423" s="24" t="s">
        <v>19</v>
      </c>
    </row>
    <row r="424" spans="1:8" x14ac:dyDescent="0.3">
      <c r="A424" s="23" t="s">
        <v>1310</v>
      </c>
      <c r="B424" s="15" t="s">
        <v>1311</v>
      </c>
      <c r="C424" s="11">
        <v>42</v>
      </c>
      <c r="D424" s="15" t="s">
        <v>16</v>
      </c>
      <c r="E424" s="15" t="s">
        <v>1312</v>
      </c>
      <c r="F424" s="15" t="s">
        <v>62</v>
      </c>
      <c r="G424" s="15" t="s">
        <v>12</v>
      </c>
      <c r="H424" s="24" t="s">
        <v>19</v>
      </c>
    </row>
    <row r="425" spans="1:8" x14ac:dyDescent="0.3">
      <c r="A425" s="23" t="s">
        <v>1313</v>
      </c>
      <c r="B425" s="15" t="s">
        <v>1314</v>
      </c>
      <c r="C425" s="11">
        <v>35</v>
      </c>
      <c r="D425" s="15" t="s">
        <v>9</v>
      </c>
      <c r="E425" s="15" t="s">
        <v>1315</v>
      </c>
      <c r="F425" s="15" t="s">
        <v>62</v>
      </c>
      <c r="G425" s="15" t="s">
        <v>12</v>
      </c>
      <c r="H425" s="24" t="s">
        <v>31</v>
      </c>
    </row>
    <row r="426" spans="1:8" x14ac:dyDescent="0.3">
      <c r="A426" s="23" t="s">
        <v>1316</v>
      </c>
      <c r="B426" s="15" t="s">
        <v>1317</v>
      </c>
      <c r="C426" s="11">
        <v>53</v>
      </c>
      <c r="D426" s="15" t="s">
        <v>9</v>
      </c>
      <c r="E426" s="15" t="s">
        <v>1318</v>
      </c>
      <c r="F426" s="15" t="s">
        <v>11</v>
      </c>
      <c r="G426" s="15" t="s">
        <v>12</v>
      </c>
      <c r="H426" s="24" t="s">
        <v>26</v>
      </c>
    </row>
    <row r="427" spans="1:8" x14ac:dyDescent="0.3">
      <c r="A427" s="23" t="s">
        <v>1319</v>
      </c>
      <c r="B427" s="15" t="s">
        <v>1320</v>
      </c>
      <c r="C427" s="11">
        <v>40</v>
      </c>
      <c r="D427" s="15" t="s">
        <v>9</v>
      </c>
      <c r="E427" s="15" t="s">
        <v>1321</v>
      </c>
      <c r="F427" s="15" t="s">
        <v>117</v>
      </c>
      <c r="G427" s="15" t="s">
        <v>12</v>
      </c>
      <c r="H427" s="24" t="s">
        <v>26</v>
      </c>
    </row>
    <row r="428" spans="1:8" x14ac:dyDescent="0.3">
      <c r="A428" s="23" t="s">
        <v>1322</v>
      </c>
      <c r="B428" s="15" t="s">
        <v>1323</v>
      </c>
      <c r="C428" s="11">
        <v>28</v>
      </c>
      <c r="D428" s="15" t="s">
        <v>9</v>
      </c>
      <c r="E428" s="15" t="s">
        <v>1324</v>
      </c>
      <c r="F428" s="15" t="s">
        <v>11</v>
      </c>
      <c r="G428" s="15" t="s">
        <v>12</v>
      </c>
      <c r="H428" s="24" t="s">
        <v>19</v>
      </c>
    </row>
    <row r="429" spans="1:8" x14ac:dyDescent="0.3">
      <c r="A429" s="23" t="s">
        <v>1325</v>
      </c>
      <c r="B429" s="15" t="s">
        <v>1326</v>
      </c>
      <c r="C429" s="11">
        <v>18</v>
      </c>
      <c r="D429" s="15" t="s">
        <v>16</v>
      </c>
      <c r="E429" s="15" t="s">
        <v>1327</v>
      </c>
      <c r="F429" s="15" t="s">
        <v>434</v>
      </c>
      <c r="G429" s="15" t="s">
        <v>12</v>
      </c>
      <c r="H429" s="24" t="s">
        <v>13</v>
      </c>
    </row>
    <row r="430" spans="1:8" x14ac:dyDescent="0.3">
      <c r="A430" s="23" t="s">
        <v>1328</v>
      </c>
      <c r="B430" s="15" t="s">
        <v>1329</v>
      </c>
      <c r="C430" s="11">
        <v>27</v>
      </c>
      <c r="D430" s="15" t="s">
        <v>16</v>
      </c>
      <c r="E430" s="15" t="s">
        <v>1330</v>
      </c>
      <c r="F430" s="15" t="s">
        <v>328</v>
      </c>
      <c r="G430" s="15" t="s">
        <v>12</v>
      </c>
      <c r="H430" s="24" t="s">
        <v>26</v>
      </c>
    </row>
    <row r="431" spans="1:8" x14ac:dyDescent="0.3">
      <c r="A431" s="23" t="s">
        <v>1331</v>
      </c>
      <c r="B431" s="15" t="s">
        <v>1332</v>
      </c>
      <c r="C431" s="11">
        <v>43</v>
      </c>
      <c r="D431" s="15" t="s">
        <v>9</v>
      </c>
      <c r="E431" s="15" t="s">
        <v>1333</v>
      </c>
      <c r="F431" s="15" t="s">
        <v>106</v>
      </c>
      <c r="G431" s="15" t="s">
        <v>12</v>
      </c>
      <c r="H431" s="24" t="s">
        <v>19</v>
      </c>
    </row>
    <row r="432" spans="1:8" x14ac:dyDescent="0.3">
      <c r="A432" s="23" t="s">
        <v>1334</v>
      </c>
      <c r="B432" s="15" t="s">
        <v>1335</v>
      </c>
      <c r="C432" s="11">
        <v>36</v>
      </c>
      <c r="D432" s="15" t="s">
        <v>16</v>
      </c>
      <c r="E432" s="15" t="s">
        <v>1336</v>
      </c>
      <c r="F432" s="15" t="s">
        <v>88</v>
      </c>
      <c r="G432" s="15" t="s">
        <v>12</v>
      </c>
      <c r="H432" s="24" t="s">
        <v>13</v>
      </c>
    </row>
    <row r="433" spans="1:8" x14ac:dyDescent="0.3">
      <c r="A433" s="23" t="s">
        <v>1337</v>
      </c>
      <c r="B433" s="15" t="s">
        <v>1338</v>
      </c>
      <c r="C433" s="11">
        <v>27</v>
      </c>
      <c r="D433" s="15" t="s">
        <v>9</v>
      </c>
      <c r="E433" s="15" t="s">
        <v>1339</v>
      </c>
      <c r="F433" s="15" t="s">
        <v>30</v>
      </c>
      <c r="G433" s="15" t="s">
        <v>12</v>
      </c>
      <c r="H433" s="24" t="s">
        <v>19</v>
      </c>
    </row>
    <row r="434" spans="1:8" x14ac:dyDescent="0.3">
      <c r="A434" s="23" t="s">
        <v>1340</v>
      </c>
      <c r="B434" s="15" t="s">
        <v>1341</v>
      </c>
      <c r="C434" s="11">
        <v>37</v>
      </c>
      <c r="D434" s="15" t="s">
        <v>9</v>
      </c>
      <c r="E434" s="15" t="s">
        <v>1342</v>
      </c>
      <c r="F434" s="15" t="s">
        <v>88</v>
      </c>
      <c r="G434" s="15" t="s">
        <v>12</v>
      </c>
      <c r="H434" s="24" t="s">
        <v>26</v>
      </c>
    </row>
    <row r="435" spans="1:8" x14ac:dyDescent="0.3">
      <c r="A435" s="23" t="s">
        <v>1343</v>
      </c>
      <c r="B435" s="15" t="s">
        <v>1344</v>
      </c>
      <c r="C435" s="11">
        <v>51</v>
      </c>
      <c r="D435" s="15" t="s">
        <v>16</v>
      </c>
      <c r="E435" s="15" t="s">
        <v>1345</v>
      </c>
      <c r="F435" s="15" t="s">
        <v>58</v>
      </c>
      <c r="G435" s="15" t="s">
        <v>12</v>
      </c>
      <c r="H435" s="24" t="s">
        <v>31</v>
      </c>
    </row>
    <row r="436" spans="1:8" x14ac:dyDescent="0.3">
      <c r="A436" s="23" t="s">
        <v>1346</v>
      </c>
      <c r="B436" s="15" t="s">
        <v>1347</v>
      </c>
      <c r="C436" s="11">
        <v>48</v>
      </c>
      <c r="D436" s="15" t="s">
        <v>16</v>
      </c>
      <c r="E436" s="15" t="s">
        <v>1348</v>
      </c>
      <c r="F436" s="15" t="s">
        <v>254</v>
      </c>
      <c r="G436" s="15" t="s">
        <v>12</v>
      </c>
      <c r="H436" s="24" t="s">
        <v>13</v>
      </c>
    </row>
    <row r="437" spans="1:8" x14ac:dyDescent="0.3">
      <c r="A437" s="23" t="s">
        <v>1349</v>
      </c>
      <c r="B437" s="15" t="s">
        <v>1350</v>
      </c>
      <c r="C437" s="11">
        <v>37</v>
      </c>
      <c r="D437" s="15" t="s">
        <v>16</v>
      </c>
      <c r="E437" s="15" t="s">
        <v>1351</v>
      </c>
      <c r="F437" s="15" t="s">
        <v>106</v>
      </c>
      <c r="G437" s="15" t="s">
        <v>12</v>
      </c>
      <c r="H437" s="24" t="s">
        <v>31</v>
      </c>
    </row>
    <row r="438" spans="1:8" x14ac:dyDescent="0.3">
      <c r="A438" s="23" t="s">
        <v>1352</v>
      </c>
      <c r="B438" s="15" t="s">
        <v>1353</v>
      </c>
      <c r="C438" s="11">
        <v>61</v>
      </c>
      <c r="D438" s="15" t="s">
        <v>9</v>
      </c>
      <c r="E438" s="15" t="s">
        <v>1354</v>
      </c>
      <c r="F438" s="15" t="s">
        <v>39</v>
      </c>
      <c r="G438" s="15" t="s">
        <v>12</v>
      </c>
      <c r="H438" s="24" t="s">
        <v>13</v>
      </c>
    </row>
    <row r="439" spans="1:8" x14ac:dyDescent="0.3">
      <c r="A439" s="23" t="s">
        <v>1355</v>
      </c>
      <c r="B439" s="15" t="s">
        <v>1356</v>
      </c>
      <c r="C439" s="11">
        <v>47</v>
      </c>
      <c r="D439" s="15" t="s">
        <v>16</v>
      </c>
      <c r="E439" s="15" t="s">
        <v>597</v>
      </c>
      <c r="F439" s="15" t="s">
        <v>47</v>
      </c>
      <c r="G439" s="15" t="s">
        <v>12</v>
      </c>
      <c r="H439" s="24" t="s">
        <v>19</v>
      </c>
    </row>
    <row r="440" spans="1:8" x14ac:dyDescent="0.3">
      <c r="A440" s="23" t="s">
        <v>1357</v>
      </c>
      <c r="B440" s="15" t="s">
        <v>1358</v>
      </c>
      <c r="C440" s="11">
        <v>59</v>
      </c>
      <c r="D440" s="15" t="s">
        <v>16</v>
      </c>
      <c r="E440" s="15" t="s">
        <v>1359</v>
      </c>
      <c r="F440" s="15" t="s">
        <v>237</v>
      </c>
      <c r="G440" s="15" t="s">
        <v>12</v>
      </c>
      <c r="H440" s="24" t="s">
        <v>19</v>
      </c>
    </row>
    <row r="441" spans="1:8" x14ac:dyDescent="0.3">
      <c r="A441" s="23" t="s">
        <v>1360</v>
      </c>
      <c r="B441" s="15" t="s">
        <v>1361</v>
      </c>
      <c r="C441" s="11">
        <v>53</v>
      </c>
      <c r="D441" s="15" t="s">
        <v>9</v>
      </c>
      <c r="E441" s="15" t="s">
        <v>931</v>
      </c>
      <c r="F441" s="15" t="s">
        <v>156</v>
      </c>
      <c r="G441" s="15" t="s">
        <v>12</v>
      </c>
      <c r="H441" s="24" t="s">
        <v>31</v>
      </c>
    </row>
    <row r="442" spans="1:8" x14ac:dyDescent="0.3">
      <c r="A442" s="23" t="s">
        <v>1362</v>
      </c>
      <c r="B442" s="15" t="s">
        <v>1363</v>
      </c>
      <c r="C442" s="11">
        <v>60</v>
      </c>
      <c r="D442" s="15" t="s">
        <v>9</v>
      </c>
      <c r="E442" s="15" t="s">
        <v>1364</v>
      </c>
      <c r="F442" s="15" t="s">
        <v>18</v>
      </c>
      <c r="G442" s="15" t="s">
        <v>12</v>
      </c>
      <c r="H442" s="24" t="s">
        <v>31</v>
      </c>
    </row>
    <row r="443" spans="1:8" x14ac:dyDescent="0.3">
      <c r="A443" s="23" t="s">
        <v>1365</v>
      </c>
      <c r="B443" s="15" t="s">
        <v>1366</v>
      </c>
      <c r="C443" s="11">
        <v>31</v>
      </c>
      <c r="D443" s="15" t="s">
        <v>9</v>
      </c>
      <c r="E443" s="15" t="s">
        <v>1367</v>
      </c>
      <c r="F443" s="15" t="s">
        <v>324</v>
      </c>
      <c r="G443" s="15" t="s">
        <v>12</v>
      </c>
      <c r="H443" s="24" t="s">
        <v>31</v>
      </c>
    </row>
    <row r="444" spans="1:8" x14ac:dyDescent="0.3">
      <c r="A444" s="23" t="s">
        <v>1368</v>
      </c>
      <c r="B444" s="15" t="s">
        <v>1369</v>
      </c>
      <c r="C444" s="11">
        <v>42</v>
      </c>
      <c r="D444" s="15" t="s">
        <v>16</v>
      </c>
      <c r="E444" s="15" t="s">
        <v>1370</v>
      </c>
      <c r="F444" s="15" t="s">
        <v>35</v>
      </c>
      <c r="G444" s="15" t="s">
        <v>12</v>
      </c>
      <c r="H444" s="24" t="s">
        <v>26</v>
      </c>
    </row>
    <row r="445" spans="1:8" x14ac:dyDescent="0.3">
      <c r="A445" s="23" t="s">
        <v>1371</v>
      </c>
      <c r="B445" s="15" t="s">
        <v>1372</v>
      </c>
      <c r="C445" s="11">
        <v>51</v>
      </c>
      <c r="D445" s="15" t="s">
        <v>9</v>
      </c>
      <c r="E445" s="15" t="s">
        <v>1373</v>
      </c>
      <c r="F445" s="15" t="s">
        <v>359</v>
      </c>
      <c r="G445" s="15" t="s">
        <v>12</v>
      </c>
      <c r="H445" s="24" t="s">
        <v>31</v>
      </c>
    </row>
    <row r="446" spans="1:8" x14ac:dyDescent="0.3">
      <c r="A446" s="23" t="s">
        <v>1374</v>
      </c>
      <c r="B446" s="15" t="s">
        <v>1375</v>
      </c>
      <c r="C446" s="11">
        <v>19</v>
      </c>
      <c r="D446" s="15" t="s">
        <v>9</v>
      </c>
      <c r="E446" s="15" t="s">
        <v>1376</v>
      </c>
      <c r="F446" s="15" t="s">
        <v>845</v>
      </c>
      <c r="G446" s="15" t="s">
        <v>12</v>
      </c>
      <c r="H446" s="24" t="s">
        <v>13</v>
      </c>
    </row>
    <row r="447" spans="1:8" x14ac:dyDescent="0.3">
      <c r="A447" s="23" t="s">
        <v>1377</v>
      </c>
      <c r="B447" s="15" t="s">
        <v>1378</v>
      </c>
      <c r="C447" s="11">
        <v>41</v>
      </c>
      <c r="D447" s="15" t="s">
        <v>16</v>
      </c>
      <c r="E447" s="15" t="s">
        <v>1379</v>
      </c>
      <c r="F447" s="15" t="s">
        <v>287</v>
      </c>
      <c r="G447" s="15" t="s">
        <v>12</v>
      </c>
      <c r="H447" s="24" t="s">
        <v>19</v>
      </c>
    </row>
    <row r="448" spans="1:8" x14ac:dyDescent="0.3">
      <c r="A448" s="23" t="s">
        <v>1380</v>
      </c>
      <c r="B448" s="15" t="s">
        <v>1381</v>
      </c>
      <c r="C448" s="11">
        <v>35</v>
      </c>
      <c r="D448" s="15" t="s">
        <v>9</v>
      </c>
      <c r="E448" s="15" t="s">
        <v>1382</v>
      </c>
      <c r="F448" s="15" t="s">
        <v>96</v>
      </c>
      <c r="G448" s="15" t="s">
        <v>12</v>
      </c>
      <c r="H448" s="24" t="s">
        <v>31</v>
      </c>
    </row>
    <row r="449" spans="1:8" x14ac:dyDescent="0.3">
      <c r="A449" s="23" t="s">
        <v>1383</v>
      </c>
      <c r="B449" s="15" t="s">
        <v>1384</v>
      </c>
      <c r="C449" s="11">
        <v>45</v>
      </c>
      <c r="D449" s="15" t="s">
        <v>9</v>
      </c>
      <c r="E449" s="15" t="s">
        <v>1385</v>
      </c>
      <c r="F449" s="15" t="s">
        <v>11</v>
      </c>
      <c r="G449" s="15" t="s">
        <v>12</v>
      </c>
      <c r="H449" s="24" t="s">
        <v>13</v>
      </c>
    </row>
    <row r="450" spans="1:8" x14ac:dyDescent="0.3">
      <c r="A450" s="23" t="s">
        <v>1386</v>
      </c>
      <c r="B450" s="15" t="s">
        <v>1387</v>
      </c>
      <c r="C450" s="11">
        <v>64</v>
      </c>
      <c r="D450" s="15" t="s">
        <v>16</v>
      </c>
      <c r="E450" s="15" t="s">
        <v>1388</v>
      </c>
      <c r="F450" s="15" t="s">
        <v>845</v>
      </c>
      <c r="G450" s="15" t="s">
        <v>12</v>
      </c>
      <c r="H450" s="24" t="s">
        <v>26</v>
      </c>
    </row>
    <row r="451" spans="1:8" x14ac:dyDescent="0.3">
      <c r="A451" s="23" t="s">
        <v>1389</v>
      </c>
      <c r="B451" s="15" t="s">
        <v>1390</v>
      </c>
      <c r="C451" s="11">
        <v>29</v>
      </c>
      <c r="D451" s="15" t="s">
        <v>9</v>
      </c>
      <c r="E451" s="15" t="s">
        <v>1391</v>
      </c>
      <c r="F451" s="15" t="s">
        <v>25</v>
      </c>
      <c r="G451" s="15" t="s">
        <v>12</v>
      </c>
      <c r="H451" s="24" t="s">
        <v>26</v>
      </c>
    </row>
    <row r="452" spans="1:8" x14ac:dyDescent="0.3">
      <c r="A452" s="23" t="s">
        <v>1392</v>
      </c>
      <c r="B452" s="15" t="s">
        <v>1393</v>
      </c>
      <c r="C452" s="11">
        <v>59</v>
      </c>
      <c r="D452" s="15" t="s">
        <v>9</v>
      </c>
      <c r="E452" s="15" t="s">
        <v>1394</v>
      </c>
      <c r="F452" s="15" t="s">
        <v>70</v>
      </c>
      <c r="G452" s="15" t="s">
        <v>12</v>
      </c>
      <c r="H452" s="24" t="s">
        <v>26</v>
      </c>
    </row>
    <row r="453" spans="1:8" x14ac:dyDescent="0.3">
      <c r="A453" s="23" t="s">
        <v>1395</v>
      </c>
      <c r="B453" s="15" t="s">
        <v>1396</v>
      </c>
      <c r="C453" s="11">
        <v>46</v>
      </c>
      <c r="D453" s="15" t="s">
        <v>9</v>
      </c>
      <c r="E453" s="15" t="s">
        <v>564</v>
      </c>
      <c r="F453" s="15" t="s">
        <v>233</v>
      </c>
      <c r="G453" s="15" t="s">
        <v>12</v>
      </c>
      <c r="H453" s="24" t="s">
        <v>13</v>
      </c>
    </row>
    <row r="454" spans="1:8" x14ac:dyDescent="0.3">
      <c r="A454" s="23" t="s">
        <v>1397</v>
      </c>
      <c r="B454" s="15" t="s">
        <v>1398</v>
      </c>
      <c r="C454" s="11">
        <v>60</v>
      </c>
      <c r="D454" s="15" t="s">
        <v>16</v>
      </c>
      <c r="E454" s="15" t="s">
        <v>1399</v>
      </c>
      <c r="F454" s="15" t="s">
        <v>313</v>
      </c>
      <c r="G454" s="15" t="s">
        <v>12</v>
      </c>
      <c r="H454" s="24" t="s">
        <v>26</v>
      </c>
    </row>
    <row r="455" spans="1:8" x14ac:dyDescent="0.3">
      <c r="A455" s="23" t="s">
        <v>1400</v>
      </c>
      <c r="B455" s="15" t="s">
        <v>1401</v>
      </c>
      <c r="C455" s="11">
        <v>62</v>
      </c>
      <c r="D455" s="15" t="s">
        <v>16</v>
      </c>
      <c r="E455" s="15" t="s">
        <v>1402</v>
      </c>
      <c r="F455" s="15" t="s">
        <v>99</v>
      </c>
      <c r="G455" s="15" t="s">
        <v>12</v>
      </c>
      <c r="H455" s="24" t="s">
        <v>19</v>
      </c>
    </row>
    <row r="456" spans="1:8" x14ac:dyDescent="0.3">
      <c r="A456" s="23" t="s">
        <v>1403</v>
      </c>
      <c r="B456" s="15" t="s">
        <v>1404</v>
      </c>
      <c r="C456" s="11">
        <v>60</v>
      </c>
      <c r="D456" s="15" t="s">
        <v>9</v>
      </c>
      <c r="E456" s="15" t="s">
        <v>129</v>
      </c>
      <c r="F456" s="15" t="s">
        <v>96</v>
      </c>
      <c r="G456" s="15" t="s">
        <v>12</v>
      </c>
      <c r="H456" s="24" t="s">
        <v>13</v>
      </c>
    </row>
    <row r="457" spans="1:8" x14ac:dyDescent="0.3">
      <c r="A457" s="23" t="s">
        <v>1405</v>
      </c>
      <c r="B457" s="15" t="s">
        <v>1406</v>
      </c>
      <c r="C457" s="11">
        <v>54</v>
      </c>
      <c r="D457" s="15" t="s">
        <v>9</v>
      </c>
      <c r="E457" s="15" t="s">
        <v>1407</v>
      </c>
      <c r="F457" s="15" t="s">
        <v>194</v>
      </c>
      <c r="G457" s="15" t="s">
        <v>12</v>
      </c>
      <c r="H457" s="24" t="s">
        <v>13</v>
      </c>
    </row>
    <row r="458" spans="1:8" x14ac:dyDescent="0.3">
      <c r="A458" s="23" t="s">
        <v>1408</v>
      </c>
      <c r="B458" s="15" t="s">
        <v>1409</v>
      </c>
      <c r="C458" s="11">
        <v>59</v>
      </c>
      <c r="D458" s="15" t="s">
        <v>16</v>
      </c>
      <c r="E458" s="15" t="s">
        <v>1410</v>
      </c>
      <c r="F458" s="15" t="s">
        <v>291</v>
      </c>
      <c r="G458" s="15" t="s">
        <v>12</v>
      </c>
      <c r="H458" s="24" t="s">
        <v>13</v>
      </c>
    </row>
    <row r="459" spans="1:8" x14ac:dyDescent="0.3">
      <c r="A459" s="23" t="s">
        <v>1411</v>
      </c>
      <c r="B459" s="15" t="s">
        <v>1412</v>
      </c>
      <c r="C459" s="11">
        <v>59</v>
      </c>
      <c r="D459" s="15" t="s">
        <v>9</v>
      </c>
      <c r="E459" s="15" t="s">
        <v>1413</v>
      </c>
      <c r="F459" s="15" t="s">
        <v>588</v>
      </c>
      <c r="G459" s="15" t="s">
        <v>12</v>
      </c>
      <c r="H459" s="24" t="s">
        <v>19</v>
      </c>
    </row>
    <row r="460" spans="1:8" x14ac:dyDescent="0.3">
      <c r="A460" s="23" t="s">
        <v>1414</v>
      </c>
      <c r="B460" s="15" t="s">
        <v>1415</v>
      </c>
      <c r="C460" s="11">
        <v>62</v>
      </c>
      <c r="D460" s="15" t="s">
        <v>16</v>
      </c>
      <c r="E460" s="15" t="s">
        <v>1416</v>
      </c>
      <c r="F460" s="15" t="s">
        <v>51</v>
      </c>
      <c r="G460" s="15" t="s">
        <v>12</v>
      </c>
      <c r="H460" s="24" t="s">
        <v>31</v>
      </c>
    </row>
    <row r="461" spans="1:8" x14ac:dyDescent="0.3">
      <c r="A461" s="23" t="s">
        <v>1417</v>
      </c>
      <c r="B461" s="15" t="s">
        <v>679</v>
      </c>
      <c r="C461" s="11">
        <v>29</v>
      </c>
      <c r="D461" s="15" t="s">
        <v>16</v>
      </c>
      <c r="E461" s="15" t="s">
        <v>1418</v>
      </c>
      <c r="F461" s="15" t="s">
        <v>317</v>
      </c>
      <c r="G461" s="15" t="s">
        <v>12</v>
      </c>
      <c r="H461" s="24" t="s">
        <v>13</v>
      </c>
    </row>
    <row r="462" spans="1:8" x14ac:dyDescent="0.3">
      <c r="A462" s="23" t="s">
        <v>1419</v>
      </c>
      <c r="B462" s="15" t="s">
        <v>1420</v>
      </c>
      <c r="C462" s="11">
        <v>35</v>
      </c>
      <c r="D462" s="15" t="s">
        <v>9</v>
      </c>
      <c r="E462" s="15" t="s">
        <v>1421</v>
      </c>
      <c r="F462" s="15" t="s">
        <v>267</v>
      </c>
      <c r="G462" s="15" t="s">
        <v>12</v>
      </c>
      <c r="H462" s="24" t="s">
        <v>13</v>
      </c>
    </row>
    <row r="463" spans="1:8" x14ac:dyDescent="0.3">
      <c r="A463" s="23" t="s">
        <v>1422</v>
      </c>
      <c r="B463" s="15" t="s">
        <v>1423</v>
      </c>
      <c r="C463" s="11">
        <v>60</v>
      </c>
      <c r="D463" s="15" t="s">
        <v>16</v>
      </c>
      <c r="E463" s="15" t="s">
        <v>1424</v>
      </c>
      <c r="F463" s="15" t="s">
        <v>62</v>
      </c>
      <c r="G463" s="15" t="s">
        <v>12</v>
      </c>
      <c r="H463" s="24" t="s">
        <v>31</v>
      </c>
    </row>
    <row r="464" spans="1:8" x14ac:dyDescent="0.3">
      <c r="A464" s="23" t="s">
        <v>1425</v>
      </c>
      <c r="B464" s="15" t="s">
        <v>1426</v>
      </c>
      <c r="C464" s="11">
        <v>34</v>
      </c>
      <c r="D464" s="15" t="s">
        <v>16</v>
      </c>
      <c r="E464" s="15" t="s">
        <v>1427</v>
      </c>
      <c r="F464" s="15" t="s">
        <v>43</v>
      </c>
      <c r="G464" s="15" t="s">
        <v>12</v>
      </c>
      <c r="H464" s="24" t="s">
        <v>31</v>
      </c>
    </row>
    <row r="465" spans="1:8" x14ac:dyDescent="0.3">
      <c r="A465" s="23" t="s">
        <v>1428</v>
      </c>
      <c r="B465" s="15" t="s">
        <v>1429</v>
      </c>
      <c r="C465" s="11">
        <v>36</v>
      </c>
      <c r="D465" s="15" t="s">
        <v>16</v>
      </c>
      <c r="E465" s="15" t="s">
        <v>1430</v>
      </c>
      <c r="F465" s="15" t="s">
        <v>167</v>
      </c>
      <c r="G465" s="15" t="s">
        <v>12</v>
      </c>
      <c r="H465" s="24" t="s">
        <v>26</v>
      </c>
    </row>
    <row r="466" spans="1:8" x14ac:dyDescent="0.3">
      <c r="A466" s="23" t="s">
        <v>1431</v>
      </c>
      <c r="B466" s="15" t="s">
        <v>1432</v>
      </c>
      <c r="C466" s="11">
        <v>45</v>
      </c>
      <c r="D466" s="15" t="s">
        <v>16</v>
      </c>
      <c r="E466" s="15" t="s">
        <v>1433</v>
      </c>
      <c r="F466" s="15" t="s">
        <v>74</v>
      </c>
      <c r="G466" s="15" t="s">
        <v>12</v>
      </c>
      <c r="H466" s="24" t="s">
        <v>19</v>
      </c>
    </row>
    <row r="467" spans="1:8" x14ac:dyDescent="0.3">
      <c r="A467" s="23" t="s">
        <v>1434</v>
      </c>
      <c r="B467" s="15" t="s">
        <v>1435</v>
      </c>
      <c r="C467" s="11">
        <v>28</v>
      </c>
      <c r="D467" s="15" t="s">
        <v>16</v>
      </c>
      <c r="E467" s="15" t="s">
        <v>1436</v>
      </c>
      <c r="F467" s="15" t="s">
        <v>11</v>
      </c>
      <c r="G467" s="15" t="s">
        <v>12</v>
      </c>
      <c r="H467" s="24" t="s">
        <v>31</v>
      </c>
    </row>
    <row r="468" spans="1:8" x14ac:dyDescent="0.3">
      <c r="A468" s="23" t="s">
        <v>1437</v>
      </c>
      <c r="B468" s="15" t="s">
        <v>1438</v>
      </c>
      <c r="C468" s="11">
        <v>18</v>
      </c>
      <c r="D468" s="15" t="s">
        <v>9</v>
      </c>
      <c r="E468" s="15" t="s">
        <v>1439</v>
      </c>
      <c r="F468" s="15" t="s">
        <v>201</v>
      </c>
      <c r="G468" s="15" t="s">
        <v>12</v>
      </c>
      <c r="H468" s="24" t="s">
        <v>31</v>
      </c>
    </row>
    <row r="469" spans="1:8" x14ac:dyDescent="0.3">
      <c r="A469" s="23" t="s">
        <v>1440</v>
      </c>
      <c r="B469" s="15" t="s">
        <v>1441</v>
      </c>
      <c r="C469" s="11">
        <v>63</v>
      </c>
      <c r="D469" s="15" t="s">
        <v>16</v>
      </c>
      <c r="E469" s="15" t="s">
        <v>1442</v>
      </c>
      <c r="F469" s="15" t="s">
        <v>171</v>
      </c>
      <c r="G469" s="15" t="s">
        <v>12</v>
      </c>
      <c r="H469" s="24" t="s">
        <v>13</v>
      </c>
    </row>
    <row r="470" spans="1:8" x14ac:dyDescent="0.3">
      <c r="A470" s="23" t="s">
        <v>1443</v>
      </c>
      <c r="B470" s="15" t="s">
        <v>1444</v>
      </c>
      <c r="C470" s="11">
        <v>45</v>
      </c>
      <c r="D470" s="15" t="s">
        <v>9</v>
      </c>
      <c r="E470" s="15" t="s">
        <v>1445</v>
      </c>
      <c r="F470" s="15" t="s">
        <v>171</v>
      </c>
      <c r="G470" s="15" t="s">
        <v>12</v>
      </c>
      <c r="H470" s="24" t="s">
        <v>26</v>
      </c>
    </row>
    <row r="471" spans="1:8" x14ac:dyDescent="0.3">
      <c r="A471" s="23" t="s">
        <v>1446</v>
      </c>
      <c r="B471" s="15" t="s">
        <v>1447</v>
      </c>
      <c r="C471" s="11">
        <v>19</v>
      </c>
      <c r="D471" s="15" t="s">
        <v>9</v>
      </c>
      <c r="E471" s="15" t="s">
        <v>1448</v>
      </c>
      <c r="F471" s="15" t="s">
        <v>117</v>
      </c>
      <c r="G471" s="15" t="s">
        <v>12</v>
      </c>
      <c r="H471" s="24" t="s">
        <v>13</v>
      </c>
    </row>
    <row r="472" spans="1:8" x14ac:dyDescent="0.3">
      <c r="A472" s="23" t="s">
        <v>1449</v>
      </c>
      <c r="B472" s="15" t="s">
        <v>1450</v>
      </c>
      <c r="C472" s="11">
        <v>21</v>
      </c>
      <c r="D472" s="15" t="s">
        <v>16</v>
      </c>
      <c r="E472" s="15" t="s">
        <v>1451</v>
      </c>
      <c r="F472" s="15" t="s">
        <v>47</v>
      </c>
      <c r="G472" s="15" t="s">
        <v>12</v>
      </c>
      <c r="H472" s="24" t="s">
        <v>13</v>
      </c>
    </row>
    <row r="473" spans="1:8" x14ac:dyDescent="0.3">
      <c r="A473" s="23" t="s">
        <v>1452</v>
      </c>
      <c r="B473" s="15" t="s">
        <v>1453</v>
      </c>
      <c r="C473" s="11">
        <v>42</v>
      </c>
      <c r="D473" s="15" t="s">
        <v>9</v>
      </c>
      <c r="E473" s="15" t="s">
        <v>1454</v>
      </c>
      <c r="F473" s="15" t="s">
        <v>66</v>
      </c>
      <c r="G473" s="15" t="s">
        <v>12</v>
      </c>
      <c r="H473" s="24" t="s">
        <v>19</v>
      </c>
    </row>
    <row r="474" spans="1:8" x14ac:dyDescent="0.3">
      <c r="A474" s="23" t="s">
        <v>1455</v>
      </c>
      <c r="B474" s="15" t="s">
        <v>1456</v>
      </c>
      <c r="C474" s="11">
        <v>42</v>
      </c>
      <c r="D474" s="15" t="s">
        <v>9</v>
      </c>
      <c r="E474" s="15" t="s">
        <v>1457</v>
      </c>
      <c r="F474" s="15" t="s">
        <v>715</v>
      </c>
      <c r="G474" s="15" t="s">
        <v>12</v>
      </c>
      <c r="H474" s="24" t="s">
        <v>31</v>
      </c>
    </row>
    <row r="475" spans="1:8" x14ac:dyDescent="0.3">
      <c r="A475" s="23" t="s">
        <v>1458</v>
      </c>
      <c r="B475" s="15" t="s">
        <v>1459</v>
      </c>
      <c r="C475" s="11">
        <v>53</v>
      </c>
      <c r="D475" s="15" t="s">
        <v>9</v>
      </c>
      <c r="E475" s="15" t="s">
        <v>1460</v>
      </c>
      <c r="F475" s="15" t="s">
        <v>324</v>
      </c>
      <c r="G475" s="15" t="s">
        <v>12</v>
      </c>
      <c r="H475" s="24" t="s">
        <v>26</v>
      </c>
    </row>
    <row r="476" spans="1:8" x14ac:dyDescent="0.3">
      <c r="A476" s="23" t="s">
        <v>1461</v>
      </c>
      <c r="B476" s="15" t="s">
        <v>1462</v>
      </c>
      <c r="C476" s="11">
        <v>32</v>
      </c>
      <c r="D476" s="15" t="s">
        <v>16</v>
      </c>
      <c r="E476" s="15" t="s">
        <v>1463</v>
      </c>
      <c r="F476" s="15" t="s">
        <v>39</v>
      </c>
      <c r="G476" s="15" t="s">
        <v>12</v>
      </c>
      <c r="H476" s="24" t="s">
        <v>19</v>
      </c>
    </row>
    <row r="477" spans="1:8" x14ac:dyDescent="0.3">
      <c r="A477" s="23" t="s">
        <v>1464</v>
      </c>
      <c r="B477" s="15" t="s">
        <v>1465</v>
      </c>
      <c r="C477" s="11">
        <v>18</v>
      </c>
      <c r="D477" s="15" t="s">
        <v>16</v>
      </c>
      <c r="E477" s="15" t="s">
        <v>395</v>
      </c>
      <c r="F477" s="15" t="s">
        <v>171</v>
      </c>
      <c r="G477" s="15" t="s">
        <v>12</v>
      </c>
      <c r="H477" s="24" t="s">
        <v>19</v>
      </c>
    </row>
    <row r="478" spans="1:8" x14ac:dyDescent="0.3">
      <c r="A478" s="23" t="s">
        <v>1466</v>
      </c>
      <c r="B478" s="15" t="s">
        <v>1467</v>
      </c>
      <c r="C478" s="11">
        <v>33</v>
      </c>
      <c r="D478" s="15" t="s">
        <v>16</v>
      </c>
      <c r="E478" s="15" t="s">
        <v>1468</v>
      </c>
      <c r="F478" s="15" t="s">
        <v>96</v>
      </c>
      <c r="G478" s="15" t="s">
        <v>12</v>
      </c>
      <c r="H478" s="24" t="s">
        <v>13</v>
      </c>
    </row>
    <row r="479" spans="1:8" x14ac:dyDescent="0.3">
      <c r="A479" s="23" t="s">
        <v>1469</v>
      </c>
      <c r="B479" s="15" t="s">
        <v>1470</v>
      </c>
      <c r="C479" s="11">
        <v>41</v>
      </c>
      <c r="D479" s="15" t="s">
        <v>16</v>
      </c>
      <c r="E479" s="15" t="s">
        <v>1471</v>
      </c>
      <c r="F479" s="15" t="s">
        <v>62</v>
      </c>
      <c r="G479" s="15" t="s">
        <v>12</v>
      </c>
      <c r="H479" s="24" t="s">
        <v>19</v>
      </c>
    </row>
    <row r="480" spans="1:8" x14ac:dyDescent="0.3">
      <c r="A480" s="23" t="s">
        <v>1472</v>
      </c>
      <c r="B480" s="15" t="s">
        <v>1473</v>
      </c>
      <c r="C480" s="11">
        <v>59</v>
      </c>
      <c r="D480" s="15" t="s">
        <v>9</v>
      </c>
      <c r="E480" s="15" t="s">
        <v>1474</v>
      </c>
      <c r="F480" s="15" t="s">
        <v>39</v>
      </c>
      <c r="G480" s="15" t="s">
        <v>12</v>
      </c>
      <c r="H480" s="24" t="s">
        <v>13</v>
      </c>
    </row>
    <row r="481" spans="1:8" x14ac:dyDescent="0.3">
      <c r="A481" s="23" t="s">
        <v>1475</v>
      </c>
      <c r="B481" s="15" t="s">
        <v>1476</v>
      </c>
      <c r="C481" s="11">
        <v>40</v>
      </c>
      <c r="D481" s="15" t="s">
        <v>9</v>
      </c>
      <c r="E481" s="15" t="s">
        <v>1477</v>
      </c>
      <c r="F481" s="15" t="s">
        <v>43</v>
      </c>
      <c r="G481" s="15" t="s">
        <v>12</v>
      </c>
      <c r="H481" s="24" t="s">
        <v>26</v>
      </c>
    </row>
    <row r="482" spans="1:8" x14ac:dyDescent="0.3">
      <c r="A482" s="23" t="s">
        <v>1478</v>
      </c>
      <c r="B482" s="15" t="s">
        <v>1479</v>
      </c>
      <c r="C482" s="11">
        <v>33</v>
      </c>
      <c r="D482" s="15" t="s">
        <v>9</v>
      </c>
      <c r="E482" s="15" t="s">
        <v>1480</v>
      </c>
      <c r="F482" s="15" t="s">
        <v>250</v>
      </c>
      <c r="G482" s="15" t="s">
        <v>12</v>
      </c>
      <c r="H482" s="24" t="s">
        <v>26</v>
      </c>
    </row>
    <row r="483" spans="1:8" x14ac:dyDescent="0.3">
      <c r="A483" s="23" t="s">
        <v>1481</v>
      </c>
      <c r="B483" s="15" t="s">
        <v>1482</v>
      </c>
      <c r="C483" s="11">
        <v>21</v>
      </c>
      <c r="D483" s="15" t="s">
        <v>9</v>
      </c>
      <c r="E483" s="15" t="s">
        <v>1483</v>
      </c>
      <c r="F483" s="15" t="s">
        <v>81</v>
      </c>
      <c r="G483" s="15" t="s">
        <v>12</v>
      </c>
      <c r="H483" s="24" t="s">
        <v>13</v>
      </c>
    </row>
    <row r="484" spans="1:8" x14ac:dyDescent="0.3">
      <c r="A484" s="23" t="s">
        <v>1484</v>
      </c>
      <c r="B484" s="15" t="s">
        <v>1485</v>
      </c>
      <c r="C484" s="11">
        <v>26</v>
      </c>
      <c r="D484" s="15" t="s">
        <v>9</v>
      </c>
      <c r="E484" s="15" t="s">
        <v>1486</v>
      </c>
      <c r="F484" s="15" t="s">
        <v>588</v>
      </c>
      <c r="G484" s="15" t="s">
        <v>12</v>
      </c>
      <c r="H484" s="24" t="s">
        <v>19</v>
      </c>
    </row>
    <row r="485" spans="1:8" x14ac:dyDescent="0.3">
      <c r="A485" s="23" t="s">
        <v>1487</v>
      </c>
      <c r="B485" s="15" t="s">
        <v>1273</v>
      </c>
      <c r="C485" s="11">
        <v>48</v>
      </c>
      <c r="D485" s="15" t="s">
        <v>9</v>
      </c>
      <c r="E485" s="15" t="s">
        <v>1488</v>
      </c>
      <c r="F485" s="15" t="s">
        <v>184</v>
      </c>
      <c r="G485" s="15" t="s">
        <v>12</v>
      </c>
      <c r="H485" s="24" t="s">
        <v>13</v>
      </c>
    </row>
    <row r="486" spans="1:8" x14ac:dyDescent="0.3">
      <c r="A486" s="23" t="s">
        <v>1489</v>
      </c>
      <c r="B486" s="15" t="s">
        <v>1490</v>
      </c>
      <c r="C486" s="11">
        <v>32</v>
      </c>
      <c r="D486" s="15" t="s">
        <v>9</v>
      </c>
      <c r="E486" s="15" t="s">
        <v>1491</v>
      </c>
      <c r="F486" s="15" t="s">
        <v>715</v>
      </c>
      <c r="G486" s="15" t="s">
        <v>12</v>
      </c>
      <c r="H486" s="24" t="s">
        <v>26</v>
      </c>
    </row>
    <row r="487" spans="1:8" x14ac:dyDescent="0.3">
      <c r="A487" s="23" t="s">
        <v>1492</v>
      </c>
      <c r="B487" s="15" t="s">
        <v>1493</v>
      </c>
      <c r="C487" s="11">
        <v>46</v>
      </c>
      <c r="D487" s="15" t="s">
        <v>16</v>
      </c>
      <c r="E487" s="15" t="s">
        <v>1494</v>
      </c>
      <c r="F487" s="15" t="s">
        <v>287</v>
      </c>
      <c r="G487" s="15" t="s">
        <v>12</v>
      </c>
      <c r="H487" s="24" t="s">
        <v>26</v>
      </c>
    </row>
    <row r="488" spans="1:8" x14ac:dyDescent="0.3">
      <c r="A488" s="23" t="s">
        <v>1495</v>
      </c>
      <c r="B488" s="15" t="s">
        <v>1496</v>
      </c>
      <c r="C488" s="11">
        <v>22</v>
      </c>
      <c r="D488" s="15" t="s">
        <v>16</v>
      </c>
      <c r="E488" s="15" t="s">
        <v>1497</v>
      </c>
      <c r="F488" s="15" t="s">
        <v>171</v>
      </c>
      <c r="G488" s="15" t="s">
        <v>12</v>
      </c>
      <c r="H488" s="24" t="s">
        <v>26</v>
      </c>
    </row>
    <row r="489" spans="1:8" x14ac:dyDescent="0.3">
      <c r="A489" s="23" t="s">
        <v>1498</v>
      </c>
      <c r="B489" s="15" t="s">
        <v>1499</v>
      </c>
      <c r="C489" s="11">
        <v>36</v>
      </c>
      <c r="D489" s="15" t="s">
        <v>16</v>
      </c>
      <c r="E489" s="15" t="s">
        <v>1500</v>
      </c>
      <c r="F489" s="15" t="s">
        <v>117</v>
      </c>
      <c r="G489" s="15" t="s">
        <v>12</v>
      </c>
      <c r="H489" s="24" t="s">
        <v>19</v>
      </c>
    </row>
    <row r="490" spans="1:8" x14ac:dyDescent="0.3">
      <c r="A490" s="23" t="s">
        <v>1501</v>
      </c>
      <c r="B490" s="15" t="s">
        <v>1502</v>
      </c>
      <c r="C490" s="11">
        <v>23</v>
      </c>
      <c r="D490" s="15" t="s">
        <v>16</v>
      </c>
      <c r="E490" s="15" t="s">
        <v>1503</v>
      </c>
      <c r="F490" s="15" t="s">
        <v>30</v>
      </c>
      <c r="G490" s="15" t="s">
        <v>12</v>
      </c>
      <c r="H490" s="24" t="s">
        <v>19</v>
      </c>
    </row>
    <row r="491" spans="1:8" x14ac:dyDescent="0.3">
      <c r="A491" s="23" t="s">
        <v>1504</v>
      </c>
      <c r="B491" s="15" t="s">
        <v>1505</v>
      </c>
      <c r="C491" s="11">
        <v>42</v>
      </c>
      <c r="D491" s="15" t="s">
        <v>16</v>
      </c>
      <c r="E491" s="15" t="s">
        <v>1506</v>
      </c>
      <c r="F491" s="15" t="s">
        <v>254</v>
      </c>
      <c r="G491" s="15" t="s">
        <v>12</v>
      </c>
      <c r="H491" s="24" t="s">
        <v>31</v>
      </c>
    </row>
    <row r="492" spans="1:8" x14ac:dyDescent="0.3">
      <c r="A492" s="23" t="s">
        <v>1507</v>
      </c>
      <c r="B492" s="15" t="s">
        <v>1508</v>
      </c>
      <c r="C492" s="11">
        <v>23</v>
      </c>
      <c r="D492" s="15" t="s">
        <v>9</v>
      </c>
      <c r="E492" s="15" t="s">
        <v>1509</v>
      </c>
      <c r="F492" s="15" t="s">
        <v>140</v>
      </c>
      <c r="G492" s="15" t="s">
        <v>12</v>
      </c>
      <c r="H492" s="24" t="s">
        <v>19</v>
      </c>
    </row>
    <row r="493" spans="1:8" x14ac:dyDescent="0.3">
      <c r="A493" s="23" t="s">
        <v>1510</v>
      </c>
      <c r="B493" s="15" t="s">
        <v>1511</v>
      </c>
      <c r="C493" s="11">
        <v>52</v>
      </c>
      <c r="D493" s="15" t="s">
        <v>16</v>
      </c>
      <c r="E493" s="15" t="s">
        <v>1512</v>
      </c>
      <c r="F493" s="15" t="s">
        <v>39</v>
      </c>
      <c r="G493" s="15" t="s">
        <v>12</v>
      </c>
      <c r="H493" s="24" t="s">
        <v>13</v>
      </c>
    </row>
    <row r="494" spans="1:8" x14ac:dyDescent="0.3">
      <c r="A494" s="23" t="s">
        <v>1513</v>
      </c>
      <c r="B494" s="15" t="s">
        <v>1514</v>
      </c>
      <c r="C494" s="11">
        <v>59</v>
      </c>
      <c r="D494" s="15" t="s">
        <v>16</v>
      </c>
      <c r="E494" s="15" t="s">
        <v>1515</v>
      </c>
      <c r="F494" s="15" t="s">
        <v>250</v>
      </c>
      <c r="G494" s="15" t="s">
        <v>12</v>
      </c>
      <c r="H494" s="24" t="s">
        <v>19</v>
      </c>
    </row>
    <row r="495" spans="1:8" x14ac:dyDescent="0.3">
      <c r="A495" s="23" t="s">
        <v>1516</v>
      </c>
      <c r="B495" s="15" t="s">
        <v>1517</v>
      </c>
      <c r="C495" s="11">
        <v>28</v>
      </c>
      <c r="D495" s="15" t="s">
        <v>9</v>
      </c>
      <c r="E495" s="15" t="s">
        <v>84</v>
      </c>
      <c r="F495" s="15" t="s">
        <v>22</v>
      </c>
      <c r="G495" s="15" t="s">
        <v>12</v>
      </c>
      <c r="H495" s="24" t="s">
        <v>31</v>
      </c>
    </row>
    <row r="496" spans="1:8" x14ac:dyDescent="0.3">
      <c r="A496" s="23" t="s">
        <v>1518</v>
      </c>
      <c r="B496" s="15" t="s">
        <v>1519</v>
      </c>
      <c r="C496" s="11">
        <v>21</v>
      </c>
      <c r="D496" s="15" t="s">
        <v>9</v>
      </c>
      <c r="E496" s="15" t="s">
        <v>1520</v>
      </c>
      <c r="F496" s="15" t="s">
        <v>359</v>
      </c>
      <c r="G496" s="15" t="s">
        <v>12</v>
      </c>
      <c r="H496" s="24" t="s">
        <v>13</v>
      </c>
    </row>
    <row r="497" spans="1:8" x14ac:dyDescent="0.3">
      <c r="A497" s="23" t="s">
        <v>1521</v>
      </c>
      <c r="B497" s="15" t="s">
        <v>1522</v>
      </c>
      <c r="C497" s="11">
        <v>23</v>
      </c>
      <c r="D497" s="15" t="s">
        <v>16</v>
      </c>
      <c r="E497" s="15" t="s">
        <v>1523</v>
      </c>
      <c r="F497" s="15" t="s">
        <v>92</v>
      </c>
      <c r="G497" s="15" t="s">
        <v>12</v>
      </c>
      <c r="H497" s="24" t="s">
        <v>26</v>
      </c>
    </row>
    <row r="498" spans="1:8" x14ac:dyDescent="0.3">
      <c r="A498" s="23" t="s">
        <v>1524</v>
      </c>
      <c r="B498" s="15" t="s">
        <v>1525</v>
      </c>
      <c r="C498" s="11">
        <v>56</v>
      </c>
      <c r="D498" s="15" t="s">
        <v>9</v>
      </c>
      <c r="E498" s="15" t="s">
        <v>1526</v>
      </c>
      <c r="F498" s="15" t="s">
        <v>25</v>
      </c>
      <c r="G498" s="15" t="s">
        <v>12</v>
      </c>
      <c r="H498" s="24" t="s">
        <v>26</v>
      </c>
    </row>
    <row r="499" spans="1:8" x14ac:dyDescent="0.3">
      <c r="A499" s="23" t="s">
        <v>1527</v>
      </c>
      <c r="B499" s="15" t="s">
        <v>1528</v>
      </c>
      <c r="C499" s="11">
        <v>47</v>
      </c>
      <c r="D499" s="15" t="s">
        <v>16</v>
      </c>
      <c r="E499" s="15" t="s">
        <v>1529</v>
      </c>
      <c r="F499" s="15" t="s">
        <v>58</v>
      </c>
      <c r="G499" s="15" t="s">
        <v>12</v>
      </c>
      <c r="H499" s="24" t="s">
        <v>13</v>
      </c>
    </row>
    <row r="500" spans="1:8" x14ac:dyDescent="0.3">
      <c r="A500" s="23" t="s">
        <v>1530</v>
      </c>
      <c r="B500" s="15" t="s">
        <v>1531</v>
      </c>
      <c r="C500" s="11">
        <v>35</v>
      </c>
      <c r="D500" s="15" t="s">
        <v>9</v>
      </c>
      <c r="E500" s="15" t="s">
        <v>1532</v>
      </c>
      <c r="F500" s="15" t="s">
        <v>233</v>
      </c>
      <c r="G500" s="15" t="s">
        <v>12</v>
      </c>
      <c r="H500" s="24" t="s">
        <v>31</v>
      </c>
    </row>
    <row r="501" spans="1:8" x14ac:dyDescent="0.3">
      <c r="A501" s="29" t="s">
        <v>1533</v>
      </c>
      <c r="B501" s="30" t="s">
        <v>1534</v>
      </c>
      <c r="C501" s="31">
        <v>27</v>
      </c>
      <c r="D501" s="30" t="s">
        <v>16</v>
      </c>
      <c r="E501" s="30" t="s">
        <v>1535</v>
      </c>
      <c r="F501" s="30" t="s">
        <v>35</v>
      </c>
      <c r="G501" s="30" t="s">
        <v>12</v>
      </c>
      <c r="H501" s="3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B1" sqref="B1"/>
    </sheetView>
  </sheetViews>
  <sheetFormatPr defaultRowHeight="14.4" x14ac:dyDescent="0.3"/>
  <cols>
    <col min="1" max="1" width="15.88671875" style="14" customWidth="1"/>
    <col min="2" max="2" width="29.33203125" style="14" customWidth="1"/>
    <col min="3" max="3" width="14.44140625" style="14" customWidth="1"/>
    <col min="4" max="4" width="15.6640625" style="14" customWidth="1"/>
    <col min="5" max="5" width="25.33203125" style="14" customWidth="1"/>
    <col min="6" max="6" width="8.88671875" style="1"/>
    <col min="7" max="7" width="8.88671875" style="3"/>
  </cols>
  <sheetData>
    <row r="1" spans="1:7" x14ac:dyDescent="0.3">
      <c r="A1" s="13" t="s">
        <v>1536</v>
      </c>
      <c r="B1" s="13" t="s">
        <v>1537</v>
      </c>
      <c r="C1" s="13" t="s">
        <v>1538</v>
      </c>
      <c r="D1" s="13" t="s">
        <v>1539</v>
      </c>
      <c r="E1" s="13" t="s">
        <v>1540</v>
      </c>
      <c r="F1" s="33" t="s">
        <v>1541</v>
      </c>
      <c r="G1" s="2" t="s">
        <v>1542</v>
      </c>
    </row>
    <row r="2" spans="1:7" x14ac:dyDescent="0.3">
      <c r="A2" s="16" t="s">
        <v>1543</v>
      </c>
      <c r="B2" s="16" t="s">
        <v>3805</v>
      </c>
      <c r="C2" s="16" t="s">
        <v>1563</v>
      </c>
      <c r="D2" s="16" t="s">
        <v>3806</v>
      </c>
      <c r="E2" s="16" t="s">
        <v>1545</v>
      </c>
      <c r="F2" s="17">
        <v>112.42</v>
      </c>
      <c r="G2" s="18">
        <v>416</v>
      </c>
    </row>
    <row r="3" spans="1:7" x14ac:dyDescent="0.3">
      <c r="A3" s="16" t="s">
        <v>1546</v>
      </c>
      <c r="B3" s="16" t="s">
        <v>3807</v>
      </c>
      <c r="C3" s="16" t="s">
        <v>1547</v>
      </c>
      <c r="D3" s="16" t="s">
        <v>3808</v>
      </c>
      <c r="E3" s="16" t="s">
        <v>1548</v>
      </c>
      <c r="F3" s="17">
        <v>342.56</v>
      </c>
      <c r="G3" s="18">
        <v>181</v>
      </c>
    </row>
    <row r="4" spans="1:7" x14ac:dyDescent="0.3">
      <c r="A4" s="16" t="s">
        <v>1549</v>
      </c>
      <c r="B4" s="16" t="s">
        <v>3809</v>
      </c>
      <c r="C4" s="16" t="s">
        <v>1547</v>
      </c>
      <c r="D4" s="16" t="s">
        <v>3810</v>
      </c>
      <c r="E4" s="16" t="s">
        <v>1550</v>
      </c>
      <c r="F4" s="18">
        <v>0</v>
      </c>
      <c r="G4" s="18">
        <v>352</v>
      </c>
    </row>
    <row r="5" spans="1:7" x14ac:dyDescent="0.3">
      <c r="A5" s="16" t="s">
        <v>1551</v>
      </c>
      <c r="B5" s="16" t="s">
        <v>3811</v>
      </c>
      <c r="C5" s="16" t="s">
        <v>1547</v>
      </c>
      <c r="D5" s="16" t="s">
        <v>3810</v>
      </c>
      <c r="E5" s="16" t="s">
        <v>1552</v>
      </c>
      <c r="F5" s="17">
        <v>364.67</v>
      </c>
      <c r="G5" s="18">
        <v>452</v>
      </c>
    </row>
    <row r="6" spans="1:7" x14ac:dyDescent="0.3">
      <c r="A6" s="16" t="s">
        <v>1553</v>
      </c>
      <c r="B6" s="16" t="s">
        <v>3812</v>
      </c>
      <c r="C6" s="16" t="s">
        <v>1547</v>
      </c>
      <c r="D6" s="16" t="s">
        <v>3813</v>
      </c>
      <c r="E6" s="16" t="s">
        <v>1554</v>
      </c>
      <c r="F6" s="17">
        <v>306.45999999999998</v>
      </c>
      <c r="G6" s="18">
        <v>487</v>
      </c>
    </row>
    <row r="7" spans="1:7" x14ac:dyDescent="0.3">
      <c r="A7" s="16" t="s">
        <v>1555</v>
      </c>
      <c r="B7" s="16" t="s">
        <v>3814</v>
      </c>
      <c r="C7" s="16" t="s">
        <v>1547</v>
      </c>
      <c r="D7" s="16" t="s">
        <v>3815</v>
      </c>
      <c r="E7" s="16" t="s">
        <v>1556</v>
      </c>
      <c r="F7" s="17">
        <v>261</v>
      </c>
      <c r="G7" s="18">
        <v>59</v>
      </c>
    </row>
    <row r="8" spans="1:7" x14ac:dyDescent="0.3">
      <c r="A8" s="16" t="s">
        <v>1557</v>
      </c>
      <c r="B8" s="16" t="s">
        <v>3816</v>
      </c>
      <c r="C8" s="16" t="s">
        <v>1558</v>
      </c>
      <c r="D8" s="16" t="s">
        <v>3817</v>
      </c>
      <c r="E8" s="16" t="s">
        <v>1559</v>
      </c>
      <c r="F8" s="17">
        <v>312.8</v>
      </c>
      <c r="G8" s="18">
        <v>350</v>
      </c>
    </row>
    <row r="9" spans="1:7" x14ac:dyDescent="0.3">
      <c r="A9" s="16" t="s">
        <v>1560</v>
      </c>
      <c r="B9" s="16" t="s">
        <v>3818</v>
      </c>
      <c r="C9" s="16" t="s">
        <v>1544</v>
      </c>
      <c r="D9" s="16" t="s">
        <v>3819</v>
      </c>
      <c r="E9" s="16" t="s">
        <v>1561</v>
      </c>
      <c r="F9" s="17">
        <v>218.86</v>
      </c>
      <c r="G9" s="18">
        <v>170</v>
      </c>
    </row>
    <row r="10" spans="1:7" x14ac:dyDescent="0.3">
      <c r="A10" s="16" t="s">
        <v>1562</v>
      </c>
      <c r="B10" s="16" t="s">
        <v>3820</v>
      </c>
      <c r="C10" s="16" t="s">
        <v>1563</v>
      </c>
      <c r="D10" s="16" t="s">
        <v>3821</v>
      </c>
      <c r="E10" s="16" t="s">
        <v>1564</v>
      </c>
      <c r="F10" s="17">
        <v>439.07</v>
      </c>
      <c r="G10" s="18">
        <v>142</v>
      </c>
    </row>
    <row r="11" spans="1:7" x14ac:dyDescent="0.3">
      <c r="A11" s="16" t="s">
        <v>1565</v>
      </c>
      <c r="B11" s="16" t="s">
        <v>3822</v>
      </c>
      <c r="C11" s="16" t="s">
        <v>1566</v>
      </c>
      <c r="D11" s="16" t="s">
        <v>3823</v>
      </c>
      <c r="E11" s="16" t="s">
        <v>1567</v>
      </c>
      <c r="F11" s="17">
        <v>495.72</v>
      </c>
      <c r="G11" s="18">
        <v>323</v>
      </c>
    </row>
    <row r="12" spans="1:7" x14ac:dyDescent="0.3">
      <c r="A12" s="16" t="s">
        <v>1568</v>
      </c>
      <c r="B12" s="16" t="s">
        <v>3824</v>
      </c>
      <c r="C12" s="16" t="s">
        <v>1544</v>
      </c>
      <c r="D12" s="16" t="s">
        <v>3825</v>
      </c>
      <c r="E12" s="16" t="s">
        <v>1569</v>
      </c>
      <c r="F12" s="17">
        <v>298.86</v>
      </c>
      <c r="G12" s="18">
        <v>308</v>
      </c>
    </row>
    <row r="13" spans="1:7" x14ac:dyDescent="0.3">
      <c r="A13" s="16" t="s">
        <v>1570</v>
      </c>
      <c r="B13" s="16" t="s">
        <v>3826</v>
      </c>
      <c r="C13" s="16" t="s">
        <v>1563</v>
      </c>
      <c r="D13" s="16" t="s">
        <v>3815</v>
      </c>
      <c r="E13" s="16" t="s">
        <v>1571</v>
      </c>
      <c r="F13" s="17">
        <v>449.4</v>
      </c>
      <c r="G13" s="18">
        <v>0</v>
      </c>
    </row>
    <row r="14" spans="1:7" x14ac:dyDescent="0.3">
      <c r="A14" s="16" t="s">
        <v>1572</v>
      </c>
      <c r="B14" s="16" t="s">
        <v>3827</v>
      </c>
      <c r="C14" s="16" t="s">
        <v>1558</v>
      </c>
      <c r="D14" s="16" t="s">
        <v>3828</v>
      </c>
      <c r="E14" s="16" t="s">
        <v>1573</v>
      </c>
      <c r="F14" s="17">
        <v>115.82</v>
      </c>
      <c r="G14" s="18">
        <v>460</v>
      </c>
    </row>
    <row r="15" spans="1:7" x14ac:dyDescent="0.3">
      <c r="A15" s="16" t="s">
        <v>1574</v>
      </c>
      <c r="B15" s="16" t="s">
        <v>3829</v>
      </c>
      <c r="C15" s="16" t="s">
        <v>1563</v>
      </c>
      <c r="D15" s="16" t="s">
        <v>3815</v>
      </c>
      <c r="E15" s="16" t="s">
        <v>1575</v>
      </c>
      <c r="F15" s="17">
        <v>242.23</v>
      </c>
      <c r="G15" s="18">
        <v>453</v>
      </c>
    </row>
    <row r="16" spans="1:7" x14ac:dyDescent="0.3">
      <c r="A16" s="16" t="s">
        <v>1576</v>
      </c>
      <c r="B16" s="16" t="s">
        <v>3830</v>
      </c>
      <c r="C16" s="16" t="s">
        <v>1544</v>
      </c>
      <c r="D16" s="16" t="s">
        <v>3831</v>
      </c>
      <c r="E16" s="16" t="s">
        <v>1577</v>
      </c>
      <c r="F16" s="17">
        <v>48.01</v>
      </c>
      <c r="G16" s="18">
        <v>439</v>
      </c>
    </row>
    <row r="17" spans="1:7" x14ac:dyDescent="0.3">
      <c r="A17" s="16" t="s">
        <v>1578</v>
      </c>
      <c r="B17" s="16" t="s">
        <v>3832</v>
      </c>
      <c r="C17" s="16" t="s">
        <v>1563</v>
      </c>
      <c r="D17" s="16" t="s">
        <v>3833</v>
      </c>
      <c r="E17" s="16" t="s">
        <v>1579</v>
      </c>
      <c r="F17" s="17">
        <v>465.34</v>
      </c>
      <c r="G17" s="18">
        <v>301</v>
      </c>
    </row>
    <row r="18" spans="1:7" x14ac:dyDescent="0.3">
      <c r="A18" s="16" t="s">
        <v>1580</v>
      </c>
      <c r="B18" s="16" t="s">
        <v>3834</v>
      </c>
      <c r="C18" s="16" t="s">
        <v>1558</v>
      </c>
      <c r="D18" s="16" t="s">
        <v>3835</v>
      </c>
      <c r="E18" s="16" t="s">
        <v>1581</v>
      </c>
      <c r="F18" s="17">
        <v>337.42</v>
      </c>
      <c r="G18" s="18">
        <v>256</v>
      </c>
    </row>
    <row r="19" spans="1:7" x14ac:dyDescent="0.3">
      <c r="A19" s="16" t="s">
        <v>1582</v>
      </c>
      <c r="B19" s="16" t="s">
        <v>3836</v>
      </c>
      <c r="C19" s="16" t="s">
        <v>1566</v>
      </c>
      <c r="D19" s="16" t="s">
        <v>3815</v>
      </c>
      <c r="E19" s="16" t="s">
        <v>1583</v>
      </c>
      <c r="F19" s="17">
        <v>144.53</v>
      </c>
      <c r="G19" s="18">
        <v>367</v>
      </c>
    </row>
    <row r="20" spans="1:7" x14ac:dyDescent="0.3">
      <c r="A20" s="16" t="s">
        <v>1584</v>
      </c>
      <c r="B20" s="16" t="s">
        <v>3837</v>
      </c>
      <c r="C20" s="16" t="s">
        <v>1547</v>
      </c>
      <c r="D20" s="16" t="s">
        <v>3813</v>
      </c>
      <c r="E20" s="16" t="s">
        <v>1585</v>
      </c>
      <c r="F20" s="18">
        <v>0</v>
      </c>
      <c r="G20" s="18">
        <v>343</v>
      </c>
    </row>
    <row r="21" spans="1:7" x14ac:dyDescent="0.3">
      <c r="A21" s="16" t="s">
        <v>1586</v>
      </c>
      <c r="B21" s="16" t="s">
        <v>3838</v>
      </c>
      <c r="C21" s="16" t="s">
        <v>1566</v>
      </c>
      <c r="D21" s="16" t="s">
        <v>3839</v>
      </c>
      <c r="E21" s="16" t="s">
        <v>1587</v>
      </c>
      <c r="F21" s="17">
        <v>21.34</v>
      </c>
      <c r="G21" s="18">
        <v>65</v>
      </c>
    </row>
    <row r="22" spans="1:7" x14ac:dyDescent="0.3">
      <c r="A22" s="16" t="s">
        <v>1588</v>
      </c>
      <c r="B22" s="16" t="s">
        <v>3840</v>
      </c>
      <c r="C22" s="16" t="s">
        <v>1566</v>
      </c>
      <c r="D22" s="16" t="s">
        <v>3815</v>
      </c>
      <c r="E22" s="16" t="s">
        <v>1589</v>
      </c>
      <c r="F22" s="17">
        <v>131.51</v>
      </c>
      <c r="G22" s="18">
        <v>0</v>
      </c>
    </row>
    <row r="23" spans="1:7" x14ac:dyDescent="0.3">
      <c r="A23" s="16" t="s">
        <v>1590</v>
      </c>
      <c r="B23" s="16" t="s">
        <v>3841</v>
      </c>
      <c r="C23" s="16" t="s">
        <v>1544</v>
      </c>
      <c r="D23" s="16" t="s">
        <v>3842</v>
      </c>
      <c r="E23" s="16" t="s">
        <v>1591</v>
      </c>
      <c r="F23" s="17">
        <v>123.46</v>
      </c>
      <c r="G23" s="18">
        <v>76</v>
      </c>
    </row>
    <row r="24" spans="1:7" x14ac:dyDescent="0.3">
      <c r="A24" s="16" t="s">
        <v>1592</v>
      </c>
      <c r="B24" s="16" t="s">
        <v>3843</v>
      </c>
      <c r="C24" s="16" t="s">
        <v>1566</v>
      </c>
      <c r="D24" s="16" t="s">
        <v>3839</v>
      </c>
      <c r="E24" s="16" t="s">
        <v>1593</v>
      </c>
      <c r="F24" s="17">
        <v>484.62</v>
      </c>
      <c r="G24" s="18">
        <v>432</v>
      </c>
    </row>
    <row r="25" spans="1:7" x14ac:dyDescent="0.3">
      <c r="A25" s="16" t="s">
        <v>1594</v>
      </c>
      <c r="B25" s="16" t="s">
        <v>3844</v>
      </c>
      <c r="C25" s="16" t="s">
        <v>1547</v>
      </c>
      <c r="D25" s="16" t="s">
        <v>3808</v>
      </c>
      <c r="E25" s="16" t="s">
        <v>1595</v>
      </c>
      <c r="F25" s="18">
        <v>0</v>
      </c>
      <c r="G25" s="18">
        <v>360</v>
      </c>
    </row>
    <row r="26" spans="1:7" x14ac:dyDescent="0.3">
      <c r="A26" s="16" t="s">
        <v>1596</v>
      </c>
      <c r="B26" s="16" t="s">
        <v>3845</v>
      </c>
      <c r="C26" s="16" t="s">
        <v>1566</v>
      </c>
      <c r="D26" s="16" t="s">
        <v>3846</v>
      </c>
      <c r="E26" s="16" t="s">
        <v>1597</v>
      </c>
      <c r="F26" s="17">
        <v>166.06</v>
      </c>
      <c r="G26" s="18">
        <v>340</v>
      </c>
    </row>
    <row r="27" spans="1:7" x14ac:dyDescent="0.3">
      <c r="A27" s="16" t="s">
        <v>1598</v>
      </c>
      <c r="B27" s="16" t="s">
        <v>3847</v>
      </c>
      <c r="C27" s="16" t="s">
        <v>1547</v>
      </c>
      <c r="D27" s="16" t="s">
        <v>3815</v>
      </c>
      <c r="E27" s="16" t="s">
        <v>1599</v>
      </c>
      <c r="F27" s="17">
        <v>174.02</v>
      </c>
      <c r="G27" s="18">
        <v>268</v>
      </c>
    </row>
    <row r="28" spans="1:7" x14ac:dyDescent="0.3">
      <c r="A28" s="16" t="s">
        <v>1600</v>
      </c>
      <c r="B28" s="16" t="s">
        <v>3848</v>
      </c>
      <c r="C28" s="16" t="s">
        <v>1563</v>
      </c>
      <c r="D28" s="16" t="s">
        <v>3821</v>
      </c>
      <c r="E28" s="16" t="s">
        <v>1601</v>
      </c>
      <c r="F28" s="17">
        <v>322.41000000000003</v>
      </c>
      <c r="G28" s="18">
        <v>213</v>
      </c>
    </row>
    <row r="29" spans="1:7" x14ac:dyDescent="0.3">
      <c r="A29" s="16" t="s">
        <v>1602</v>
      </c>
      <c r="B29" s="16" t="s">
        <v>3849</v>
      </c>
      <c r="C29" s="16" t="s">
        <v>1544</v>
      </c>
      <c r="D29" s="16" t="s">
        <v>3831</v>
      </c>
      <c r="E29" s="16" t="s">
        <v>1603</v>
      </c>
      <c r="F29" s="18">
        <v>0</v>
      </c>
      <c r="G29" s="18">
        <v>378</v>
      </c>
    </row>
    <row r="30" spans="1:7" x14ac:dyDescent="0.3">
      <c r="A30" s="16" t="s">
        <v>1604</v>
      </c>
      <c r="B30" s="16" t="s">
        <v>3850</v>
      </c>
      <c r="C30" s="16" t="s">
        <v>1566</v>
      </c>
      <c r="D30" s="16" t="s">
        <v>3815</v>
      </c>
      <c r="E30" s="16" t="s">
        <v>1605</v>
      </c>
      <c r="F30" s="17">
        <v>38.76</v>
      </c>
      <c r="G30" s="18">
        <v>137</v>
      </c>
    </row>
    <row r="31" spans="1:7" x14ac:dyDescent="0.3">
      <c r="A31" s="16" t="s">
        <v>1606</v>
      </c>
      <c r="B31" s="16" t="s">
        <v>3851</v>
      </c>
      <c r="C31" s="16" t="s">
        <v>1544</v>
      </c>
      <c r="D31" s="16" t="s">
        <v>3831</v>
      </c>
      <c r="E31" s="16" t="s">
        <v>1607</v>
      </c>
      <c r="F31" s="17">
        <v>218.48</v>
      </c>
      <c r="G31" s="18">
        <v>276</v>
      </c>
    </row>
    <row r="32" spans="1:7" x14ac:dyDescent="0.3">
      <c r="A32" s="16" t="s">
        <v>1608</v>
      </c>
      <c r="B32" s="16" t="s">
        <v>3852</v>
      </c>
      <c r="C32" s="16" t="s">
        <v>1544</v>
      </c>
      <c r="D32" s="16" t="s">
        <v>3825</v>
      </c>
      <c r="E32" s="16" t="s">
        <v>1609</v>
      </c>
      <c r="F32" s="17">
        <v>19.52</v>
      </c>
      <c r="G32" s="18">
        <v>57</v>
      </c>
    </row>
    <row r="33" spans="1:7" x14ac:dyDescent="0.3">
      <c r="A33" s="16" t="s">
        <v>1610</v>
      </c>
      <c r="B33" s="16" t="s">
        <v>3853</v>
      </c>
      <c r="C33" s="16" t="s">
        <v>1566</v>
      </c>
      <c r="D33" s="16" t="s">
        <v>3854</v>
      </c>
      <c r="E33" s="16" t="s">
        <v>1611</v>
      </c>
      <c r="F33" s="17">
        <v>204.39</v>
      </c>
      <c r="G33" s="18">
        <v>281</v>
      </c>
    </row>
    <row r="34" spans="1:7" x14ac:dyDescent="0.3">
      <c r="A34" s="16" t="s">
        <v>1612</v>
      </c>
      <c r="B34" s="16" t="s">
        <v>3855</v>
      </c>
      <c r="C34" s="16" t="s">
        <v>1558</v>
      </c>
      <c r="D34" s="16" t="s">
        <v>3817</v>
      </c>
      <c r="E34" s="16" t="s">
        <v>1613</v>
      </c>
      <c r="F34" s="17">
        <v>283.83</v>
      </c>
      <c r="G34" s="18">
        <v>244</v>
      </c>
    </row>
    <row r="35" spans="1:7" x14ac:dyDescent="0.3">
      <c r="A35" s="16" t="s">
        <v>1614</v>
      </c>
      <c r="B35" s="16" t="s">
        <v>3856</v>
      </c>
      <c r="C35" s="16" t="s">
        <v>1544</v>
      </c>
      <c r="D35" s="16" t="s">
        <v>3831</v>
      </c>
      <c r="E35" s="16" t="s">
        <v>1615</v>
      </c>
      <c r="F35" s="17">
        <v>179.77</v>
      </c>
      <c r="G35" s="18">
        <v>305</v>
      </c>
    </row>
    <row r="36" spans="1:7" x14ac:dyDescent="0.3">
      <c r="A36" s="16" t="s">
        <v>1616</v>
      </c>
      <c r="B36" s="16" t="s">
        <v>3857</v>
      </c>
      <c r="C36" s="16" t="s">
        <v>1563</v>
      </c>
      <c r="D36" s="16" t="s">
        <v>3806</v>
      </c>
      <c r="E36" s="16" t="s">
        <v>1617</v>
      </c>
      <c r="F36" s="17">
        <v>419.28</v>
      </c>
      <c r="G36" s="18">
        <v>86</v>
      </c>
    </row>
    <row r="37" spans="1:7" x14ac:dyDescent="0.3">
      <c r="A37" s="16" t="s">
        <v>1618</v>
      </c>
      <c r="B37" s="16" t="s">
        <v>3858</v>
      </c>
      <c r="C37" s="16" t="s">
        <v>1544</v>
      </c>
      <c r="D37" s="16" t="s">
        <v>3819</v>
      </c>
      <c r="E37" s="16" t="s">
        <v>1619</v>
      </c>
      <c r="F37" s="17">
        <v>382.22</v>
      </c>
      <c r="G37" s="18">
        <v>329</v>
      </c>
    </row>
    <row r="38" spans="1:7" x14ac:dyDescent="0.3">
      <c r="A38" s="16" t="s">
        <v>1620</v>
      </c>
      <c r="B38" s="16" t="s">
        <v>3859</v>
      </c>
      <c r="C38" s="16" t="s">
        <v>1547</v>
      </c>
      <c r="D38" s="16" t="s">
        <v>3808</v>
      </c>
      <c r="E38" s="16" t="s">
        <v>1621</v>
      </c>
      <c r="F38" s="17">
        <v>223.43</v>
      </c>
      <c r="G38" s="18">
        <v>154</v>
      </c>
    </row>
    <row r="39" spans="1:7" x14ac:dyDescent="0.3">
      <c r="A39" s="16" t="s">
        <v>1622</v>
      </c>
      <c r="B39" s="16" t="s">
        <v>3860</v>
      </c>
      <c r="C39" s="16" t="s">
        <v>1547</v>
      </c>
      <c r="D39" s="16" t="s">
        <v>3861</v>
      </c>
      <c r="E39" s="16" t="s">
        <v>1623</v>
      </c>
      <c r="F39" s="17">
        <v>353.47</v>
      </c>
      <c r="G39" s="18">
        <v>214</v>
      </c>
    </row>
    <row r="40" spans="1:7" x14ac:dyDescent="0.3">
      <c r="A40" s="16" t="s">
        <v>1624</v>
      </c>
      <c r="B40" s="16" t="s">
        <v>3862</v>
      </c>
      <c r="C40" s="16" t="s">
        <v>1566</v>
      </c>
      <c r="D40" s="16" t="s">
        <v>3846</v>
      </c>
      <c r="E40" s="16" t="s">
        <v>1625</v>
      </c>
      <c r="F40" s="17">
        <v>135.61000000000001</v>
      </c>
      <c r="G40" s="18">
        <v>394</v>
      </c>
    </row>
    <row r="41" spans="1:7" x14ac:dyDescent="0.3">
      <c r="A41" s="16" t="s">
        <v>1626</v>
      </c>
      <c r="B41" s="16" t="s">
        <v>3863</v>
      </c>
      <c r="C41" s="16" t="s">
        <v>1563</v>
      </c>
      <c r="D41" s="16" t="s">
        <v>3864</v>
      </c>
      <c r="E41" s="16" t="s">
        <v>1627</v>
      </c>
      <c r="F41" s="17">
        <v>326.06</v>
      </c>
      <c r="G41" s="18">
        <v>301</v>
      </c>
    </row>
    <row r="42" spans="1:7" x14ac:dyDescent="0.3">
      <c r="A42" s="16" t="s">
        <v>1628</v>
      </c>
      <c r="B42" s="16" t="s">
        <v>3865</v>
      </c>
      <c r="C42" s="16" t="s">
        <v>1563</v>
      </c>
      <c r="D42" s="16" t="s">
        <v>3821</v>
      </c>
      <c r="E42" s="16" t="s">
        <v>1629</v>
      </c>
      <c r="F42" s="17">
        <v>38.520000000000003</v>
      </c>
      <c r="G42" s="18">
        <v>378</v>
      </c>
    </row>
    <row r="43" spans="1:7" x14ac:dyDescent="0.3">
      <c r="A43" s="16" t="s">
        <v>1630</v>
      </c>
      <c r="B43" s="16" t="s">
        <v>3866</v>
      </c>
      <c r="C43" s="16" t="s">
        <v>1566</v>
      </c>
      <c r="D43" s="16" t="s">
        <v>3823</v>
      </c>
      <c r="E43" s="16" t="s">
        <v>1631</v>
      </c>
      <c r="F43" s="17">
        <v>313.26</v>
      </c>
      <c r="G43" s="18">
        <v>369</v>
      </c>
    </row>
    <row r="44" spans="1:7" x14ac:dyDescent="0.3">
      <c r="A44" s="16" t="s">
        <v>1632</v>
      </c>
      <c r="B44" s="16" t="s">
        <v>3867</v>
      </c>
      <c r="C44" s="16" t="s">
        <v>1563</v>
      </c>
      <c r="D44" s="16" t="s">
        <v>3815</v>
      </c>
      <c r="E44" s="16" t="s">
        <v>1633</v>
      </c>
      <c r="F44" s="17">
        <v>450.71</v>
      </c>
      <c r="G44" s="18">
        <v>389</v>
      </c>
    </row>
    <row r="45" spans="1:7" x14ac:dyDescent="0.3">
      <c r="A45" s="16" t="s">
        <v>1634</v>
      </c>
      <c r="B45" s="16" t="s">
        <v>3868</v>
      </c>
      <c r="C45" s="16" t="s">
        <v>1563</v>
      </c>
      <c r="D45" s="16" t="s">
        <v>3806</v>
      </c>
      <c r="E45" s="16" t="s">
        <v>1635</v>
      </c>
      <c r="F45" s="17">
        <v>253.33</v>
      </c>
      <c r="G45" s="18">
        <v>266</v>
      </c>
    </row>
    <row r="46" spans="1:7" x14ac:dyDescent="0.3">
      <c r="A46" s="16" t="s">
        <v>1636</v>
      </c>
      <c r="B46" s="16" t="s">
        <v>3869</v>
      </c>
      <c r="C46" s="16" t="s">
        <v>1566</v>
      </c>
      <c r="D46" s="16" t="s">
        <v>3823</v>
      </c>
      <c r="E46" s="16" t="s">
        <v>1637</v>
      </c>
      <c r="F46" s="17">
        <v>167.12</v>
      </c>
      <c r="G46" s="18">
        <v>316</v>
      </c>
    </row>
    <row r="47" spans="1:7" x14ac:dyDescent="0.3">
      <c r="A47" s="16" t="s">
        <v>1638</v>
      </c>
      <c r="B47" s="16" t="s">
        <v>3870</v>
      </c>
      <c r="C47" s="16" t="s">
        <v>1566</v>
      </c>
      <c r="D47" s="16" t="s">
        <v>3854</v>
      </c>
      <c r="E47" s="16" t="s">
        <v>1639</v>
      </c>
      <c r="F47" s="17">
        <v>318.91000000000003</v>
      </c>
      <c r="G47" s="18">
        <v>114</v>
      </c>
    </row>
    <row r="48" spans="1:7" x14ac:dyDescent="0.3">
      <c r="A48" s="16" t="s">
        <v>1640</v>
      </c>
      <c r="B48" s="16" t="s">
        <v>3871</v>
      </c>
      <c r="C48" s="16" t="s">
        <v>1547</v>
      </c>
      <c r="D48" s="16" t="s">
        <v>3810</v>
      </c>
      <c r="E48" s="16" t="s">
        <v>1641</v>
      </c>
      <c r="F48" s="17">
        <v>167.34</v>
      </c>
      <c r="G48" s="18">
        <v>296</v>
      </c>
    </row>
    <row r="49" spans="1:7" x14ac:dyDescent="0.3">
      <c r="A49" s="16" t="s">
        <v>1642</v>
      </c>
      <c r="B49" s="16" t="s">
        <v>3872</v>
      </c>
      <c r="C49" s="16" t="s">
        <v>1558</v>
      </c>
      <c r="D49" s="16" t="s">
        <v>3873</v>
      </c>
      <c r="E49" s="16" t="s">
        <v>1643</v>
      </c>
      <c r="F49" s="18">
        <v>0</v>
      </c>
      <c r="G49" s="18">
        <v>431</v>
      </c>
    </row>
    <row r="50" spans="1:7" x14ac:dyDescent="0.3">
      <c r="A50" s="16" t="s">
        <v>1644</v>
      </c>
      <c r="B50" s="16" t="s">
        <v>3874</v>
      </c>
      <c r="C50" s="16" t="s">
        <v>1563</v>
      </c>
      <c r="D50" s="16" t="s">
        <v>3815</v>
      </c>
      <c r="E50" s="16" t="s">
        <v>1645</v>
      </c>
      <c r="F50" s="17">
        <v>177.98</v>
      </c>
      <c r="G50" s="18">
        <v>103</v>
      </c>
    </row>
    <row r="51" spans="1:7" x14ac:dyDescent="0.3">
      <c r="A51" s="16" t="s">
        <v>1646</v>
      </c>
      <c r="B51" s="16" t="s">
        <v>3875</v>
      </c>
      <c r="C51" s="16" t="s">
        <v>1558</v>
      </c>
      <c r="D51" s="16" t="s">
        <v>3876</v>
      </c>
      <c r="E51" s="16" t="s">
        <v>1647</v>
      </c>
      <c r="F51" s="17">
        <v>43.29</v>
      </c>
      <c r="G51" s="18">
        <v>267</v>
      </c>
    </row>
    <row r="52" spans="1:7" x14ac:dyDescent="0.3">
      <c r="A52" s="16" t="s">
        <v>1648</v>
      </c>
      <c r="B52" s="16" t="s">
        <v>3877</v>
      </c>
      <c r="C52" s="16" t="s">
        <v>1566</v>
      </c>
      <c r="D52" s="16" t="s">
        <v>3823</v>
      </c>
      <c r="E52" s="16" t="s">
        <v>1649</v>
      </c>
      <c r="F52" s="17">
        <v>190.29</v>
      </c>
      <c r="G52" s="18">
        <v>260</v>
      </c>
    </row>
    <row r="53" spans="1:7" x14ac:dyDescent="0.3">
      <c r="A53" s="16" t="s">
        <v>1650</v>
      </c>
      <c r="B53" s="16" t="s">
        <v>3878</v>
      </c>
      <c r="C53" s="16" t="s">
        <v>1563</v>
      </c>
      <c r="D53" s="16" t="s">
        <v>3815</v>
      </c>
      <c r="E53" s="16" t="s">
        <v>1651</v>
      </c>
      <c r="F53" s="17">
        <v>88.49</v>
      </c>
      <c r="G53" s="18">
        <v>246</v>
      </c>
    </row>
    <row r="54" spans="1:7" x14ac:dyDescent="0.3">
      <c r="A54" s="16" t="s">
        <v>1652</v>
      </c>
      <c r="B54" s="16" t="s">
        <v>3879</v>
      </c>
      <c r="C54" s="16" t="s">
        <v>1566</v>
      </c>
      <c r="D54" s="16" t="s">
        <v>3854</v>
      </c>
      <c r="E54" s="16" t="s">
        <v>1653</v>
      </c>
      <c r="F54" s="17">
        <v>212.26</v>
      </c>
      <c r="G54" s="18">
        <v>82</v>
      </c>
    </row>
    <row r="55" spans="1:7" x14ac:dyDescent="0.3">
      <c r="A55" s="16" t="s">
        <v>1654</v>
      </c>
      <c r="B55" s="16" t="s">
        <v>3880</v>
      </c>
      <c r="C55" s="16" t="s">
        <v>1547</v>
      </c>
      <c r="D55" s="16" t="s">
        <v>3813</v>
      </c>
      <c r="E55" s="16" t="s">
        <v>1655</v>
      </c>
      <c r="F55" s="17">
        <v>386.56</v>
      </c>
      <c r="G55" s="18">
        <v>125</v>
      </c>
    </row>
    <row r="56" spans="1:7" x14ac:dyDescent="0.3">
      <c r="A56" s="16" t="s">
        <v>1656</v>
      </c>
      <c r="B56" s="16" t="s">
        <v>3881</v>
      </c>
      <c r="C56" s="16" t="s">
        <v>1566</v>
      </c>
      <c r="D56" s="16" t="s">
        <v>3815</v>
      </c>
      <c r="E56" s="16" t="s">
        <v>1657</v>
      </c>
      <c r="F56" s="17">
        <v>434.84</v>
      </c>
      <c r="G56" s="18">
        <v>185</v>
      </c>
    </row>
    <row r="57" spans="1:7" x14ac:dyDescent="0.3">
      <c r="A57" s="16" t="s">
        <v>1658</v>
      </c>
      <c r="B57" s="16" t="s">
        <v>3882</v>
      </c>
      <c r="C57" s="16" t="s">
        <v>1544</v>
      </c>
      <c r="D57" s="16" t="s">
        <v>3831</v>
      </c>
      <c r="E57" s="16" t="s">
        <v>1659</v>
      </c>
      <c r="F57" s="17">
        <v>81.75</v>
      </c>
      <c r="G57" s="18">
        <v>0</v>
      </c>
    </row>
    <row r="58" spans="1:7" x14ac:dyDescent="0.3">
      <c r="A58" s="16" t="s">
        <v>1660</v>
      </c>
      <c r="B58" s="16" t="s">
        <v>3883</v>
      </c>
      <c r="C58" s="16" t="s">
        <v>1544</v>
      </c>
      <c r="D58" s="16" t="s">
        <v>3831</v>
      </c>
      <c r="E58" s="16" t="s">
        <v>1661</v>
      </c>
      <c r="F58" s="17">
        <v>461.47</v>
      </c>
      <c r="G58" s="18">
        <v>190</v>
      </c>
    </row>
    <row r="59" spans="1:7" x14ac:dyDescent="0.3">
      <c r="A59" s="16" t="s">
        <v>1662</v>
      </c>
      <c r="B59" s="16" t="s">
        <v>3884</v>
      </c>
      <c r="C59" s="16" t="s">
        <v>1566</v>
      </c>
      <c r="D59" s="16" t="s">
        <v>3823</v>
      </c>
      <c r="E59" s="16" t="s">
        <v>1663</v>
      </c>
      <c r="F59" s="17">
        <v>30.62</v>
      </c>
      <c r="G59" s="18">
        <v>138</v>
      </c>
    </row>
    <row r="60" spans="1:7" x14ac:dyDescent="0.3">
      <c r="A60" s="16" t="s">
        <v>1664</v>
      </c>
      <c r="B60" s="16" t="s">
        <v>3885</v>
      </c>
      <c r="C60" s="16" t="s">
        <v>1547</v>
      </c>
      <c r="D60" s="16" t="s">
        <v>3815</v>
      </c>
      <c r="E60" s="16" t="s">
        <v>1665</v>
      </c>
      <c r="F60" s="17">
        <v>113.83</v>
      </c>
      <c r="G60" s="18">
        <v>485</v>
      </c>
    </row>
    <row r="61" spans="1:7" x14ac:dyDescent="0.3">
      <c r="A61" s="16" t="s">
        <v>1666</v>
      </c>
      <c r="B61" s="16" t="s">
        <v>3886</v>
      </c>
      <c r="C61" s="16" t="s">
        <v>1558</v>
      </c>
      <c r="D61" s="16" t="s">
        <v>3828</v>
      </c>
      <c r="E61" s="16" t="s">
        <v>1667</v>
      </c>
      <c r="F61" s="17">
        <v>17.309999999999999</v>
      </c>
      <c r="G61" s="18">
        <v>399</v>
      </c>
    </row>
    <row r="62" spans="1:7" x14ac:dyDescent="0.3">
      <c r="A62" s="16" t="s">
        <v>1668</v>
      </c>
      <c r="B62" s="16" t="s">
        <v>3887</v>
      </c>
      <c r="C62" s="16" t="s">
        <v>1558</v>
      </c>
      <c r="D62" s="16" t="s">
        <v>3876</v>
      </c>
      <c r="E62" s="16" t="s">
        <v>1669</v>
      </c>
      <c r="F62" s="17">
        <v>482.75</v>
      </c>
      <c r="G62" s="18">
        <v>444</v>
      </c>
    </row>
    <row r="63" spans="1:7" x14ac:dyDescent="0.3">
      <c r="A63" s="16" t="s">
        <v>1670</v>
      </c>
      <c r="B63" s="16" t="s">
        <v>3888</v>
      </c>
      <c r="C63" s="16" t="s">
        <v>1566</v>
      </c>
      <c r="D63" s="16" t="s">
        <v>3839</v>
      </c>
      <c r="E63" s="16" t="s">
        <v>1671</v>
      </c>
      <c r="F63" s="17">
        <v>103.45</v>
      </c>
      <c r="G63" s="18">
        <v>465</v>
      </c>
    </row>
    <row r="64" spans="1:7" x14ac:dyDescent="0.3">
      <c r="A64" s="16" t="s">
        <v>1672</v>
      </c>
      <c r="B64" s="16" t="s">
        <v>3889</v>
      </c>
      <c r="C64" s="16" t="s">
        <v>1563</v>
      </c>
      <c r="D64" s="16" t="s">
        <v>3806</v>
      </c>
      <c r="E64" s="16" t="s">
        <v>1673</v>
      </c>
      <c r="F64" s="17">
        <v>86.42</v>
      </c>
      <c r="G64" s="18">
        <v>222</v>
      </c>
    </row>
    <row r="65" spans="1:7" x14ac:dyDescent="0.3">
      <c r="A65" s="16" t="s">
        <v>1674</v>
      </c>
      <c r="B65" s="16" t="s">
        <v>3890</v>
      </c>
      <c r="C65" s="16" t="s">
        <v>1558</v>
      </c>
      <c r="D65" s="16" t="s">
        <v>3817</v>
      </c>
      <c r="E65" s="16" t="s">
        <v>1675</v>
      </c>
      <c r="F65" s="17">
        <v>266.86</v>
      </c>
      <c r="G65" s="18">
        <v>458</v>
      </c>
    </row>
    <row r="66" spans="1:7" x14ac:dyDescent="0.3">
      <c r="A66" s="16" t="s">
        <v>1676</v>
      </c>
      <c r="B66" s="16" t="s">
        <v>3891</v>
      </c>
      <c r="C66" s="16" t="s">
        <v>1558</v>
      </c>
      <c r="D66" s="16" t="s">
        <v>3873</v>
      </c>
      <c r="E66" s="16" t="s">
        <v>1677</v>
      </c>
      <c r="F66" s="17">
        <v>299.11</v>
      </c>
      <c r="G66" s="18">
        <v>118</v>
      </c>
    </row>
    <row r="67" spans="1:7" x14ac:dyDescent="0.3">
      <c r="A67" s="16" t="s">
        <v>1678</v>
      </c>
      <c r="B67" s="16" t="s">
        <v>3892</v>
      </c>
      <c r="C67" s="16" t="s">
        <v>1566</v>
      </c>
      <c r="D67" s="16" t="s">
        <v>3823</v>
      </c>
      <c r="E67" s="16" t="s">
        <v>1679</v>
      </c>
      <c r="F67" s="17">
        <v>240.63</v>
      </c>
      <c r="G67" s="18">
        <v>423</v>
      </c>
    </row>
    <row r="68" spans="1:7" x14ac:dyDescent="0.3">
      <c r="A68" s="16" t="s">
        <v>1680</v>
      </c>
      <c r="B68" s="16" t="s">
        <v>3893</v>
      </c>
      <c r="C68" s="16" t="s">
        <v>1558</v>
      </c>
      <c r="D68" s="16" t="s">
        <v>3828</v>
      </c>
      <c r="E68" s="16" t="s">
        <v>1681</v>
      </c>
      <c r="F68" s="17">
        <v>340.39</v>
      </c>
      <c r="G68" s="18">
        <v>177</v>
      </c>
    </row>
    <row r="69" spans="1:7" x14ac:dyDescent="0.3">
      <c r="A69" s="16" t="s">
        <v>1682</v>
      </c>
      <c r="B69" s="16" t="s">
        <v>3894</v>
      </c>
      <c r="C69" s="16" t="s">
        <v>1563</v>
      </c>
      <c r="D69" s="16" t="s">
        <v>3815</v>
      </c>
      <c r="E69" s="16" t="s">
        <v>1683</v>
      </c>
      <c r="F69" s="17">
        <v>349.17</v>
      </c>
      <c r="G69" s="18">
        <v>476</v>
      </c>
    </row>
    <row r="70" spans="1:7" x14ac:dyDescent="0.3">
      <c r="A70" s="16" t="s">
        <v>1684</v>
      </c>
      <c r="B70" s="16" t="s">
        <v>3895</v>
      </c>
      <c r="C70" s="16" t="s">
        <v>1544</v>
      </c>
      <c r="D70" s="16" t="s">
        <v>3896</v>
      </c>
      <c r="E70" s="16" t="s">
        <v>1685</v>
      </c>
      <c r="F70" s="17">
        <v>243.7</v>
      </c>
      <c r="G70" s="18">
        <v>130</v>
      </c>
    </row>
    <row r="71" spans="1:7" x14ac:dyDescent="0.3">
      <c r="A71" s="16" t="s">
        <v>1686</v>
      </c>
      <c r="B71" s="16" t="s">
        <v>3897</v>
      </c>
      <c r="C71" s="16" t="s">
        <v>1547</v>
      </c>
      <c r="D71" s="16" t="s">
        <v>3813</v>
      </c>
      <c r="E71" s="16" t="s">
        <v>1687</v>
      </c>
      <c r="F71" s="17">
        <v>218.22</v>
      </c>
      <c r="G71" s="18">
        <v>224</v>
      </c>
    </row>
    <row r="72" spans="1:7" x14ac:dyDescent="0.3">
      <c r="A72" s="16" t="s">
        <v>1688</v>
      </c>
      <c r="B72" s="16" t="s">
        <v>3898</v>
      </c>
      <c r="C72" s="16" t="s">
        <v>1544</v>
      </c>
      <c r="D72" s="16" t="s">
        <v>3842</v>
      </c>
      <c r="E72" s="16" t="s">
        <v>1689</v>
      </c>
      <c r="F72" s="17">
        <v>138.05000000000001</v>
      </c>
      <c r="G72" s="18">
        <v>89</v>
      </c>
    </row>
    <row r="73" spans="1:7" x14ac:dyDescent="0.3">
      <c r="A73" s="16" t="s">
        <v>1690</v>
      </c>
      <c r="B73" s="16" t="s">
        <v>3899</v>
      </c>
      <c r="C73" s="16" t="s">
        <v>1558</v>
      </c>
      <c r="D73" s="16" t="s">
        <v>3828</v>
      </c>
      <c r="E73" s="16" t="s">
        <v>1691</v>
      </c>
      <c r="F73" s="17">
        <v>214.32</v>
      </c>
      <c r="G73" s="18">
        <v>383</v>
      </c>
    </row>
    <row r="74" spans="1:7" x14ac:dyDescent="0.3">
      <c r="A74" s="16" t="s">
        <v>1692</v>
      </c>
      <c r="B74" s="16" t="s">
        <v>3900</v>
      </c>
      <c r="C74" s="16" t="s">
        <v>1566</v>
      </c>
      <c r="D74" s="16" t="s">
        <v>3823</v>
      </c>
      <c r="E74" s="16" t="s">
        <v>1693</v>
      </c>
      <c r="F74" s="17">
        <v>477.61</v>
      </c>
      <c r="G74" s="18">
        <v>300</v>
      </c>
    </row>
    <row r="75" spans="1:7" x14ac:dyDescent="0.3">
      <c r="A75" s="16" t="s">
        <v>1694</v>
      </c>
      <c r="B75" s="16" t="s">
        <v>3901</v>
      </c>
      <c r="C75" s="16" t="s">
        <v>1566</v>
      </c>
      <c r="D75" s="16" t="s">
        <v>3854</v>
      </c>
      <c r="E75" s="16" t="s">
        <v>1695</v>
      </c>
      <c r="F75" s="17">
        <v>107.06</v>
      </c>
      <c r="G75" s="18">
        <v>359</v>
      </c>
    </row>
    <row r="76" spans="1:7" x14ac:dyDescent="0.3">
      <c r="A76" s="16" t="s">
        <v>1696</v>
      </c>
      <c r="B76" s="16" t="s">
        <v>3902</v>
      </c>
      <c r="C76" s="16" t="s">
        <v>1563</v>
      </c>
      <c r="D76" s="16" t="s">
        <v>3821</v>
      </c>
      <c r="E76" s="16" t="s">
        <v>1697</v>
      </c>
      <c r="F76" s="17">
        <v>403.71</v>
      </c>
      <c r="G76" s="18">
        <v>159</v>
      </c>
    </row>
    <row r="77" spans="1:7" x14ac:dyDescent="0.3">
      <c r="A77" s="16" t="s">
        <v>1698</v>
      </c>
      <c r="B77" s="16" t="s">
        <v>3903</v>
      </c>
      <c r="C77" s="16" t="s">
        <v>1547</v>
      </c>
      <c r="D77" s="16" t="s">
        <v>3861</v>
      </c>
      <c r="E77" s="16" t="s">
        <v>1699</v>
      </c>
      <c r="F77" s="17">
        <v>158.13999999999999</v>
      </c>
      <c r="G77" s="18">
        <v>82</v>
      </c>
    </row>
    <row r="78" spans="1:7" x14ac:dyDescent="0.3">
      <c r="A78" s="16" t="s">
        <v>1700</v>
      </c>
      <c r="B78" s="16" t="s">
        <v>3904</v>
      </c>
      <c r="C78" s="16" t="s">
        <v>1563</v>
      </c>
      <c r="D78" s="16" t="s">
        <v>3806</v>
      </c>
      <c r="E78" s="16" t="s">
        <v>1701</v>
      </c>
      <c r="F78" s="17">
        <v>392.89</v>
      </c>
      <c r="G78" s="18">
        <v>320</v>
      </c>
    </row>
    <row r="79" spans="1:7" x14ac:dyDescent="0.3">
      <c r="A79" s="16" t="s">
        <v>1702</v>
      </c>
      <c r="B79" s="16" t="s">
        <v>3905</v>
      </c>
      <c r="C79" s="16" t="s">
        <v>1563</v>
      </c>
      <c r="D79" s="16" t="s">
        <v>3833</v>
      </c>
      <c r="E79" s="16" t="s">
        <v>1703</v>
      </c>
      <c r="F79" s="17">
        <v>480.9</v>
      </c>
      <c r="G79" s="18">
        <v>104</v>
      </c>
    </row>
    <row r="80" spans="1:7" x14ac:dyDescent="0.3">
      <c r="A80" s="16" t="s">
        <v>1704</v>
      </c>
      <c r="B80" s="16" t="s">
        <v>3906</v>
      </c>
      <c r="C80" s="16" t="s">
        <v>1544</v>
      </c>
      <c r="D80" s="16" t="s">
        <v>3831</v>
      </c>
      <c r="E80" s="16" t="s">
        <v>1705</v>
      </c>
      <c r="F80" s="17">
        <v>325.26</v>
      </c>
      <c r="G80" s="18">
        <v>400</v>
      </c>
    </row>
    <row r="81" spans="1:7" x14ac:dyDescent="0.3">
      <c r="A81" s="16" t="s">
        <v>1706</v>
      </c>
      <c r="B81" s="16" t="s">
        <v>3907</v>
      </c>
      <c r="C81" s="16" t="s">
        <v>1544</v>
      </c>
      <c r="D81" s="16" t="s">
        <v>3819</v>
      </c>
      <c r="E81" s="16" t="s">
        <v>1707</v>
      </c>
      <c r="F81" s="17">
        <v>228.53</v>
      </c>
      <c r="G81" s="18">
        <v>469</v>
      </c>
    </row>
    <row r="82" spans="1:7" x14ac:dyDescent="0.3">
      <c r="A82" s="16" t="s">
        <v>1708</v>
      </c>
      <c r="B82" s="16" t="s">
        <v>3908</v>
      </c>
      <c r="C82" s="16" t="s">
        <v>1544</v>
      </c>
      <c r="D82" s="16" t="s">
        <v>3825</v>
      </c>
      <c r="E82" s="16" t="s">
        <v>1709</v>
      </c>
      <c r="F82" s="17">
        <v>143.43</v>
      </c>
      <c r="G82" s="18">
        <v>58</v>
      </c>
    </row>
    <row r="83" spans="1:7" x14ac:dyDescent="0.3">
      <c r="A83" s="16" t="s">
        <v>1710</v>
      </c>
      <c r="B83" s="16" t="s">
        <v>3909</v>
      </c>
      <c r="C83" s="16" t="s">
        <v>1566</v>
      </c>
      <c r="D83" s="16" t="s">
        <v>3839</v>
      </c>
      <c r="E83" s="16" t="s">
        <v>1711</v>
      </c>
      <c r="F83" s="17">
        <v>285.54000000000002</v>
      </c>
      <c r="G83" s="18">
        <v>358</v>
      </c>
    </row>
    <row r="84" spans="1:7" x14ac:dyDescent="0.3">
      <c r="A84" s="16" t="s">
        <v>1712</v>
      </c>
      <c r="B84" s="16" t="s">
        <v>3910</v>
      </c>
      <c r="C84" s="16" t="s">
        <v>1566</v>
      </c>
      <c r="D84" s="16" t="s">
        <v>3823</v>
      </c>
      <c r="E84" s="16" t="s">
        <v>1713</v>
      </c>
      <c r="F84" s="17">
        <v>152.91999999999999</v>
      </c>
      <c r="G84" s="18">
        <v>281</v>
      </c>
    </row>
    <row r="85" spans="1:7" x14ac:dyDescent="0.3">
      <c r="A85" s="16" t="s">
        <v>1714</v>
      </c>
      <c r="B85" s="16" t="s">
        <v>3911</v>
      </c>
      <c r="C85" s="16" t="s">
        <v>1558</v>
      </c>
      <c r="D85" s="16" t="s">
        <v>3817</v>
      </c>
      <c r="E85" s="16" t="s">
        <v>1715</v>
      </c>
      <c r="F85" s="18">
        <v>0</v>
      </c>
      <c r="G85" s="18">
        <v>159</v>
      </c>
    </row>
    <row r="86" spans="1:7" x14ac:dyDescent="0.3">
      <c r="A86" s="16" t="s">
        <v>1716</v>
      </c>
      <c r="B86" s="16" t="s">
        <v>3912</v>
      </c>
      <c r="C86" s="16" t="s">
        <v>1544</v>
      </c>
      <c r="D86" s="16" t="s">
        <v>3896</v>
      </c>
      <c r="E86" s="16" t="s">
        <v>1717</v>
      </c>
      <c r="F86" s="17">
        <v>388.46</v>
      </c>
      <c r="G86" s="18">
        <v>208</v>
      </c>
    </row>
    <row r="87" spans="1:7" x14ac:dyDescent="0.3">
      <c r="A87" s="16" t="s">
        <v>1718</v>
      </c>
      <c r="B87" s="16" t="s">
        <v>3913</v>
      </c>
      <c r="C87" s="16" t="s">
        <v>1547</v>
      </c>
      <c r="D87" s="16" t="s">
        <v>3815</v>
      </c>
      <c r="E87" s="16" t="s">
        <v>1719</v>
      </c>
      <c r="F87" s="17">
        <v>119.57</v>
      </c>
      <c r="G87" s="18">
        <v>210</v>
      </c>
    </row>
    <row r="88" spans="1:7" x14ac:dyDescent="0.3">
      <c r="A88" s="16" t="s">
        <v>1720</v>
      </c>
      <c r="B88" s="16" t="s">
        <v>3914</v>
      </c>
      <c r="C88" s="16" t="s">
        <v>1544</v>
      </c>
      <c r="D88" s="16" t="s">
        <v>3825</v>
      </c>
      <c r="E88" s="16" t="s">
        <v>1721</v>
      </c>
      <c r="F88" s="17">
        <v>176.07</v>
      </c>
      <c r="G88" s="18">
        <v>82</v>
      </c>
    </row>
    <row r="89" spans="1:7" x14ac:dyDescent="0.3">
      <c r="A89" s="16" t="s">
        <v>1722</v>
      </c>
      <c r="B89" s="16" t="s">
        <v>3915</v>
      </c>
      <c r="C89" s="16" t="s">
        <v>1544</v>
      </c>
      <c r="D89" s="16" t="s">
        <v>3819</v>
      </c>
      <c r="E89" s="16" t="s">
        <v>1723</v>
      </c>
      <c r="F89" s="17">
        <v>371.38</v>
      </c>
      <c r="G89" s="18">
        <v>220</v>
      </c>
    </row>
    <row r="90" spans="1:7" x14ac:dyDescent="0.3">
      <c r="A90" s="16" t="s">
        <v>1724</v>
      </c>
      <c r="B90" s="16" t="s">
        <v>3916</v>
      </c>
      <c r="C90" s="16" t="s">
        <v>1566</v>
      </c>
      <c r="D90" s="16" t="s">
        <v>3815</v>
      </c>
      <c r="E90" s="16" t="s">
        <v>1725</v>
      </c>
      <c r="F90" s="17">
        <v>131.24</v>
      </c>
      <c r="G90" s="18">
        <v>232</v>
      </c>
    </row>
    <row r="91" spans="1:7" x14ac:dyDescent="0.3">
      <c r="A91" s="16" t="s">
        <v>1726</v>
      </c>
      <c r="B91" s="16" t="s">
        <v>3917</v>
      </c>
      <c r="C91" s="16" t="s">
        <v>1558</v>
      </c>
      <c r="D91" s="16" t="s">
        <v>3873</v>
      </c>
      <c r="E91" s="16" t="s">
        <v>1727</v>
      </c>
      <c r="F91" s="17">
        <v>183.04</v>
      </c>
      <c r="G91" s="18">
        <v>457</v>
      </c>
    </row>
    <row r="92" spans="1:7" x14ac:dyDescent="0.3">
      <c r="A92" s="16" t="s">
        <v>1728</v>
      </c>
      <c r="B92" s="16" t="s">
        <v>3918</v>
      </c>
      <c r="C92" s="16" t="s">
        <v>1563</v>
      </c>
      <c r="D92" s="16" t="s">
        <v>3815</v>
      </c>
      <c r="E92" s="16" t="s">
        <v>1729</v>
      </c>
      <c r="F92" s="17">
        <v>340.14</v>
      </c>
      <c r="G92" s="18">
        <v>361</v>
      </c>
    </row>
    <row r="93" spans="1:7" x14ac:dyDescent="0.3">
      <c r="A93" s="16" t="s">
        <v>1730</v>
      </c>
      <c r="B93" s="16" t="s">
        <v>3919</v>
      </c>
      <c r="C93" s="16" t="s">
        <v>1547</v>
      </c>
      <c r="D93" s="16" t="s">
        <v>3861</v>
      </c>
      <c r="E93" s="16" t="s">
        <v>1731</v>
      </c>
      <c r="F93" s="17">
        <v>438.25</v>
      </c>
      <c r="G93" s="18">
        <v>496</v>
      </c>
    </row>
    <row r="94" spans="1:7" x14ac:dyDescent="0.3">
      <c r="A94" s="16" t="s">
        <v>1732</v>
      </c>
      <c r="B94" s="16" t="s">
        <v>3920</v>
      </c>
      <c r="C94" s="16" t="s">
        <v>1544</v>
      </c>
      <c r="D94" s="16" t="s">
        <v>3833</v>
      </c>
      <c r="E94" s="16" t="s">
        <v>1733</v>
      </c>
      <c r="F94" s="17">
        <v>447.43</v>
      </c>
      <c r="G94" s="18">
        <v>191</v>
      </c>
    </row>
    <row r="95" spans="1:7" x14ac:dyDescent="0.3">
      <c r="A95" s="16" t="s">
        <v>1734</v>
      </c>
      <c r="B95" s="16" t="s">
        <v>3921</v>
      </c>
      <c r="C95" s="16" t="s">
        <v>1563</v>
      </c>
      <c r="D95" s="16" t="s">
        <v>3806</v>
      </c>
      <c r="E95" s="16" t="s">
        <v>1735</v>
      </c>
      <c r="F95" s="17">
        <v>377.52</v>
      </c>
      <c r="G95" s="18">
        <v>485</v>
      </c>
    </row>
    <row r="96" spans="1:7" x14ac:dyDescent="0.3">
      <c r="A96" s="16" t="s">
        <v>1736</v>
      </c>
      <c r="B96" s="16" t="s">
        <v>3922</v>
      </c>
      <c r="C96" s="16" t="s">
        <v>1558</v>
      </c>
      <c r="D96" s="16" t="s">
        <v>3817</v>
      </c>
      <c r="E96" s="16" t="s">
        <v>1737</v>
      </c>
      <c r="F96" s="17">
        <v>358.47</v>
      </c>
      <c r="G96" s="18">
        <v>213</v>
      </c>
    </row>
    <row r="97" spans="1:7" x14ac:dyDescent="0.3">
      <c r="A97" s="16" t="s">
        <v>1738</v>
      </c>
      <c r="B97" s="16" t="s">
        <v>3923</v>
      </c>
      <c r="C97" s="16" t="s">
        <v>1566</v>
      </c>
      <c r="D97" s="16" t="s">
        <v>3815</v>
      </c>
      <c r="E97" s="16" t="s">
        <v>1739</v>
      </c>
      <c r="F97" s="17">
        <v>60.65</v>
      </c>
      <c r="G97" s="18">
        <v>75</v>
      </c>
    </row>
    <row r="98" spans="1:7" x14ac:dyDescent="0.3">
      <c r="A98" s="16" t="s">
        <v>1740</v>
      </c>
      <c r="B98" s="16" t="s">
        <v>3924</v>
      </c>
      <c r="C98" s="16" t="s">
        <v>1547</v>
      </c>
      <c r="D98" s="16" t="s">
        <v>3810</v>
      </c>
      <c r="E98" s="16" t="s">
        <v>1741</v>
      </c>
      <c r="F98" s="17">
        <v>358.47</v>
      </c>
      <c r="G98" s="18">
        <v>143</v>
      </c>
    </row>
    <row r="99" spans="1:7" x14ac:dyDescent="0.3">
      <c r="A99" s="16" t="s">
        <v>1742</v>
      </c>
      <c r="B99" s="16" t="s">
        <v>3925</v>
      </c>
      <c r="C99" s="16" t="s">
        <v>1566</v>
      </c>
      <c r="D99" s="16" t="s">
        <v>3854</v>
      </c>
      <c r="E99" s="16" t="s">
        <v>1743</v>
      </c>
      <c r="F99" s="17">
        <v>245.98</v>
      </c>
      <c r="G99" s="18">
        <v>471</v>
      </c>
    </row>
    <row r="100" spans="1:7" x14ac:dyDescent="0.3">
      <c r="A100" s="16" t="s">
        <v>1744</v>
      </c>
      <c r="B100" s="16" t="s">
        <v>3926</v>
      </c>
      <c r="C100" s="16" t="s">
        <v>1563</v>
      </c>
      <c r="D100" s="16" t="s">
        <v>3821</v>
      </c>
      <c r="E100" s="16" t="s">
        <v>1745</v>
      </c>
      <c r="F100" s="17">
        <v>431.67</v>
      </c>
      <c r="G100" s="18">
        <v>73</v>
      </c>
    </row>
    <row r="101" spans="1:7" x14ac:dyDescent="0.3">
      <c r="A101" s="16" t="s">
        <v>1746</v>
      </c>
      <c r="B101" s="16" t="s">
        <v>3927</v>
      </c>
      <c r="C101" s="16" t="s">
        <v>1544</v>
      </c>
      <c r="D101" s="16" t="s">
        <v>3825</v>
      </c>
      <c r="E101" s="16" t="s">
        <v>1747</v>
      </c>
      <c r="F101" s="17">
        <v>201.41</v>
      </c>
      <c r="G101" s="18">
        <v>146</v>
      </c>
    </row>
  </sheetData>
  <autoFilter ref="A1:G101" xr:uid="{00000000-0001-0000-01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B8" sqref="B8"/>
    </sheetView>
  </sheetViews>
  <sheetFormatPr defaultRowHeight="14.4" x14ac:dyDescent="0.3"/>
  <cols>
    <col min="2" max="2" width="27.88671875" customWidth="1"/>
    <col min="3" max="3" width="11.88671875" customWidth="1"/>
    <col min="4" max="4" width="19.77734375" customWidth="1"/>
    <col min="5" max="5" width="10.33203125" customWidth="1"/>
  </cols>
  <sheetData>
    <row r="1" spans="1:5" x14ac:dyDescent="0.3">
      <c r="A1" s="13" t="s">
        <v>1748</v>
      </c>
      <c r="B1" s="13" t="s">
        <v>1749</v>
      </c>
      <c r="C1" s="13" t="s">
        <v>1750</v>
      </c>
      <c r="D1" s="13" t="s">
        <v>4</v>
      </c>
      <c r="E1" s="13" t="s">
        <v>1751</v>
      </c>
    </row>
    <row r="2" spans="1:5" x14ac:dyDescent="0.3">
      <c r="A2" s="16" t="s">
        <v>1752</v>
      </c>
      <c r="B2" s="16" t="s">
        <v>1753</v>
      </c>
      <c r="C2" s="16" t="s">
        <v>1754</v>
      </c>
      <c r="D2" s="16" t="s">
        <v>1755</v>
      </c>
      <c r="E2" s="16" t="s">
        <v>1756</v>
      </c>
    </row>
    <row r="3" spans="1:5" x14ac:dyDescent="0.3">
      <c r="A3" s="16" t="s">
        <v>1757</v>
      </c>
      <c r="B3" s="16" t="s">
        <v>1758</v>
      </c>
      <c r="C3" s="16" t="s">
        <v>1759</v>
      </c>
      <c r="D3" s="16" t="s">
        <v>1760</v>
      </c>
      <c r="E3" s="16" t="s">
        <v>1756</v>
      </c>
    </row>
    <row r="4" spans="1:5" x14ac:dyDescent="0.3">
      <c r="A4" s="16" t="s">
        <v>1761</v>
      </c>
      <c r="B4" s="16" t="s">
        <v>1762</v>
      </c>
      <c r="C4" s="16" t="s">
        <v>1763</v>
      </c>
      <c r="D4" s="16" t="s">
        <v>1764</v>
      </c>
      <c r="E4" s="16" t="s">
        <v>1765</v>
      </c>
    </row>
    <row r="5" spans="1:5" x14ac:dyDescent="0.3">
      <c r="A5" s="16" t="s">
        <v>1766</v>
      </c>
      <c r="B5" s="16" t="s">
        <v>1767</v>
      </c>
      <c r="C5" s="16" t="s">
        <v>1759</v>
      </c>
      <c r="D5" s="16" t="s">
        <v>1768</v>
      </c>
      <c r="E5" s="16" t="s">
        <v>1765</v>
      </c>
    </row>
    <row r="6" spans="1:5" x14ac:dyDescent="0.3">
      <c r="A6" s="16" t="s">
        <v>1769</v>
      </c>
      <c r="B6" s="16" t="s">
        <v>1770</v>
      </c>
      <c r="C6" s="16" t="s">
        <v>1763</v>
      </c>
      <c r="D6" s="16" t="s">
        <v>1771</v>
      </c>
      <c r="E6" s="16" t="s">
        <v>1772</v>
      </c>
    </row>
    <row r="7" spans="1:5" x14ac:dyDescent="0.3">
      <c r="A7" s="16" t="s">
        <v>1773</v>
      </c>
      <c r="B7" s="16" t="s">
        <v>1774</v>
      </c>
      <c r="C7" s="16" t="s">
        <v>1759</v>
      </c>
      <c r="D7" s="16" t="s">
        <v>1775</v>
      </c>
      <c r="E7" s="16" t="s">
        <v>1765</v>
      </c>
    </row>
    <row r="8" spans="1:5" x14ac:dyDescent="0.3">
      <c r="A8" s="16" t="s">
        <v>1776</v>
      </c>
      <c r="B8" s="16" t="s">
        <v>1777</v>
      </c>
      <c r="C8" s="16" t="s">
        <v>1754</v>
      </c>
      <c r="D8" s="16" t="s">
        <v>1778</v>
      </c>
      <c r="E8" s="16" t="s">
        <v>1772</v>
      </c>
    </row>
    <row r="9" spans="1:5" x14ac:dyDescent="0.3">
      <c r="A9" s="16" t="s">
        <v>1779</v>
      </c>
      <c r="B9" s="16" t="s">
        <v>1780</v>
      </c>
      <c r="C9" s="16" t="s">
        <v>1763</v>
      </c>
      <c r="D9" s="16" t="s">
        <v>1781</v>
      </c>
      <c r="E9" s="16" t="s">
        <v>1772</v>
      </c>
    </row>
    <row r="10" spans="1:5" x14ac:dyDescent="0.3">
      <c r="A10" s="16" t="s">
        <v>1782</v>
      </c>
      <c r="B10" s="16" t="s">
        <v>1783</v>
      </c>
      <c r="C10" s="16" t="s">
        <v>1784</v>
      </c>
      <c r="D10" s="16" t="s">
        <v>1785</v>
      </c>
      <c r="E10" s="16" t="s">
        <v>1772</v>
      </c>
    </row>
    <row r="11" spans="1:5" x14ac:dyDescent="0.3">
      <c r="A11" s="16" t="s">
        <v>1786</v>
      </c>
      <c r="B11" s="16" t="s">
        <v>1787</v>
      </c>
      <c r="C11" s="16" t="s">
        <v>1763</v>
      </c>
      <c r="D11" s="16" t="s">
        <v>1788</v>
      </c>
      <c r="E11" s="16" t="s">
        <v>1756</v>
      </c>
    </row>
    <row r="12" spans="1:5" x14ac:dyDescent="0.3">
      <c r="A12" s="16" t="s">
        <v>1789</v>
      </c>
      <c r="B12" s="16" t="s">
        <v>1790</v>
      </c>
      <c r="C12" s="16" t="s">
        <v>1754</v>
      </c>
      <c r="D12" s="16" t="s">
        <v>1791</v>
      </c>
      <c r="E12" s="16" t="s">
        <v>1772</v>
      </c>
    </row>
    <row r="13" spans="1:5" x14ac:dyDescent="0.3">
      <c r="A13" s="16" t="s">
        <v>1792</v>
      </c>
      <c r="B13" s="16" t="s">
        <v>1793</v>
      </c>
      <c r="C13" s="16" t="s">
        <v>1763</v>
      </c>
      <c r="D13" s="16" t="s">
        <v>395</v>
      </c>
      <c r="E13" s="16" t="s">
        <v>1772</v>
      </c>
    </row>
    <row r="14" spans="1:5" x14ac:dyDescent="0.3">
      <c r="A14" s="16" t="s">
        <v>1794</v>
      </c>
      <c r="B14" s="16" t="s">
        <v>1795</v>
      </c>
      <c r="C14" s="16" t="s">
        <v>1759</v>
      </c>
      <c r="D14" s="16" t="s">
        <v>1796</v>
      </c>
      <c r="E14" s="16" t="s">
        <v>1772</v>
      </c>
    </row>
    <row r="15" spans="1:5" x14ac:dyDescent="0.3">
      <c r="A15" s="16" t="s">
        <v>1797</v>
      </c>
      <c r="B15" s="16" t="s">
        <v>1798</v>
      </c>
      <c r="C15" s="16" t="s">
        <v>1754</v>
      </c>
      <c r="D15" s="16" t="s">
        <v>129</v>
      </c>
      <c r="E15" s="16" t="s">
        <v>1756</v>
      </c>
    </row>
    <row r="16" spans="1:5" x14ac:dyDescent="0.3">
      <c r="A16" s="16" t="s">
        <v>1799</v>
      </c>
      <c r="B16" s="16" t="s">
        <v>1800</v>
      </c>
      <c r="C16" s="16" t="s">
        <v>1763</v>
      </c>
      <c r="D16" s="16" t="s">
        <v>207</v>
      </c>
      <c r="E16" s="16" t="s">
        <v>1765</v>
      </c>
    </row>
    <row r="17" spans="1:5" x14ac:dyDescent="0.3">
      <c r="A17" s="16" t="s">
        <v>1801</v>
      </c>
      <c r="B17" s="16" t="s">
        <v>1802</v>
      </c>
      <c r="C17" s="16" t="s">
        <v>1759</v>
      </c>
      <c r="D17" s="16" t="s">
        <v>1803</v>
      </c>
      <c r="E17" s="16" t="s">
        <v>1756</v>
      </c>
    </row>
    <row r="18" spans="1:5" x14ac:dyDescent="0.3">
      <c r="A18" s="16" t="s">
        <v>1804</v>
      </c>
      <c r="B18" s="16" t="s">
        <v>1805</v>
      </c>
      <c r="C18" s="16" t="s">
        <v>1784</v>
      </c>
      <c r="D18" s="16" t="s">
        <v>1806</v>
      </c>
      <c r="E18" s="16" t="s">
        <v>1756</v>
      </c>
    </row>
    <row r="19" spans="1:5" x14ac:dyDescent="0.3">
      <c r="A19" s="16" t="s">
        <v>1807</v>
      </c>
      <c r="B19" s="16" t="s">
        <v>1808</v>
      </c>
      <c r="C19" s="16" t="s">
        <v>1759</v>
      </c>
      <c r="D19" s="16" t="s">
        <v>1809</v>
      </c>
      <c r="E19" s="16" t="s">
        <v>1756</v>
      </c>
    </row>
    <row r="20" spans="1:5" x14ac:dyDescent="0.3">
      <c r="A20" s="16" t="s">
        <v>1810</v>
      </c>
      <c r="B20" s="16" t="s">
        <v>1811</v>
      </c>
      <c r="C20" s="16" t="s">
        <v>1754</v>
      </c>
      <c r="D20" s="16" t="s">
        <v>1812</v>
      </c>
      <c r="E20" s="16" t="s">
        <v>1756</v>
      </c>
    </row>
    <row r="21" spans="1:5" x14ac:dyDescent="0.3">
      <c r="A21" s="16" t="s">
        <v>1813</v>
      </c>
      <c r="B21" s="16" t="s">
        <v>1814</v>
      </c>
      <c r="C21" s="16" t="s">
        <v>1754</v>
      </c>
      <c r="D21" s="16" t="s">
        <v>1815</v>
      </c>
      <c r="E21" s="16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97"/>
  <sheetViews>
    <sheetView workbookViewId="0">
      <selection activeCell="J5" sqref="J5"/>
    </sheetView>
  </sheetViews>
  <sheetFormatPr defaultColWidth="14" defaultRowHeight="14.4" x14ac:dyDescent="0.3"/>
  <cols>
    <col min="1" max="1" width="14" style="1"/>
    <col min="2" max="2" width="14" style="4"/>
    <col min="3" max="5" width="14" style="1"/>
    <col min="6" max="6" width="14" style="3"/>
    <col min="7" max="7" width="14" style="1"/>
    <col min="9" max="9" width="14" style="1"/>
  </cols>
  <sheetData>
    <row r="1" spans="1:10" x14ac:dyDescent="0.3">
      <c r="A1" s="8" t="s">
        <v>1816</v>
      </c>
      <c r="B1" s="6" t="s">
        <v>1817</v>
      </c>
      <c r="C1" s="8" t="s">
        <v>0</v>
      </c>
      <c r="D1" s="8" t="s">
        <v>1536</v>
      </c>
      <c r="E1" s="8" t="s">
        <v>1748</v>
      </c>
      <c r="F1" s="7" t="s">
        <v>1818</v>
      </c>
      <c r="G1" s="8" t="s">
        <v>1819</v>
      </c>
      <c r="H1" s="5" t="s">
        <v>1820</v>
      </c>
      <c r="I1" s="8" t="s">
        <v>1821</v>
      </c>
      <c r="J1" s="5" t="s">
        <v>1822</v>
      </c>
    </row>
    <row r="2" spans="1:10" x14ac:dyDescent="0.3">
      <c r="A2" s="12" t="s">
        <v>1823</v>
      </c>
      <c r="B2" s="10">
        <v>45480</v>
      </c>
      <c r="C2" s="12" t="s">
        <v>1272</v>
      </c>
      <c r="D2" s="12" t="s">
        <v>1742</v>
      </c>
      <c r="E2" s="12" t="s">
        <v>1766</v>
      </c>
      <c r="F2" s="11">
        <v>1</v>
      </c>
      <c r="G2" s="12">
        <v>218.04</v>
      </c>
      <c r="H2" s="9">
        <v>0.09</v>
      </c>
      <c r="I2" s="12" t="s">
        <v>1824</v>
      </c>
      <c r="J2" s="9">
        <v>198.41640000000001</v>
      </c>
    </row>
    <row r="3" spans="1:10" x14ac:dyDescent="0.3">
      <c r="A3" s="22" t="s">
        <v>1825</v>
      </c>
      <c r="B3" s="10">
        <v>45285</v>
      </c>
      <c r="C3" s="12" t="s">
        <v>1440</v>
      </c>
      <c r="D3" s="12" t="s">
        <v>1696</v>
      </c>
      <c r="E3" s="12" t="s">
        <v>1807</v>
      </c>
      <c r="F3" s="11">
        <v>3</v>
      </c>
      <c r="G3" s="12">
        <v>104.47</v>
      </c>
      <c r="H3" s="9">
        <v>0.27</v>
      </c>
      <c r="I3" s="12" t="s">
        <v>1826</v>
      </c>
      <c r="J3" s="9">
        <v>228.7893</v>
      </c>
    </row>
    <row r="4" spans="1:10" x14ac:dyDescent="0.3">
      <c r="A4" s="22" t="s">
        <v>1827</v>
      </c>
      <c r="B4" s="10">
        <v>45446</v>
      </c>
      <c r="C4" s="12" t="s">
        <v>211</v>
      </c>
      <c r="D4" s="12" t="s">
        <v>1646</v>
      </c>
      <c r="E4" s="12" t="s">
        <v>1782</v>
      </c>
      <c r="F4" s="11">
        <v>4</v>
      </c>
      <c r="G4" s="12">
        <v>914.05</v>
      </c>
      <c r="H4" s="9">
        <v>0.25</v>
      </c>
      <c r="I4" s="12" t="s">
        <v>1824</v>
      </c>
      <c r="J4" s="9">
        <v>2742.15</v>
      </c>
    </row>
    <row r="5" spans="1:10" x14ac:dyDescent="0.3">
      <c r="A5" s="22" t="s">
        <v>1828</v>
      </c>
      <c r="B5" s="10">
        <v>45259</v>
      </c>
      <c r="C5" s="12" t="s">
        <v>1086</v>
      </c>
      <c r="D5" s="12" t="s">
        <v>1700</v>
      </c>
      <c r="E5" s="12" t="s">
        <v>1782</v>
      </c>
      <c r="F5" s="11">
        <v>1</v>
      </c>
      <c r="G5" s="12">
        <v>921.51</v>
      </c>
      <c r="H5" s="9">
        <v>0.16</v>
      </c>
      <c r="I5" s="12" t="s">
        <v>1829</v>
      </c>
      <c r="J5" s="9">
        <v>774.0684</v>
      </c>
    </row>
    <row r="6" spans="1:10" x14ac:dyDescent="0.3">
      <c r="A6" s="22" t="s">
        <v>1830</v>
      </c>
      <c r="B6" s="10">
        <v>45297</v>
      </c>
      <c r="C6" s="12" t="s">
        <v>1516</v>
      </c>
      <c r="D6" s="12" t="s">
        <v>1666</v>
      </c>
      <c r="E6" s="12" t="s">
        <v>1773</v>
      </c>
      <c r="F6" s="11">
        <v>3</v>
      </c>
      <c r="G6" s="12">
        <v>745.3</v>
      </c>
      <c r="H6" s="9">
        <v>0.18</v>
      </c>
      <c r="I6" s="12" t="s">
        <v>1824</v>
      </c>
      <c r="J6" s="9">
        <v>1833.4380000000001</v>
      </c>
    </row>
    <row r="7" spans="1:10" x14ac:dyDescent="0.3">
      <c r="A7" s="22" t="s">
        <v>1831</v>
      </c>
      <c r="B7" s="10">
        <v>45499</v>
      </c>
      <c r="C7" s="12" t="s">
        <v>405</v>
      </c>
      <c r="D7" s="12" t="s">
        <v>1578</v>
      </c>
      <c r="E7" s="12" t="s">
        <v>1779</v>
      </c>
      <c r="F7" s="11">
        <v>3</v>
      </c>
      <c r="G7" s="12">
        <v>147.01</v>
      </c>
      <c r="H7" s="9">
        <v>0.19</v>
      </c>
      <c r="I7" s="12" t="s">
        <v>1829</v>
      </c>
      <c r="J7" s="9">
        <v>357.23430000000002</v>
      </c>
    </row>
    <row r="8" spans="1:10" x14ac:dyDescent="0.3">
      <c r="A8" s="22" t="s">
        <v>1832</v>
      </c>
      <c r="B8" s="10">
        <v>45850</v>
      </c>
      <c r="C8" s="12" t="s">
        <v>75</v>
      </c>
      <c r="D8" s="12" t="s">
        <v>1660</v>
      </c>
      <c r="E8" s="12" t="s">
        <v>1769</v>
      </c>
      <c r="F8" s="11">
        <v>2</v>
      </c>
      <c r="G8" s="12">
        <v>785.31</v>
      </c>
      <c r="H8" s="9">
        <v>0.15</v>
      </c>
      <c r="I8" s="12" t="s">
        <v>1826</v>
      </c>
      <c r="J8" s="9">
        <v>1335.027</v>
      </c>
    </row>
    <row r="9" spans="1:10" x14ac:dyDescent="0.3">
      <c r="A9" s="22" t="s">
        <v>1833</v>
      </c>
      <c r="B9" s="10">
        <v>45248</v>
      </c>
      <c r="C9" s="12" t="s">
        <v>511</v>
      </c>
      <c r="D9" s="12" t="s">
        <v>1688</v>
      </c>
      <c r="E9" s="12" t="s">
        <v>1782</v>
      </c>
      <c r="F9" s="11">
        <v>4</v>
      </c>
      <c r="G9" s="12">
        <v>342.39</v>
      </c>
      <c r="H9" s="9">
        <v>0.23</v>
      </c>
      <c r="I9" s="12" t="s">
        <v>1826</v>
      </c>
      <c r="J9" s="9">
        <v>1054.5612000000001</v>
      </c>
    </row>
    <row r="10" spans="1:10" x14ac:dyDescent="0.3">
      <c r="A10" s="22" t="s">
        <v>3937</v>
      </c>
      <c r="B10" s="10">
        <v>45869</v>
      </c>
      <c r="C10" s="12" t="s">
        <v>1431</v>
      </c>
      <c r="D10" s="12" t="s">
        <v>1614</v>
      </c>
      <c r="E10" s="12" t="s">
        <v>1752</v>
      </c>
      <c r="F10" s="11">
        <v>2</v>
      </c>
      <c r="G10" s="12">
        <v>873.17</v>
      </c>
      <c r="H10" s="9">
        <v>0.23</v>
      </c>
      <c r="I10" s="12" t="s">
        <v>1826</v>
      </c>
      <c r="J10" s="9">
        <v>1344.6818000000001</v>
      </c>
    </row>
    <row r="11" spans="1:10" x14ac:dyDescent="0.3">
      <c r="A11" s="22" t="s">
        <v>1834</v>
      </c>
      <c r="B11" s="10">
        <v>45335</v>
      </c>
      <c r="C11" s="12" t="s">
        <v>241</v>
      </c>
      <c r="D11" s="12" t="s">
        <v>1596</v>
      </c>
      <c r="E11" s="12" t="s">
        <v>1799</v>
      </c>
      <c r="F11" s="11">
        <v>1</v>
      </c>
      <c r="G11" s="12">
        <v>278.63</v>
      </c>
      <c r="H11" s="9">
        <v>7.0000000000000007E-2</v>
      </c>
      <c r="I11" s="12" t="s">
        <v>1824</v>
      </c>
      <c r="J11" s="9">
        <v>259.1259</v>
      </c>
    </row>
    <row r="12" spans="1:10" x14ac:dyDescent="0.3">
      <c r="A12" s="22" t="s">
        <v>1835</v>
      </c>
      <c r="B12" s="10">
        <v>45801</v>
      </c>
      <c r="C12" s="12" t="s">
        <v>1008</v>
      </c>
      <c r="D12" s="12" t="s">
        <v>1626</v>
      </c>
      <c r="E12" s="12" t="s">
        <v>1757</v>
      </c>
      <c r="F12" s="11">
        <v>4</v>
      </c>
      <c r="G12" s="12">
        <v>286.92</v>
      </c>
      <c r="H12" s="9">
        <v>0.17</v>
      </c>
      <c r="I12" s="12" t="s">
        <v>1824</v>
      </c>
      <c r="J12" s="9">
        <v>952.57439999999997</v>
      </c>
    </row>
    <row r="13" spans="1:10" x14ac:dyDescent="0.3">
      <c r="A13" s="22" t="s">
        <v>1836</v>
      </c>
      <c r="B13" s="10">
        <v>45528</v>
      </c>
      <c r="C13" s="12" t="s">
        <v>761</v>
      </c>
      <c r="D13" s="12" t="s">
        <v>1724</v>
      </c>
      <c r="E13" s="12" t="s">
        <v>1769</v>
      </c>
      <c r="F13" s="11">
        <v>4</v>
      </c>
      <c r="G13" s="12">
        <v>644.58000000000004</v>
      </c>
      <c r="H13" s="9">
        <v>0.01</v>
      </c>
      <c r="I13" s="12" t="s">
        <v>1824</v>
      </c>
      <c r="J13" s="9">
        <v>2552.5367999999999</v>
      </c>
    </row>
    <row r="14" spans="1:10" x14ac:dyDescent="0.3">
      <c r="A14" s="22" t="s">
        <v>1837</v>
      </c>
      <c r="B14" s="10">
        <v>45875</v>
      </c>
      <c r="C14" s="12" t="s">
        <v>1371</v>
      </c>
      <c r="D14" s="12" t="s">
        <v>1616</v>
      </c>
      <c r="E14" s="12" t="s">
        <v>1804</v>
      </c>
      <c r="F14" s="11">
        <v>2</v>
      </c>
      <c r="G14" s="12">
        <v>316.89999999999998</v>
      </c>
      <c r="H14" s="9">
        <v>0.3</v>
      </c>
      <c r="I14" s="12" t="s">
        <v>1826</v>
      </c>
      <c r="J14" s="9">
        <v>443.66</v>
      </c>
    </row>
    <row r="15" spans="1:10" x14ac:dyDescent="0.3">
      <c r="A15" s="22" t="s">
        <v>1838</v>
      </c>
      <c r="B15" s="10">
        <v>45829</v>
      </c>
      <c r="C15" s="12" t="s">
        <v>1092</v>
      </c>
      <c r="D15" s="12" t="s">
        <v>1596</v>
      </c>
      <c r="E15" s="12" t="s">
        <v>1801</v>
      </c>
      <c r="F15" s="11">
        <v>4</v>
      </c>
      <c r="G15" s="12">
        <v>403.47</v>
      </c>
      <c r="H15" s="9">
        <v>0.28999999999999998</v>
      </c>
      <c r="I15" s="12" t="s">
        <v>1826</v>
      </c>
      <c r="J15" s="9">
        <v>1145.8548000000001</v>
      </c>
    </row>
    <row r="16" spans="1:10" x14ac:dyDescent="0.3">
      <c r="A16" s="22" t="s">
        <v>1839</v>
      </c>
      <c r="B16" s="10">
        <v>45913</v>
      </c>
      <c r="C16" s="12" t="s">
        <v>878</v>
      </c>
      <c r="D16" s="12" t="s">
        <v>1678</v>
      </c>
      <c r="E16" s="12" t="s">
        <v>1813</v>
      </c>
      <c r="F16" s="11">
        <v>2</v>
      </c>
      <c r="G16" s="12">
        <v>451.98</v>
      </c>
      <c r="H16" s="9">
        <v>0.25</v>
      </c>
      <c r="I16" s="12" t="s">
        <v>1824</v>
      </c>
      <c r="J16" s="9">
        <v>677.97</v>
      </c>
    </row>
    <row r="17" spans="1:10" x14ac:dyDescent="0.3">
      <c r="A17" s="22" t="s">
        <v>3938</v>
      </c>
      <c r="B17" s="10">
        <v>45637</v>
      </c>
      <c r="C17" s="12" t="s">
        <v>288</v>
      </c>
      <c r="D17" s="12" t="s">
        <v>1602</v>
      </c>
      <c r="E17" s="12" t="s">
        <v>1769</v>
      </c>
      <c r="F17" s="11">
        <v>2</v>
      </c>
      <c r="G17" s="12">
        <v>502.69</v>
      </c>
      <c r="H17" s="9">
        <v>0.23</v>
      </c>
      <c r="I17" s="12" t="s">
        <v>1824</v>
      </c>
      <c r="J17" s="9">
        <v>774.14260000000002</v>
      </c>
    </row>
    <row r="18" spans="1:10" x14ac:dyDescent="0.3">
      <c r="A18" s="22" t="s">
        <v>1840</v>
      </c>
      <c r="B18" s="10">
        <v>45517</v>
      </c>
      <c r="C18" s="12" t="s">
        <v>338</v>
      </c>
      <c r="D18" s="12" t="s">
        <v>1626</v>
      </c>
      <c r="E18" s="12" t="s">
        <v>1769</v>
      </c>
      <c r="F18" s="11">
        <v>2</v>
      </c>
      <c r="G18" s="12">
        <v>559.23</v>
      </c>
      <c r="H18" s="9">
        <v>0.25</v>
      </c>
      <c r="I18" s="12" t="s">
        <v>1829</v>
      </c>
      <c r="J18" s="9">
        <v>838.84500000000003</v>
      </c>
    </row>
    <row r="19" spans="1:10" x14ac:dyDescent="0.3">
      <c r="A19" s="22" t="s">
        <v>1841</v>
      </c>
      <c r="B19" s="10">
        <v>45843</v>
      </c>
      <c r="C19" s="12" t="s">
        <v>487</v>
      </c>
      <c r="D19" s="12" t="s">
        <v>1692</v>
      </c>
      <c r="E19" s="12" t="s">
        <v>1807</v>
      </c>
      <c r="F19" s="11">
        <v>3</v>
      </c>
      <c r="G19" s="12">
        <v>986.04</v>
      </c>
      <c r="H19" s="9">
        <v>0.27</v>
      </c>
      <c r="I19" s="12" t="s">
        <v>1829</v>
      </c>
      <c r="J19" s="9">
        <v>2159.4276</v>
      </c>
    </row>
    <row r="20" spans="1:10" x14ac:dyDescent="0.3">
      <c r="A20" s="22" t="s">
        <v>1842</v>
      </c>
      <c r="B20" s="10">
        <v>45447</v>
      </c>
      <c r="C20" s="12" t="s">
        <v>1235</v>
      </c>
      <c r="D20" s="12" t="s">
        <v>1634</v>
      </c>
      <c r="E20" s="12" t="s">
        <v>1810</v>
      </c>
      <c r="F20" s="11">
        <v>1</v>
      </c>
      <c r="G20" s="12">
        <v>589.55999999999995</v>
      </c>
      <c r="H20" s="9">
        <v>0.22</v>
      </c>
      <c r="I20" s="12" t="s">
        <v>1824</v>
      </c>
      <c r="J20" s="9">
        <v>459.85680000000002</v>
      </c>
    </row>
    <row r="21" spans="1:10" x14ac:dyDescent="0.3">
      <c r="A21" s="22" t="s">
        <v>3939</v>
      </c>
      <c r="B21" s="10">
        <v>45394</v>
      </c>
      <c r="C21" s="12" t="s">
        <v>1466</v>
      </c>
      <c r="D21" s="12" t="s">
        <v>1686</v>
      </c>
      <c r="E21" s="12" t="s">
        <v>1789</v>
      </c>
      <c r="F21" s="11">
        <v>3</v>
      </c>
      <c r="G21" s="12">
        <v>979.42</v>
      </c>
      <c r="H21" s="9">
        <v>0.03</v>
      </c>
      <c r="I21" s="12" t="s">
        <v>1826</v>
      </c>
      <c r="J21" s="9">
        <v>2850.1122</v>
      </c>
    </row>
    <row r="22" spans="1:10" x14ac:dyDescent="0.3">
      <c r="A22" s="22" t="s">
        <v>1843</v>
      </c>
      <c r="B22" s="10">
        <v>45466</v>
      </c>
      <c r="C22" s="12" t="s">
        <v>1151</v>
      </c>
      <c r="D22" s="12" t="s">
        <v>1572</v>
      </c>
      <c r="E22" s="12" t="s">
        <v>1782</v>
      </c>
      <c r="F22" s="11">
        <v>1</v>
      </c>
      <c r="G22" s="12">
        <v>719.28</v>
      </c>
      <c r="H22" s="9">
        <v>0.08</v>
      </c>
      <c r="I22" s="12" t="s">
        <v>1824</v>
      </c>
      <c r="J22" s="9">
        <v>661.73760000000004</v>
      </c>
    </row>
    <row r="23" spans="1:10" x14ac:dyDescent="0.3">
      <c r="A23" s="22" t="s">
        <v>1844</v>
      </c>
      <c r="B23" s="10">
        <v>45908</v>
      </c>
      <c r="C23" s="12" t="s">
        <v>613</v>
      </c>
      <c r="D23" s="12" t="s">
        <v>1682</v>
      </c>
      <c r="E23" s="12" t="s">
        <v>1776</v>
      </c>
      <c r="F23" s="11">
        <v>3</v>
      </c>
      <c r="G23" s="12">
        <v>77.599999999999994</v>
      </c>
      <c r="H23" s="9">
        <v>7.0000000000000007E-2</v>
      </c>
      <c r="I23" s="12" t="s">
        <v>1824</v>
      </c>
      <c r="J23" s="9">
        <v>216.50399999999999</v>
      </c>
    </row>
    <row r="24" spans="1:10" x14ac:dyDescent="0.3">
      <c r="A24" s="22" t="s">
        <v>1845</v>
      </c>
      <c r="B24" s="10">
        <v>45552</v>
      </c>
      <c r="C24" s="12" t="s">
        <v>1190</v>
      </c>
      <c r="D24" s="12" t="s">
        <v>1555</v>
      </c>
      <c r="E24" s="12" t="s">
        <v>1766</v>
      </c>
      <c r="F24" s="11">
        <v>4</v>
      </c>
      <c r="G24" s="12">
        <v>852.71</v>
      </c>
      <c r="H24" s="9">
        <v>0.14000000000000001</v>
      </c>
      <c r="I24" s="12" t="s">
        <v>1826</v>
      </c>
      <c r="J24" s="9">
        <v>2933.3224</v>
      </c>
    </row>
    <row r="25" spans="1:10" x14ac:dyDescent="0.3">
      <c r="A25" s="22" t="s">
        <v>1846</v>
      </c>
      <c r="B25" s="10">
        <v>45710</v>
      </c>
      <c r="C25" s="12" t="s">
        <v>654</v>
      </c>
      <c r="D25" s="12" t="s">
        <v>1702</v>
      </c>
      <c r="E25" s="12" t="s">
        <v>1782</v>
      </c>
      <c r="F25" s="11">
        <v>3</v>
      </c>
      <c r="G25" s="12">
        <v>815.49</v>
      </c>
      <c r="H25" s="9">
        <v>0.17</v>
      </c>
      <c r="I25" s="12" t="s">
        <v>1824</v>
      </c>
      <c r="J25" s="9">
        <v>2030.5700999999999</v>
      </c>
    </row>
    <row r="26" spans="1:10" x14ac:dyDescent="0.3">
      <c r="A26" s="22" t="s">
        <v>1847</v>
      </c>
      <c r="B26" s="10">
        <v>45923</v>
      </c>
      <c r="C26" s="12" t="s">
        <v>499</v>
      </c>
      <c r="D26" s="12" t="s">
        <v>1574</v>
      </c>
      <c r="E26" s="12" t="s">
        <v>1761</v>
      </c>
      <c r="F26" s="11">
        <v>2</v>
      </c>
      <c r="G26" s="12">
        <v>74.209999999999994</v>
      </c>
      <c r="H26" s="9">
        <v>0.11</v>
      </c>
      <c r="I26" s="12" t="s">
        <v>1826</v>
      </c>
      <c r="J26" s="9">
        <v>132.09379999999999</v>
      </c>
    </row>
    <row r="27" spans="1:10" x14ac:dyDescent="0.3">
      <c r="A27" s="22" t="s">
        <v>1848</v>
      </c>
      <c r="B27" s="10">
        <v>45217</v>
      </c>
      <c r="C27" s="12" t="s">
        <v>118</v>
      </c>
      <c r="D27" s="12" t="s">
        <v>1555</v>
      </c>
      <c r="E27" s="12" t="s">
        <v>1813</v>
      </c>
      <c r="F27" s="11">
        <v>1</v>
      </c>
      <c r="G27" s="12">
        <v>429.38</v>
      </c>
      <c r="H27" s="9">
        <v>0.13</v>
      </c>
      <c r="I27" s="12" t="s">
        <v>1826</v>
      </c>
      <c r="J27" s="9">
        <v>373.56060000000002</v>
      </c>
    </row>
    <row r="28" spans="1:10" x14ac:dyDescent="0.3">
      <c r="A28" s="22" t="s">
        <v>3940</v>
      </c>
      <c r="B28" s="10">
        <v>45593</v>
      </c>
      <c r="C28" s="12" t="s">
        <v>1281</v>
      </c>
      <c r="D28" s="12" t="s">
        <v>1654</v>
      </c>
      <c r="E28" s="12" t="s">
        <v>1794</v>
      </c>
      <c r="F28" s="11">
        <v>2</v>
      </c>
      <c r="G28" s="12">
        <v>148.96</v>
      </c>
      <c r="H28" s="9">
        <v>0.03</v>
      </c>
      <c r="I28" s="12" t="s">
        <v>1829</v>
      </c>
      <c r="J28" s="9">
        <v>288.98239999999998</v>
      </c>
    </row>
    <row r="29" spans="1:10" x14ac:dyDescent="0.3">
      <c r="A29" s="22" t="s">
        <v>1849</v>
      </c>
      <c r="B29" s="10">
        <v>45597</v>
      </c>
      <c r="C29" s="12" t="s">
        <v>1240</v>
      </c>
      <c r="D29" s="12" t="s">
        <v>1698</v>
      </c>
      <c r="E29" s="12" t="s">
        <v>1782</v>
      </c>
      <c r="F29" s="11">
        <v>4</v>
      </c>
      <c r="G29" s="12">
        <v>313.83</v>
      </c>
      <c r="H29" s="9">
        <v>0.08</v>
      </c>
      <c r="I29" s="12" t="s">
        <v>1824</v>
      </c>
      <c r="J29" s="9">
        <v>1154.8943999999999</v>
      </c>
    </row>
    <row r="30" spans="1:10" x14ac:dyDescent="0.3">
      <c r="A30" s="22" t="s">
        <v>1850</v>
      </c>
      <c r="B30" s="10">
        <v>45620</v>
      </c>
      <c r="C30" s="12" t="s">
        <v>1400</v>
      </c>
      <c r="D30" s="12" t="s">
        <v>1572</v>
      </c>
      <c r="E30" s="12" t="s">
        <v>1776</v>
      </c>
      <c r="F30" s="11">
        <v>2</v>
      </c>
      <c r="G30" s="12">
        <v>717.31</v>
      </c>
      <c r="H30" s="9">
        <v>0.15</v>
      </c>
      <c r="I30" s="12" t="s">
        <v>1824</v>
      </c>
      <c r="J30" s="9">
        <v>1219.4269999999999</v>
      </c>
    </row>
    <row r="31" spans="1:10" x14ac:dyDescent="0.3">
      <c r="A31" s="22" t="s">
        <v>3941</v>
      </c>
      <c r="B31" s="10">
        <v>45878</v>
      </c>
      <c r="C31" s="12" t="s">
        <v>708</v>
      </c>
      <c r="D31" s="12" t="s">
        <v>1580</v>
      </c>
      <c r="E31" s="12" t="s">
        <v>1766</v>
      </c>
      <c r="F31" s="11">
        <v>4</v>
      </c>
      <c r="G31" s="12">
        <v>109.36</v>
      </c>
      <c r="H31" s="9">
        <v>0.19</v>
      </c>
      <c r="I31" s="12" t="s">
        <v>1829</v>
      </c>
      <c r="J31" s="9">
        <v>354.32639999999998</v>
      </c>
    </row>
    <row r="32" spans="1:10" x14ac:dyDescent="0.3">
      <c r="A32" s="22" t="s">
        <v>1851</v>
      </c>
      <c r="B32" s="10">
        <v>45635</v>
      </c>
      <c r="C32" s="12" t="s">
        <v>310</v>
      </c>
      <c r="D32" s="12" t="s">
        <v>1555</v>
      </c>
      <c r="E32" s="12" t="s">
        <v>1779</v>
      </c>
      <c r="F32" s="11">
        <v>3</v>
      </c>
      <c r="G32" s="12">
        <v>559.52</v>
      </c>
      <c r="H32" s="9">
        <v>0.16</v>
      </c>
      <c r="I32" s="12" t="s">
        <v>1826</v>
      </c>
      <c r="J32" s="9">
        <v>1409.9903999999999</v>
      </c>
    </row>
    <row r="33" spans="1:10" x14ac:dyDescent="0.3">
      <c r="A33" s="22" t="s">
        <v>1852</v>
      </c>
      <c r="B33" s="10">
        <v>45329</v>
      </c>
      <c r="C33" s="12" t="s">
        <v>1513</v>
      </c>
      <c r="D33" s="12" t="s">
        <v>1568</v>
      </c>
      <c r="E33" s="12" t="s">
        <v>1807</v>
      </c>
      <c r="F33" s="11">
        <v>3</v>
      </c>
      <c r="G33" s="12">
        <v>121.76</v>
      </c>
      <c r="H33" s="9">
        <v>0.27</v>
      </c>
      <c r="I33" s="12" t="s">
        <v>1826</v>
      </c>
      <c r="J33" s="9">
        <v>266.65440000000001</v>
      </c>
    </row>
    <row r="34" spans="1:10" x14ac:dyDescent="0.3">
      <c r="A34" s="22" t="s">
        <v>1853</v>
      </c>
      <c r="B34" s="10">
        <v>45378</v>
      </c>
      <c r="C34" s="12" t="s">
        <v>622</v>
      </c>
      <c r="D34" s="12" t="s">
        <v>1614</v>
      </c>
      <c r="E34" s="12" t="s">
        <v>1797</v>
      </c>
      <c r="F34" s="11">
        <v>4</v>
      </c>
      <c r="G34" s="12">
        <v>735.32</v>
      </c>
      <c r="H34" s="9">
        <v>0.06</v>
      </c>
      <c r="I34" s="12" t="s">
        <v>1829</v>
      </c>
      <c r="J34" s="9">
        <v>2764.8031999999998</v>
      </c>
    </row>
    <row r="35" spans="1:10" x14ac:dyDescent="0.3">
      <c r="A35" s="22" t="s">
        <v>1854</v>
      </c>
      <c r="B35" s="10">
        <v>45264</v>
      </c>
      <c r="C35" s="12" t="s">
        <v>1337</v>
      </c>
      <c r="D35" s="12" t="s">
        <v>1736</v>
      </c>
      <c r="E35" s="12" t="s">
        <v>1766</v>
      </c>
      <c r="F35" s="11">
        <v>2</v>
      </c>
      <c r="G35" s="12">
        <v>600.73</v>
      </c>
      <c r="H35" s="9">
        <v>0.08</v>
      </c>
      <c r="I35" s="12" t="s">
        <v>1824</v>
      </c>
      <c r="J35" s="9">
        <v>1105.3432</v>
      </c>
    </row>
    <row r="36" spans="1:10" x14ac:dyDescent="0.3">
      <c r="A36" s="22" t="s">
        <v>3942</v>
      </c>
      <c r="B36" s="10">
        <v>45486</v>
      </c>
      <c r="C36" s="12" t="s">
        <v>264</v>
      </c>
      <c r="D36" s="12" t="s">
        <v>1600</v>
      </c>
      <c r="E36" s="12" t="s">
        <v>1813</v>
      </c>
      <c r="F36" s="11">
        <v>2</v>
      </c>
      <c r="G36" s="12">
        <v>873.86</v>
      </c>
      <c r="H36" s="9">
        <v>7.0000000000000007E-2</v>
      </c>
      <c r="I36" s="12" t="s">
        <v>1829</v>
      </c>
      <c r="J36" s="9">
        <v>1625.3796</v>
      </c>
    </row>
    <row r="37" spans="1:10" x14ac:dyDescent="0.3">
      <c r="A37" s="22" t="s">
        <v>1855</v>
      </c>
      <c r="B37" s="10">
        <v>45241</v>
      </c>
      <c r="C37" s="12" t="s">
        <v>954</v>
      </c>
      <c r="D37" s="12" t="s">
        <v>1594</v>
      </c>
      <c r="E37" s="12" t="s">
        <v>1782</v>
      </c>
      <c r="F37" s="11">
        <v>3</v>
      </c>
      <c r="G37" s="12">
        <v>342.47</v>
      </c>
      <c r="H37" s="9">
        <v>0.08</v>
      </c>
      <c r="I37" s="12" t="s">
        <v>1826</v>
      </c>
      <c r="J37" s="9">
        <v>945.21720000000016</v>
      </c>
    </row>
    <row r="38" spans="1:10" x14ac:dyDescent="0.3">
      <c r="A38" s="22" t="s">
        <v>1856</v>
      </c>
      <c r="B38" s="10">
        <v>45649</v>
      </c>
      <c r="C38" s="12" t="s">
        <v>1053</v>
      </c>
      <c r="D38" s="12" t="s">
        <v>1606</v>
      </c>
      <c r="E38" s="12" t="s">
        <v>1786</v>
      </c>
      <c r="F38" s="11">
        <v>2</v>
      </c>
      <c r="G38" s="12">
        <v>915.15</v>
      </c>
      <c r="H38" s="9">
        <v>0.16</v>
      </c>
      <c r="I38" s="12" t="s">
        <v>1826</v>
      </c>
      <c r="J38" s="9">
        <v>1537.452</v>
      </c>
    </row>
    <row r="39" spans="1:10" x14ac:dyDescent="0.3">
      <c r="A39" s="22" t="s">
        <v>1857</v>
      </c>
      <c r="B39" s="10">
        <v>45538</v>
      </c>
      <c r="C39" s="12" t="s">
        <v>663</v>
      </c>
      <c r="D39" s="12" t="s">
        <v>1634</v>
      </c>
      <c r="E39" s="12" t="s">
        <v>1794</v>
      </c>
      <c r="F39" s="11">
        <v>2</v>
      </c>
      <c r="G39" s="12">
        <v>209.32</v>
      </c>
      <c r="H39" s="9">
        <v>0.23</v>
      </c>
      <c r="I39" s="12" t="s">
        <v>1829</v>
      </c>
      <c r="J39" s="9">
        <v>322.3528</v>
      </c>
    </row>
    <row r="40" spans="1:10" x14ac:dyDescent="0.3">
      <c r="A40" s="22" t="s">
        <v>1858</v>
      </c>
      <c r="B40" s="10">
        <v>45606</v>
      </c>
      <c r="C40" s="12" t="s">
        <v>1449</v>
      </c>
      <c r="D40" s="12" t="s">
        <v>1666</v>
      </c>
      <c r="E40" s="12" t="s">
        <v>1782</v>
      </c>
      <c r="F40" s="11">
        <v>4</v>
      </c>
      <c r="G40" s="12">
        <v>288.60000000000002</v>
      </c>
      <c r="H40" s="9">
        <v>0.09</v>
      </c>
      <c r="I40" s="12" t="s">
        <v>1826</v>
      </c>
      <c r="J40" s="9">
        <v>1050.5039999999999</v>
      </c>
    </row>
    <row r="41" spans="1:10" x14ac:dyDescent="0.3">
      <c r="A41" s="22" t="s">
        <v>1859</v>
      </c>
      <c r="B41" s="10">
        <v>45570</v>
      </c>
      <c r="C41" s="12" t="s">
        <v>258</v>
      </c>
      <c r="D41" s="12" t="s">
        <v>1704</v>
      </c>
      <c r="E41" s="12" t="s">
        <v>1804</v>
      </c>
      <c r="F41" s="11">
        <v>1</v>
      </c>
      <c r="G41" s="12">
        <v>418.69</v>
      </c>
      <c r="H41" s="9">
        <v>0.06</v>
      </c>
      <c r="I41" s="12" t="s">
        <v>1826</v>
      </c>
      <c r="J41" s="9">
        <v>393.5686</v>
      </c>
    </row>
    <row r="42" spans="1:10" x14ac:dyDescent="0.3">
      <c r="A42" s="22" t="s">
        <v>1860</v>
      </c>
      <c r="B42" s="10">
        <v>45466</v>
      </c>
      <c r="C42" s="12" t="s">
        <v>44</v>
      </c>
      <c r="D42" s="12" t="s">
        <v>1608</v>
      </c>
      <c r="E42" s="12" t="s">
        <v>1792</v>
      </c>
      <c r="F42" s="11">
        <v>1</v>
      </c>
      <c r="G42" s="12">
        <v>135.78</v>
      </c>
      <c r="H42" s="9">
        <v>0.14000000000000001</v>
      </c>
      <c r="I42" s="12" t="s">
        <v>1826</v>
      </c>
      <c r="J42" s="9">
        <v>116.77079999999999</v>
      </c>
    </row>
    <row r="43" spans="1:10" x14ac:dyDescent="0.3">
      <c r="A43" s="22" t="s">
        <v>1861</v>
      </c>
      <c r="B43" s="10">
        <v>45218</v>
      </c>
      <c r="C43" s="12" t="s">
        <v>663</v>
      </c>
      <c r="D43" s="12" t="s">
        <v>1636</v>
      </c>
      <c r="E43" s="12" t="s">
        <v>1807</v>
      </c>
      <c r="F43" s="11">
        <v>1</v>
      </c>
      <c r="G43" s="12">
        <v>517.13</v>
      </c>
      <c r="H43" s="9">
        <v>0.28000000000000003</v>
      </c>
      <c r="I43" s="12" t="s">
        <v>1824</v>
      </c>
      <c r="J43" s="9">
        <v>372.33359999999999</v>
      </c>
    </row>
    <row r="44" spans="1:10" x14ac:dyDescent="0.3">
      <c r="A44" s="22" t="s">
        <v>1862</v>
      </c>
      <c r="B44" s="10">
        <v>45607</v>
      </c>
      <c r="C44" s="12" t="s">
        <v>1304</v>
      </c>
      <c r="D44" s="12" t="s">
        <v>1590</v>
      </c>
      <c r="E44" s="12" t="s">
        <v>1804</v>
      </c>
      <c r="F44" s="11">
        <v>2</v>
      </c>
      <c r="G44" s="12">
        <v>384.66</v>
      </c>
      <c r="H44" s="9">
        <v>0.08</v>
      </c>
      <c r="I44" s="12" t="s">
        <v>1829</v>
      </c>
      <c r="J44" s="9">
        <v>707.77440000000013</v>
      </c>
    </row>
    <row r="45" spans="1:10" x14ac:dyDescent="0.3">
      <c r="A45" s="22" t="s">
        <v>3943</v>
      </c>
      <c r="B45" s="10">
        <v>45291</v>
      </c>
      <c r="C45" s="12" t="s">
        <v>258</v>
      </c>
      <c r="D45" s="12" t="s">
        <v>1652</v>
      </c>
      <c r="E45" s="12" t="s">
        <v>1786</v>
      </c>
      <c r="F45" s="11">
        <v>3</v>
      </c>
      <c r="G45" s="12">
        <v>83.7</v>
      </c>
      <c r="H45" s="9">
        <v>0.24</v>
      </c>
      <c r="I45" s="12" t="s">
        <v>1826</v>
      </c>
      <c r="J45" s="9">
        <v>190.83600000000001</v>
      </c>
    </row>
    <row r="46" spans="1:10" x14ac:dyDescent="0.3">
      <c r="A46" s="22" t="s">
        <v>1863</v>
      </c>
      <c r="B46" s="10">
        <v>45689</v>
      </c>
      <c r="C46" s="12" t="s">
        <v>481</v>
      </c>
      <c r="D46" s="12" t="s">
        <v>1686</v>
      </c>
      <c r="E46" s="12" t="s">
        <v>1779</v>
      </c>
      <c r="F46" s="11">
        <v>3</v>
      </c>
      <c r="G46" s="12">
        <v>76.569999999999993</v>
      </c>
      <c r="H46" s="9">
        <v>0.26</v>
      </c>
      <c r="I46" s="12" t="s">
        <v>1824</v>
      </c>
      <c r="J46" s="9">
        <v>169.9854</v>
      </c>
    </row>
    <row r="47" spans="1:10" x14ac:dyDescent="0.3">
      <c r="A47" s="22" t="s">
        <v>1864</v>
      </c>
      <c r="B47" s="10">
        <v>45677</v>
      </c>
      <c r="C47" s="12" t="s">
        <v>1020</v>
      </c>
      <c r="D47" s="12" t="s">
        <v>1588</v>
      </c>
      <c r="E47" s="12" t="s">
        <v>1782</v>
      </c>
      <c r="F47" s="11">
        <v>1</v>
      </c>
      <c r="G47" s="12">
        <v>900.35</v>
      </c>
      <c r="H47" s="9">
        <v>0.13</v>
      </c>
      <c r="I47" s="12" t="s">
        <v>1829</v>
      </c>
      <c r="J47" s="9">
        <v>783.30449999999996</v>
      </c>
    </row>
    <row r="48" spans="1:10" x14ac:dyDescent="0.3">
      <c r="A48" s="22" t="s">
        <v>1865</v>
      </c>
      <c r="B48" s="10">
        <v>45706</v>
      </c>
      <c r="C48" s="12" t="s">
        <v>341</v>
      </c>
      <c r="D48" s="12" t="s">
        <v>1628</v>
      </c>
      <c r="E48" s="12" t="s">
        <v>1789</v>
      </c>
      <c r="F48" s="11">
        <v>4</v>
      </c>
      <c r="G48" s="12">
        <v>428.09</v>
      </c>
      <c r="H48" s="9">
        <v>7.0000000000000007E-2</v>
      </c>
      <c r="I48" s="12" t="s">
        <v>1824</v>
      </c>
      <c r="J48" s="9">
        <v>1592.4947999999999</v>
      </c>
    </row>
    <row r="49" spans="1:10" x14ac:dyDescent="0.3">
      <c r="A49" s="22" t="s">
        <v>1866</v>
      </c>
      <c r="B49" s="10">
        <v>45589</v>
      </c>
      <c r="C49" s="12" t="s">
        <v>1292</v>
      </c>
      <c r="D49" s="12" t="s">
        <v>1646</v>
      </c>
      <c r="E49" s="12" t="s">
        <v>1792</v>
      </c>
      <c r="F49" s="11">
        <v>2</v>
      </c>
      <c r="G49" s="12">
        <v>559.71</v>
      </c>
      <c r="H49" s="9">
        <v>0.3</v>
      </c>
      <c r="I49" s="12" t="s">
        <v>1829</v>
      </c>
      <c r="J49" s="9">
        <v>783.59400000000005</v>
      </c>
    </row>
    <row r="50" spans="1:10" x14ac:dyDescent="0.3">
      <c r="A50" s="22" t="s">
        <v>1867</v>
      </c>
      <c r="B50" s="10">
        <v>45282</v>
      </c>
      <c r="C50" s="12" t="s">
        <v>292</v>
      </c>
      <c r="D50" s="12" t="s">
        <v>1616</v>
      </c>
      <c r="E50" s="12" t="s">
        <v>1776</v>
      </c>
      <c r="F50" s="11">
        <v>2</v>
      </c>
      <c r="G50" s="12">
        <v>833.7</v>
      </c>
      <c r="H50" s="9">
        <v>0.06</v>
      </c>
      <c r="I50" s="12" t="s">
        <v>1826</v>
      </c>
      <c r="J50" s="9">
        <v>1567.356</v>
      </c>
    </row>
    <row r="51" spans="1:10" x14ac:dyDescent="0.3">
      <c r="A51" s="22" t="s">
        <v>1868</v>
      </c>
      <c r="B51" s="10">
        <v>45462</v>
      </c>
      <c r="C51" s="12" t="s">
        <v>1440</v>
      </c>
      <c r="D51" s="12" t="s">
        <v>1642</v>
      </c>
      <c r="E51" s="12" t="s">
        <v>1799</v>
      </c>
      <c r="F51" s="11">
        <v>2</v>
      </c>
      <c r="G51" s="12">
        <v>680.16</v>
      </c>
      <c r="H51" s="9">
        <v>0.28000000000000003</v>
      </c>
      <c r="I51" s="12" t="s">
        <v>1824</v>
      </c>
      <c r="J51" s="9">
        <v>979.43039999999996</v>
      </c>
    </row>
    <row r="52" spans="1:10" x14ac:dyDescent="0.3">
      <c r="A52" s="22" t="s">
        <v>1869</v>
      </c>
      <c r="B52" s="10">
        <v>45257</v>
      </c>
      <c r="C52" s="12" t="s">
        <v>1148</v>
      </c>
      <c r="D52" s="12" t="s">
        <v>1726</v>
      </c>
      <c r="E52" s="12" t="s">
        <v>1792</v>
      </c>
      <c r="F52" s="11">
        <v>1</v>
      </c>
      <c r="G52" s="12">
        <v>996.33</v>
      </c>
      <c r="H52" s="9">
        <v>0.23</v>
      </c>
      <c r="I52" s="12" t="s">
        <v>1826</v>
      </c>
      <c r="J52" s="9">
        <v>767.17410000000007</v>
      </c>
    </row>
    <row r="53" spans="1:10" x14ac:dyDescent="0.3">
      <c r="A53" s="22" t="s">
        <v>1870</v>
      </c>
      <c r="B53" s="10">
        <v>45854</v>
      </c>
      <c r="C53" s="12" t="s">
        <v>1269</v>
      </c>
      <c r="D53" s="12" t="s">
        <v>1610</v>
      </c>
      <c r="E53" s="12" t="s">
        <v>1789</v>
      </c>
      <c r="F53" s="11">
        <v>1</v>
      </c>
      <c r="G53" s="12">
        <v>198.83</v>
      </c>
      <c r="H53" s="9">
        <v>0.09</v>
      </c>
      <c r="I53" s="12" t="s">
        <v>1829</v>
      </c>
      <c r="J53" s="9">
        <v>180.93530000000001</v>
      </c>
    </row>
    <row r="54" spans="1:10" x14ac:dyDescent="0.3">
      <c r="A54" s="22" t="s">
        <v>3944</v>
      </c>
      <c r="B54" s="10">
        <v>45716</v>
      </c>
      <c r="C54" s="12" t="s">
        <v>767</v>
      </c>
      <c r="D54" s="12" t="s">
        <v>1586</v>
      </c>
      <c r="E54" s="12" t="s">
        <v>1779</v>
      </c>
      <c r="F54" s="11">
        <v>1</v>
      </c>
      <c r="G54" s="12">
        <v>374.92</v>
      </c>
      <c r="H54" s="9">
        <v>0.18</v>
      </c>
      <c r="I54" s="12" t="s">
        <v>1826</v>
      </c>
      <c r="J54" s="9">
        <v>307.43439999999998</v>
      </c>
    </row>
    <row r="55" spans="1:10" x14ac:dyDescent="0.3">
      <c r="A55" s="22" t="s">
        <v>1871</v>
      </c>
      <c r="B55" s="10">
        <v>45515</v>
      </c>
      <c r="C55" s="12" t="s">
        <v>1431</v>
      </c>
      <c r="D55" s="12" t="s">
        <v>1734</v>
      </c>
      <c r="E55" s="12" t="s">
        <v>1804</v>
      </c>
      <c r="F55" s="11">
        <v>1</v>
      </c>
      <c r="G55" s="12">
        <v>468.94</v>
      </c>
      <c r="H55" s="9">
        <v>0.12</v>
      </c>
      <c r="I55" s="12" t="s">
        <v>1824</v>
      </c>
      <c r="J55" s="9">
        <v>412.66719999999998</v>
      </c>
    </row>
    <row r="56" spans="1:10" x14ac:dyDescent="0.3">
      <c r="A56" s="22" t="s">
        <v>1872</v>
      </c>
      <c r="B56" s="10">
        <v>45927</v>
      </c>
      <c r="C56" s="12" t="s">
        <v>435</v>
      </c>
      <c r="D56" s="12" t="s">
        <v>1726</v>
      </c>
      <c r="E56" s="12" t="s">
        <v>1794</v>
      </c>
      <c r="F56" s="11">
        <v>2</v>
      </c>
      <c r="G56" s="12">
        <v>121.37</v>
      </c>
      <c r="H56" s="9">
        <v>0.05</v>
      </c>
      <c r="I56" s="12" t="s">
        <v>1824</v>
      </c>
      <c r="J56" s="9">
        <v>230.60300000000001</v>
      </c>
    </row>
    <row r="57" spans="1:10" x14ac:dyDescent="0.3">
      <c r="A57" s="22" t="s">
        <v>1873</v>
      </c>
      <c r="B57" s="10">
        <v>45290</v>
      </c>
      <c r="C57" s="12" t="s">
        <v>541</v>
      </c>
      <c r="D57" s="12" t="s">
        <v>1746</v>
      </c>
      <c r="E57" s="12" t="s">
        <v>1807</v>
      </c>
      <c r="F57" s="11">
        <v>2</v>
      </c>
      <c r="G57" s="12">
        <v>856.57</v>
      </c>
      <c r="H57" s="9">
        <v>0.24</v>
      </c>
      <c r="I57" s="12" t="s">
        <v>1824</v>
      </c>
      <c r="J57" s="9">
        <v>1301.9864</v>
      </c>
    </row>
    <row r="58" spans="1:10" x14ac:dyDescent="0.3">
      <c r="A58" s="22" t="s">
        <v>1874</v>
      </c>
      <c r="B58" s="10">
        <v>45213</v>
      </c>
      <c r="C58" s="12" t="s">
        <v>857</v>
      </c>
      <c r="D58" s="12" t="s">
        <v>1702</v>
      </c>
      <c r="E58" s="12" t="s">
        <v>1761</v>
      </c>
      <c r="F58" s="11">
        <v>4</v>
      </c>
      <c r="G58" s="12">
        <v>814.25</v>
      </c>
      <c r="H58" s="9">
        <v>0.18</v>
      </c>
      <c r="I58" s="12" t="s">
        <v>1824</v>
      </c>
      <c r="J58" s="9">
        <v>2670.74</v>
      </c>
    </row>
    <row r="59" spans="1:10" x14ac:dyDescent="0.3">
      <c r="A59" s="22" t="s">
        <v>1875</v>
      </c>
      <c r="B59" s="10">
        <v>45255</v>
      </c>
      <c r="C59" s="12" t="s">
        <v>1487</v>
      </c>
      <c r="D59" s="12" t="s">
        <v>1572</v>
      </c>
      <c r="E59" s="12" t="s">
        <v>1761</v>
      </c>
      <c r="F59" s="11">
        <v>1</v>
      </c>
      <c r="G59" s="12">
        <v>989.17</v>
      </c>
      <c r="H59" s="9">
        <v>0.2</v>
      </c>
      <c r="I59" s="12" t="s">
        <v>1826</v>
      </c>
      <c r="J59" s="9">
        <v>791.33600000000001</v>
      </c>
    </row>
    <row r="60" spans="1:10" x14ac:dyDescent="0.3">
      <c r="A60" s="22" t="s">
        <v>3945</v>
      </c>
      <c r="B60" s="10">
        <v>45270</v>
      </c>
      <c r="C60" s="12" t="s">
        <v>1163</v>
      </c>
      <c r="D60" s="12" t="s">
        <v>1692</v>
      </c>
      <c r="E60" s="12" t="s">
        <v>1789</v>
      </c>
      <c r="F60" s="11">
        <v>4</v>
      </c>
      <c r="G60" s="12">
        <v>62.48</v>
      </c>
      <c r="H60" s="9">
        <v>0.18</v>
      </c>
      <c r="I60" s="12" t="s">
        <v>1824</v>
      </c>
      <c r="J60" s="9">
        <v>204.93440000000001</v>
      </c>
    </row>
    <row r="61" spans="1:10" x14ac:dyDescent="0.3">
      <c r="A61" s="22" t="s">
        <v>1876</v>
      </c>
      <c r="B61" s="10">
        <v>45897</v>
      </c>
      <c r="C61" s="12" t="s">
        <v>1313</v>
      </c>
      <c r="D61" s="12" t="s">
        <v>1574</v>
      </c>
      <c r="E61" s="12" t="s">
        <v>1804</v>
      </c>
      <c r="F61" s="11">
        <v>4</v>
      </c>
      <c r="G61" s="12">
        <v>561.24</v>
      </c>
      <c r="H61" s="9">
        <v>0.24</v>
      </c>
      <c r="I61" s="12" t="s">
        <v>1824</v>
      </c>
      <c r="J61" s="9">
        <v>1706.1695999999999</v>
      </c>
    </row>
    <row r="62" spans="1:10" x14ac:dyDescent="0.3">
      <c r="A62" s="22" t="s">
        <v>1877</v>
      </c>
      <c r="B62" s="10">
        <v>45889</v>
      </c>
      <c r="C62" s="12" t="s">
        <v>559</v>
      </c>
      <c r="D62" s="12" t="s">
        <v>1692</v>
      </c>
      <c r="E62" s="12" t="s">
        <v>1757</v>
      </c>
      <c r="F62" s="11">
        <v>2</v>
      </c>
      <c r="G62" s="12">
        <v>668.3</v>
      </c>
      <c r="H62" s="9">
        <v>7.0000000000000007E-2</v>
      </c>
      <c r="I62" s="12" t="s">
        <v>1824</v>
      </c>
      <c r="J62" s="9">
        <v>1243.038</v>
      </c>
    </row>
    <row r="63" spans="1:10" x14ac:dyDescent="0.3">
      <c r="A63" s="22" t="s">
        <v>1878</v>
      </c>
      <c r="B63" s="10">
        <v>45533</v>
      </c>
      <c r="C63" s="12" t="s">
        <v>1272</v>
      </c>
      <c r="D63" s="12" t="s">
        <v>1624</v>
      </c>
      <c r="E63" s="12" t="s">
        <v>1773</v>
      </c>
      <c r="F63" s="11">
        <v>1</v>
      </c>
      <c r="G63" s="12">
        <v>553.82000000000005</v>
      </c>
      <c r="H63" s="9">
        <v>0.09</v>
      </c>
      <c r="I63" s="12" t="s">
        <v>1824</v>
      </c>
      <c r="J63" s="9">
        <v>503.97620000000012</v>
      </c>
    </row>
    <row r="64" spans="1:10" x14ac:dyDescent="0.3">
      <c r="A64" s="22" t="s">
        <v>1879</v>
      </c>
      <c r="B64" s="10">
        <v>45626</v>
      </c>
      <c r="C64" s="12" t="s">
        <v>147</v>
      </c>
      <c r="D64" s="12" t="s">
        <v>1638</v>
      </c>
      <c r="E64" s="12" t="s">
        <v>1792</v>
      </c>
      <c r="F64" s="11">
        <v>2</v>
      </c>
      <c r="G64" s="12">
        <v>556.42999999999995</v>
      </c>
      <c r="H64" s="9">
        <v>0.13</v>
      </c>
      <c r="I64" s="12" t="s">
        <v>1824</v>
      </c>
      <c r="J64" s="9">
        <v>968.18819999999994</v>
      </c>
    </row>
    <row r="65" spans="1:10" x14ac:dyDescent="0.3">
      <c r="A65" s="22" t="s">
        <v>1880</v>
      </c>
      <c r="B65" s="10">
        <v>45942</v>
      </c>
      <c r="C65" s="12" t="s">
        <v>869</v>
      </c>
      <c r="D65" s="12" t="s">
        <v>1588</v>
      </c>
      <c r="E65" s="12" t="s">
        <v>1782</v>
      </c>
      <c r="F65" s="11">
        <v>1</v>
      </c>
      <c r="G65" s="12">
        <v>184.98</v>
      </c>
      <c r="H65" s="9">
        <v>0.1</v>
      </c>
      <c r="I65" s="12" t="s">
        <v>1829</v>
      </c>
      <c r="J65" s="9">
        <v>166.482</v>
      </c>
    </row>
    <row r="66" spans="1:10" x14ac:dyDescent="0.3">
      <c r="A66" s="22" t="s">
        <v>3946</v>
      </c>
      <c r="B66" s="10">
        <v>45500</v>
      </c>
      <c r="C66" s="12" t="s">
        <v>141</v>
      </c>
      <c r="D66" s="12" t="s">
        <v>1742</v>
      </c>
      <c r="E66" s="12" t="s">
        <v>1794</v>
      </c>
      <c r="F66" s="11">
        <v>4</v>
      </c>
      <c r="G66" s="12">
        <v>700.18</v>
      </c>
      <c r="H66" s="9">
        <v>0.23</v>
      </c>
      <c r="I66" s="12" t="s">
        <v>1824</v>
      </c>
      <c r="J66" s="9">
        <v>2156.5544</v>
      </c>
    </row>
    <row r="67" spans="1:10" x14ac:dyDescent="0.3">
      <c r="A67" s="22" t="s">
        <v>1881</v>
      </c>
      <c r="B67" s="10">
        <v>45285</v>
      </c>
      <c r="C67" s="12" t="s">
        <v>85</v>
      </c>
      <c r="D67" s="12" t="s">
        <v>1700</v>
      </c>
      <c r="E67" s="12" t="s">
        <v>1789</v>
      </c>
      <c r="F67" s="11">
        <v>2</v>
      </c>
      <c r="G67" s="12">
        <v>686.31</v>
      </c>
      <c r="H67" s="9">
        <v>0.25</v>
      </c>
      <c r="I67" s="12" t="s">
        <v>1824</v>
      </c>
      <c r="J67" s="9">
        <v>1029.4649999999999</v>
      </c>
    </row>
    <row r="68" spans="1:10" x14ac:dyDescent="0.3">
      <c r="A68" s="22" t="s">
        <v>1882</v>
      </c>
      <c r="B68" s="10">
        <v>45800</v>
      </c>
      <c r="C68" s="12" t="s">
        <v>40</v>
      </c>
      <c r="D68" s="12" t="s">
        <v>1682</v>
      </c>
      <c r="E68" s="12" t="s">
        <v>1801</v>
      </c>
      <c r="F68" s="11">
        <v>1</v>
      </c>
      <c r="G68" s="12">
        <v>687.82</v>
      </c>
      <c r="H68" s="9">
        <v>0.27</v>
      </c>
      <c r="I68" s="12" t="s">
        <v>1829</v>
      </c>
      <c r="J68" s="9">
        <v>502.10860000000002</v>
      </c>
    </row>
    <row r="69" spans="1:10" x14ac:dyDescent="0.3">
      <c r="A69" s="22" t="s">
        <v>1883</v>
      </c>
      <c r="B69" s="10">
        <v>45609</v>
      </c>
      <c r="C69" s="12" t="s">
        <v>716</v>
      </c>
      <c r="D69" s="12" t="s">
        <v>1714</v>
      </c>
      <c r="E69" s="12" t="s">
        <v>1782</v>
      </c>
      <c r="F69" s="11">
        <v>2</v>
      </c>
      <c r="G69" s="12">
        <v>900.55</v>
      </c>
      <c r="H69" s="9">
        <v>0.16</v>
      </c>
      <c r="I69" s="12" t="s">
        <v>1824</v>
      </c>
      <c r="J69" s="9">
        <v>1512.924</v>
      </c>
    </row>
    <row r="70" spans="1:10" x14ac:dyDescent="0.3">
      <c r="A70" s="22" t="s">
        <v>1884</v>
      </c>
      <c r="B70" s="10">
        <v>45268</v>
      </c>
      <c r="C70" s="12" t="s">
        <v>402</v>
      </c>
      <c r="D70" s="12" t="s">
        <v>1590</v>
      </c>
      <c r="E70" s="12" t="s">
        <v>1761</v>
      </c>
      <c r="F70" s="11">
        <v>1</v>
      </c>
      <c r="G70" s="12">
        <v>341.17</v>
      </c>
      <c r="H70" s="9">
        <v>0.15</v>
      </c>
      <c r="I70" s="12" t="s">
        <v>1824</v>
      </c>
      <c r="J70" s="9">
        <v>289.99450000000002</v>
      </c>
    </row>
    <row r="71" spans="1:10" x14ac:dyDescent="0.3">
      <c r="A71" s="22" t="s">
        <v>1885</v>
      </c>
      <c r="B71" s="10">
        <v>45885</v>
      </c>
      <c r="C71" s="12" t="s">
        <v>582</v>
      </c>
      <c r="D71" s="12" t="s">
        <v>1652</v>
      </c>
      <c r="E71" s="12" t="s">
        <v>1782</v>
      </c>
      <c r="F71" s="11">
        <v>1</v>
      </c>
      <c r="G71" s="12">
        <v>442.27</v>
      </c>
      <c r="H71" s="9">
        <v>0.06</v>
      </c>
      <c r="I71" s="12" t="s">
        <v>1829</v>
      </c>
      <c r="J71" s="9">
        <v>415.73379999999997</v>
      </c>
    </row>
    <row r="72" spans="1:10" x14ac:dyDescent="0.3">
      <c r="A72" s="22" t="s">
        <v>3947</v>
      </c>
      <c r="B72" s="10">
        <v>45616</v>
      </c>
      <c r="C72" s="12" t="s">
        <v>809</v>
      </c>
      <c r="D72" s="12" t="s">
        <v>1690</v>
      </c>
      <c r="E72" s="12" t="s">
        <v>1786</v>
      </c>
      <c r="F72" s="11">
        <v>1</v>
      </c>
      <c r="G72" s="12">
        <v>363.73</v>
      </c>
      <c r="H72" s="9">
        <v>0.25</v>
      </c>
      <c r="I72" s="12" t="s">
        <v>1826</v>
      </c>
      <c r="J72" s="9">
        <v>272.79750000000001</v>
      </c>
    </row>
    <row r="73" spans="1:10" x14ac:dyDescent="0.3">
      <c r="A73" s="22" t="s">
        <v>1886</v>
      </c>
      <c r="B73" s="10">
        <v>45518</v>
      </c>
      <c r="C73" s="12" t="s">
        <v>1181</v>
      </c>
      <c r="D73" s="12" t="s">
        <v>1730</v>
      </c>
      <c r="E73" s="12" t="s">
        <v>1807</v>
      </c>
      <c r="F73" s="11">
        <v>2</v>
      </c>
      <c r="G73" s="12">
        <v>601.33000000000004</v>
      </c>
      <c r="H73" s="9">
        <v>0.16</v>
      </c>
      <c r="I73" s="12" t="s">
        <v>1826</v>
      </c>
      <c r="J73" s="9">
        <v>1010.2344000000001</v>
      </c>
    </row>
    <row r="74" spans="1:10" x14ac:dyDescent="0.3">
      <c r="A74" s="22" t="s">
        <v>1887</v>
      </c>
      <c r="B74" s="10">
        <v>45427</v>
      </c>
      <c r="C74" s="12" t="s">
        <v>1254</v>
      </c>
      <c r="D74" s="12" t="s">
        <v>1582</v>
      </c>
      <c r="E74" s="12" t="s">
        <v>1810</v>
      </c>
      <c r="F74" s="11">
        <v>4</v>
      </c>
      <c r="G74" s="12">
        <v>34.39</v>
      </c>
      <c r="H74" s="9">
        <v>0.03</v>
      </c>
      <c r="I74" s="12" t="s">
        <v>1826</v>
      </c>
      <c r="J74" s="9">
        <v>133.4332</v>
      </c>
    </row>
    <row r="75" spans="1:10" x14ac:dyDescent="0.3">
      <c r="A75" s="22" t="s">
        <v>1888</v>
      </c>
      <c r="B75" s="10">
        <v>45282</v>
      </c>
      <c r="C75" s="12" t="s">
        <v>205</v>
      </c>
      <c r="D75" s="12" t="s">
        <v>1724</v>
      </c>
      <c r="E75" s="12" t="s">
        <v>1779</v>
      </c>
      <c r="F75" s="11">
        <v>4</v>
      </c>
      <c r="G75" s="12">
        <v>127.1</v>
      </c>
      <c r="H75" s="9">
        <v>0.24</v>
      </c>
      <c r="I75" s="12" t="s">
        <v>1829</v>
      </c>
      <c r="J75" s="9">
        <v>386.38400000000001</v>
      </c>
    </row>
    <row r="76" spans="1:10" x14ac:dyDescent="0.3">
      <c r="A76" s="22" t="s">
        <v>1889</v>
      </c>
      <c r="B76" s="10">
        <v>45545</v>
      </c>
      <c r="C76" s="12" t="s">
        <v>957</v>
      </c>
      <c r="D76" s="12" t="s">
        <v>1588</v>
      </c>
      <c r="E76" s="12" t="s">
        <v>1766</v>
      </c>
      <c r="F76" s="11">
        <v>3</v>
      </c>
      <c r="G76" s="12">
        <v>899.58</v>
      </c>
      <c r="H76" s="9">
        <v>0.28000000000000003</v>
      </c>
      <c r="I76" s="12" t="s">
        <v>1826</v>
      </c>
      <c r="J76" s="9">
        <v>1943.0927999999999</v>
      </c>
    </row>
    <row r="77" spans="1:10" x14ac:dyDescent="0.3">
      <c r="A77" s="22" t="s">
        <v>1890</v>
      </c>
      <c r="B77" s="10">
        <v>45755</v>
      </c>
      <c r="C77" s="12" t="s">
        <v>1029</v>
      </c>
      <c r="D77" s="12" t="s">
        <v>1546</v>
      </c>
      <c r="E77" s="12" t="s">
        <v>1789</v>
      </c>
      <c r="F77" s="11">
        <v>3</v>
      </c>
      <c r="G77" s="12">
        <v>964.39</v>
      </c>
      <c r="H77" s="9">
        <v>0.04</v>
      </c>
      <c r="I77" s="12" t="s">
        <v>1824</v>
      </c>
      <c r="J77" s="9">
        <v>2777.4432000000002</v>
      </c>
    </row>
    <row r="78" spans="1:10" x14ac:dyDescent="0.3">
      <c r="A78" s="22" t="s">
        <v>1891</v>
      </c>
      <c r="B78" s="10">
        <v>45588</v>
      </c>
      <c r="C78" s="12" t="s">
        <v>604</v>
      </c>
      <c r="D78" s="12" t="s">
        <v>1624</v>
      </c>
      <c r="E78" s="12" t="s">
        <v>1752</v>
      </c>
      <c r="F78" s="11">
        <v>2</v>
      </c>
      <c r="G78" s="12">
        <v>217.83</v>
      </c>
      <c r="H78" s="9">
        <v>0.14000000000000001</v>
      </c>
      <c r="I78" s="12" t="s">
        <v>1826</v>
      </c>
      <c r="J78" s="9">
        <v>374.66759999999999</v>
      </c>
    </row>
    <row r="79" spans="1:10" x14ac:dyDescent="0.3">
      <c r="A79" s="22" t="s">
        <v>1892</v>
      </c>
      <c r="B79" s="10">
        <v>45848</v>
      </c>
      <c r="C79" s="12" t="s">
        <v>484</v>
      </c>
      <c r="D79" s="12" t="s">
        <v>1582</v>
      </c>
      <c r="E79" s="12" t="s">
        <v>1757</v>
      </c>
      <c r="F79" s="11">
        <v>4</v>
      </c>
      <c r="G79" s="12">
        <v>187.71</v>
      </c>
      <c r="H79" s="9">
        <v>0.06</v>
      </c>
      <c r="I79" s="12" t="s">
        <v>1829</v>
      </c>
      <c r="J79" s="9">
        <v>705.78959999999995</v>
      </c>
    </row>
    <row r="80" spans="1:10" x14ac:dyDescent="0.3">
      <c r="A80" s="22" t="s">
        <v>1893</v>
      </c>
      <c r="B80" s="10">
        <v>45577</v>
      </c>
      <c r="C80" s="12" t="s">
        <v>52</v>
      </c>
      <c r="D80" s="12" t="s">
        <v>1614</v>
      </c>
      <c r="E80" s="12" t="s">
        <v>1810</v>
      </c>
      <c r="F80" s="11">
        <v>2</v>
      </c>
      <c r="G80" s="12">
        <v>350.12</v>
      </c>
      <c r="H80" s="9">
        <v>0.12</v>
      </c>
      <c r="I80" s="12" t="s">
        <v>1829</v>
      </c>
      <c r="J80" s="9">
        <v>616.21119999999996</v>
      </c>
    </row>
    <row r="81" spans="1:10" x14ac:dyDescent="0.3">
      <c r="A81" s="22" t="s">
        <v>1894</v>
      </c>
      <c r="B81" s="10">
        <v>45312</v>
      </c>
      <c r="C81" s="12" t="s">
        <v>1263</v>
      </c>
      <c r="D81" s="12" t="s">
        <v>1580</v>
      </c>
      <c r="E81" s="12" t="s">
        <v>1757</v>
      </c>
      <c r="F81" s="11">
        <v>4</v>
      </c>
      <c r="G81" s="12">
        <v>102.19</v>
      </c>
      <c r="H81" s="9">
        <v>0.17</v>
      </c>
      <c r="I81" s="12" t="s">
        <v>1826</v>
      </c>
      <c r="J81" s="9">
        <v>339.27080000000001</v>
      </c>
    </row>
    <row r="82" spans="1:10" x14ac:dyDescent="0.3">
      <c r="A82" s="22" t="s">
        <v>1895</v>
      </c>
      <c r="B82" s="10">
        <v>45350</v>
      </c>
      <c r="C82" s="12" t="s">
        <v>40</v>
      </c>
      <c r="D82" s="12" t="s">
        <v>1720</v>
      </c>
      <c r="E82" s="12" t="s">
        <v>1769</v>
      </c>
      <c r="F82" s="11">
        <v>1</v>
      </c>
      <c r="G82" s="12">
        <v>696.53</v>
      </c>
      <c r="H82" s="9">
        <v>0.17</v>
      </c>
      <c r="I82" s="12" t="s">
        <v>1824</v>
      </c>
      <c r="J82" s="9">
        <v>578.11989999999992</v>
      </c>
    </row>
    <row r="83" spans="1:10" x14ac:dyDescent="0.3">
      <c r="A83" s="22" t="s">
        <v>1896</v>
      </c>
      <c r="B83" s="10">
        <v>45657</v>
      </c>
      <c r="C83" s="12" t="s">
        <v>241</v>
      </c>
      <c r="D83" s="12" t="s">
        <v>1586</v>
      </c>
      <c r="E83" s="12" t="s">
        <v>1769</v>
      </c>
      <c r="F83" s="11">
        <v>2</v>
      </c>
      <c r="G83" s="12">
        <v>327.52</v>
      </c>
      <c r="H83" s="9">
        <v>0.15</v>
      </c>
      <c r="I83" s="12" t="s">
        <v>1826</v>
      </c>
      <c r="J83" s="9">
        <v>556.78399999999999</v>
      </c>
    </row>
    <row r="84" spans="1:10" x14ac:dyDescent="0.3">
      <c r="A84" s="22" t="s">
        <v>1897</v>
      </c>
      <c r="B84" s="10">
        <v>45556</v>
      </c>
      <c r="C84" s="12" t="s">
        <v>1011</v>
      </c>
      <c r="D84" s="12" t="s">
        <v>1746</v>
      </c>
      <c r="E84" s="12" t="s">
        <v>1776</v>
      </c>
      <c r="F84" s="11">
        <v>2</v>
      </c>
      <c r="G84" s="12">
        <v>68.290000000000006</v>
      </c>
      <c r="H84" s="9">
        <v>0.14000000000000001</v>
      </c>
      <c r="I84" s="12" t="s">
        <v>1829</v>
      </c>
      <c r="J84" s="9">
        <v>117.4588</v>
      </c>
    </row>
    <row r="85" spans="1:10" x14ac:dyDescent="0.3">
      <c r="A85" s="22" t="s">
        <v>1898</v>
      </c>
      <c r="B85" s="10">
        <v>45523</v>
      </c>
      <c r="C85" s="12" t="s">
        <v>782</v>
      </c>
      <c r="D85" s="12" t="s">
        <v>1648</v>
      </c>
      <c r="E85" s="12" t="s">
        <v>1789</v>
      </c>
      <c r="F85" s="11">
        <v>1</v>
      </c>
      <c r="G85" s="12">
        <v>842.9</v>
      </c>
      <c r="H85" s="9">
        <v>0.06</v>
      </c>
      <c r="I85" s="12" t="s">
        <v>1829</v>
      </c>
      <c r="J85" s="9">
        <v>792.32599999999991</v>
      </c>
    </row>
    <row r="86" spans="1:10" x14ac:dyDescent="0.3">
      <c r="A86" s="22" t="s">
        <v>3948</v>
      </c>
      <c r="B86" s="10">
        <v>45587</v>
      </c>
      <c r="C86" s="12" t="s">
        <v>911</v>
      </c>
      <c r="D86" s="12" t="s">
        <v>1551</v>
      </c>
      <c r="E86" s="12" t="s">
        <v>1766</v>
      </c>
      <c r="F86" s="11">
        <v>3</v>
      </c>
      <c r="G86" s="12">
        <v>751.94</v>
      </c>
      <c r="H86" s="9">
        <v>0.26</v>
      </c>
      <c r="I86" s="12" t="s">
        <v>1826</v>
      </c>
      <c r="J86" s="9">
        <v>1669.3068000000001</v>
      </c>
    </row>
    <row r="87" spans="1:10" x14ac:dyDescent="0.3">
      <c r="A87" s="22" t="s">
        <v>1899</v>
      </c>
      <c r="B87" s="10">
        <v>45580</v>
      </c>
      <c r="C87" s="12" t="s">
        <v>449</v>
      </c>
      <c r="D87" s="12" t="s">
        <v>1660</v>
      </c>
      <c r="E87" s="12" t="s">
        <v>1779</v>
      </c>
      <c r="F87" s="11">
        <v>4</v>
      </c>
      <c r="G87" s="12">
        <v>476.28</v>
      </c>
      <c r="H87" s="9">
        <v>0.17</v>
      </c>
      <c r="I87" s="12" t="s">
        <v>1824</v>
      </c>
      <c r="J87" s="9">
        <v>1581.2496000000001</v>
      </c>
    </row>
    <row r="88" spans="1:10" x14ac:dyDescent="0.3">
      <c r="A88" s="22" t="s">
        <v>1900</v>
      </c>
      <c r="B88" s="10">
        <v>45479</v>
      </c>
      <c r="C88" s="12" t="s">
        <v>1023</v>
      </c>
      <c r="D88" s="12" t="s">
        <v>1656</v>
      </c>
      <c r="E88" s="12" t="s">
        <v>1766</v>
      </c>
      <c r="F88" s="11">
        <v>3</v>
      </c>
      <c r="G88" s="12">
        <v>541.99</v>
      </c>
      <c r="H88" s="9">
        <v>0.24</v>
      </c>
      <c r="I88" s="12" t="s">
        <v>1829</v>
      </c>
      <c r="J88" s="9">
        <v>1235.7372</v>
      </c>
    </row>
    <row r="89" spans="1:10" x14ac:dyDescent="0.3">
      <c r="A89" s="22" t="s">
        <v>1901</v>
      </c>
      <c r="B89" s="10">
        <v>45677</v>
      </c>
      <c r="C89" s="12" t="s">
        <v>1154</v>
      </c>
      <c r="D89" s="12" t="s">
        <v>1614</v>
      </c>
      <c r="E89" s="12" t="s">
        <v>1773</v>
      </c>
      <c r="F89" s="11">
        <v>2</v>
      </c>
      <c r="G89" s="12">
        <v>401.5</v>
      </c>
      <c r="H89" s="9">
        <v>0.18</v>
      </c>
      <c r="I89" s="12" t="s">
        <v>1824</v>
      </c>
      <c r="J89" s="9">
        <v>658.46</v>
      </c>
    </row>
    <row r="90" spans="1:10" x14ac:dyDescent="0.3">
      <c r="A90" s="22" t="s">
        <v>1902</v>
      </c>
      <c r="B90" s="10">
        <v>45453</v>
      </c>
      <c r="C90" s="12" t="s">
        <v>304</v>
      </c>
      <c r="D90" s="12" t="s">
        <v>1598</v>
      </c>
      <c r="E90" s="12" t="s">
        <v>1797</v>
      </c>
      <c r="F90" s="11">
        <v>3</v>
      </c>
      <c r="G90" s="12">
        <v>359.56</v>
      </c>
      <c r="H90" s="9">
        <v>0.17</v>
      </c>
      <c r="I90" s="12" t="s">
        <v>1826</v>
      </c>
      <c r="J90" s="9">
        <v>895.30439999999999</v>
      </c>
    </row>
    <row r="91" spans="1:10" x14ac:dyDescent="0.3">
      <c r="A91" s="22" t="s">
        <v>1903</v>
      </c>
      <c r="B91" s="10">
        <v>45552</v>
      </c>
      <c r="C91" s="12" t="s">
        <v>347</v>
      </c>
      <c r="D91" s="12" t="s">
        <v>1708</v>
      </c>
      <c r="E91" s="12" t="s">
        <v>1794</v>
      </c>
      <c r="F91" s="11">
        <v>2</v>
      </c>
      <c r="G91" s="12">
        <v>471.88</v>
      </c>
      <c r="H91" s="9">
        <v>0.24</v>
      </c>
      <c r="I91" s="12" t="s">
        <v>1826</v>
      </c>
      <c r="J91" s="9">
        <v>717.25760000000002</v>
      </c>
    </row>
    <row r="92" spans="1:10" x14ac:dyDescent="0.3">
      <c r="A92" s="22" t="s">
        <v>1904</v>
      </c>
      <c r="B92" s="10">
        <v>45907</v>
      </c>
      <c r="C92" s="12" t="s">
        <v>601</v>
      </c>
      <c r="D92" s="12" t="s">
        <v>1616</v>
      </c>
      <c r="E92" s="12" t="s">
        <v>1769</v>
      </c>
      <c r="F92" s="11">
        <v>4</v>
      </c>
      <c r="G92" s="12">
        <v>925.19</v>
      </c>
      <c r="H92" s="9">
        <v>0.19</v>
      </c>
      <c r="I92" s="12" t="s">
        <v>1826</v>
      </c>
      <c r="J92" s="9">
        <v>2997.615600000001</v>
      </c>
    </row>
    <row r="93" spans="1:10" x14ac:dyDescent="0.3">
      <c r="A93" s="22" t="s">
        <v>1905</v>
      </c>
      <c r="B93" s="10">
        <v>45330</v>
      </c>
      <c r="C93" s="12" t="s">
        <v>121</v>
      </c>
      <c r="D93" s="12" t="s">
        <v>1720</v>
      </c>
      <c r="E93" s="12" t="s">
        <v>1792</v>
      </c>
      <c r="F93" s="11">
        <v>2</v>
      </c>
      <c r="G93" s="12">
        <v>879.63</v>
      </c>
      <c r="H93" s="9">
        <v>7.0000000000000007E-2</v>
      </c>
      <c r="I93" s="12" t="s">
        <v>1829</v>
      </c>
      <c r="J93" s="9">
        <v>1636.1117999999999</v>
      </c>
    </row>
    <row r="94" spans="1:10" x14ac:dyDescent="0.3">
      <c r="A94" s="22" t="s">
        <v>1906</v>
      </c>
      <c r="B94" s="10">
        <v>45214</v>
      </c>
      <c r="C94" s="12" t="s">
        <v>20</v>
      </c>
      <c r="D94" s="12" t="s">
        <v>1706</v>
      </c>
      <c r="E94" s="12" t="s">
        <v>1807</v>
      </c>
      <c r="F94" s="11">
        <v>2</v>
      </c>
      <c r="G94" s="12">
        <v>418.23</v>
      </c>
      <c r="H94" s="9">
        <v>0.28000000000000003</v>
      </c>
      <c r="I94" s="12" t="s">
        <v>1824</v>
      </c>
      <c r="J94" s="9">
        <v>602.25120000000004</v>
      </c>
    </row>
    <row r="95" spans="1:10" x14ac:dyDescent="0.3">
      <c r="A95" s="22" t="s">
        <v>1907</v>
      </c>
      <c r="B95" s="10">
        <v>45891</v>
      </c>
      <c r="C95" s="12" t="s">
        <v>857</v>
      </c>
      <c r="D95" s="12" t="s">
        <v>1586</v>
      </c>
      <c r="E95" s="12" t="s">
        <v>1810</v>
      </c>
      <c r="F95" s="11">
        <v>3</v>
      </c>
      <c r="G95" s="12">
        <v>551.72</v>
      </c>
      <c r="H95" s="9">
        <v>0.03</v>
      </c>
      <c r="I95" s="12" t="s">
        <v>1829</v>
      </c>
      <c r="J95" s="9">
        <v>1605.5052000000001</v>
      </c>
    </row>
    <row r="96" spans="1:10" x14ac:dyDescent="0.3">
      <c r="A96" s="22" t="s">
        <v>3949</v>
      </c>
      <c r="B96" s="10">
        <v>45323</v>
      </c>
      <c r="C96" s="12" t="s">
        <v>1062</v>
      </c>
      <c r="D96" s="12" t="s">
        <v>1720</v>
      </c>
      <c r="E96" s="12" t="s">
        <v>1779</v>
      </c>
      <c r="F96" s="11">
        <v>4</v>
      </c>
      <c r="G96" s="12">
        <v>525.61</v>
      </c>
      <c r="H96" s="9">
        <v>0.02</v>
      </c>
      <c r="I96" s="12" t="s">
        <v>1826</v>
      </c>
      <c r="J96" s="9">
        <v>2060.3912</v>
      </c>
    </row>
    <row r="97" spans="1:10" x14ac:dyDescent="0.3">
      <c r="A97" s="22" t="s">
        <v>1908</v>
      </c>
      <c r="B97" s="10">
        <v>45785</v>
      </c>
      <c r="C97" s="12" t="s">
        <v>160</v>
      </c>
      <c r="D97" s="12" t="s">
        <v>1592</v>
      </c>
      <c r="E97" s="12" t="s">
        <v>1797</v>
      </c>
      <c r="F97" s="11">
        <v>3</v>
      </c>
      <c r="G97" s="12">
        <v>815.3</v>
      </c>
      <c r="H97" s="9">
        <v>0.03</v>
      </c>
      <c r="I97" s="12" t="s">
        <v>1824</v>
      </c>
      <c r="J97" s="9">
        <v>2372.5230000000001</v>
      </c>
    </row>
    <row r="98" spans="1:10" x14ac:dyDescent="0.3">
      <c r="A98" s="22" t="s">
        <v>1909</v>
      </c>
      <c r="B98" s="10">
        <v>45738</v>
      </c>
      <c r="C98" s="12" t="s">
        <v>696</v>
      </c>
      <c r="D98" s="12" t="s">
        <v>1730</v>
      </c>
      <c r="E98" s="12" t="s">
        <v>1752</v>
      </c>
      <c r="F98" s="11">
        <v>3</v>
      </c>
      <c r="G98" s="12">
        <v>376.46</v>
      </c>
      <c r="H98" s="9">
        <v>0.09</v>
      </c>
      <c r="I98" s="12" t="s">
        <v>1829</v>
      </c>
      <c r="J98" s="9">
        <v>1027.7357999999999</v>
      </c>
    </row>
    <row r="99" spans="1:10" x14ac:dyDescent="0.3">
      <c r="A99" s="22" t="s">
        <v>1910</v>
      </c>
      <c r="B99" s="10">
        <v>45851</v>
      </c>
      <c r="C99" s="12" t="s">
        <v>40</v>
      </c>
      <c r="D99" s="12" t="s">
        <v>1632</v>
      </c>
      <c r="E99" s="12" t="s">
        <v>1782</v>
      </c>
      <c r="F99" s="11">
        <v>4</v>
      </c>
      <c r="G99" s="12">
        <v>239.83</v>
      </c>
      <c r="H99" s="9">
        <v>0.08</v>
      </c>
      <c r="I99" s="12" t="s">
        <v>1824</v>
      </c>
      <c r="J99" s="9">
        <v>882.57440000000008</v>
      </c>
    </row>
    <row r="100" spans="1:10" x14ac:dyDescent="0.3">
      <c r="A100" s="22" t="s">
        <v>1911</v>
      </c>
      <c r="B100" s="10">
        <v>45798</v>
      </c>
      <c r="C100" s="12" t="s">
        <v>414</v>
      </c>
      <c r="D100" s="12" t="s">
        <v>1728</v>
      </c>
      <c r="E100" s="12" t="s">
        <v>1766</v>
      </c>
      <c r="F100" s="11">
        <v>2</v>
      </c>
      <c r="G100" s="12">
        <v>845.71</v>
      </c>
      <c r="H100" s="9">
        <v>0.01</v>
      </c>
      <c r="I100" s="12" t="s">
        <v>1826</v>
      </c>
      <c r="J100" s="9">
        <v>1674.5057999999999</v>
      </c>
    </row>
    <row r="101" spans="1:10" x14ac:dyDescent="0.3">
      <c r="A101" s="22" t="s">
        <v>1912</v>
      </c>
      <c r="B101" s="10">
        <v>45705</v>
      </c>
      <c r="C101" s="12" t="s">
        <v>314</v>
      </c>
      <c r="D101" s="12" t="s">
        <v>1700</v>
      </c>
      <c r="E101" s="12" t="s">
        <v>1797</v>
      </c>
      <c r="F101" s="11">
        <v>3</v>
      </c>
      <c r="G101" s="12">
        <v>948.69</v>
      </c>
      <c r="H101" s="9">
        <v>0.28999999999999998</v>
      </c>
      <c r="I101" s="12" t="s">
        <v>1824</v>
      </c>
      <c r="J101" s="9">
        <v>2020.7097000000001</v>
      </c>
    </row>
    <row r="102" spans="1:10" x14ac:dyDescent="0.3">
      <c r="A102" s="22" t="s">
        <v>1913</v>
      </c>
      <c r="B102" s="10">
        <v>45413</v>
      </c>
      <c r="C102" s="12" t="s">
        <v>1440</v>
      </c>
      <c r="D102" s="12" t="s">
        <v>1602</v>
      </c>
      <c r="E102" s="12" t="s">
        <v>1789</v>
      </c>
      <c r="F102" s="11">
        <v>1</v>
      </c>
      <c r="G102" s="12">
        <v>281.97000000000003</v>
      </c>
      <c r="H102" s="9">
        <v>0.2</v>
      </c>
      <c r="I102" s="12" t="s">
        <v>1826</v>
      </c>
      <c r="J102" s="9">
        <v>225.57599999999999</v>
      </c>
    </row>
    <row r="103" spans="1:10" x14ac:dyDescent="0.3">
      <c r="A103" s="22" t="s">
        <v>1914</v>
      </c>
      <c r="B103" s="10">
        <v>45482</v>
      </c>
      <c r="C103" s="12" t="s">
        <v>511</v>
      </c>
      <c r="D103" s="12" t="s">
        <v>1730</v>
      </c>
      <c r="E103" s="12" t="s">
        <v>1769</v>
      </c>
      <c r="F103" s="11">
        <v>2</v>
      </c>
      <c r="G103" s="12">
        <v>731.01</v>
      </c>
      <c r="H103" s="9">
        <v>0.05</v>
      </c>
      <c r="I103" s="12" t="s">
        <v>1826</v>
      </c>
      <c r="J103" s="9">
        <v>1388.9190000000001</v>
      </c>
    </row>
    <row r="104" spans="1:10" x14ac:dyDescent="0.3">
      <c r="A104" s="22" t="s">
        <v>1915</v>
      </c>
      <c r="B104" s="10">
        <v>45925</v>
      </c>
      <c r="C104" s="12" t="s">
        <v>821</v>
      </c>
      <c r="D104" s="12" t="s">
        <v>1718</v>
      </c>
      <c r="E104" s="12" t="s">
        <v>1779</v>
      </c>
      <c r="F104" s="11">
        <v>4</v>
      </c>
      <c r="G104" s="12">
        <v>930.85</v>
      </c>
      <c r="H104" s="9">
        <v>0.13</v>
      </c>
      <c r="I104" s="12" t="s">
        <v>1826</v>
      </c>
      <c r="J104" s="9">
        <v>3239.3580000000002</v>
      </c>
    </row>
    <row r="105" spans="1:10" x14ac:dyDescent="0.3">
      <c r="A105" s="22" t="s">
        <v>1916</v>
      </c>
      <c r="B105" s="10">
        <v>45420</v>
      </c>
      <c r="C105" s="12" t="s">
        <v>1301</v>
      </c>
      <c r="D105" s="12" t="s">
        <v>1551</v>
      </c>
      <c r="E105" s="12" t="s">
        <v>1782</v>
      </c>
      <c r="F105" s="11">
        <v>4</v>
      </c>
      <c r="G105" s="12">
        <v>770.77</v>
      </c>
      <c r="H105" s="9">
        <v>0.22</v>
      </c>
      <c r="I105" s="12" t="s">
        <v>1824</v>
      </c>
      <c r="J105" s="9">
        <v>2404.8024</v>
      </c>
    </row>
    <row r="106" spans="1:10" x14ac:dyDescent="0.3">
      <c r="A106" s="22" t="s">
        <v>1917</v>
      </c>
      <c r="B106" s="10">
        <v>45554</v>
      </c>
      <c r="C106" s="12" t="s">
        <v>247</v>
      </c>
      <c r="D106" s="12" t="s">
        <v>1640</v>
      </c>
      <c r="E106" s="12" t="s">
        <v>1769</v>
      </c>
      <c r="F106" s="11">
        <v>3</v>
      </c>
      <c r="G106" s="12">
        <v>479.63</v>
      </c>
      <c r="H106" s="9">
        <v>0.3</v>
      </c>
      <c r="I106" s="12" t="s">
        <v>1826</v>
      </c>
      <c r="J106" s="9">
        <v>1007.223</v>
      </c>
    </row>
    <row r="107" spans="1:10" x14ac:dyDescent="0.3">
      <c r="A107" s="22" t="s">
        <v>1918</v>
      </c>
      <c r="B107" s="10">
        <v>45405</v>
      </c>
      <c r="C107" s="12" t="s">
        <v>372</v>
      </c>
      <c r="D107" s="12" t="s">
        <v>1626</v>
      </c>
      <c r="E107" s="12" t="s">
        <v>1792</v>
      </c>
      <c r="F107" s="11">
        <v>1</v>
      </c>
      <c r="G107" s="12">
        <v>165</v>
      </c>
      <c r="H107" s="9">
        <v>0.3</v>
      </c>
      <c r="I107" s="12" t="s">
        <v>1829</v>
      </c>
      <c r="J107" s="9">
        <v>115.5</v>
      </c>
    </row>
    <row r="108" spans="1:10" x14ac:dyDescent="0.3">
      <c r="A108" s="22" t="s">
        <v>1919</v>
      </c>
      <c r="B108" s="10">
        <v>45503</v>
      </c>
      <c r="C108" s="12" t="s">
        <v>529</v>
      </c>
      <c r="D108" s="12" t="s">
        <v>1586</v>
      </c>
      <c r="E108" s="12" t="s">
        <v>1782</v>
      </c>
      <c r="F108" s="11">
        <v>2</v>
      </c>
      <c r="G108" s="12">
        <v>151.51</v>
      </c>
      <c r="H108" s="9">
        <v>0.28999999999999998</v>
      </c>
      <c r="I108" s="12" t="s">
        <v>1829</v>
      </c>
      <c r="J108" s="9">
        <v>215.14420000000001</v>
      </c>
    </row>
    <row r="109" spans="1:10" x14ac:dyDescent="0.3">
      <c r="A109" s="22" t="s">
        <v>1920</v>
      </c>
      <c r="B109" s="10">
        <v>45274</v>
      </c>
      <c r="C109" s="12" t="s">
        <v>743</v>
      </c>
      <c r="D109" s="12" t="s">
        <v>1610</v>
      </c>
      <c r="E109" s="12" t="s">
        <v>1807</v>
      </c>
      <c r="F109" s="11">
        <v>2</v>
      </c>
      <c r="G109" s="12">
        <v>872.93</v>
      </c>
      <c r="H109" s="9">
        <v>0.28999999999999998</v>
      </c>
      <c r="I109" s="12" t="s">
        <v>1829</v>
      </c>
      <c r="J109" s="9">
        <v>1239.5606</v>
      </c>
    </row>
    <row r="110" spans="1:10" x14ac:dyDescent="0.3">
      <c r="A110" s="22" t="s">
        <v>1921</v>
      </c>
      <c r="B110" s="10">
        <v>45558</v>
      </c>
      <c r="C110" s="12" t="s">
        <v>842</v>
      </c>
      <c r="D110" s="12" t="s">
        <v>1592</v>
      </c>
      <c r="E110" s="12" t="s">
        <v>1789</v>
      </c>
      <c r="F110" s="11">
        <v>3</v>
      </c>
      <c r="G110" s="12">
        <v>432.4</v>
      </c>
      <c r="H110" s="9">
        <v>0.04</v>
      </c>
      <c r="I110" s="12" t="s">
        <v>1824</v>
      </c>
      <c r="J110" s="9">
        <v>1245.3119999999999</v>
      </c>
    </row>
    <row r="111" spans="1:10" x14ac:dyDescent="0.3">
      <c r="A111" s="22" t="s">
        <v>1922</v>
      </c>
      <c r="B111" s="10">
        <v>45886</v>
      </c>
      <c r="C111" s="12" t="s">
        <v>1062</v>
      </c>
      <c r="D111" s="12" t="s">
        <v>1648</v>
      </c>
      <c r="E111" s="12" t="s">
        <v>1779</v>
      </c>
      <c r="F111" s="11">
        <v>2</v>
      </c>
      <c r="G111" s="12">
        <v>197.76</v>
      </c>
      <c r="H111" s="9">
        <v>0.04</v>
      </c>
      <c r="I111" s="12" t="s">
        <v>1824</v>
      </c>
      <c r="J111" s="9">
        <v>379.69920000000002</v>
      </c>
    </row>
    <row r="112" spans="1:10" x14ac:dyDescent="0.3">
      <c r="A112" s="22" t="s">
        <v>1923</v>
      </c>
      <c r="B112" s="10">
        <v>45674</v>
      </c>
      <c r="C112" s="12" t="s">
        <v>1466</v>
      </c>
      <c r="D112" s="12" t="s">
        <v>1628</v>
      </c>
      <c r="E112" s="12" t="s">
        <v>1761</v>
      </c>
      <c r="F112" s="11">
        <v>3</v>
      </c>
      <c r="G112" s="12">
        <v>334.6</v>
      </c>
      <c r="H112" s="9">
        <v>0.11</v>
      </c>
      <c r="I112" s="12" t="s">
        <v>1826</v>
      </c>
      <c r="J112" s="9">
        <v>893.38200000000006</v>
      </c>
    </row>
    <row r="113" spans="1:10" x14ac:dyDescent="0.3">
      <c r="A113" s="22" t="s">
        <v>1924</v>
      </c>
      <c r="B113" s="10">
        <v>45777</v>
      </c>
      <c r="C113" s="12" t="s">
        <v>314</v>
      </c>
      <c r="D113" s="12" t="s">
        <v>1576</v>
      </c>
      <c r="E113" s="12" t="s">
        <v>1766</v>
      </c>
      <c r="F113" s="11">
        <v>2</v>
      </c>
      <c r="G113" s="12">
        <v>44.35</v>
      </c>
      <c r="H113" s="9">
        <v>0.2</v>
      </c>
      <c r="I113" s="12" t="s">
        <v>1829</v>
      </c>
      <c r="J113" s="9">
        <v>70.960000000000008</v>
      </c>
    </row>
    <row r="114" spans="1:10" x14ac:dyDescent="0.3">
      <c r="A114" s="22" t="s">
        <v>1925</v>
      </c>
      <c r="B114" s="10">
        <v>45598</v>
      </c>
      <c r="C114" s="12" t="s">
        <v>1530</v>
      </c>
      <c r="D114" s="12" t="s">
        <v>1562</v>
      </c>
      <c r="E114" s="12" t="s">
        <v>1776</v>
      </c>
      <c r="F114" s="11">
        <v>1</v>
      </c>
      <c r="G114" s="12">
        <v>846.31</v>
      </c>
      <c r="H114" s="9">
        <v>0.05</v>
      </c>
      <c r="I114" s="12" t="s">
        <v>1826</v>
      </c>
      <c r="J114" s="9">
        <v>803.9944999999999</v>
      </c>
    </row>
    <row r="115" spans="1:10" x14ac:dyDescent="0.3">
      <c r="A115" s="22" t="s">
        <v>1926</v>
      </c>
      <c r="B115" s="10">
        <v>45884</v>
      </c>
      <c r="C115" s="12" t="s">
        <v>449</v>
      </c>
      <c r="D115" s="12" t="s">
        <v>1618</v>
      </c>
      <c r="E115" s="12" t="s">
        <v>1794</v>
      </c>
      <c r="F115" s="11">
        <v>1</v>
      </c>
      <c r="G115" s="12">
        <v>996.48</v>
      </c>
      <c r="H115" s="9">
        <v>7.0000000000000007E-2</v>
      </c>
      <c r="I115" s="12" t="s">
        <v>1829</v>
      </c>
      <c r="J115" s="9">
        <v>926.7263999999999</v>
      </c>
    </row>
    <row r="116" spans="1:10" x14ac:dyDescent="0.3">
      <c r="A116" s="22" t="s">
        <v>1927</v>
      </c>
      <c r="B116" s="10">
        <v>45916</v>
      </c>
      <c r="C116" s="12" t="s">
        <v>881</v>
      </c>
      <c r="D116" s="12" t="s">
        <v>1734</v>
      </c>
      <c r="E116" s="12" t="s">
        <v>1776</v>
      </c>
      <c r="F116" s="11">
        <v>3</v>
      </c>
      <c r="G116" s="12">
        <v>949.19</v>
      </c>
      <c r="H116" s="9">
        <v>0.03</v>
      </c>
      <c r="I116" s="12" t="s">
        <v>1829</v>
      </c>
      <c r="J116" s="9">
        <v>2762.1428999999998</v>
      </c>
    </row>
    <row r="117" spans="1:10" x14ac:dyDescent="0.3">
      <c r="A117" s="22" t="s">
        <v>1928</v>
      </c>
      <c r="B117" s="10">
        <v>45347</v>
      </c>
      <c r="C117" s="12" t="s">
        <v>1238</v>
      </c>
      <c r="D117" s="12" t="s">
        <v>1736</v>
      </c>
      <c r="E117" s="12" t="s">
        <v>1786</v>
      </c>
      <c r="F117" s="11">
        <v>2</v>
      </c>
      <c r="G117" s="12">
        <v>724.97</v>
      </c>
      <c r="H117" s="9">
        <v>0.1</v>
      </c>
      <c r="I117" s="12" t="s">
        <v>1824</v>
      </c>
      <c r="J117" s="9">
        <v>1304.9459999999999</v>
      </c>
    </row>
    <row r="118" spans="1:10" x14ac:dyDescent="0.3">
      <c r="A118" s="22" t="s">
        <v>1929</v>
      </c>
      <c r="B118" s="10">
        <v>45723</v>
      </c>
      <c r="C118" s="12" t="s">
        <v>993</v>
      </c>
      <c r="D118" s="12" t="s">
        <v>1546</v>
      </c>
      <c r="E118" s="12" t="s">
        <v>1804</v>
      </c>
      <c r="F118" s="11">
        <v>1</v>
      </c>
      <c r="G118" s="12">
        <v>783.25</v>
      </c>
      <c r="H118" s="9">
        <v>0.3</v>
      </c>
      <c r="I118" s="12" t="s">
        <v>1824</v>
      </c>
      <c r="J118" s="9">
        <v>548.27499999999998</v>
      </c>
    </row>
    <row r="119" spans="1:10" x14ac:dyDescent="0.3">
      <c r="A119" s="22" t="s">
        <v>1930</v>
      </c>
      <c r="B119" s="10">
        <v>45495</v>
      </c>
      <c r="C119" s="12" t="s">
        <v>1077</v>
      </c>
      <c r="D119" s="12" t="s">
        <v>1582</v>
      </c>
      <c r="E119" s="12" t="s">
        <v>1766</v>
      </c>
      <c r="F119" s="11">
        <v>1</v>
      </c>
      <c r="G119" s="12">
        <v>942.38</v>
      </c>
      <c r="H119" s="9">
        <v>0.17</v>
      </c>
      <c r="I119" s="12" t="s">
        <v>1824</v>
      </c>
      <c r="J119" s="9">
        <v>782.17539999999997</v>
      </c>
    </row>
    <row r="120" spans="1:10" x14ac:dyDescent="0.3">
      <c r="A120" s="22" t="s">
        <v>1931</v>
      </c>
      <c r="B120" s="10">
        <v>45444</v>
      </c>
      <c r="C120" s="12" t="s">
        <v>1524</v>
      </c>
      <c r="D120" s="12" t="s">
        <v>1650</v>
      </c>
      <c r="E120" s="12" t="s">
        <v>1792</v>
      </c>
      <c r="F120" s="11">
        <v>3</v>
      </c>
      <c r="G120" s="12">
        <v>298.35000000000002</v>
      </c>
      <c r="H120" s="9">
        <v>0.05</v>
      </c>
      <c r="I120" s="12" t="s">
        <v>1829</v>
      </c>
      <c r="J120" s="9">
        <v>850.29750000000001</v>
      </c>
    </row>
    <row r="121" spans="1:10" x14ac:dyDescent="0.3">
      <c r="A121" s="22" t="s">
        <v>1932</v>
      </c>
      <c r="B121" s="10">
        <v>45662</v>
      </c>
      <c r="C121" s="12" t="s">
        <v>547</v>
      </c>
      <c r="D121" s="12" t="s">
        <v>1644</v>
      </c>
      <c r="E121" s="12" t="s">
        <v>1794</v>
      </c>
      <c r="F121" s="11">
        <v>4</v>
      </c>
      <c r="G121" s="12">
        <v>950.04</v>
      </c>
      <c r="H121" s="9">
        <v>0.13</v>
      </c>
      <c r="I121" s="12" t="s">
        <v>1826</v>
      </c>
      <c r="J121" s="9">
        <v>3306.1392000000001</v>
      </c>
    </row>
    <row r="122" spans="1:10" x14ac:dyDescent="0.3">
      <c r="A122" s="22" t="s">
        <v>1933</v>
      </c>
      <c r="B122" s="10">
        <v>45910</v>
      </c>
      <c r="C122" s="12" t="s">
        <v>1035</v>
      </c>
      <c r="D122" s="12" t="s">
        <v>1662</v>
      </c>
      <c r="E122" s="12" t="s">
        <v>1769</v>
      </c>
      <c r="F122" s="11">
        <v>2</v>
      </c>
      <c r="G122" s="12">
        <v>267.19</v>
      </c>
      <c r="H122" s="9">
        <v>7.0000000000000007E-2</v>
      </c>
      <c r="I122" s="12" t="s">
        <v>1824</v>
      </c>
      <c r="J122" s="9">
        <v>496.97340000000003</v>
      </c>
    </row>
    <row r="123" spans="1:10" x14ac:dyDescent="0.3">
      <c r="A123" s="22" t="s">
        <v>1934</v>
      </c>
      <c r="B123" s="10">
        <v>45827</v>
      </c>
      <c r="C123" s="12" t="s">
        <v>657</v>
      </c>
      <c r="D123" s="12" t="s">
        <v>1722</v>
      </c>
      <c r="E123" s="12" t="s">
        <v>1801</v>
      </c>
      <c r="F123" s="11">
        <v>4</v>
      </c>
      <c r="G123" s="12">
        <v>72.63</v>
      </c>
      <c r="H123" s="9">
        <v>0.06</v>
      </c>
      <c r="I123" s="12" t="s">
        <v>1826</v>
      </c>
      <c r="J123" s="9">
        <v>273.08879999999999</v>
      </c>
    </row>
    <row r="124" spans="1:10" x14ac:dyDescent="0.3">
      <c r="A124" s="22" t="s">
        <v>1935</v>
      </c>
      <c r="B124" s="10">
        <v>45544</v>
      </c>
      <c r="C124" s="12" t="s">
        <v>1325</v>
      </c>
      <c r="D124" s="12" t="s">
        <v>1654</v>
      </c>
      <c r="E124" s="12" t="s">
        <v>1773</v>
      </c>
      <c r="F124" s="11">
        <v>3</v>
      </c>
      <c r="G124" s="12">
        <v>576.52</v>
      </c>
      <c r="H124" s="9">
        <v>0.22</v>
      </c>
      <c r="I124" s="12" t="s">
        <v>1829</v>
      </c>
      <c r="J124" s="9">
        <v>1349.0568000000001</v>
      </c>
    </row>
    <row r="125" spans="1:10" x14ac:dyDescent="0.3">
      <c r="A125" s="22" t="s">
        <v>1936</v>
      </c>
      <c r="B125" s="10">
        <v>45751</v>
      </c>
      <c r="C125" s="12" t="s">
        <v>1095</v>
      </c>
      <c r="D125" s="12" t="s">
        <v>1690</v>
      </c>
      <c r="E125" s="12" t="s">
        <v>1786</v>
      </c>
      <c r="F125" s="11">
        <v>3</v>
      </c>
      <c r="G125" s="12">
        <v>849.36</v>
      </c>
      <c r="H125" s="9">
        <v>0.03</v>
      </c>
      <c r="I125" s="12" t="s">
        <v>1824</v>
      </c>
      <c r="J125" s="9">
        <v>2471.6376</v>
      </c>
    </row>
    <row r="126" spans="1:10" x14ac:dyDescent="0.3">
      <c r="A126" s="22" t="s">
        <v>1937</v>
      </c>
      <c r="B126" s="10">
        <v>45392</v>
      </c>
      <c r="C126" s="12" t="s">
        <v>1458</v>
      </c>
      <c r="D126" s="12" t="s">
        <v>1648</v>
      </c>
      <c r="E126" s="12" t="s">
        <v>1776</v>
      </c>
      <c r="F126" s="11">
        <v>1</v>
      </c>
      <c r="G126" s="12">
        <v>245.85</v>
      </c>
      <c r="H126" s="9">
        <v>0.18</v>
      </c>
      <c r="I126" s="12" t="s">
        <v>1829</v>
      </c>
      <c r="J126" s="9">
        <v>201.59700000000001</v>
      </c>
    </row>
    <row r="127" spans="1:10" x14ac:dyDescent="0.3">
      <c r="A127" s="22" t="s">
        <v>1938</v>
      </c>
      <c r="B127" s="10">
        <v>45589</v>
      </c>
      <c r="C127" s="12" t="s">
        <v>589</v>
      </c>
      <c r="D127" s="12" t="s">
        <v>1742</v>
      </c>
      <c r="E127" s="12" t="s">
        <v>1789</v>
      </c>
      <c r="F127" s="11">
        <v>3</v>
      </c>
      <c r="G127" s="12">
        <v>237.68</v>
      </c>
      <c r="H127" s="9">
        <v>0.1</v>
      </c>
      <c r="I127" s="12" t="s">
        <v>1829</v>
      </c>
      <c r="J127" s="9">
        <v>641.73599999999999</v>
      </c>
    </row>
    <row r="128" spans="1:10" x14ac:dyDescent="0.3">
      <c r="A128" s="22" t="s">
        <v>1939</v>
      </c>
      <c r="B128" s="10">
        <v>45756</v>
      </c>
      <c r="C128" s="12" t="s">
        <v>1059</v>
      </c>
      <c r="D128" s="12" t="s">
        <v>1690</v>
      </c>
      <c r="E128" s="12" t="s">
        <v>1799</v>
      </c>
      <c r="F128" s="11">
        <v>4</v>
      </c>
      <c r="G128" s="12">
        <v>715.85</v>
      </c>
      <c r="H128" s="9">
        <v>0.25</v>
      </c>
      <c r="I128" s="12" t="s">
        <v>1826</v>
      </c>
      <c r="J128" s="9">
        <v>2147.5500000000002</v>
      </c>
    </row>
    <row r="129" spans="1:10" x14ac:dyDescent="0.3">
      <c r="A129" s="22" t="s">
        <v>1940</v>
      </c>
      <c r="B129" s="10">
        <v>45255</v>
      </c>
      <c r="C129" s="12" t="s">
        <v>568</v>
      </c>
      <c r="D129" s="12" t="s">
        <v>1728</v>
      </c>
      <c r="E129" s="12" t="s">
        <v>1773</v>
      </c>
      <c r="F129" s="11">
        <v>2</v>
      </c>
      <c r="G129" s="12">
        <v>478.85</v>
      </c>
      <c r="H129" s="9">
        <v>0.01</v>
      </c>
      <c r="I129" s="12" t="s">
        <v>1829</v>
      </c>
      <c r="J129" s="9">
        <v>948.12300000000005</v>
      </c>
    </row>
    <row r="130" spans="1:10" x14ac:dyDescent="0.3">
      <c r="A130" s="22" t="s">
        <v>1941</v>
      </c>
      <c r="B130" s="10">
        <v>45718</v>
      </c>
      <c r="C130" s="12" t="s">
        <v>396</v>
      </c>
      <c r="D130" s="12" t="s">
        <v>1642</v>
      </c>
      <c r="E130" s="12" t="s">
        <v>1752</v>
      </c>
      <c r="F130" s="11">
        <v>1</v>
      </c>
      <c r="G130" s="12">
        <v>503.95</v>
      </c>
      <c r="H130" s="9">
        <v>0.26</v>
      </c>
      <c r="I130" s="12" t="s">
        <v>1829</v>
      </c>
      <c r="J130" s="9">
        <v>372.923</v>
      </c>
    </row>
    <row r="131" spans="1:10" x14ac:dyDescent="0.3">
      <c r="A131" s="22" t="s">
        <v>1942</v>
      </c>
      <c r="B131" s="10">
        <v>45573</v>
      </c>
      <c r="C131" s="12" t="s">
        <v>1243</v>
      </c>
      <c r="D131" s="12" t="s">
        <v>1680</v>
      </c>
      <c r="E131" s="12" t="s">
        <v>1794</v>
      </c>
      <c r="F131" s="11">
        <v>2</v>
      </c>
      <c r="G131" s="12">
        <v>975.48</v>
      </c>
      <c r="H131" s="9">
        <v>0.26</v>
      </c>
      <c r="I131" s="12" t="s">
        <v>1829</v>
      </c>
      <c r="J131" s="9">
        <v>1443.7103999999999</v>
      </c>
    </row>
    <row r="132" spans="1:10" x14ac:dyDescent="0.3">
      <c r="A132" s="22" t="s">
        <v>1943</v>
      </c>
      <c r="B132" s="10">
        <v>45884</v>
      </c>
      <c r="C132" s="12" t="s">
        <v>1249</v>
      </c>
      <c r="D132" s="12" t="s">
        <v>1616</v>
      </c>
      <c r="E132" s="12" t="s">
        <v>1804</v>
      </c>
      <c r="F132" s="11">
        <v>4</v>
      </c>
      <c r="G132" s="12">
        <v>450.12</v>
      </c>
      <c r="H132" s="9">
        <v>0.28999999999999998</v>
      </c>
      <c r="I132" s="12" t="s">
        <v>1829</v>
      </c>
      <c r="J132" s="9">
        <v>1278.3407999999999</v>
      </c>
    </row>
    <row r="133" spans="1:10" x14ac:dyDescent="0.3">
      <c r="A133" s="22" t="s">
        <v>1944</v>
      </c>
      <c r="B133" s="10">
        <v>45448</v>
      </c>
      <c r="C133" s="12" t="s">
        <v>1349</v>
      </c>
      <c r="D133" s="12" t="s">
        <v>1620</v>
      </c>
      <c r="E133" s="12" t="s">
        <v>1782</v>
      </c>
      <c r="F133" s="11">
        <v>3</v>
      </c>
      <c r="G133" s="12">
        <v>237.24</v>
      </c>
      <c r="H133" s="9">
        <v>0.24</v>
      </c>
      <c r="I133" s="12" t="s">
        <v>1826</v>
      </c>
      <c r="J133" s="9">
        <v>540.90719999999999</v>
      </c>
    </row>
    <row r="134" spans="1:10" x14ac:dyDescent="0.3">
      <c r="A134" s="22" t="s">
        <v>1945</v>
      </c>
      <c r="B134" s="10">
        <v>45522</v>
      </c>
      <c r="C134" s="12" t="s">
        <v>1417</v>
      </c>
      <c r="D134" s="12" t="s">
        <v>1656</v>
      </c>
      <c r="E134" s="12" t="s">
        <v>1801</v>
      </c>
      <c r="F134" s="11">
        <v>2</v>
      </c>
      <c r="G134" s="12">
        <v>536.84</v>
      </c>
      <c r="H134" s="9">
        <v>0.09</v>
      </c>
      <c r="I134" s="12" t="s">
        <v>1829</v>
      </c>
      <c r="J134" s="9">
        <v>977.04880000000014</v>
      </c>
    </row>
    <row r="135" spans="1:10" x14ac:dyDescent="0.3">
      <c r="A135" s="22" t="s">
        <v>1946</v>
      </c>
      <c r="B135" s="10">
        <v>45626</v>
      </c>
      <c r="C135" s="12" t="s">
        <v>1371</v>
      </c>
      <c r="D135" s="12" t="s">
        <v>1620</v>
      </c>
      <c r="E135" s="12" t="s">
        <v>1813</v>
      </c>
      <c r="F135" s="11">
        <v>3</v>
      </c>
      <c r="G135" s="12">
        <v>584.41</v>
      </c>
      <c r="H135" s="9">
        <v>0</v>
      </c>
      <c r="I135" s="12" t="s">
        <v>1829</v>
      </c>
      <c r="J135" s="9">
        <v>1753.23</v>
      </c>
    </row>
    <row r="136" spans="1:10" x14ac:dyDescent="0.3">
      <c r="A136" s="22" t="s">
        <v>1947</v>
      </c>
      <c r="B136" s="10">
        <v>45617</v>
      </c>
      <c r="C136" s="12" t="s">
        <v>932</v>
      </c>
      <c r="D136" s="12" t="s">
        <v>1712</v>
      </c>
      <c r="E136" s="12" t="s">
        <v>1813</v>
      </c>
      <c r="F136" s="11">
        <v>1</v>
      </c>
      <c r="G136" s="12">
        <v>653.87</v>
      </c>
      <c r="H136" s="9">
        <v>0.14000000000000001</v>
      </c>
      <c r="I136" s="12" t="s">
        <v>1826</v>
      </c>
      <c r="J136" s="9">
        <v>562.32820000000004</v>
      </c>
    </row>
    <row r="137" spans="1:10" x14ac:dyDescent="0.3">
      <c r="A137" s="22" t="s">
        <v>1948</v>
      </c>
      <c r="B137" s="10">
        <v>45878</v>
      </c>
      <c r="C137" s="12" t="s">
        <v>1516</v>
      </c>
      <c r="D137" s="12" t="s">
        <v>1722</v>
      </c>
      <c r="E137" s="12" t="s">
        <v>1752</v>
      </c>
      <c r="F137" s="11">
        <v>1</v>
      </c>
      <c r="G137" s="12">
        <v>652.03</v>
      </c>
      <c r="H137" s="9">
        <v>0.27</v>
      </c>
      <c r="I137" s="12" t="s">
        <v>1824</v>
      </c>
      <c r="J137" s="9">
        <v>475.9819</v>
      </c>
    </row>
    <row r="138" spans="1:10" x14ac:dyDescent="0.3">
      <c r="A138" s="22" t="s">
        <v>1949</v>
      </c>
      <c r="B138" s="10">
        <v>45502</v>
      </c>
      <c r="C138" s="12" t="s">
        <v>335</v>
      </c>
      <c r="D138" s="12" t="s">
        <v>1555</v>
      </c>
      <c r="E138" s="12" t="s">
        <v>1794</v>
      </c>
      <c r="F138" s="11">
        <v>3</v>
      </c>
      <c r="G138" s="12">
        <v>513.36</v>
      </c>
      <c r="H138" s="9">
        <v>7.0000000000000007E-2</v>
      </c>
      <c r="I138" s="12" t="s">
        <v>1829</v>
      </c>
      <c r="J138" s="9">
        <v>1432.2744</v>
      </c>
    </row>
    <row r="139" spans="1:10" x14ac:dyDescent="0.3">
      <c r="A139" s="22" t="s">
        <v>1950</v>
      </c>
      <c r="B139" s="10">
        <v>45433</v>
      </c>
      <c r="C139" s="12" t="s">
        <v>251</v>
      </c>
      <c r="D139" s="12" t="s">
        <v>1652</v>
      </c>
      <c r="E139" s="12" t="s">
        <v>1773</v>
      </c>
      <c r="F139" s="11">
        <v>4</v>
      </c>
      <c r="G139" s="12">
        <v>355.64</v>
      </c>
      <c r="H139" s="9">
        <v>0.16</v>
      </c>
      <c r="I139" s="12" t="s">
        <v>1829</v>
      </c>
      <c r="J139" s="9">
        <v>1194.9503999999999</v>
      </c>
    </row>
    <row r="140" spans="1:10" x14ac:dyDescent="0.3">
      <c r="A140" s="22" t="s">
        <v>1951</v>
      </c>
      <c r="B140" s="10">
        <v>45594</v>
      </c>
      <c r="C140" s="12" t="s">
        <v>97</v>
      </c>
      <c r="D140" s="12" t="s">
        <v>1574</v>
      </c>
      <c r="E140" s="12" t="s">
        <v>1782</v>
      </c>
      <c r="F140" s="11">
        <v>4</v>
      </c>
      <c r="G140" s="12">
        <v>535.4</v>
      </c>
      <c r="H140" s="9">
        <v>0.26</v>
      </c>
      <c r="I140" s="12" t="s">
        <v>1826</v>
      </c>
      <c r="J140" s="9">
        <v>1584.7840000000001</v>
      </c>
    </row>
    <row r="141" spans="1:10" x14ac:dyDescent="0.3">
      <c r="A141" s="22" t="s">
        <v>1952</v>
      </c>
      <c r="B141" s="10">
        <v>45798</v>
      </c>
      <c r="C141" s="12" t="s">
        <v>779</v>
      </c>
      <c r="D141" s="12" t="s">
        <v>1686</v>
      </c>
      <c r="E141" s="12" t="s">
        <v>1813</v>
      </c>
      <c r="F141" s="11">
        <v>2</v>
      </c>
      <c r="G141" s="12">
        <v>108.74</v>
      </c>
      <c r="H141" s="9">
        <v>0.11</v>
      </c>
      <c r="I141" s="12" t="s">
        <v>1826</v>
      </c>
      <c r="J141" s="9">
        <v>193.55719999999999</v>
      </c>
    </row>
    <row r="142" spans="1:10" x14ac:dyDescent="0.3">
      <c r="A142" s="22" t="s">
        <v>1953</v>
      </c>
      <c r="B142" s="10">
        <v>45579</v>
      </c>
      <c r="C142" s="12" t="s">
        <v>990</v>
      </c>
      <c r="D142" s="12" t="s">
        <v>1570</v>
      </c>
      <c r="E142" s="12" t="s">
        <v>1813</v>
      </c>
      <c r="F142" s="11">
        <v>3</v>
      </c>
      <c r="G142" s="12">
        <v>591.98</v>
      </c>
      <c r="H142" s="9">
        <v>0.16</v>
      </c>
      <c r="I142" s="12" t="s">
        <v>1824</v>
      </c>
      <c r="J142" s="9">
        <v>1491.7896000000001</v>
      </c>
    </row>
    <row r="143" spans="1:10" x14ac:dyDescent="0.3">
      <c r="A143" s="22" t="s">
        <v>1954</v>
      </c>
      <c r="B143" s="10">
        <v>45613</v>
      </c>
      <c r="C143" s="12" t="s">
        <v>1260</v>
      </c>
      <c r="D143" s="12" t="s">
        <v>1644</v>
      </c>
      <c r="E143" s="12" t="s">
        <v>1761</v>
      </c>
      <c r="F143" s="11">
        <v>1</v>
      </c>
      <c r="G143" s="12">
        <v>345.06</v>
      </c>
      <c r="H143" s="9">
        <v>0.13</v>
      </c>
      <c r="I143" s="12" t="s">
        <v>1829</v>
      </c>
      <c r="J143" s="9">
        <v>300.2022</v>
      </c>
    </row>
    <row r="144" spans="1:10" x14ac:dyDescent="0.3">
      <c r="A144" s="22" t="s">
        <v>1955</v>
      </c>
      <c r="B144" s="10">
        <v>45745</v>
      </c>
      <c r="C144" s="12" t="s">
        <v>969</v>
      </c>
      <c r="D144" s="12" t="s">
        <v>1734</v>
      </c>
      <c r="E144" s="12" t="s">
        <v>1794</v>
      </c>
      <c r="F144" s="11">
        <v>4</v>
      </c>
      <c r="G144" s="12">
        <v>986.41</v>
      </c>
      <c r="H144" s="9">
        <v>0.22</v>
      </c>
      <c r="I144" s="12" t="s">
        <v>1824</v>
      </c>
      <c r="J144" s="9">
        <v>3077.5992000000001</v>
      </c>
    </row>
    <row r="145" spans="1:10" x14ac:dyDescent="0.3">
      <c r="A145" s="22" t="s">
        <v>1956</v>
      </c>
      <c r="B145" s="10">
        <v>45494</v>
      </c>
      <c r="C145" s="12" t="s">
        <v>1005</v>
      </c>
      <c r="D145" s="12" t="s">
        <v>1646</v>
      </c>
      <c r="E145" s="12" t="s">
        <v>1752</v>
      </c>
      <c r="F145" s="11">
        <v>2</v>
      </c>
      <c r="G145" s="12">
        <v>921.52</v>
      </c>
      <c r="H145" s="9">
        <v>0</v>
      </c>
      <c r="I145" s="12" t="s">
        <v>1826</v>
      </c>
      <c r="J145" s="9">
        <v>1843.04</v>
      </c>
    </row>
    <row r="146" spans="1:10" x14ac:dyDescent="0.3">
      <c r="A146" s="22" t="s">
        <v>1957</v>
      </c>
      <c r="B146" s="10">
        <v>45883</v>
      </c>
      <c r="C146" s="12" t="s">
        <v>347</v>
      </c>
      <c r="D146" s="12" t="s">
        <v>1658</v>
      </c>
      <c r="E146" s="12" t="s">
        <v>1773</v>
      </c>
      <c r="F146" s="11">
        <v>1</v>
      </c>
      <c r="G146" s="12">
        <v>83.1</v>
      </c>
      <c r="H146" s="9">
        <v>0.04</v>
      </c>
      <c r="I146" s="12" t="s">
        <v>1826</v>
      </c>
      <c r="J146" s="9">
        <v>79.775999999999996</v>
      </c>
    </row>
    <row r="147" spans="1:10" x14ac:dyDescent="0.3">
      <c r="A147" s="22" t="s">
        <v>1958</v>
      </c>
      <c r="B147" s="10">
        <v>45601</v>
      </c>
      <c r="C147" s="12" t="s">
        <v>1154</v>
      </c>
      <c r="D147" s="12" t="s">
        <v>1604</v>
      </c>
      <c r="E147" s="12" t="s">
        <v>1792</v>
      </c>
      <c r="F147" s="11">
        <v>2</v>
      </c>
      <c r="G147" s="12">
        <v>60.98</v>
      </c>
      <c r="H147" s="9">
        <v>0.23</v>
      </c>
      <c r="I147" s="12" t="s">
        <v>1826</v>
      </c>
      <c r="J147" s="9">
        <v>93.909199999999998</v>
      </c>
    </row>
    <row r="148" spans="1:10" x14ac:dyDescent="0.3">
      <c r="A148" s="22" t="s">
        <v>1959</v>
      </c>
      <c r="B148" s="10">
        <v>45454</v>
      </c>
      <c r="C148" s="12" t="s">
        <v>1229</v>
      </c>
      <c r="D148" s="12" t="s">
        <v>1726</v>
      </c>
      <c r="E148" s="12" t="s">
        <v>1804</v>
      </c>
      <c r="F148" s="11">
        <v>2</v>
      </c>
      <c r="G148" s="12">
        <v>122.23</v>
      </c>
      <c r="H148" s="9">
        <v>0.21</v>
      </c>
      <c r="I148" s="12" t="s">
        <v>1829</v>
      </c>
      <c r="J148" s="9">
        <v>193.1234</v>
      </c>
    </row>
    <row r="149" spans="1:10" x14ac:dyDescent="0.3">
      <c r="A149" s="22" t="s">
        <v>1960</v>
      </c>
      <c r="B149" s="10">
        <v>45918</v>
      </c>
      <c r="C149" s="12" t="s">
        <v>89</v>
      </c>
      <c r="D149" s="12" t="s">
        <v>1688</v>
      </c>
      <c r="E149" s="12" t="s">
        <v>1810</v>
      </c>
      <c r="F149" s="11">
        <v>2</v>
      </c>
      <c r="G149" s="12">
        <v>623.38</v>
      </c>
      <c r="H149" s="9">
        <v>0.13</v>
      </c>
      <c r="I149" s="12" t="s">
        <v>1824</v>
      </c>
      <c r="J149" s="9">
        <v>1084.6812</v>
      </c>
    </row>
    <row r="150" spans="1:10" x14ac:dyDescent="0.3">
      <c r="A150" s="22" t="s">
        <v>1961</v>
      </c>
      <c r="B150" s="10">
        <v>45729</v>
      </c>
      <c r="C150" s="12" t="s">
        <v>218</v>
      </c>
      <c r="D150" s="12" t="s">
        <v>1688</v>
      </c>
      <c r="E150" s="12" t="s">
        <v>1752</v>
      </c>
      <c r="F150" s="11">
        <v>1</v>
      </c>
      <c r="G150" s="12">
        <v>479.58</v>
      </c>
      <c r="H150" s="9">
        <v>0.05</v>
      </c>
      <c r="I150" s="12" t="s">
        <v>1826</v>
      </c>
      <c r="J150" s="9">
        <v>455.60099999999989</v>
      </c>
    </row>
    <row r="151" spans="1:10" x14ac:dyDescent="0.3">
      <c r="A151" s="22" t="s">
        <v>1962</v>
      </c>
      <c r="B151" s="10">
        <v>45276</v>
      </c>
      <c r="C151" s="12" t="s">
        <v>942</v>
      </c>
      <c r="D151" s="12" t="s">
        <v>1694</v>
      </c>
      <c r="E151" s="12" t="s">
        <v>1776</v>
      </c>
      <c r="F151" s="11">
        <v>3</v>
      </c>
      <c r="G151" s="12">
        <v>369.32</v>
      </c>
      <c r="H151" s="9">
        <v>0.14000000000000001</v>
      </c>
      <c r="I151" s="12" t="s">
        <v>1826</v>
      </c>
      <c r="J151" s="9">
        <v>952.84559999999999</v>
      </c>
    </row>
    <row r="152" spans="1:10" x14ac:dyDescent="0.3">
      <c r="A152" s="22" t="s">
        <v>1963</v>
      </c>
      <c r="B152" s="10">
        <v>45851</v>
      </c>
      <c r="C152" s="12" t="s">
        <v>278</v>
      </c>
      <c r="D152" s="12" t="s">
        <v>1612</v>
      </c>
      <c r="E152" s="12" t="s">
        <v>1757</v>
      </c>
      <c r="F152" s="11">
        <v>1</v>
      </c>
      <c r="G152" s="12">
        <v>488.31</v>
      </c>
      <c r="H152" s="9">
        <v>0.03</v>
      </c>
      <c r="I152" s="12" t="s">
        <v>1826</v>
      </c>
      <c r="J152" s="9">
        <v>473.66070000000002</v>
      </c>
    </row>
    <row r="153" spans="1:10" x14ac:dyDescent="0.3">
      <c r="A153" s="22" t="s">
        <v>1964</v>
      </c>
      <c r="B153" s="10">
        <v>45418</v>
      </c>
      <c r="C153" s="12" t="s">
        <v>878</v>
      </c>
      <c r="D153" s="12" t="s">
        <v>1656</v>
      </c>
      <c r="E153" s="12" t="s">
        <v>1794</v>
      </c>
      <c r="F153" s="11">
        <v>4</v>
      </c>
      <c r="G153" s="12">
        <v>164.04</v>
      </c>
      <c r="H153" s="9">
        <v>0.26</v>
      </c>
      <c r="I153" s="12" t="s">
        <v>1824</v>
      </c>
      <c r="J153" s="9">
        <v>485.55839999999989</v>
      </c>
    </row>
    <row r="154" spans="1:10" x14ac:dyDescent="0.3">
      <c r="A154" s="22" t="s">
        <v>1965</v>
      </c>
      <c r="B154" s="10">
        <v>45508</v>
      </c>
      <c r="C154" s="12" t="s">
        <v>268</v>
      </c>
      <c r="D154" s="12" t="s">
        <v>1568</v>
      </c>
      <c r="E154" s="12" t="s">
        <v>1807</v>
      </c>
      <c r="F154" s="11">
        <v>3</v>
      </c>
      <c r="G154" s="12">
        <v>707.95</v>
      </c>
      <c r="H154" s="9">
        <v>0.18</v>
      </c>
      <c r="I154" s="12" t="s">
        <v>1826</v>
      </c>
      <c r="J154" s="9">
        <v>1741.557</v>
      </c>
    </row>
    <row r="155" spans="1:10" x14ac:dyDescent="0.3">
      <c r="A155" s="22" t="s">
        <v>1966</v>
      </c>
      <c r="B155" s="10">
        <v>45269</v>
      </c>
      <c r="C155" s="12" t="s">
        <v>934</v>
      </c>
      <c r="D155" s="12" t="s">
        <v>1686</v>
      </c>
      <c r="E155" s="12" t="s">
        <v>1782</v>
      </c>
      <c r="F155" s="11">
        <v>4</v>
      </c>
      <c r="G155" s="12">
        <v>714.47</v>
      </c>
      <c r="H155" s="9">
        <v>0.18</v>
      </c>
      <c r="I155" s="12" t="s">
        <v>1829</v>
      </c>
      <c r="J155" s="9">
        <v>2343.4616000000001</v>
      </c>
    </row>
    <row r="156" spans="1:10" x14ac:dyDescent="0.3">
      <c r="A156" s="22" t="s">
        <v>1967</v>
      </c>
      <c r="B156" s="10">
        <v>45866</v>
      </c>
      <c r="C156" s="12" t="s">
        <v>1289</v>
      </c>
      <c r="D156" s="12" t="s">
        <v>1706</v>
      </c>
      <c r="E156" s="12" t="s">
        <v>1779</v>
      </c>
      <c r="F156" s="11">
        <v>4</v>
      </c>
      <c r="G156" s="12">
        <v>422.09</v>
      </c>
      <c r="H156" s="9">
        <v>0.04</v>
      </c>
      <c r="I156" s="12" t="s">
        <v>1824</v>
      </c>
      <c r="J156" s="9">
        <v>1620.8255999999999</v>
      </c>
    </row>
    <row r="157" spans="1:10" x14ac:dyDescent="0.3">
      <c r="A157" s="22" t="s">
        <v>1968</v>
      </c>
      <c r="B157" s="10">
        <v>45462</v>
      </c>
      <c r="C157" s="12" t="s">
        <v>381</v>
      </c>
      <c r="D157" s="12" t="s">
        <v>1608</v>
      </c>
      <c r="E157" s="12" t="s">
        <v>1786</v>
      </c>
      <c r="F157" s="11">
        <v>1</v>
      </c>
      <c r="G157" s="12">
        <v>998.19</v>
      </c>
      <c r="H157" s="9">
        <v>0.2</v>
      </c>
      <c r="I157" s="12" t="s">
        <v>1824</v>
      </c>
      <c r="J157" s="9">
        <v>798.55200000000013</v>
      </c>
    </row>
    <row r="158" spans="1:10" x14ac:dyDescent="0.3">
      <c r="A158" s="22" t="s">
        <v>1969</v>
      </c>
      <c r="B158" s="10">
        <v>45313</v>
      </c>
      <c r="C158" s="12" t="s">
        <v>1166</v>
      </c>
      <c r="D158" s="12" t="s">
        <v>1692</v>
      </c>
      <c r="E158" s="12" t="s">
        <v>1779</v>
      </c>
      <c r="F158" s="11">
        <v>2</v>
      </c>
      <c r="G158" s="12">
        <v>343.42</v>
      </c>
      <c r="H158" s="9">
        <v>0.12</v>
      </c>
      <c r="I158" s="12" t="s">
        <v>1829</v>
      </c>
      <c r="J158" s="9">
        <v>604.41920000000005</v>
      </c>
    </row>
    <row r="159" spans="1:10" x14ac:dyDescent="0.3">
      <c r="A159" s="22" t="s">
        <v>1970</v>
      </c>
      <c r="B159" s="10">
        <v>45390</v>
      </c>
      <c r="C159" s="12" t="s">
        <v>818</v>
      </c>
      <c r="D159" s="12" t="s">
        <v>1616</v>
      </c>
      <c r="E159" s="12" t="s">
        <v>1776</v>
      </c>
      <c r="F159" s="11">
        <v>1</v>
      </c>
      <c r="G159" s="12">
        <v>152.16999999999999</v>
      </c>
      <c r="H159" s="9">
        <v>0.28000000000000003</v>
      </c>
      <c r="I159" s="12" t="s">
        <v>1829</v>
      </c>
      <c r="J159" s="9">
        <v>109.5624</v>
      </c>
    </row>
    <row r="160" spans="1:10" x14ac:dyDescent="0.3">
      <c r="A160" s="22" t="s">
        <v>1971</v>
      </c>
      <c r="B160" s="10">
        <v>45795</v>
      </c>
      <c r="C160" s="12" t="s">
        <v>579</v>
      </c>
      <c r="D160" s="12" t="s">
        <v>1646</v>
      </c>
      <c r="E160" s="12" t="s">
        <v>1792</v>
      </c>
      <c r="F160" s="11">
        <v>1</v>
      </c>
      <c r="G160" s="12">
        <v>325.08</v>
      </c>
      <c r="H160" s="9">
        <v>0.26</v>
      </c>
      <c r="I160" s="12" t="s">
        <v>1826</v>
      </c>
      <c r="J160" s="9">
        <v>240.5592</v>
      </c>
    </row>
    <row r="161" spans="1:10" x14ac:dyDescent="0.3">
      <c r="A161" s="22" t="s">
        <v>1972</v>
      </c>
      <c r="B161" s="10">
        <v>45267</v>
      </c>
      <c r="C161" s="12" t="s">
        <v>1080</v>
      </c>
      <c r="D161" s="12" t="s">
        <v>1726</v>
      </c>
      <c r="E161" s="12" t="s">
        <v>1789</v>
      </c>
      <c r="F161" s="11">
        <v>2</v>
      </c>
      <c r="G161" s="12">
        <v>827.92</v>
      </c>
      <c r="H161" s="9">
        <v>0.25</v>
      </c>
      <c r="I161" s="12" t="s">
        <v>1829</v>
      </c>
      <c r="J161" s="9">
        <v>1241.8800000000001</v>
      </c>
    </row>
    <row r="162" spans="1:10" x14ac:dyDescent="0.3">
      <c r="A162" s="22" t="s">
        <v>1973</v>
      </c>
      <c r="B162" s="10">
        <v>45314</v>
      </c>
      <c r="C162" s="12" t="s">
        <v>1492</v>
      </c>
      <c r="D162" s="12" t="s">
        <v>1600</v>
      </c>
      <c r="E162" s="12" t="s">
        <v>1761</v>
      </c>
      <c r="F162" s="11">
        <v>2</v>
      </c>
      <c r="G162" s="12">
        <v>593.47</v>
      </c>
      <c r="H162" s="9">
        <v>0.1</v>
      </c>
      <c r="I162" s="12" t="s">
        <v>1829</v>
      </c>
      <c r="J162" s="9">
        <v>1068.2460000000001</v>
      </c>
    </row>
    <row r="163" spans="1:10" x14ac:dyDescent="0.3">
      <c r="A163" s="22" t="s">
        <v>1974</v>
      </c>
      <c r="B163" s="10">
        <v>45267</v>
      </c>
      <c r="C163" s="12" t="s">
        <v>929</v>
      </c>
      <c r="D163" s="12" t="s">
        <v>1588</v>
      </c>
      <c r="E163" s="12" t="s">
        <v>1779</v>
      </c>
      <c r="F163" s="11">
        <v>4</v>
      </c>
      <c r="G163" s="12">
        <v>756.28</v>
      </c>
      <c r="H163" s="9">
        <v>0.05</v>
      </c>
      <c r="I163" s="12" t="s">
        <v>1829</v>
      </c>
      <c r="J163" s="9">
        <v>2873.864</v>
      </c>
    </row>
    <row r="164" spans="1:10" x14ac:dyDescent="0.3">
      <c r="A164" s="22" t="s">
        <v>1975</v>
      </c>
      <c r="B164" s="10">
        <v>45641</v>
      </c>
      <c r="C164" s="12" t="s">
        <v>1178</v>
      </c>
      <c r="D164" s="12" t="s">
        <v>1732</v>
      </c>
      <c r="E164" s="12" t="s">
        <v>1757</v>
      </c>
      <c r="F164" s="11">
        <v>2</v>
      </c>
      <c r="G164" s="12">
        <v>707.65</v>
      </c>
      <c r="H164" s="9">
        <v>0.14000000000000001</v>
      </c>
      <c r="I164" s="12" t="s">
        <v>1824</v>
      </c>
      <c r="J164" s="9">
        <v>1217.1579999999999</v>
      </c>
    </row>
    <row r="165" spans="1:10" x14ac:dyDescent="0.3">
      <c r="A165" s="22" t="s">
        <v>1976</v>
      </c>
      <c r="B165" s="10">
        <v>45371</v>
      </c>
      <c r="C165" s="12" t="s">
        <v>441</v>
      </c>
      <c r="D165" s="12" t="s">
        <v>1598</v>
      </c>
      <c r="E165" s="12" t="s">
        <v>1801</v>
      </c>
      <c r="F165" s="11">
        <v>1</v>
      </c>
      <c r="G165" s="12">
        <v>857.35</v>
      </c>
      <c r="H165" s="9">
        <v>0.28000000000000003</v>
      </c>
      <c r="I165" s="12" t="s">
        <v>1826</v>
      </c>
      <c r="J165" s="9">
        <v>617.29200000000003</v>
      </c>
    </row>
    <row r="166" spans="1:10" x14ac:dyDescent="0.3">
      <c r="A166" s="22" t="s">
        <v>1977</v>
      </c>
      <c r="B166" s="10">
        <v>45670</v>
      </c>
      <c r="C166" s="12" t="s">
        <v>1533</v>
      </c>
      <c r="D166" s="12" t="s">
        <v>1658</v>
      </c>
      <c r="E166" s="12" t="s">
        <v>1782</v>
      </c>
      <c r="F166" s="11">
        <v>1</v>
      </c>
      <c r="G166" s="12">
        <v>79</v>
      </c>
      <c r="H166" s="9">
        <v>0.04</v>
      </c>
      <c r="I166" s="12" t="s">
        <v>1826</v>
      </c>
      <c r="J166" s="9">
        <v>75.84</v>
      </c>
    </row>
    <row r="167" spans="1:10" x14ac:dyDescent="0.3">
      <c r="A167" s="22" t="s">
        <v>1978</v>
      </c>
      <c r="B167" s="10">
        <v>45885</v>
      </c>
      <c r="C167" s="12" t="s">
        <v>244</v>
      </c>
      <c r="D167" s="12" t="s">
        <v>1736</v>
      </c>
      <c r="E167" s="12" t="s">
        <v>1773</v>
      </c>
      <c r="F167" s="11">
        <v>4</v>
      </c>
      <c r="G167" s="12">
        <v>638.91</v>
      </c>
      <c r="H167" s="9">
        <v>0</v>
      </c>
      <c r="I167" s="12" t="s">
        <v>1829</v>
      </c>
      <c r="J167" s="9">
        <v>2555.64</v>
      </c>
    </row>
    <row r="168" spans="1:10" x14ac:dyDescent="0.3">
      <c r="A168" s="22" t="s">
        <v>1979</v>
      </c>
      <c r="B168" s="10">
        <v>45812</v>
      </c>
      <c r="C168" s="12" t="s">
        <v>295</v>
      </c>
      <c r="D168" s="12" t="s">
        <v>1638</v>
      </c>
      <c r="E168" s="12" t="s">
        <v>1752</v>
      </c>
      <c r="F168" s="11">
        <v>2</v>
      </c>
      <c r="G168" s="12">
        <v>522.16999999999996</v>
      </c>
      <c r="H168" s="9">
        <v>0.27</v>
      </c>
      <c r="I168" s="12" t="s">
        <v>1824</v>
      </c>
      <c r="J168" s="9">
        <v>762.36819999999989</v>
      </c>
    </row>
    <row r="169" spans="1:10" x14ac:dyDescent="0.3">
      <c r="A169" s="22" t="s">
        <v>1980</v>
      </c>
      <c r="B169" s="10">
        <v>45235</v>
      </c>
      <c r="C169" s="12" t="s">
        <v>1472</v>
      </c>
      <c r="D169" s="12" t="s">
        <v>1626</v>
      </c>
      <c r="E169" s="12" t="s">
        <v>1794</v>
      </c>
      <c r="F169" s="11">
        <v>3</v>
      </c>
      <c r="G169" s="12">
        <v>954.29</v>
      </c>
      <c r="H169" s="9">
        <v>0.27</v>
      </c>
      <c r="I169" s="12" t="s">
        <v>1824</v>
      </c>
      <c r="J169" s="9">
        <v>2089.8951000000002</v>
      </c>
    </row>
    <row r="170" spans="1:10" x14ac:dyDescent="0.3">
      <c r="A170" s="22" t="s">
        <v>1981</v>
      </c>
      <c r="B170" s="10">
        <v>45710</v>
      </c>
      <c r="C170" s="12" t="s">
        <v>1425</v>
      </c>
      <c r="D170" s="12" t="s">
        <v>1614</v>
      </c>
      <c r="E170" s="12" t="s">
        <v>1797</v>
      </c>
      <c r="F170" s="11">
        <v>3</v>
      </c>
      <c r="G170" s="12">
        <v>53.92</v>
      </c>
      <c r="H170" s="9">
        <v>0.15</v>
      </c>
      <c r="I170" s="12" t="s">
        <v>1826</v>
      </c>
      <c r="J170" s="9">
        <v>137.49600000000001</v>
      </c>
    </row>
    <row r="171" spans="1:10" x14ac:dyDescent="0.3">
      <c r="A171" s="22" t="s">
        <v>1982</v>
      </c>
      <c r="B171" s="10">
        <v>45753</v>
      </c>
      <c r="C171" s="12" t="s">
        <v>1235</v>
      </c>
      <c r="D171" s="12" t="s">
        <v>1616</v>
      </c>
      <c r="E171" s="12" t="s">
        <v>1752</v>
      </c>
      <c r="F171" s="11">
        <v>4</v>
      </c>
      <c r="G171" s="12">
        <v>741.88</v>
      </c>
      <c r="H171" s="9">
        <v>0.02</v>
      </c>
      <c r="I171" s="12" t="s">
        <v>1829</v>
      </c>
      <c r="J171" s="9">
        <v>2908.1696000000002</v>
      </c>
    </row>
    <row r="172" spans="1:10" x14ac:dyDescent="0.3">
      <c r="A172" s="22" t="s">
        <v>1983</v>
      </c>
      <c r="B172" s="10">
        <v>45594</v>
      </c>
      <c r="C172" s="12" t="s">
        <v>134</v>
      </c>
      <c r="D172" s="12" t="s">
        <v>1640</v>
      </c>
      <c r="E172" s="12" t="s">
        <v>1766</v>
      </c>
      <c r="F172" s="11">
        <v>1</v>
      </c>
      <c r="G172" s="12">
        <v>547.09</v>
      </c>
      <c r="H172" s="9">
        <v>0.01</v>
      </c>
      <c r="I172" s="12" t="s">
        <v>1826</v>
      </c>
      <c r="J172" s="9">
        <v>541.6191</v>
      </c>
    </row>
    <row r="173" spans="1:10" x14ac:dyDescent="0.3">
      <c r="A173" s="22" t="s">
        <v>1984</v>
      </c>
      <c r="B173" s="10">
        <v>45686</v>
      </c>
      <c r="C173" s="12" t="s">
        <v>1504</v>
      </c>
      <c r="D173" s="12" t="s">
        <v>1726</v>
      </c>
      <c r="E173" s="12" t="s">
        <v>1766</v>
      </c>
      <c r="F173" s="11">
        <v>1</v>
      </c>
      <c r="G173" s="12">
        <v>789.35</v>
      </c>
      <c r="H173" s="9">
        <v>0.14000000000000001</v>
      </c>
      <c r="I173" s="12" t="s">
        <v>1826</v>
      </c>
      <c r="J173" s="9">
        <v>678.84100000000001</v>
      </c>
    </row>
    <row r="174" spans="1:10" x14ac:dyDescent="0.3">
      <c r="A174" s="22" t="s">
        <v>1985</v>
      </c>
      <c r="B174" s="10">
        <v>45354</v>
      </c>
      <c r="C174" s="12" t="s">
        <v>1328</v>
      </c>
      <c r="D174" s="12" t="s">
        <v>1674</v>
      </c>
      <c r="E174" s="12" t="s">
        <v>1766</v>
      </c>
      <c r="F174" s="11">
        <v>3</v>
      </c>
      <c r="G174" s="12">
        <v>476.78</v>
      </c>
      <c r="H174" s="9">
        <v>0.09</v>
      </c>
      <c r="I174" s="12" t="s">
        <v>1829</v>
      </c>
      <c r="J174" s="9">
        <v>1301.6094000000001</v>
      </c>
    </row>
    <row r="175" spans="1:10" x14ac:dyDescent="0.3">
      <c r="A175" s="22" t="s">
        <v>1986</v>
      </c>
      <c r="B175" s="10">
        <v>45600</v>
      </c>
      <c r="C175" s="12" t="s">
        <v>1400</v>
      </c>
      <c r="D175" s="12" t="s">
        <v>1706</v>
      </c>
      <c r="E175" s="12" t="s">
        <v>1810</v>
      </c>
      <c r="F175" s="11">
        <v>2</v>
      </c>
      <c r="G175" s="12">
        <v>504.26</v>
      </c>
      <c r="H175" s="9">
        <v>0.04</v>
      </c>
      <c r="I175" s="12" t="s">
        <v>1826</v>
      </c>
      <c r="J175" s="9">
        <v>968.17919999999992</v>
      </c>
    </row>
    <row r="176" spans="1:10" x14ac:dyDescent="0.3">
      <c r="A176" s="22" t="s">
        <v>1987</v>
      </c>
      <c r="B176" s="10">
        <v>45538</v>
      </c>
      <c r="C176" s="12" t="s">
        <v>866</v>
      </c>
      <c r="D176" s="12" t="s">
        <v>1710</v>
      </c>
      <c r="E176" s="12" t="s">
        <v>1776</v>
      </c>
      <c r="F176" s="11">
        <v>2</v>
      </c>
      <c r="G176" s="12">
        <v>549.33000000000004</v>
      </c>
      <c r="H176" s="9">
        <v>0.01</v>
      </c>
      <c r="I176" s="12" t="s">
        <v>1829</v>
      </c>
      <c r="J176" s="9">
        <v>1087.6733999999999</v>
      </c>
    </row>
    <row r="177" spans="1:10" x14ac:dyDescent="0.3">
      <c r="A177" s="22" t="s">
        <v>1988</v>
      </c>
      <c r="B177" s="10">
        <v>45411</v>
      </c>
      <c r="C177" s="12" t="s">
        <v>1193</v>
      </c>
      <c r="D177" s="12" t="s">
        <v>1553</v>
      </c>
      <c r="E177" s="12" t="s">
        <v>1766</v>
      </c>
      <c r="F177" s="11">
        <v>3</v>
      </c>
      <c r="G177" s="12">
        <v>620.22</v>
      </c>
      <c r="H177" s="9">
        <v>0.04</v>
      </c>
      <c r="I177" s="12" t="s">
        <v>1824</v>
      </c>
      <c r="J177" s="9">
        <v>1786.2336</v>
      </c>
    </row>
    <row r="178" spans="1:10" x14ac:dyDescent="0.3">
      <c r="A178" s="22" t="s">
        <v>1989</v>
      </c>
      <c r="B178" s="10">
        <v>45411</v>
      </c>
      <c r="C178" s="12" t="s">
        <v>329</v>
      </c>
      <c r="D178" s="12" t="s">
        <v>1640</v>
      </c>
      <c r="E178" s="12" t="s">
        <v>1766</v>
      </c>
      <c r="F178" s="11">
        <v>1</v>
      </c>
      <c r="G178" s="12">
        <v>580.76</v>
      </c>
      <c r="H178" s="9">
        <v>0.1</v>
      </c>
      <c r="I178" s="12" t="s">
        <v>1829</v>
      </c>
      <c r="J178" s="9">
        <v>522.68399999999997</v>
      </c>
    </row>
    <row r="179" spans="1:10" x14ac:dyDescent="0.3">
      <c r="A179" s="22" t="s">
        <v>1990</v>
      </c>
      <c r="B179" s="10">
        <v>45775</v>
      </c>
      <c r="C179" s="12" t="s">
        <v>1050</v>
      </c>
      <c r="D179" s="12" t="s">
        <v>1690</v>
      </c>
      <c r="E179" s="12" t="s">
        <v>1786</v>
      </c>
      <c r="F179" s="11">
        <v>3</v>
      </c>
      <c r="G179" s="12">
        <v>444.55</v>
      </c>
      <c r="H179" s="9">
        <v>0.14000000000000001</v>
      </c>
      <c r="I179" s="12" t="s">
        <v>1826</v>
      </c>
      <c r="J179" s="9">
        <v>1146.9390000000001</v>
      </c>
    </row>
    <row r="180" spans="1:10" x14ac:dyDescent="0.3">
      <c r="A180" s="22" t="s">
        <v>1991</v>
      </c>
      <c r="B180" s="10">
        <v>45459</v>
      </c>
      <c r="C180" s="12" t="s">
        <v>470</v>
      </c>
      <c r="D180" s="12" t="s">
        <v>1640</v>
      </c>
      <c r="E180" s="12" t="s">
        <v>1810</v>
      </c>
      <c r="F180" s="11">
        <v>1</v>
      </c>
      <c r="G180" s="12">
        <v>804.9</v>
      </c>
      <c r="H180" s="9">
        <v>0.03</v>
      </c>
      <c r="I180" s="12" t="s">
        <v>1826</v>
      </c>
      <c r="J180" s="9">
        <v>780.75299999999993</v>
      </c>
    </row>
    <row r="181" spans="1:10" x14ac:dyDescent="0.3">
      <c r="A181" s="22" t="s">
        <v>1992</v>
      </c>
      <c r="B181" s="10">
        <v>45617</v>
      </c>
      <c r="C181" s="12" t="s">
        <v>1316</v>
      </c>
      <c r="D181" s="12" t="s">
        <v>1732</v>
      </c>
      <c r="E181" s="12" t="s">
        <v>1799</v>
      </c>
      <c r="F181" s="11">
        <v>3</v>
      </c>
      <c r="G181" s="12">
        <v>361.65</v>
      </c>
      <c r="H181" s="9">
        <v>0.15</v>
      </c>
      <c r="I181" s="12" t="s">
        <v>1829</v>
      </c>
      <c r="J181" s="9">
        <v>922.20749999999987</v>
      </c>
    </row>
    <row r="182" spans="1:10" x14ac:dyDescent="0.3">
      <c r="A182" s="22" t="s">
        <v>1993</v>
      </c>
      <c r="B182" s="10">
        <v>45763</v>
      </c>
      <c r="C182" s="12" t="s">
        <v>541</v>
      </c>
      <c r="D182" s="12" t="s">
        <v>1560</v>
      </c>
      <c r="E182" s="12" t="s">
        <v>1769</v>
      </c>
      <c r="F182" s="11">
        <v>1</v>
      </c>
      <c r="G182" s="12">
        <v>271.76</v>
      </c>
      <c r="H182" s="9">
        <v>0.03</v>
      </c>
      <c r="I182" s="12" t="s">
        <v>1824</v>
      </c>
      <c r="J182" s="9">
        <v>263.60719999999998</v>
      </c>
    </row>
    <row r="183" spans="1:10" x14ac:dyDescent="0.3">
      <c r="A183" s="22" t="s">
        <v>1994</v>
      </c>
      <c r="B183" s="10">
        <v>45618</v>
      </c>
      <c r="C183" s="12" t="s">
        <v>1017</v>
      </c>
      <c r="D183" s="12" t="s">
        <v>1646</v>
      </c>
      <c r="E183" s="12" t="s">
        <v>1789</v>
      </c>
      <c r="F183" s="11">
        <v>3</v>
      </c>
      <c r="G183" s="12">
        <v>958.15</v>
      </c>
      <c r="H183" s="9">
        <v>0.24</v>
      </c>
      <c r="I183" s="12" t="s">
        <v>1829</v>
      </c>
      <c r="J183" s="9">
        <v>2184.5819999999999</v>
      </c>
    </row>
    <row r="184" spans="1:10" x14ac:dyDescent="0.3">
      <c r="A184" s="22" t="s">
        <v>1995</v>
      </c>
      <c r="B184" s="10">
        <v>45290</v>
      </c>
      <c r="C184" s="12" t="s">
        <v>1325</v>
      </c>
      <c r="D184" s="12" t="s">
        <v>1668</v>
      </c>
      <c r="E184" s="12" t="s">
        <v>1807</v>
      </c>
      <c r="F184" s="11">
        <v>1</v>
      </c>
      <c r="G184" s="12">
        <v>889.19</v>
      </c>
      <c r="H184" s="9">
        <v>0.03</v>
      </c>
      <c r="I184" s="12" t="s">
        <v>1824</v>
      </c>
      <c r="J184" s="9">
        <v>862.51430000000005</v>
      </c>
    </row>
    <row r="185" spans="1:10" x14ac:dyDescent="0.3">
      <c r="A185" s="22" t="s">
        <v>1996</v>
      </c>
      <c r="B185" s="10">
        <v>45904</v>
      </c>
      <c r="C185" s="12" t="s">
        <v>1431</v>
      </c>
      <c r="D185" s="12" t="s">
        <v>1662</v>
      </c>
      <c r="E185" s="12" t="s">
        <v>1804</v>
      </c>
      <c r="F185" s="11">
        <v>4</v>
      </c>
      <c r="G185" s="12">
        <v>689.67</v>
      </c>
      <c r="H185" s="9">
        <v>0.05</v>
      </c>
      <c r="I185" s="12" t="s">
        <v>1829</v>
      </c>
      <c r="J185" s="9">
        <v>2620.7460000000001</v>
      </c>
    </row>
    <row r="186" spans="1:10" x14ac:dyDescent="0.3">
      <c r="A186" s="22" t="s">
        <v>1997</v>
      </c>
      <c r="B186" s="10">
        <v>45227</v>
      </c>
      <c r="C186" s="12" t="s">
        <v>461</v>
      </c>
      <c r="D186" s="12" t="s">
        <v>1636</v>
      </c>
      <c r="E186" s="12" t="s">
        <v>1792</v>
      </c>
      <c r="F186" s="11">
        <v>1</v>
      </c>
      <c r="G186" s="12">
        <v>541.24</v>
      </c>
      <c r="H186" s="9">
        <v>0.03</v>
      </c>
      <c r="I186" s="12" t="s">
        <v>1826</v>
      </c>
      <c r="J186" s="9">
        <v>525.00279999999998</v>
      </c>
    </row>
    <row r="187" spans="1:10" x14ac:dyDescent="0.3">
      <c r="A187" s="22" t="s">
        <v>1998</v>
      </c>
      <c r="B187" s="10">
        <v>45600</v>
      </c>
      <c r="C187" s="12" t="s">
        <v>1386</v>
      </c>
      <c r="D187" s="12" t="s">
        <v>1710</v>
      </c>
      <c r="E187" s="12" t="s">
        <v>1776</v>
      </c>
      <c r="F187" s="11">
        <v>1</v>
      </c>
      <c r="G187" s="12">
        <v>454.71</v>
      </c>
      <c r="H187" s="9">
        <v>0.16</v>
      </c>
      <c r="I187" s="12" t="s">
        <v>1826</v>
      </c>
      <c r="J187" s="9">
        <v>381.95639999999997</v>
      </c>
    </row>
    <row r="188" spans="1:10" x14ac:dyDescent="0.3">
      <c r="A188" s="22" t="s">
        <v>1999</v>
      </c>
      <c r="B188" s="10">
        <v>45646</v>
      </c>
      <c r="C188" s="12" t="s">
        <v>150</v>
      </c>
      <c r="D188" s="12" t="s">
        <v>1680</v>
      </c>
      <c r="E188" s="12" t="s">
        <v>1773</v>
      </c>
      <c r="F188" s="11">
        <v>2</v>
      </c>
      <c r="G188" s="12">
        <v>397.63</v>
      </c>
      <c r="H188" s="9">
        <v>0.26</v>
      </c>
      <c r="I188" s="12" t="s">
        <v>1824</v>
      </c>
      <c r="J188" s="9">
        <v>588.49239999999998</v>
      </c>
    </row>
    <row r="189" spans="1:10" x14ac:dyDescent="0.3">
      <c r="A189" s="22" t="s">
        <v>2000</v>
      </c>
      <c r="B189" s="10">
        <v>45725</v>
      </c>
      <c r="C189" s="12" t="s">
        <v>565</v>
      </c>
      <c r="D189" s="12" t="s">
        <v>1714</v>
      </c>
      <c r="E189" s="12" t="s">
        <v>1776</v>
      </c>
      <c r="F189" s="11">
        <v>3</v>
      </c>
      <c r="G189" s="12">
        <v>748.56</v>
      </c>
      <c r="H189" s="9">
        <v>0.26</v>
      </c>
      <c r="I189" s="12" t="s">
        <v>1826</v>
      </c>
      <c r="J189" s="9">
        <v>1661.8032000000001</v>
      </c>
    </row>
    <row r="190" spans="1:10" x14ac:dyDescent="0.3">
      <c r="A190" s="22" t="s">
        <v>2001</v>
      </c>
      <c r="B190" s="10">
        <v>45742</v>
      </c>
      <c r="C190" s="12" t="s">
        <v>487</v>
      </c>
      <c r="D190" s="12" t="s">
        <v>1614</v>
      </c>
      <c r="E190" s="12" t="s">
        <v>1769</v>
      </c>
      <c r="F190" s="11">
        <v>1</v>
      </c>
      <c r="G190" s="12">
        <v>885.72</v>
      </c>
      <c r="H190" s="9">
        <v>0.15</v>
      </c>
      <c r="I190" s="12" t="s">
        <v>1824</v>
      </c>
      <c r="J190" s="9">
        <v>752.86199999999997</v>
      </c>
    </row>
    <row r="191" spans="1:10" x14ac:dyDescent="0.3">
      <c r="A191" s="22" t="s">
        <v>2002</v>
      </c>
      <c r="B191" s="10">
        <v>45750</v>
      </c>
      <c r="C191" s="12" t="s">
        <v>381</v>
      </c>
      <c r="D191" s="12" t="s">
        <v>1672</v>
      </c>
      <c r="E191" s="12" t="s">
        <v>1757</v>
      </c>
      <c r="F191" s="11">
        <v>4</v>
      </c>
      <c r="G191" s="12">
        <v>408.07</v>
      </c>
      <c r="H191" s="9">
        <v>0.28000000000000003</v>
      </c>
      <c r="I191" s="12" t="s">
        <v>1829</v>
      </c>
      <c r="J191" s="9">
        <v>1175.2416000000001</v>
      </c>
    </row>
    <row r="192" spans="1:10" x14ac:dyDescent="0.3">
      <c r="A192" s="22" t="s">
        <v>2003</v>
      </c>
      <c r="B192" s="10">
        <v>45327</v>
      </c>
      <c r="C192" s="12" t="s">
        <v>1455</v>
      </c>
      <c r="D192" s="12" t="s">
        <v>1616</v>
      </c>
      <c r="E192" s="12" t="s">
        <v>1786</v>
      </c>
      <c r="F192" s="11">
        <v>2</v>
      </c>
      <c r="G192" s="12">
        <v>597.07000000000005</v>
      </c>
      <c r="H192" s="9">
        <v>0.28000000000000003</v>
      </c>
      <c r="I192" s="12" t="s">
        <v>1826</v>
      </c>
      <c r="J192" s="9">
        <v>859.7808</v>
      </c>
    </row>
    <row r="193" spans="1:10" x14ac:dyDescent="0.3">
      <c r="A193" s="22" t="s">
        <v>2004</v>
      </c>
      <c r="B193" s="10">
        <v>45465</v>
      </c>
      <c r="C193" s="12" t="s">
        <v>97</v>
      </c>
      <c r="D193" s="12" t="s">
        <v>1682</v>
      </c>
      <c r="E193" s="12" t="s">
        <v>1786</v>
      </c>
      <c r="F193" s="11">
        <v>3</v>
      </c>
      <c r="G193" s="12">
        <v>723.47</v>
      </c>
      <c r="H193" s="9">
        <v>0.12</v>
      </c>
      <c r="I193" s="12" t="s">
        <v>1829</v>
      </c>
      <c r="J193" s="9">
        <v>1909.9608000000001</v>
      </c>
    </row>
    <row r="194" spans="1:10" x14ac:dyDescent="0.3">
      <c r="A194" s="22" t="s">
        <v>2005</v>
      </c>
      <c r="B194" s="10">
        <v>45883</v>
      </c>
      <c r="C194" s="12" t="s">
        <v>1355</v>
      </c>
      <c r="D194" s="12" t="s">
        <v>1724</v>
      </c>
      <c r="E194" s="12" t="s">
        <v>1773</v>
      </c>
      <c r="F194" s="11">
        <v>1</v>
      </c>
      <c r="G194" s="12">
        <v>479.93</v>
      </c>
      <c r="H194" s="9">
        <v>0.22</v>
      </c>
      <c r="I194" s="12" t="s">
        <v>1824</v>
      </c>
      <c r="J194" s="9">
        <v>374.34539999999998</v>
      </c>
    </row>
    <row r="195" spans="1:10" x14ac:dyDescent="0.3">
      <c r="A195" s="22" t="s">
        <v>2006</v>
      </c>
      <c r="B195" s="10">
        <v>45445</v>
      </c>
      <c r="C195" s="12" t="s">
        <v>779</v>
      </c>
      <c r="D195" s="12" t="s">
        <v>1616</v>
      </c>
      <c r="E195" s="12" t="s">
        <v>1804</v>
      </c>
      <c r="F195" s="11">
        <v>4</v>
      </c>
      <c r="G195" s="12">
        <v>362.81</v>
      </c>
      <c r="H195" s="9">
        <v>0.21</v>
      </c>
      <c r="I195" s="12" t="s">
        <v>1829</v>
      </c>
      <c r="J195" s="9">
        <v>1146.4795999999999</v>
      </c>
    </row>
    <row r="196" spans="1:10" x14ac:dyDescent="0.3">
      <c r="A196" s="22" t="s">
        <v>2007</v>
      </c>
      <c r="B196" s="10">
        <v>45640</v>
      </c>
      <c r="C196" s="12" t="s">
        <v>610</v>
      </c>
      <c r="D196" s="12" t="s">
        <v>1706</v>
      </c>
      <c r="E196" s="12" t="s">
        <v>1766</v>
      </c>
      <c r="F196" s="11">
        <v>1</v>
      </c>
      <c r="G196" s="12">
        <v>127.11</v>
      </c>
      <c r="H196" s="9">
        <v>0.01</v>
      </c>
      <c r="I196" s="12" t="s">
        <v>1826</v>
      </c>
      <c r="J196" s="9">
        <v>125.8389</v>
      </c>
    </row>
    <row r="197" spans="1:10" x14ac:dyDescent="0.3">
      <c r="A197" s="22" t="s">
        <v>2008</v>
      </c>
      <c r="B197" s="10">
        <v>45411</v>
      </c>
      <c r="C197" s="12" t="s">
        <v>607</v>
      </c>
      <c r="D197" s="12" t="s">
        <v>1616</v>
      </c>
      <c r="E197" s="12" t="s">
        <v>1807</v>
      </c>
      <c r="F197" s="11">
        <v>4</v>
      </c>
      <c r="G197" s="12">
        <v>931.26</v>
      </c>
      <c r="H197" s="9">
        <v>0.04</v>
      </c>
      <c r="I197" s="12" t="s">
        <v>1824</v>
      </c>
      <c r="J197" s="9">
        <v>3576.0383999999999</v>
      </c>
    </row>
    <row r="198" spans="1:10" x14ac:dyDescent="0.3">
      <c r="A198" s="22" t="s">
        <v>2009</v>
      </c>
      <c r="B198" s="10">
        <v>45224</v>
      </c>
      <c r="C198" s="12" t="s">
        <v>1160</v>
      </c>
      <c r="D198" s="12" t="s">
        <v>1682</v>
      </c>
      <c r="E198" s="12" t="s">
        <v>1782</v>
      </c>
      <c r="F198" s="11">
        <v>1</v>
      </c>
      <c r="G198" s="12">
        <v>620.80999999999995</v>
      </c>
      <c r="H198" s="9">
        <v>0.04</v>
      </c>
      <c r="I198" s="12" t="s">
        <v>1826</v>
      </c>
      <c r="J198" s="9">
        <v>595.97759999999994</v>
      </c>
    </row>
    <row r="199" spans="1:10" x14ac:dyDescent="0.3">
      <c r="A199" s="22" t="s">
        <v>2010</v>
      </c>
      <c r="B199" s="10">
        <v>45497</v>
      </c>
      <c r="C199" s="12" t="s">
        <v>338</v>
      </c>
      <c r="D199" s="12" t="s">
        <v>1648</v>
      </c>
      <c r="E199" s="12" t="s">
        <v>1761</v>
      </c>
      <c r="F199" s="11">
        <v>1</v>
      </c>
      <c r="G199" s="12">
        <v>823.26</v>
      </c>
      <c r="H199" s="9">
        <v>0.27</v>
      </c>
      <c r="I199" s="12" t="s">
        <v>1829</v>
      </c>
      <c r="J199" s="9">
        <v>600.97979999999995</v>
      </c>
    </row>
    <row r="200" spans="1:10" x14ac:dyDescent="0.3">
      <c r="A200" s="22" t="s">
        <v>2011</v>
      </c>
      <c r="B200" s="10">
        <v>45807</v>
      </c>
      <c r="C200" s="12" t="s">
        <v>59</v>
      </c>
      <c r="D200" s="12" t="s">
        <v>1602</v>
      </c>
      <c r="E200" s="12" t="s">
        <v>1782</v>
      </c>
      <c r="F200" s="11">
        <v>3</v>
      </c>
      <c r="G200" s="12">
        <v>681.01</v>
      </c>
      <c r="H200" s="9">
        <v>0.27</v>
      </c>
      <c r="I200" s="12" t="s">
        <v>1829</v>
      </c>
      <c r="J200" s="9">
        <v>1491.4119000000001</v>
      </c>
    </row>
    <row r="201" spans="1:10" x14ac:dyDescent="0.3">
      <c r="A201" s="22" t="s">
        <v>2012</v>
      </c>
      <c r="B201" s="10">
        <v>45942</v>
      </c>
      <c r="C201" s="12" t="s">
        <v>1368</v>
      </c>
      <c r="D201" s="12" t="s">
        <v>1660</v>
      </c>
      <c r="E201" s="12" t="s">
        <v>1813</v>
      </c>
      <c r="F201" s="11">
        <v>4</v>
      </c>
      <c r="G201" s="12">
        <v>119.83</v>
      </c>
      <c r="H201" s="9">
        <v>0.13</v>
      </c>
      <c r="I201" s="12" t="s">
        <v>1824</v>
      </c>
      <c r="J201" s="9">
        <v>417.00839999999999</v>
      </c>
    </row>
    <row r="202" spans="1:10" x14ac:dyDescent="0.3">
      <c r="A202" s="22" t="s">
        <v>2013</v>
      </c>
      <c r="B202" s="10">
        <v>45314</v>
      </c>
      <c r="C202" s="12" t="s">
        <v>969</v>
      </c>
      <c r="D202" s="12" t="s">
        <v>1704</v>
      </c>
      <c r="E202" s="12" t="s">
        <v>1761</v>
      </c>
      <c r="F202" s="11">
        <v>1</v>
      </c>
      <c r="G202" s="12">
        <v>575.66</v>
      </c>
      <c r="H202" s="9">
        <v>0.03</v>
      </c>
      <c r="I202" s="12" t="s">
        <v>1826</v>
      </c>
      <c r="J202" s="9">
        <v>558.39019999999994</v>
      </c>
    </row>
    <row r="203" spans="1:10" x14ac:dyDescent="0.3">
      <c r="A203" s="22" t="s">
        <v>2014</v>
      </c>
      <c r="B203" s="10">
        <v>45943</v>
      </c>
      <c r="C203" s="12" t="s">
        <v>651</v>
      </c>
      <c r="D203" s="12" t="s">
        <v>1644</v>
      </c>
      <c r="E203" s="12" t="s">
        <v>1804</v>
      </c>
      <c r="F203" s="11">
        <v>1</v>
      </c>
      <c r="G203" s="12">
        <v>775.84</v>
      </c>
      <c r="H203" s="9">
        <v>0.26</v>
      </c>
      <c r="I203" s="12" t="s">
        <v>1824</v>
      </c>
      <c r="J203" s="9">
        <v>574.12160000000006</v>
      </c>
    </row>
    <row r="204" spans="1:10" x14ac:dyDescent="0.3">
      <c r="A204" s="22" t="s">
        <v>2015</v>
      </c>
      <c r="B204" s="10">
        <v>45356</v>
      </c>
      <c r="C204" s="12" t="s">
        <v>1371</v>
      </c>
      <c r="D204" s="12" t="s">
        <v>1576</v>
      </c>
      <c r="E204" s="12" t="s">
        <v>1786</v>
      </c>
      <c r="F204" s="11">
        <v>3</v>
      </c>
      <c r="G204" s="12">
        <v>318.43</v>
      </c>
      <c r="H204" s="9">
        <v>0.05</v>
      </c>
      <c r="I204" s="12" t="s">
        <v>1824</v>
      </c>
      <c r="J204" s="9">
        <v>907.52549999999997</v>
      </c>
    </row>
    <row r="205" spans="1:10" x14ac:dyDescent="0.3">
      <c r="A205" s="22" t="s">
        <v>2016</v>
      </c>
      <c r="B205" s="10">
        <v>45854</v>
      </c>
      <c r="C205" s="12" t="s">
        <v>514</v>
      </c>
      <c r="D205" s="12" t="s">
        <v>1692</v>
      </c>
      <c r="E205" s="12" t="s">
        <v>1782</v>
      </c>
      <c r="F205" s="11">
        <v>3</v>
      </c>
      <c r="G205" s="12">
        <v>141.6</v>
      </c>
      <c r="H205" s="9">
        <v>0.08</v>
      </c>
      <c r="I205" s="12" t="s">
        <v>1829</v>
      </c>
      <c r="J205" s="9">
        <v>390.81599999999997</v>
      </c>
    </row>
    <row r="206" spans="1:10" x14ac:dyDescent="0.3">
      <c r="A206" s="22" t="s">
        <v>2017</v>
      </c>
      <c r="B206" s="10">
        <v>45219</v>
      </c>
      <c r="C206" s="12" t="s">
        <v>849</v>
      </c>
      <c r="D206" s="12" t="s">
        <v>1578</v>
      </c>
      <c r="E206" s="12" t="s">
        <v>1813</v>
      </c>
      <c r="F206" s="11">
        <v>1</v>
      </c>
      <c r="G206" s="12">
        <v>332.82</v>
      </c>
      <c r="H206" s="9">
        <v>0.14000000000000001</v>
      </c>
      <c r="I206" s="12" t="s">
        <v>1826</v>
      </c>
      <c r="J206" s="9">
        <v>286.22519999999997</v>
      </c>
    </row>
    <row r="207" spans="1:10" x14ac:dyDescent="0.3">
      <c r="A207" s="22" t="s">
        <v>2018</v>
      </c>
      <c r="B207" s="10">
        <v>45447</v>
      </c>
      <c r="C207" s="12" t="s">
        <v>788</v>
      </c>
      <c r="D207" s="12" t="s">
        <v>1692</v>
      </c>
      <c r="E207" s="12" t="s">
        <v>1757</v>
      </c>
      <c r="F207" s="11">
        <v>4</v>
      </c>
      <c r="G207" s="12">
        <v>640.97</v>
      </c>
      <c r="H207" s="9">
        <v>0.11</v>
      </c>
      <c r="I207" s="12" t="s">
        <v>1829</v>
      </c>
      <c r="J207" s="9">
        <v>2281.8532</v>
      </c>
    </row>
    <row r="208" spans="1:10" x14ac:dyDescent="0.3">
      <c r="A208" s="22" t="s">
        <v>2019</v>
      </c>
      <c r="B208" s="10">
        <v>45225</v>
      </c>
      <c r="C208" s="12" t="s">
        <v>663</v>
      </c>
      <c r="D208" s="12" t="s">
        <v>1728</v>
      </c>
      <c r="E208" s="12" t="s">
        <v>1801</v>
      </c>
      <c r="F208" s="11">
        <v>4</v>
      </c>
      <c r="G208" s="12">
        <v>75.37</v>
      </c>
      <c r="H208" s="9">
        <v>0.02</v>
      </c>
      <c r="I208" s="12" t="s">
        <v>1829</v>
      </c>
      <c r="J208" s="9">
        <v>295.4504</v>
      </c>
    </row>
    <row r="209" spans="1:10" x14ac:dyDescent="0.3">
      <c r="A209" s="22" t="s">
        <v>2020</v>
      </c>
      <c r="B209" s="10">
        <v>45754</v>
      </c>
      <c r="C209" s="12" t="s">
        <v>275</v>
      </c>
      <c r="D209" s="12" t="s">
        <v>1580</v>
      </c>
      <c r="E209" s="12" t="s">
        <v>1810</v>
      </c>
      <c r="F209" s="11">
        <v>3</v>
      </c>
      <c r="G209" s="12">
        <v>434.55</v>
      </c>
      <c r="H209" s="9">
        <v>0.08</v>
      </c>
      <c r="I209" s="12" t="s">
        <v>1829</v>
      </c>
      <c r="J209" s="9">
        <v>1199.3579999999999</v>
      </c>
    </row>
    <row r="210" spans="1:10" x14ac:dyDescent="0.3">
      <c r="A210" s="22" t="s">
        <v>2021</v>
      </c>
      <c r="B210" s="10">
        <v>45729</v>
      </c>
      <c r="C210" s="12" t="s">
        <v>353</v>
      </c>
      <c r="D210" s="12" t="s">
        <v>1600</v>
      </c>
      <c r="E210" s="12" t="s">
        <v>1799</v>
      </c>
      <c r="F210" s="11">
        <v>4</v>
      </c>
      <c r="G210" s="12">
        <v>652.28</v>
      </c>
      <c r="H210" s="9">
        <v>0.15</v>
      </c>
      <c r="I210" s="12" t="s">
        <v>1824</v>
      </c>
      <c r="J210" s="9">
        <v>2217.752</v>
      </c>
    </row>
    <row r="211" spans="1:10" x14ac:dyDescent="0.3">
      <c r="A211" s="22" t="s">
        <v>2022</v>
      </c>
      <c r="B211" s="10">
        <v>45480</v>
      </c>
      <c r="C211" s="12" t="s">
        <v>857</v>
      </c>
      <c r="D211" s="12" t="s">
        <v>1700</v>
      </c>
      <c r="E211" s="12" t="s">
        <v>1807</v>
      </c>
      <c r="F211" s="11">
        <v>3</v>
      </c>
      <c r="G211" s="12">
        <v>207.8</v>
      </c>
      <c r="H211" s="9">
        <v>0.15</v>
      </c>
      <c r="I211" s="12" t="s">
        <v>1824</v>
      </c>
      <c r="J211" s="9">
        <v>529.8900000000001</v>
      </c>
    </row>
    <row r="212" spans="1:10" x14ac:dyDescent="0.3">
      <c r="A212" s="22" t="s">
        <v>2023</v>
      </c>
      <c r="B212" s="10">
        <v>45361</v>
      </c>
      <c r="C212" s="12" t="s">
        <v>1521</v>
      </c>
      <c r="D212" s="12" t="s">
        <v>1670</v>
      </c>
      <c r="E212" s="12" t="s">
        <v>1801</v>
      </c>
      <c r="F212" s="11">
        <v>4</v>
      </c>
      <c r="G212" s="12">
        <v>385.5</v>
      </c>
      <c r="H212" s="9">
        <v>0.03</v>
      </c>
      <c r="I212" s="12" t="s">
        <v>1826</v>
      </c>
      <c r="J212" s="9">
        <v>1495.74</v>
      </c>
    </row>
    <row r="213" spans="1:10" x14ac:dyDescent="0.3">
      <c r="A213" s="22" t="s">
        <v>2024</v>
      </c>
      <c r="B213" s="10">
        <v>45915</v>
      </c>
      <c r="C213" s="12" t="s">
        <v>344</v>
      </c>
      <c r="D213" s="12" t="s">
        <v>1678</v>
      </c>
      <c r="E213" s="12" t="s">
        <v>1776</v>
      </c>
      <c r="F213" s="11">
        <v>3</v>
      </c>
      <c r="G213" s="12">
        <v>548.19000000000005</v>
      </c>
      <c r="H213" s="9">
        <v>0.12</v>
      </c>
      <c r="I213" s="12" t="s">
        <v>1824</v>
      </c>
      <c r="J213" s="9">
        <v>1447.2216000000001</v>
      </c>
    </row>
    <row r="214" spans="1:10" x14ac:dyDescent="0.3">
      <c r="A214" s="22" t="s">
        <v>2025</v>
      </c>
      <c r="B214" s="10">
        <v>45607</v>
      </c>
      <c r="C214" s="12" t="s">
        <v>255</v>
      </c>
      <c r="D214" s="12" t="s">
        <v>1694</v>
      </c>
      <c r="E214" s="12" t="s">
        <v>1786</v>
      </c>
      <c r="F214" s="11">
        <v>3</v>
      </c>
      <c r="G214" s="12">
        <v>927.6</v>
      </c>
      <c r="H214" s="9">
        <v>0.09</v>
      </c>
      <c r="I214" s="12" t="s">
        <v>1824</v>
      </c>
      <c r="J214" s="9">
        <v>2532.348</v>
      </c>
    </row>
    <row r="215" spans="1:10" x14ac:dyDescent="0.3">
      <c r="A215" s="22" t="s">
        <v>2026</v>
      </c>
      <c r="B215" s="10">
        <v>45666</v>
      </c>
      <c r="C215" s="12" t="s">
        <v>849</v>
      </c>
      <c r="D215" s="12" t="s">
        <v>1670</v>
      </c>
      <c r="E215" s="12" t="s">
        <v>1766</v>
      </c>
      <c r="F215" s="11">
        <v>4</v>
      </c>
      <c r="G215" s="12">
        <v>585.04</v>
      </c>
      <c r="H215" s="9">
        <v>0.22</v>
      </c>
      <c r="I215" s="12" t="s">
        <v>1826</v>
      </c>
      <c r="J215" s="9">
        <v>1825.3248000000001</v>
      </c>
    </row>
    <row r="216" spans="1:10" x14ac:dyDescent="0.3">
      <c r="A216" s="22" t="s">
        <v>2027</v>
      </c>
      <c r="B216" s="10">
        <v>45406</v>
      </c>
      <c r="C216" s="12" t="s">
        <v>1533</v>
      </c>
      <c r="D216" s="12" t="s">
        <v>1626</v>
      </c>
      <c r="E216" s="12" t="s">
        <v>1761</v>
      </c>
      <c r="F216" s="11">
        <v>2</v>
      </c>
      <c r="G216" s="12">
        <v>999.89</v>
      </c>
      <c r="H216" s="9">
        <v>0.09</v>
      </c>
      <c r="I216" s="12" t="s">
        <v>1824</v>
      </c>
      <c r="J216" s="9">
        <v>1819.7998</v>
      </c>
    </row>
    <row r="217" spans="1:10" x14ac:dyDescent="0.3">
      <c r="A217" s="22" t="s">
        <v>2028</v>
      </c>
      <c r="B217" s="10">
        <v>45284</v>
      </c>
      <c r="C217" s="12" t="s">
        <v>378</v>
      </c>
      <c r="D217" s="12" t="s">
        <v>1698</v>
      </c>
      <c r="E217" s="12" t="s">
        <v>1766</v>
      </c>
      <c r="F217" s="11">
        <v>2</v>
      </c>
      <c r="G217" s="12">
        <v>848.98</v>
      </c>
      <c r="H217" s="9">
        <v>0.04</v>
      </c>
      <c r="I217" s="12" t="s">
        <v>1826</v>
      </c>
      <c r="J217" s="9">
        <v>1630.0416</v>
      </c>
    </row>
    <row r="218" spans="1:10" x14ac:dyDescent="0.3">
      <c r="A218" s="22" t="s">
        <v>2029</v>
      </c>
      <c r="B218" s="10">
        <v>45348</v>
      </c>
      <c r="C218" s="12" t="s">
        <v>481</v>
      </c>
      <c r="D218" s="12" t="s">
        <v>1668</v>
      </c>
      <c r="E218" s="12" t="s">
        <v>1799</v>
      </c>
      <c r="F218" s="11">
        <v>3</v>
      </c>
      <c r="G218" s="12">
        <v>769.56</v>
      </c>
      <c r="H218" s="9">
        <v>0.08</v>
      </c>
      <c r="I218" s="12" t="s">
        <v>1824</v>
      </c>
      <c r="J218" s="9">
        <v>2123.9856</v>
      </c>
    </row>
    <row r="219" spans="1:10" x14ac:dyDescent="0.3">
      <c r="A219" s="22" t="s">
        <v>2030</v>
      </c>
      <c r="B219" s="10">
        <v>45676</v>
      </c>
      <c r="C219" s="12" t="s">
        <v>188</v>
      </c>
      <c r="D219" s="12" t="s">
        <v>1644</v>
      </c>
      <c r="E219" s="12" t="s">
        <v>1797</v>
      </c>
      <c r="F219" s="11">
        <v>3</v>
      </c>
      <c r="G219" s="12">
        <v>449.88</v>
      </c>
      <c r="H219" s="9">
        <v>0.1</v>
      </c>
      <c r="I219" s="12" t="s">
        <v>1826</v>
      </c>
      <c r="J219" s="9">
        <v>1214.6759999999999</v>
      </c>
    </row>
    <row r="220" spans="1:10" x14ac:dyDescent="0.3">
      <c r="A220" s="22" t="s">
        <v>2031</v>
      </c>
      <c r="B220" s="10">
        <v>45863</v>
      </c>
      <c r="C220" s="12" t="s">
        <v>875</v>
      </c>
      <c r="D220" s="12" t="s">
        <v>1686</v>
      </c>
      <c r="E220" s="12" t="s">
        <v>1794</v>
      </c>
      <c r="F220" s="11">
        <v>4</v>
      </c>
      <c r="G220" s="12">
        <v>383.74</v>
      </c>
      <c r="H220" s="9">
        <v>0.01</v>
      </c>
      <c r="I220" s="12" t="s">
        <v>1824</v>
      </c>
      <c r="J220" s="9">
        <v>1519.6104</v>
      </c>
    </row>
    <row r="221" spans="1:10" x14ac:dyDescent="0.3">
      <c r="A221" s="22" t="s">
        <v>2032</v>
      </c>
      <c r="B221" s="10">
        <v>45409</v>
      </c>
      <c r="C221" s="12" t="s">
        <v>499</v>
      </c>
      <c r="D221" s="12" t="s">
        <v>1664</v>
      </c>
      <c r="E221" s="12" t="s">
        <v>1789</v>
      </c>
      <c r="F221" s="11">
        <v>4</v>
      </c>
      <c r="G221" s="12">
        <v>794.97</v>
      </c>
      <c r="H221" s="9">
        <v>0.24</v>
      </c>
      <c r="I221" s="12" t="s">
        <v>1826</v>
      </c>
      <c r="J221" s="9">
        <v>2416.7087999999999</v>
      </c>
    </row>
    <row r="222" spans="1:10" x14ac:dyDescent="0.3">
      <c r="A222" s="22" t="s">
        <v>2033</v>
      </c>
      <c r="B222" s="10">
        <v>45880</v>
      </c>
      <c r="C222" s="12" t="s">
        <v>52</v>
      </c>
      <c r="D222" s="12" t="s">
        <v>1706</v>
      </c>
      <c r="E222" s="12" t="s">
        <v>1773</v>
      </c>
      <c r="F222" s="11">
        <v>1</v>
      </c>
      <c r="G222" s="12">
        <v>989.63</v>
      </c>
      <c r="H222" s="9">
        <v>0.05</v>
      </c>
      <c r="I222" s="12" t="s">
        <v>1826</v>
      </c>
      <c r="J222" s="9">
        <v>940.1484999999999</v>
      </c>
    </row>
    <row r="223" spans="1:10" x14ac:dyDescent="0.3">
      <c r="A223" s="22" t="s">
        <v>2034</v>
      </c>
      <c r="B223" s="10">
        <v>45731</v>
      </c>
      <c r="C223" s="12" t="s">
        <v>1053</v>
      </c>
      <c r="D223" s="12" t="s">
        <v>1656</v>
      </c>
      <c r="E223" s="12" t="s">
        <v>1752</v>
      </c>
      <c r="F223" s="11">
        <v>1</v>
      </c>
      <c r="G223" s="12">
        <v>447.16</v>
      </c>
      <c r="H223" s="9">
        <v>0.22</v>
      </c>
      <c r="I223" s="12" t="s">
        <v>1829</v>
      </c>
      <c r="J223" s="9">
        <v>348.78480000000002</v>
      </c>
    </row>
    <row r="224" spans="1:10" x14ac:dyDescent="0.3">
      <c r="A224" s="22" t="s">
        <v>2035</v>
      </c>
      <c r="B224" s="10">
        <v>45671</v>
      </c>
      <c r="C224" s="12" t="s">
        <v>44</v>
      </c>
      <c r="D224" s="12" t="s">
        <v>1736</v>
      </c>
      <c r="E224" s="12" t="s">
        <v>1776</v>
      </c>
      <c r="F224" s="11">
        <v>1</v>
      </c>
      <c r="G224" s="12">
        <v>946.9</v>
      </c>
      <c r="H224" s="9">
        <v>0.28999999999999998</v>
      </c>
      <c r="I224" s="12" t="s">
        <v>1829</v>
      </c>
      <c r="J224" s="9">
        <v>672.29899999999998</v>
      </c>
    </row>
    <row r="225" spans="1:10" x14ac:dyDescent="0.3">
      <c r="A225" s="22" t="s">
        <v>2036</v>
      </c>
      <c r="B225" s="10">
        <v>45809</v>
      </c>
      <c r="C225" s="12" t="s">
        <v>562</v>
      </c>
      <c r="D225" s="12" t="s">
        <v>1582</v>
      </c>
      <c r="E225" s="12" t="s">
        <v>1752</v>
      </c>
      <c r="F225" s="11">
        <v>4</v>
      </c>
      <c r="G225" s="12">
        <v>469.68</v>
      </c>
      <c r="H225" s="9">
        <v>0.19</v>
      </c>
      <c r="I225" s="12" t="s">
        <v>1824</v>
      </c>
      <c r="J225" s="9">
        <v>1521.7632000000001</v>
      </c>
    </row>
    <row r="226" spans="1:10" x14ac:dyDescent="0.3">
      <c r="A226" s="22" t="s">
        <v>2037</v>
      </c>
      <c r="B226" s="10">
        <v>45559</v>
      </c>
      <c r="C226" s="12" t="s">
        <v>1518</v>
      </c>
      <c r="D226" s="12" t="s">
        <v>1604</v>
      </c>
      <c r="E226" s="12" t="s">
        <v>1807</v>
      </c>
      <c r="F226" s="11">
        <v>4</v>
      </c>
      <c r="G226" s="12">
        <v>320.64</v>
      </c>
      <c r="H226" s="9">
        <v>0.2</v>
      </c>
      <c r="I226" s="12" t="s">
        <v>1829</v>
      </c>
      <c r="J226" s="9">
        <v>1026.048</v>
      </c>
    </row>
    <row r="227" spans="1:10" x14ac:dyDescent="0.3">
      <c r="A227" s="22" t="s">
        <v>2038</v>
      </c>
      <c r="B227" s="10">
        <v>45253</v>
      </c>
      <c r="C227" s="12" t="s">
        <v>461</v>
      </c>
      <c r="D227" s="12" t="s">
        <v>1578</v>
      </c>
      <c r="E227" s="12" t="s">
        <v>1773</v>
      </c>
      <c r="F227" s="11">
        <v>1</v>
      </c>
      <c r="G227" s="12">
        <v>594.44000000000005</v>
      </c>
      <c r="H227" s="9">
        <v>0.21</v>
      </c>
      <c r="I227" s="12" t="s">
        <v>1824</v>
      </c>
      <c r="J227" s="9">
        <v>469.60759999999999</v>
      </c>
    </row>
    <row r="228" spans="1:10" x14ac:dyDescent="0.3">
      <c r="A228" s="22" t="s">
        <v>2039</v>
      </c>
      <c r="B228" s="10">
        <v>45861</v>
      </c>
      <c r="C228" s="12" t="s">
        <v>702</v>
      </c>
      <c r="D228" s="12" t="s">
        <v>1720</v>
      </c>
      <c r="E228" s="12" t="s">
        <v>1782</v>
      </c>
      <c r="F228" s="11">
        <v>3</v>
      </c>
      <c r="G228" s="12">
        <v>91.7</v>
      </c>
      <c r="H228" s="9">
        <v>0.08</v>
      </c>
      <c r="I228" s="12" t="s">
        <v>1829</v>
      </c>
      <c r="J228" s="9">
        <v>253.09200000000001</v>
      </c>
    </row>
    <row r="229" spans="1:10" x14ac:dyDescent="0.3">
      <c r="A229" s="22" t="s">
        <v>2040</v>
      </c>
      <c r="B229" s="10">
        <v>45917</v>
      </c>
      <c r="C229" s="12" t="s">
        <v>127</v>
      </c>
      <c r="D229" s="12" t="s">
        <v>1672</v>
      </c>
      <c r="E229" s="12" t="s">
        <v>1794</v>
      </c>
      <c r="F229" s="11">
        <v>3</v>
      </c>
      <c r="G229" s="12">
        <v>741.33</v>
      </c>
      <c r="H229" s="9">
        <v>0.03</v>
      </c>
      <c r="I229" s="12" t="s">
        <v>1824</v>
      </c>
      <c r="J229" s="9">
        <v>2157.2703000000001</v>
      </c>
    </row>
    <row r="230" spans="1:10" x14ac:dyDescent="0.3">
      <c r="A230" s="22" t="s">
        <v>2041</v>
      </c>
      <c r="B230" s="10">
        <v>45754</v>
      </c>
      <c r="C230" s="12" t="s">
        <v>1466</v>
      </c>
      <c r="D230" s="12" t="s">
        <v>1580</v>
      </c>
      <c r="E230" s="12" t="s">
        <v>1813</v>
      </c>
      <c r="F230" s="11">
        <v>1</v>
      </c>
      <c r="G230" s="12">
        <v>922.78</v>
      </c>
      <c r="H230" s="9">
        <v>0.28999999999999998</v>
      </c>
      <c r="I230" s="12" t="s">
        <v>1829</v>
      </c>
      <c r="J230" s="9">
        <v>655.17379999999991</v>
      </c>
    </row>
    <row r="231" spans="1:10" x14ac:dyDescent="0.3">
      <c r="A231" s="22" t="s">
        <v>2042</v>
      </c>
      <c r="B231" s="10">
        <v>45312</v>
      </c>
      <c r="C231" s="12" t="s">
        <v>1023</v>
      </c>
      <c r="D231" s="12" t="s">
        <v>1562</v>
      </c>
      <c r="E231" s="12" t="s">
        <v>1804</v>
      </c>
      <c r="F231" s="11">
        <v>1</v>
      </c>
      <c r="G231" s="12">
        <v>394.35</v>
      </c>
      <c r="H231" s="9">
        <v>0.09</v>
      </c>
      <c r="I231" s="12" t="s">
        <v>1826</v>
      </c>
      <c r="J231" s="9">
        <v>358.85849999999999</v>
      </c>
    </row>
    <row r="232" spans="1:10" x14ac:dyDescent="0.3">
      <c r="A232" s="22" t="s">
        <v>2043</v>
      </c>
      <c r="B232" s="10">
        <v>45480</v>
      </c>
      <c r="C232" s="12" t="s">
        <v>1139</v>
      </c>
      <c r="D232" s="12" t="s">
        <v>1678</v>
      </c>
      <c r="E232" s="12" t="s">
        <v>1792</v>
      </c>
      <c r="F232" s="11">
        <v>2</v>
      </c>
      <c r="G232" s="12">
        <v>703.95</v>
      </c>
      <c r="H232" s="9">
        <v>0.03</v>
      </c>
      <c r="I232" s="12" t="s">
        <v>1824</v>
      </c>
      <c r="J232" s="9">
        <v>1365.663</v>
      </c>
    </row>
    <row r="233" spans="1:10" x14ac:dyDescent="0.3">
      <c r="A233" s="22" t="s">
        <v>2044</v>
      </c>
      <c r="B233" s="10">
        <v>45780</v>
      </c>
      <c r="C233" s="12" t="s">
        <v>654</v>
      </c>
      <c r="D233" s="12" t="s">
        <v>1576</v>
      </c>
      <c r="E233" s="12" t="s">
        <v>1752</v>
      </c>
      <c r="F233" s="11">
        <v>4</v>
      </c>
      <c r="G233" s="12">
        <v>452.67</v>
      </c>
      <c r="H233" s="9">
        <v>0.28000000000000003</v>
      </c>
      <c r="I233" s="12" t="s">
        <v>1826</v>
      </c>
      <c r="J233" s="9">
        <v>1303.6895999999999</v>
      </c>
    </row>
    <row r="234" spans="1:10" x14ac:dyDescent="0.3">
      <c r="A234" s="22" t="s">
        <v>2045</v>
      </c>
      <c r="B234" s="10">
        <v>45349</v>
      </c>
      <c r="C234" s="12" t="s">
        <v>1428</v>
      </c>
      <c r="D234" s="12" t="s">
        <v>1562</v>
      </c>
      <c r="E234" s="12" t="s">
        <v>1779</v>
      </c>
      <c r="F234" s="11">
        <v>2</v>
      </c>
      <c r="G234" s="12">
        <v>377.3</v>
      </c>
      <c r="H234" s="9">
        <v>0.15</v>
      </c>
      <c r="I234" s="12" t="s">
        <v>1826</v>
      </c>
      <c r="J234" s="9">
        <v>641.41</v>
      </c>
    </row>
    <row r="235" spans="1:10" x14ac:dyDescent="0.3">
      <c r="A235" s="22" t="s">
        <v>2046</v>
      </c>
      <c r="B235" s="10">
        <v>45846</v>
      </c>
      <c r="C235" s="12" t="s">
        <v>1080</v>
      </c>
      <c r="D235" s="12" t="s">
        <v>1696</v>
      </c>
      <c r="E235" s="12" t="s">
        <v>1779</v>
      </c>
      <c r="F235" s="11">
        <v>2</v>
      </c>
      <c r="G235" s="12">
        <v>130.47999999999999</v>
      </c>
      <c r="H235" s="9">
        <v>0.23</v>
      </c>
      <c r="I235" s="12" t="s">
        <v>1826</v>
      </c>
      <c r="J235" s="9">
        <v>200.9392</v>
      </c>
    </row>
    <row r="236" spans="1:10" x14ac:dyDescent="0.3">
      <c r="A236" s="22" t="s">
        <v>2047</v>
      </c>
      <c r="B236" s="10">
        <v>45729</v>
      </c>
      <c r="C236" s="12" t="s">
        <v>1349</v>
      </c>
      <c r="D236" s="12" t="s">
        <v>1736</v>
      </c>
      <c r="E236" s="12" t="s">
        <v>1794</v>
      </c>
      <c r="F236" s="11">
        <v>1</v>
      </c>
      <c r="G236" s="12">
        <v>809.45</v>
      </c>
      <c r="H236" s="9">
        <v>0.09</v>
      </c>
      <c r="I236" s="12" t="s">
        <v>1829</v>
      </c>
      <c r="J236" s="9">
        <v>736.59950000000003</v>
      </c>
    </row>
    <row r="237" spans="1:10" x14ac:dyDescent="0.3">
      <c r="A237" s="22" t="s">
        <v>2048</v>
      </c>
      <c r="B237" s="10">
        <v>45768</v>
      </c>
      <c r="C237" s="12" t="s">
        <v>301</v>
      </c>
      <c r="D237" s="12" t="s">
        <v>1638</v>
      </c>
      <c r="E237" s="12" t="s">
        <v>1786</v>
      </c>
      <c r="F237" s="11">
        <v>3</v>
      </c>
      <c r="G237" s="12">
        <v>499.12</v>
      </c>
      <c r="H237" s="9">
        <v>0.05</v>
      </c>
      <c r="I237" s="12" t="s">
        <v>1826</v>
      </c>
      <c r="J237" s="9">
        <v>1422.492</v>
      </c>
    </row>
    <row r="238" spans="1:10" x14ac:dyDescent="0.3">
      <c r="A238" s="22" t="s">
        <v>2049</v>
      </c>
      <c r="B238" s="10">
        <v>45606</v>
      </c>
      <c r="C238" s="12" t="s">
        <v>100</v>
      </c>
      <c r="D238" s="12" t="s">
        <v>1684</v>
      </c>
      <c r="E238" s="12" t="s">
        <v>1766</v>
      </c>
      <c r="F238" s="11">
        <v>2</v>
      </c>
      <c r="G238" s="12">
        <v>894.58</v>
      </c>
      <c r="H238" s="9">
        <v>0.25</v>
      </c>
      <c r="I238" s="12" t="s">
        <v>1824</v>
      </c>
      <c r="J238" s="9">
        <v>1341.87</v>
      </c>
    </row>
    <row r="239" spans="1:10" x14ac:dyDescent="0.3">
      <c r="A239" s="22" t="s">
        <v>2050</v>
      </c>
      <c r="B239" s="10">
        <v>45513</v>
      </c>
      <c r="C239" s="12" t="s">
        <v>449</v>
      </c>
      <c r="D239" s="12" t="s">
        <v>1698</v>
      </c>
      <c r="E239" s="12" t="s">
        <v>1786</v>
      </c>
      <c r="F239" s="11">
        <v>4</v>
      </c>
      <c r="G239" s="12">
        <v>578.39</v>
      </c>
      <c r="H239" s="9">
        <v>0.01</v>
      </c>
      <c r="I239" s="12" t="s">
        <v>1824</v>
      </c>
      <c r="J239" s="9">
        <v>2290.4243999999999</v>
      </c>
    </row>
    <row r="240" spans="1:10" x14ac:dyDescent="0.3">
      <c r="A240" s="22" t="s">
        <v>2051</v>
      </c>
      <c r="B240" s="10">
        <v>45356</v>
      </c>
      <c r="C240" s="12" t="s">
        <v>1492</v>
      </c>
      <c r="D240" s="12" t="s">
        <v>1630</v>
      </c>
      <c r="E240" s="12" t="s">
        <v>1807</v>
      </c>
      <c r="F240" s="11">
        <v>4</v>
      </c>
      <c r="G240" s="12">
        <v>982.45</v>
      </c>
      <c r="H240" s="9">
        <v>0.2</v>
      </c>
      <c r="I240" s="12" t="s">
        <v>1826</v>
      </c>
      <c r="J240" s="9">
        <v>3143.84</v>
      </c>
    </row>
    <row r="241" spans="1:10" x14ac:dyDescent="0.3">
      <c r="A241" s="22" t="s">
        <v>2052</v>
      </c>
      <c r="B241" s="10">
        <v>45925</v>
      </c>
      <c r="C241" s="12" t="s">
        <v>1389</v>
      </c>
      <c r="D241" s="12" t="s">
        <v>1744</v>
      </c>
      <c r="E241" s="12" t="s">
        <v>1813</v>
      </c>
      <c r="F241" s="11">
        <v>1</v>
      </c>
      <c r="G241" s="12">
        <v>549.52</v>
      </c>
      <c r="H241" s="9">
        <v>0.1</v>
      </c>
      <c r="I241" s="12" t="s">
        <v>1826</v>
      </c>
      <c r="J241" s="9">
        <v>494.56799999999998</v>
      </c>
    </row>
    <row r="242" spans="1:10" x14ac:dyDescent="0.3">
      <c r="A242" s="22" t="s">
        <v>2053</v>
      </c>
      <c r="B242" s="10">
        <v>45876</v>
      </c>
      <c r="C242" s="12" t="s">
        <v>770</v>
      </c>
      <c r="D242" s="12" t="s">
        <v>1732</v>
      </c>
      <c r="E242" s="12" t="s">
        <v>1810</v>
      </c>
      <c r="F242" s="11">
        <v>2</v>
      </c>
      <c r="G242" s="12">
        <v>239.92</v>
      </c>
      <c r="H242" s="9">
        <v>0.16</v>
      </c>
      <c r="I242" s="12" t="s">
        <v>1824</v>
      </c>
      <c r="J242" s="9">
        <v>403.06560000000002</v>
      </c>
    </row>
    <row r="243" spans="1:10" x14ac:dyDescent="0.3">
      <c r="A243" s="22" t="s">
        <v>2054</v>
      </c>
      <c r="B243" s="10">
        <v>45338</v>
      </c>
      <c r="C243" s="12" t="s">
        <v>298</v>
      </c>
      <c r="D243" s="12" t="s">
        <v>1732</v>
      </c>
      <c r="E243" s="12" t="s">
        <v>1776</v>
      </c>
      <c r="F243" s="11">
        <v>2</v>
      </c>
      <c r="G243" s="12">
        <v>878.05</v>
      </c>
      <c r="H243" s="9">
        <v>0.11</v>
      </c>
      <c r="I243" s="12" t="s">
        <v>1826</v>
      </c>
      <c r="J243" s="9">
        <v>1562.9290000000001</v>
      </c>
    </row>
    <row r="244" spans="1:10" x14ac:dyDescent="0.3">
      <c r="A244" s="22" t="s">
        <v>2055</v>
      </c>
      <c r="B244" s="10">
        <v>45746</v>
      </c>
      <c r="C244" s="12" t="s">
        <v>172</v>
      </c>
      <c r="D244" s="12" t="s">
        <v>1546</v>
      </c>
      <c r="E244" s="12" t="s">
        <v>1786</v>
      </c>
      <c r="F244" s="11">
        <v>3</v>
      </c>
      <c r="G244" s="12">
        <v>546.96</v>
      </c>
      <c r="H244" s="9">
        <v>0.19</v>
      </c>
      <c r="I244" s="12" t="s">
        <v>1824</v>
      </c>
      <c r="J244" s="9">
        <v>1329.1128000000001</v>
      </c>
    </row>
    <row r="245" spans="1:10" x14ac:dyDescent="0.3">
      <c r="A245" s="22" t="s">
        <v>2056</v>
      </c>
      <c r="B245" s="10">
        <v>45706</v>
      </c>
      <c r="C245" s="12" t="s">
        <v>1452</v>
      </c>
      <c r="D245" s="12" t="s">
        <v>1582</v>
      </c>
      <c r="E245" s="12" t="s">
        <v>1789</v>
      </c>
      <c r="F245" s="11">
        <v>2</v>
      </c>
      <c r="G245" s="12">
        <v>71.77</v>
      </c>
      <c r="H245" s="9">
        <v>0.22</v>
      </c>
      <c r="I245" s="12" t="s">
        <v>1824</v>
      </c>
      <c r="J245" s="9">
        <v>111.96120000000001</v>
      </c>
    </row>
    <row r="246" spans="1:10" x14ac:dyDescent="0.3">
      <c r="A246" s="22" t="s">
        <v>2057</v>
      </c>
      <c r="B246" s="10">
        <v>45717</v>
      </c>
      <c r="C246" s="12" t="s">
        <v>63</v>
      </c>
      <c r="D246" s="12" t="s">
        <v>1596</v>
      </c>
      <c r="E246" s="12" t="s">
        <v>1757</v>
      </c>
      <c r="F246" s="11">
        <v>2</v>
      </c>
      <c r="G246" s="12">
        <v>679.86</v>
      </c>
      <c r="H246" s="9">
        <v>0.22</v>
      </c>
      <c r="I246" s="12" t="s">
        <v>1829</v>
      </c>
      <c r="J246" s="9">
        <v>1060.5816</v>
      </c>
    </row>
    <row r="247" spans="1:10" x14ac:dyDescent="0.3">
      <c r="A247" s="22" t="s">
        <v>2058</v>
      </c>
      <c r="B247" s="10">
        <v>45300</v>
      </c>
      <c r="C247" s="12" t="s">
        <v>464</v>
      </c>
      <c r="D247" s="12" t="s">
        <v>1618</v>
      </c>
      <c r="E247" s="12" t="s">
        <v>1807</v>
      </c>
      <c r="F247" s="11">
        <v>1</v>
      </c>
      <c r="G247" s="12">
        <v>222.94</v>
      </c>
      <c r="H247" s="9">
        <v>0.19</v>
      </c>
      <c r="I247" s="12" t="s">
        <v>1824</v>
      </c>
      <c r="J247" s="9">
        <v>180.5814</v>
      </c>
    </row>
    <row r="248" spans="1:10" x14ac:dyDescent="0.3">
      <c r="A248" s="22" t="s">
        <v>2059</v>
      </c>
      <c r="B248" s="10">
        <v>45497</v>
      </c>
      <c r="C248" s="12" t="s">
        <v>366</v>
      </c>
      <c r="D248" s="12" t="s">
        <v>1726</v>
      </c>
      <c r="E248" s="12" t="s">
        <v>1813</v>
      </c>
      <c r="F248" s="11">
        <v>4</v>
      </c>
      <c r="G248" s="12">
        <v>611.29999999999995</v>
      </c>
      <c r="H248" s="9">
        <v>0.11</v>
      </c>
      <c r="I248" s="12" t="s">
        <v>1826</v>
      </c>
      <c r="J248" s="9">
        <v>2176.2280000000001</v>
      </c>
    </row>
    <row r="249" spans="1:10" x14ac:dyDescent="0.3">
      <c r="A249" s="22" t="s">
        <v>2060</v>
      </c>
      <c r="B249" s="10">
        <v>45742</v>
      </c>
      <c r="C249" s="12" t="s">
        <v>1047</v>
      </c>
      <c r="D249" s="12" t="s">
        <v>1543</v>
      </c>
      <c r="E249" s="12" t="s">
        <v>1782</v>
      </c>
      <c r="F249" s="11">
        <v>4</v>
      </c>
      <c r="G249" s="12">
        <v>849.21</v>
      </c>
      <c r="H249" s="9">
        <v>7.0000000000000007E-2</v>
      </c>
      <c r="I249" s="12" t="s">
        <v>1824</v>
      </c>
      <c r="J249" s="9">
        <v>3159.0612000000001</v>
      </c>
    </row>
    <row r="250" spans="1:10" x14ac:dyDescent="0.3">
      <c r="A250" s="22" t="s">
        <v>2061</v>
      </c>
      <c r="B250" s="10">
        <v>45713</v>
      </c>
      <c r="C250" s="12" t="s">
        <v>681</v>
      </c>
      <c r="D250" s="12" t="s">
        <v>1632</v>
      </c>
      <c r="E250" s="12" t="s">
        <v>1779</v>
      </c>
      <c r="F250" s="11">
        <v>3</v>
      </c>
      <c r="G250" s="12">
        <v>553.12</v>
      </c>
      <c r="H250" s="9">
        <v>0.28000000000000003</v>
      </c>
      <c r="I250" s="12" t="s">
        <v>1829</v>
      </c>
      <c r="J250" s="9">
        <v>1194.7392</v>
      </c>
    </row>
    <row r="251" spans="1:10" x14ac:dyDescent="0.3">
      <c r="A251" s="22" t="s">
        <v>2062</v>
      </c>
      <c r="B251" s="10">
        <v>45826</v>
      </c>
      <c r="C251" s="12" t="s">
        <v>896</v>
      </c>
      <c r="D251" s="12" t="s">
        <v>1730</v>
      </c>
      <c r="E251" s="12" t="s">
        <v>1786</v>
      </c>
      <c r="F251" s="11">
        <v>2</v>
      </c>
      <c r="G251" s="12">
        <v>903.08</v>
      </c>
      <c r="H251" s="9">
        <v>0.18</v>
      </c>
      <c r="I251" s="12" t="s">
        <v>1829</v>
      </c>
      <c r="J251" s="9">
        <v>1481.0512000000001</v>
      </c>
    </row>
    <row r="252" spans="1:10" x14ac:dyDescent="0.3">
      <c r="A252" s="22" t="s">
        <v>2063</v>
      </c>
      <c r="B252" s="10">
        <v>45648</v>
      </c>
      <c r="C252" s="12" t="s">
        <v>1472</v>
      </c>
      <c r="D252" s="12" t="s">
        <v>1580</v>
      </c>
      <c r="E252" s="12" t="s">
        <v>1792</v>
      </c>
      <c r="F252" s="11">
        <v>4</v>
      </c>
      <c r="G252" s="12">
        <v>640.23</v>
      </c>
      <c r="H252" s="9">
        <v>0.06</v>
      </c>
      <c r="I252" s="12" t="s">
        <v>1829</v>
      </c>
      <c r="J252" s="9">
        <v>2407.2647999999999</v>
      </c>
    </row>
    <row r="253" spans="1:10" x14ac:dyDescent="0.3">
      <c r="A253" s="22" t="s">
        <v>2064</v>
      </c>
      <c r="B253" s="10">
        <v>45836</v>
      </c>
      <c r="C253" s="12" t="s">
        <v>478</v>
      </c>
      <c r="D253" s="12" t="s">
        <v>1590</v>
      </c>
      <c r="E253" s="12" t="s">
        <v>1776</v>
      </c>
      <c r="F253" s="11">
        <v>1</v>
      </c>
      <c r="G253" s="12">
        <v>518</v>
      </c>
      <c r="H253" s="9">
        <v>0.25</v>
      </c>
      <c r="I253" s="12" t="s">
        <v>1824</v>
      </c>
      <c r="J253" s="9">
        <v>388.5</v>
      </c>
    </row>
    <row r="254" spans="1:10" x14ac:dyDescent="0.3">
      <c r="A254" s="22" t="s">
        <v>2065</v>
      </c>
      <c r="B254" s="10">
        <v>45437</v>
      </c>
      <c r="C254" s="12" t="s">
        <v>1343</v>
      </c>
      <c r="D254" s="12" t="s">
        <v>1676</v>
      </c>
      <c r="E254" s="12" t="s">
        <v>1769</v>
      </c>
      <c r="F254" s="11">
        <v>4</v>
      </c>
      <c r="G254" s="12">
        <v>779.25</v>
      </c>
      <c r="H254" s="9">
        <v>0.25</v>
      </c>
      <c r="I254" s="12" t="s">
        <v>1824</v>
      </c>
      <c r="J254" s="9">
        <v>2337.75</v>
      </c>
    </row>
    <row r="255" spans="1:10" x14ac:dyDescent="0.3">
      <c r="A255" s="22" t="s">
        <v>2066</v>
      </c>
      <c r="B255" s="10">
        <v>45807</v>
      </c>
      <c r="C255" s="12" t="s">
        <v>411</v>
      </c>
      <c r="D255" s="12" t="s">
        <v>1714</v>
      </c>
      <c r="E255" s="12" t="s">
        <v>1779</v>
      </c>
      <c r="F255" s="11">
        <v>2</v>
      </c>
      <c r="G255" s="12">
        <v>467.75</v>
      </c>
      <c r="H255" s="9">
        <v>0.26</v>
      </c>
      <c r="I255" s="12" t="s">
        <v>1824</v>
      </c>
      <c r="J255" s="9">
        <v>692.27</v>
      </c>
    </row>
    <row r="256" spans="1:10" x14ac:dyDescent="0.3">
      <c r="A256" s="22" t="s">
        <v>2067</v>
      </c>
      <c r="B256" s="10">
        <v>45803</v>
      </c>
      <c r="C256" s="12" t="s">
        <v>711</v>
      </c>
      <c r="D256" s="12" t="s">
        <v>1622</v>
      </c>
      <c r="E256" s="12" t="s">
        <v>1752</v>
      </c>
      <c r="F256" s="11">
        <v>4</v>
      </c>
      <c r="G256" s="12">
        <v>747.01</v>
      </c>
      <c r="H256" s="9">
        <v>0.13</v>
      </c>
      <c r="I256" s="12" t="s">
        <v>1826</v>
      </c>
      <c r="J256" s="9">
        <v>2599.5947999999999</v>
      </c>
    </row>
    <row r="257" spans="1:10" x14ac:dyDescent="0.3">
      <c r="A257" s="22" t="s">
        <v>2068</v>
      </c>
      <c r="B257" s="10">
        <v>45735</v>
      </c>
      <c r="C257" s="12" t="s">
        <v>360</v>
      </c>
      <c r="D257" s="12" t="s">
        <v>1726</v>
      </c>
      <c r="E257" s="12" t="s">
        <v>1794</v>
      </c>
      <c r="F257" s="11">
        <v>4</v>
      </c>
      <c r="G257" s="12">
        <v>461.83</v>
      </c>
      <c r="H257" s="9">
        <v>0.28000000000000003</v>
      </c>
      <c r="I257" s="12" t="s">
        <v>1826</v>
      </c>
      <c r="J257" s="9">
        <v>1330.0704000000001</v>
      </c>
    </row>
    <row r="258" spans="1:10" x14ac:dyDescent="0.3">
      <c r="A258" s="22" t="s">
        <v>2069</v>
      </c>
      <c r="B258" s="10">
        <v>45750</v>
      </c>
      <c r="C258" s="12" t="s">
        <v>458</v>
      </c>
      <c r="D258" s="12" t="s">
        <v>1688</v>
      </c>
      <c r="E258" s="12" t="s">
        <v>1782</v>
      </c>
      <c r="F258" s="11">
        <v>2</v>
      </c>
      <c r="G258" s="12">
        <v>105.15</v>
      </c>
      <c r="H258" s="9">
        <v>0.06</v>
      </c>
      <c r="I258" s="12" t="s">
        <v>1824</v>
      </c>
      <c r="J258" s="9">
        <v>197.68199999999999</v>
      </c>
    </row>
    <row r="259" spans="1:10" x14ac:dyDescent="0.3">
      <c r="A259" s="22" t="s">
        <v>2070</v>
      </c>
      <c r="B259" s="10">
        <v>45693</v>
      </c>
      <c r="C259" s="12" t="s">
        <v>134</v>
      </c>
      <c r="D259" s="12" t="s">
        <v>1594</v>
      </c>
      <c r="E259" s="12" t="s">
        <v>1766</v>
      </c>
      <c r="F259" s="11">
        <v>3</v>
      </c>
      <c r="G259" s="12">
        <v>610.24</v>
      </c>
      <c r="H259" s="9">
        <v>0.17</v>
      </c>
      <c r="I259" s="12" t="s">
        <v>1829</v>
      </c>
      <c r="J259" s="9">
        <v>1519.4975999999999</v>
      </c>
    </row>
    <row r="260" spans="1:10" x14ac:dyDescent="0.3">
      <c r="A260" s="22" t="s">
        <v>2071</v>
      </c>
      <c r="B260" s="10">
        <v>45667</v>
      </c>
      <c r="C260" s="12" t="s">
        <v>984</v>
      </c>
      <c r="D260" s="12" t="s">
        <v>1696</v>
      </c>
      <c r="E260" s="12" t="s">
        <v>1782</v>
      </c>
      <c r="F260" s="11">
        <v>1</v>
      </c>
      <c r="G260" s="12">
        <v>872.12</v>
      </c>
      <c r="H260" s="9">
        <v>7.0000000000000007E-2</v>
      </c>
      <c r="I260" s="12" t="s">
        <v>1826</v>
      </c>
      <c r="J260" s="9">
        <v>811.07159999999999</v>
      </c>
    </row>
    <row r="261" spans="1:10" x14ac:dyDescent="0.3">
      <c r="A261" s="22" t="s">
        <v>3950</v>
      </c>
      <c r="B261" s="10">
        <v>45316</v>
      </c>
      <c r="C261" s="12" t="s">
        <v>1343</v>
      </c>
      <c r="D261" s="12" t="s">
        <v>1568</v>
      </c>
      <c r="E261" s="12" t="s">
        <v>1757</v>
      </c>
      <c r="F261" s="11">
        <v>1</v>
      </c>
      <c r="G261" s="12">
        <v>406.79</v>
      </c>
      <c r="H261" s="9">
        <v>0.03</v>
      </c>
      <c r="I261" s="12" t="s">
        <v>1829</v>
      </c>
      <c r="J261" s="9">
        <v>394.58629999999999</v>
      </c>
    </row>
    <row r="262" spans="1:10" x14ac:dyDescent="0.3">
      <c r="A262" s="22" t="s">
        <v>2072</v>
      </c>
      <c r="B262" s="10">
        <v>45932</v>
      </c>
      <c r="C262" s="12" t="s">
        <v>1163</v>
      </c>
      <c r="D262" s="12" t="s">
        <v>1656</v>
      </c>
      <c r="E262" s="12" t="s">
        <v>1799</v>
      </c>
      <c r="F262" s="11">
        <v>1</v>
      </c>
      <c r="G262" s="12">
        <v>606.01</v>
      </c>
      <c r="H262" s="9">
        <v>0.04</v>
      </c>
      <c r="I262" s="12" t="s">
        <v>1826</v>
      </c>
      <c r="J262" s="9">
        <v>581.76959999999997</v>
      </c>
    </row>
    <row r="263" spans="1:10" x14ac:dyDescent="0.3">
      <c r="A263" s="22" t="s">
        <v>2073</v>
      </c>
      <c r="B263" s="10">
        <v>45483</v>
      </c>
      <c r="C263" s="12" t="s">
        <v>1095</v>
      </c>
      <c r="D263" s="12" t="s">
        <v>1582</v>
      </c>
      <c r="E263" s="12" t="s">
        <v>1773</v>
      </c>
      <c r="F263" s="11">
        <v>4</v>
      </c>
      <c r="G263" s="12">
        <v>322.58</v>
      </c>
      <c r="H263" s="9">
        <v>0.06</v>
      </c>
      <c r="I263" s="12" t="s">
        <v>1824</v>
      </c>
      <c r="J263" s="9">
        <v>1212.9007999999999</v>
      </c>
    </row>
    <row r="264" spans="1:10" x14ac:dyDescent="0.3">
      <c r="A264" s="22" t="s">
        <v>2074</v>
      </c>
      <c r="B264" s="10">
        <v>45661</v>
      </c>
      <c r="C264" s="12" t="s">
        <v>1489</v>
      </c>
      <c r="D264" s="12" t="s">
        <v>1702</v>
      </c>
      <c r="E264" s="12" t="s">
        <v>1810</v>
      </c>
      <c r="F264" s="11">
        <v>4</v>
      </c>
      <c r="G264" s="12">
        <v>463.17</v>
      </c>
      <c r="H264" s="9">
        <v>0.06</v>
      </c>
      <c r="I264" s="12" t="s">
        <v>1826</v>
      </c>
      <c r="J264" s="9">
        <v>1741.5192</v>
      </c>
    </row>
    <row r="265" spans="1:10" x14ac:dyDescent="0.3">
      <c r="A265" s="22" t="s">
        <v>2075</v>
      </c>
      <c r="B265" s="10">
        <v>45798</v>
      </c>
      <c r="C265" s="12" t="s">
        <v>996</v>
      </c>
      <c r="D265" s="12" t="s">
        <v>1598</v>
      </c>
      <c r="E265" s="12" t="s">
        <v>1779</v>
      </c>
      <c r="F265" s="11">
        <v>4</v>
      </c>
      <c r="G265" s="12">
        <v>285.82</v>
      </c>
      <c r="H265" s="9">
        <v>0.18</v>
      </c>
      <c r="I265" s="12" t="s">
        <v>1826</v>
      </c>
      <c r="J265" s="9">
        <v>937.4896</v>
      </c>
    </row>
    <row r="266" spans="1:10" x14ac:dyDescent="0.3">
      <c r="A266" s="22" t="s">
        <v>2076</v>
      </c>
      <c r="B266" s="10">
        <v>45868</v>
      </c>
      <c r="C266" s="12" t="s">
        <v>1026</v>
      </c>
      <c r="D266" s="12" t="s">
        <v>1622</v>
      </c>
      <c r="E266" s="12" t="s">
        <v>1792</v>
      </c>
      <c r="F266" s="11">
        <v>3</v>
      </c>
      <c r="G266" s="12">
        <v>995.38</v>
      </c>
      <c r="H266" s="9">
        <v>0.1</v>
      </c>
      <c r="I266" s="12" t="s">
        <v>1826</v>
      </c>
      <c r="J266" s="9">
        <v>2687.5259999999998</v>
      </c>
    </row>
    <row r="267" spans="1:10" x14ac:dyDescent="0.3">
      <c r="A267" s="22" t="s">
        <v>2077</v>
      </c>
      <c r="B267" s="10">
        <v>45757</v>
      </c>
      <c r="C267" s="12" t="s">
        <v>414</v>
      </c>
      <c r="D267" s="12" t="s">
        <v>1672</v>
      </c>
      <c r="E267" s="12" t="s">
        <v>1782</v>
      </c>
      <c r="F267" s="11">
        <v>1</v>
      </c>
      <c r="G267" s="12">
        <v>329.31</v>
      </c>
      <c r="H267" s="9">
        <v>0.09</v>
      </c>
      <c r="I267" s="12" t="s">
        <v>1824</v>
      </c>
      <c r="J267" s="9">
        <v>299.6721</v>
      </c>
    </row>
    <row r="268" spans="1:10" x14ac:dyDescent="0.3">
      <c r="A268" s="22" t="s">
        <v>2078</v>
      </c>
      <c r="B268" s="10">
        <v>45475</v>
      </c>
      <c r="C268" s="12" t="s">
        <v>1507</v>
      </c>
      <c r="D268" s="12" t="s">
        <v>1642</v>
      </c>
      <c r="E268" s="12" t="s">
        <v>1804</v>
      </c>
      <c r="F268" s="11">
        <v>3</v>
      </c>
      <c r="G268" s="12">
        <v>64.2</v>
      </c>
      <c r="H268" s="9">
        <v>0.08</v>
      </c>
      <c r="I268" s="12" t="s">
        <v>1829</v>
      </c>
      <c r="J268" s="9">
        <v>177.19200000000001</v>
      </c>
    </row>
    <row r="269" spans="1:10" x14ac:dyDescent="0.3">
      <c r="A269" s="22" t="s">
        <v>2079</v>
      </c>
      <c r="B269" s="10">
        <v>45829</v>
      </c>
      <c r="C269" s="12" t="s">
        <v>836</v>
      </c>
      <c r="D269" s="12" t="s">
        <v>1570</v>
      </c>
      <c r="E269" s="12" t="s">
        <v>1797</v>
      </c>
      <c r="F269" s="11">
        <v>3</v>
      </c>
      <c r="G269" s="12">
        <v>697.13</v>
      </c>
      <c r="H269" s="9">
        <v>0.25</v>
      </c>
      <c r="I269" s="12" t="s">
        <v>1829</v>
      </c>
      <c r="J269" s="9">
        <v>1568.5425</v>
      </c>
    </row>
    <row r="270" spans="1:10" x14ac:dyDescent="0.3">
      <c r="A270" s="22" t="s">
        <v>3951</v>
      </c>
      <c r="B270" s="10">
        <v>45639</v>
      </c>
      <c r="C270" s="12" t="s">
        <v>97</v>
      </c>
      <c r="D270" s="12" t="s">
        <v>1565</v>
      </c>
      <c r="E270" s="12" t="s">
        <v>1773</v>
      </c>
      <c r="F270" s="11">
        <v>3</v>
      </c>
      <c r="G270" s="12">
        <v>134.30000000000001</v>
      </c>
      <c r="H270" s="9">
        <v>0.14000000000000001</v>
      </c>
      <c r="I270" s="12" t="s">
        <v>1824</v>
      </c>
      <c r="J270" s="9">
        <v>346.49400000000003</v>
      </c>
    </row>
    <row r="271" spans="1:10" x14ac:dyDescent="0.3">
      <c r="A271" s="22" t="s">
        <v>2080</v>
      </c>
      <c r="B271" s="10">
        <v>45518</v>
      </c>
      <c r="C271" s="12" t="s">
        <v>830</v>
      </c>
      <c r="D271" s="12" t="s">
        <v>1716</v>
      </c>
      <c r="E271" s="12" t="s">
        <v>1797</v>
      </c>
      <c r="F271" s="11">
        <v>1</v>
      </c>
      <c r="G271" s="12">
        <v>520.92999999999995</v>
      </c>
      <c r="H271" s="9">
        <v>0.15</v>
      </c>
      <c r="I271" s="12" t="s">
        <v>1824</v>
      </c>
      <c r="J271" s="9">
        <v>442.79050000000001</v>
      </c>
    </row>
    <row r="272" spans="1:10" x14ac:dyDescent="0.3">
      <c r="A272" s="22" t="s">
        <v>2081</v>
      </c>
      <c r="B272" s="10">
        <v>45721</v>
      </c>
      <c r="C272" s="12" t="s">
        <v>727</v>
      </c>
      <c r="D272" s="12" t="s">
        <v>1586</v>
      </c>
      <c r="E272" s="12" t="s">
        <v>1779</v>
      </c>
      <c r="F272" s="11">
        <v>2</v>
      </c>
      <c r="G272" s="12">
        <v>350.12</v>
      </c>
      <c r="H272" s="9">
        <v>0.21</v>
      </c>
      <c r="I272" s="12" t="s">
        <v>1829</v>
      </c>
      <c r="J272" s="9">
        <v>553.18960000000004</v>
      </c>
    </row>
    <row r="273" spans="1:10" x14ac:dyDescent="0.3">
      <c r="A273" s="22" t="s">
        <v>2082</v>
      </c>
      <c r="B273" s="10">
        <v>45308</v>
      </c>
      <c r="C273" s="12" t="s">
        <v>1437</v>
      </c>
      <c r="D273" s="12" t="s">
        <v>1644</v>
      </c>
      <c r="E273" s="12" t="s">
        <v>1813</v>
      </c>
      <c r="F273" s="11">
        <v>3</v>
      </c>
      <c r="G273" s="12">
        <v>807.95</v>
      </c>
      <c r="H273" s="9">
        <v>0.1</v>
      </c>
      <c r="I273" s="12" t="s">
        <v>1826</v>
      </c>
      <c r="J273" s="9">
        <v>2181.4650000000011</v>
      </c>
    </row>
    <row r="274" spans="1:10" x14ac:dyDescent="0.3">
      <c r="A274" s="22" t="s">
        <v>2083</v>
      </c>
      <c r="B274" s="10">
        <v>45889</v>
      </c>
      <c r="C274" s="12" t="s">
        <v>1053</v>
      </c>
      <c r="D274" s="12" t="s">
        <v>1624</v>
      </c>
      <c r="E274" s="12" t="s">
        <v>1776</v>
      </c>
      <c r="F274" s="11">
        <v>4</v>
      </c>
      <c r="G274" s="12">
        <v>766.03</v>
      </c>
      <c r="H274" s="9">
        <v>0.28999999999999998</v>
      </c>
      <c r="I274" s="12" t="s">
        <v>1826</v>
      </c>
      <c r="J274" s="9">
        <v>2175.5252</v>
      </c>
    </row>
    <row r="275" spans="1:10" x14ac:dyDescent="0.3">
      <c r="A275" s="22" t="s">
        <v>2084</v>
      </c>
      <c r="B275" s="10">
        <v>45386</v>
      </c>
      <c r="C275" s="12" t="s">
        <v>601</v>
      </c>
      <c r="D275" s="12" t="s">
        <v>1662</v>
      </c>
      <c r="E275" s="12" t="s">
        <v>1782</v>
      </c>
      <c r="F275" s="11">
        <v>3</v>
      </c>
      <c r="G275" s="12">
        <v>545.1</v>
      </c>
      <c r="H275" s="9">
        <v>0.08</v>
      </c>
      <c r="I275" s="12" t="s">
        <v>1829</v>
      </c>
      <c r="J275" s="9">
        <v>1504.4760000000001</v>
      </c>
    </row>
    <row r="276" spans="1:10" x14ac:dyDescent="0.3">
      <c r="A276" s="22" t="s">
        <v>2085</v>
      </c>
      <c r="B276" s="10">
        <v>45438</v>
      </c>
      <c r="C276" s="12" t="s">
        <v>839</v>
      </c>
      <c r="D276" s="12" t="s">
        <v>1678</v>
      </c>
      <c r="E276" s="12" t="s">
        <v>1779</v>
      </c>
      <c r="F276" s="11">
        <v>1</v>
      </c>
      <c r="G276" s="12">
        <v>203.61</v>
      </c>
      <c r="H276" s="9">
        <v>0.24</v>
      </c>
      <c r="I276" s="12" t="s">
        <v>1829</v>
      </c>
      <c r="J276" s="9">
        <v>154.74359999999999</v>
      </c>
    </row>
    <row r="277" spans="1:10" x14ac:dyDescent="0.3">
      <c r="A277" s="22" t="s">
        <v>2086</v>
      </c>
      <c r="B277" s="10">
        <v>45856</v>
      </c>
      <c r="C277" s="12" t="s">
        <v>1295</v>
      </c>
      <c r="D277" s="12" t="s">
        <v>1742</v>
      </c>
      <c r="E277" s="12" t="s">
        <v>1801</v>
      </c>
      <c r="F277" s="11">
        <v>4</v>
      </c>
      <c r="G277" s="12">
        <v>493.8</v>
      </c>
      <c r="H277" s="9">
        <v>0.24</v>
      </c>
      <c r="I277" s="12" t="s">
        <v>1829</v>
      </c>
      <c r="J277" s="9">
        <v>1501.152</v>
      </c>
    </row>
    <row r="278" spans="1:10" x14ac:dyDescent="0.3">
      <c r="A278" s="22" t="s">
        <v>2087</v>
      </c>
      <c r="B278" s="10">
        <v>45485</v>
      </c>
      <c r="C278" s="12" t="s">
        <v>78</v>
      </c>
      <c r="D278" s="12" t="s">
        <v>1630</v>
      </c>
      <c r="E278" s="12" t="s">
        <v>1807</v>
      </c>
      <c r="F278" s="11">
        <v>1</v>
      </c>
      <c r="G278" s="12">
        <v>640.54999999999995</v>
      </c>
      <c r="H278" s="9">
        <v>0.25</v>
      </c>
      <c r="I278" s="12" t="s">
        <v>1824</v>
      </c>
      <c r="J278" s="9">
        <v>480.41250000000002</v>
      </c>
    </row>
    <row r="279" spans="1:10" x14ac:dyDescent="0.3">
      <c r="A279" s="22" t="s">
        <v>2088</v>
      </c>
      <c r="B279" s="10">
        <v>45545</v>
      </c>
      <c r="C279" s="12" t="s">
        <v>414</v>
      </c>
      <c r="D279" s="12" t="s">
        <v>1696</v>
      </c>
      <c r="E279" s="12" t="s">
        <v>1769</v>
      </c>
      <c r="F279" s="11">
        <v>1</v>
      </c>
      <c r="G279" s="12">
        <v>702.53</v>
      </c>
      <c r="H279" s="9">
        <v>0.3</v>
      </c>
      <c r="I279" s="12" t="s">
        <v>1824</v>
      </c>
      <c r="J279" s="9">
        <v>491.77100000000002</v>
      </c>
    </row>
    <row r="280" spans="1:10" x14ac:dyDescent="0.3">
      <c r="A280" s="22" t="s">
        <v>2089</v>
      </c>
      <c r="B280" s="10">
        <v>45826</v>
      </c>
      <c r="C280" s="12" t="s">
        <v>724</v>
      </c>
      <c r="D280" s="12" t="s">
        <v>1626</v>
      </c>
      <c r="E280" s="12" t="s">
        <v>1782</v>
      </c>
      <c r="F280" s="11">
        <v>4</v>
      </c>
      <c r="G280" s="12">
        <v>139.94</v>
      </c>
      <c r="H280" s="9">
        <v>0.24</v>
      </c>
      <c r="I280" s="12" t="s">
        <v>1824</v>
      </c>
      <c r="J280" s="9">
        <v>425.41759999999999</v>
      </c>
    </row>
    <row r="281" spans="1:10" x14ac:dyDescent="0.3">
      <c r="A281" s="22" t="s">
        <v>2090</v>
      </c>
      <c r="B281" s="10">
        <v>45654</v>
      </c>
      <c r="C281" s="12" t="s">
        <v>881</v>
      </c>
      <c r="D281" s="12" t="s">
        <v>1586</v>
      </c>
      <c r="E281" s="12" t="s">
        <v>1782</v>
      </c>
      <c r="F281" s="11">
        <v>2</v>
      </c>
      <c r="G281" s="12">
        <v>230.85</v>
      </c>
      <c r="H281" s="9">
        <v>0.18</v>
      </c>
      <c r="I281" s="12" t="s">
        <v>1824</v>
      </c>
      <c r="J281" s="9">
        <v>378.59399999999999</v>
      </c>
    </row>
    <row r="282" spans="1:10" x14ac:dyDescent="0.3">
      <c r="A282" s="22" t="s">
        <v>2091</v>
      </c>
      <c r="B282" s="10">
        <v>45556</v>
      </c>
      <c r="C282" s="12" t="s">
        <v>687</v>
      </c>
      <c r="D282" s="12" t="s">
        <v>1718</v>
      </c>
      <c r="E282" s="12" t="s">
        <v>1807</v>
      </c>
      <c r="F282" s="11">
        <v>4</v>
      </c>
      <c r="G282" s="12">
        <v>626.35</v>
      </c>
      <c r="H282" s="9">
        <v>0.25</v>
      </c>
      <c r="I282" s="12" t="s">
        <v>1829</v>
      </c>
      <c r="J282" s="9">
        <v>1879.05</v>
      </c>
    </row>
    <row r="283" spans="1:10" x14ac:dyDescent="0.3">
      <c r="A283" s="22" t="s">
        <v>2092</v>
      </c>
      <c r="B283" s="10">
        <v>45434</v>
      </c>
      <c r="C283" s="12" t="s">
        <v>298</v>
      </c>
      <c r="D283" s="12" t="s">
        <v>1630</v>
      </c>
      <c r="E283" s="12" t="s">
        <v>1799</v>
      </c>
      <c r="F283" s="11">
        <v>4</v>
      </c>
      <c r="G283" s="12">
        <v>108.55</v>
      </c>
      <c r="H283" s="9">
        <v>0.18</v>
      </c>
      <c r="I283" s="12" t="s">
        <v>1826</v>
      </c>
      <c r="J283" s="9">
        <v>356.04399999999998</v>
      </c>
    </row>
    <row r="284" spans="1:10" x14ac:dyDescent="0.3">
      <c r="A284" s="22" t="s">
        <v>2093</v>
      </c>
      <c r="B284" s="10">
        <v>45871</v>
      </c>
      <c r="C284" s="12" t="s">
        <v>628</v>
      </c>
      <c r="D284" s="12" t="s">
        <v>1582</v>
      </c>
      <c r="E284" s="12" t="s">
        <v>1757</v>
      </c>
      <c r="F284" s="11">
        <v>4</v>
      </c>
      <c r="G284" s="12">
        <v>353.67</v>
      </c>
      <c r="H284" s="9">
        <v>0.03</v>
      </c>
      <c r="I284" s="12" t="s">
        <v>1829</v>
      </c>
      <c r="J284" s="9">
        <v>1372.2396000000001</v>
      </c>
    </row>
    <row r="285" spans="1:10" x14ac:dyDescent="0.3">
      <c r="A285" s="22" t="s">
        <v>2094</v>
      </c>
      <c r="B285" s="10">
        <v>45583</v>
      </c>
      <c r="C285" s="12" t="s">
        <v>241</v>
      </c>
      <c r="D285" s="12" t="s">
        <v>1728</v>
      </c>
      <c r="E285" s="12" t="s">
        <v>1757</v>
      </c>
      <c r="F285" s="11">
        <v>4</v>
      </c>
      <c r="G285" s="12">
        <v>61.98</v>
      </c>
      <c r="H285" s="9">
        <v>0.16</v>
      </c>
      <c r="I285" s="12" t="s">
        <v>1824</v>
      </c>
      <c r="J285" s="9">
        <v>208.25280000000001</v>
      </c>
    </row>
    <row r="286" spans="1:10" x14ac:dyDescent="0.3">
      <c r="A286" s="22" t="s">
        <v>2095</v>
      </c>
      <c r="B286" s="10">
        <v>45348</v>
      </c>
      <c r="C286" s="12" t="s">
        <v>702</v>
      </c>
      <c r="D286" s="12" t="s">
        <v>1592</v>
      </c>
      <c r="E286" s="12" t="s">
        <v>1813</v>
      </c>
      <c r="F286" s="11">
        <v>2</v>
      </c>
      <c r="G286" s="12">
        <v>873.1</v>
      </c>
      <c r="H286" s="9">
        <v>0.12</v>
      </c>
      <c r="I286" s="12" t="s">
        <v>1826</v>
      </c>
      <c r="J286" s="9">
        <v>1536.6559999999999</v>
      </c>
    </row>
    <row r="287" spans="1:10" x14ac:dyDescent="0.3">
      <c r="A287" s="22" t="s">
        <v>2096</v>
      </c>
      <c r="B287" s="10">
        <v>45268</v>
      </c>
      <c r="C287" s="12" t="s">
        <v>648</v>
      </c>
      <c r="D287" s="12" t="s">
        <v>1572</v>
      </c>
      <c r="E287" s="12" t="s">
        <v>1801</v>
      </c>
      <c r="F287" s="11">
        <v>4</v>
      </c>
      <c r="G287" s="12">
        <v>889.47</v>
      </c>
      <c r="H287" s="9">
        <v>0.24</v>
      </c>
      <c r="I287" s="12" t="s">
        <v>1824</v>
      </c>
      <c r="J287" s="9">
        <v>2703.9888000000001</v>
      </c>
    </row>
    <row r="288" spans="1:10" x14ac:dyDescent="0.3">
      <c r="A288" s="22" t="s">
        <v>2097</v>
      </c>
      <c r="B288" s="10">
        <v>45596</v>
      </c>
      <c r="C288" s="12" t="s">
        <v>118</v>
      </c>
      <c r="D288" s="12" t="s">
        <v>1696</v>
      </c>
      <c r="E288" s="12" t="s">
        <v>1792</v>
      </c>
      <c r="F288" s="11">
        <v>3</v>
      </c>
      <c r="G288" s="12">
        <v>803.76</v>
      </c>
      <c r="H288" s="9">
        <v>0.19</v>
      </c>
      <c r="I288" s="12" t="s">
        <v>1829</v>
      </c>
      <c r="J288" s="9">
        <v>1953.1368</v>
      </c>
    </row>
    <row r="289" spans="1:10" x14ac:dyDescent="0.3">
      <c r="A289" s="22" t="s">
        <v>2098</v>
      </c>
      <c r="B289" s="10">
        <v>45624</v>
      </c>
      <c r="C289" s="12" t="s">
        <v>1443</v>
      </c>
      <c r="D289" s="12" t="s">
        <v>1698</v>
      </c>
      <c r="E289" s="12" t="s">
        <v>1773</v>
      </c>
      <c r="F289" s="11">
        <v>2</v>
      </c>
      <c r="G289" s="12">
        <v>865.14</v>
      </c>
      <c r="H289" s="9">
        <v>0.2</v>
      </c>
      <c r="I289" s="12" t="s">
        <v>1826</v>
      </c>
      <c r="J289" s="9">
        <v>1384.2239999999999</v>
      </c>
    </row>
    <row r="290" spans="1:10" x14ac:dyDescent="0.3">
      <c r="A290" s="22" t="s">
        <v>2099</v>
      </c>
      <c r="B290" s="10">
        <v>45813</v>
      </c>
      <c r="C290" s="12" t="s">
        <v>347</v>
      </c>
      <c r="D290" s="12" t="s">
        <v>1610</v>
      </c>
      <c r="E290" s="12" t="s">
        <v>1786</v>
      </c>
      <c r="F290" s="11">
        <v>2</v>
      </c>
      <c r="G290" s="12">
        <v>916.49</v>
      </c>
      <c r="H290" s="9">
        <v>0.3</v>
      </c>
      <c r="I290" s="12" t="s">
        <v>1829</v>
      </c>
      <c r="J290" s="9">
        <v>1283.086</v>
      </c>
    </row>
    <row r="291" spans="1:10" x14ac:dyDescent="0.3">
      <c r="A291" s="22" t="s">
        <v>2100</v>
      </c>
      <c r="B291" s="10">
        <v>45615</v>
      </c>
      <c r="C291" s="12" t="s">
        <v>164</v>
      </c>
      <c r="D291" s="12" t="s">
        <v>1650</v>
      </c>
      <c r="E291" s="12" t="s">
        <v>1794</v>
      </c>
      <c r="F291" s="11">
        <v>3</v>
      </c>
      <c r="G291" s="12">
        <v>781.39</v>
      </c>
      <c r="H291" s="9">
        <v>0.12</v>
      </c>
      <c r="I291" s="12" t="s">
        <v>1824</v>
      </c>
      <c r="J291" s="9">
        <v>2062.8696</v>
      </c>
    </row>
    <row r="292" spans="1:10" x14ac:dyDescent="0.3">
      <c r="A292" s="22" t="s">
        <v>2101</v>
      </c>
      <c r="B292" s="10">
        <v>45431</v>
      </c>
      <c r="C292" s="12" t="s">
        <v>687</v>
      </c>
      <c r="D292" s="12" t="s">
        <v>1624</v>
      </c>
      <c r="E292" s="12" t="s">
        <v>1794</v>
      </c>
      <c r="F292" s="11">
        <v>4</v>
      </c>
      <c r="G292" s="12">
        <v>619.74</v>
      </c>
      <c r="H292" s="9">
        <v>0.13</v>
      </c>
      <c r="I292" s="12" t="s">
        <v>1829</v>
      </c>
      <c r="J292" s="9">
        <v>2156.6952000000001</v>
      </c>
    </row>
    <row r="293" spans="1:10" x14ac:dyDescent="0.3">
      <c r="A293" s="22" t="s">
        <v>2102</v>
      </c>
      <c r="B293" s="10">
        <v>45679</v>
      </c>
      <c r="C293" s="12" t="s">
        <v>1481</v>
      </c>
      <c r="D293" s="12" t="s">
        <v>1672</v>
      </c>
      <c r="E293" s="12" t="s">
        <v>1799</v>
      </c>
      <c r="F293" s="11">
        <v>2</v>
      </c>
      <c r="G293" s="12">
        <v>837.76</v>
      </c>
      <c r="H293" s="9">
        <v>0.03</v>
      </c>
      <c r="I293" s="12" t="s">
        <v>1829</v>
      </c>
      <c r="J293" s="9">
        <v>1625.2544</v>
      </c>
    </row>
    <row r="294" spans="1:10" x14ac:dyDescent="0.3">
      <c r="A294" s="22" t="s">
        <v>2103</v>
      </c>
      <c r="B294" s="10">
        <v>45842</v>
      </c>
      <c r="C294" s="12" t="s">
        <v>1395</v>
      </c>
      <c r="D294" s="12" t="s">
        <v>1728</v>
      </c>
      <c r="E294" s="12" t="s">
        <v>1757</v>
      </c>
      <c r="F294" s="11">
        <v>3</v>
      </c>
      <c r="G294" s="12">
        <v>135.94</v>
      </c>
      <c r="H294" s="9">
        <v>0.2</v>
      </c>
      <c r="I294" s="12" t="s">
        <v>1824</v>
      </c>
      <c r="J294" s="9">
        <v>326.25599999999997</v>
      </c>
    </row>
    <row r="295" spans="1:10" x14ac:dyDescent="0.3">
      <c r="A295" s="22" t="s">
        <v>2104</v>
      </c>
      <c r="B295" s="10">
        <v>45796</v>
      </c>
      <c r="C295" s="12" t="s">
        <v>1475</v>
      </c>
      <c r="D295" s="12" t="s">
        <v>1696</v>
      </c>
      <c r="E295" s="12" t="s">
        <v>1757</v>
      </c>
      <c r="F295" s="11">
        <v>4</v>
      </c>
      <c r="G295" s="12">
        <v>396.53</v>
      </c>
      <c r="H295" s="9">
        <v>7.0000000000000007E-2</v>
      </c>
      <c r="I295" s="12" t="s">
        <v>1826</v>
      </c>
      <c r="J295" s="9">
        <v>1475.0916</v>
      </c>
    </row>
    <row r="296" spans="1:10" x14ac:dyDescent="0.3">
      <c r="A296" s="22" t="s">
        <v>2105</v>
      </c>
      <c r="B296" s="10">
        <v>45264</v>
      </c>
      <c r="C296" s="12" t="s">
        <v>713</v>
      </c>
      <c r="D296" s="12" t="s">
        <v>1606</v>
      </c>
      <c r="E296" s="12" t="s">
        <v>1799</v>
      </c>
      <c r="F296" s="11">
        <v>2</v>
      </c>
      <c r="G296" s="12">
        <v>722.45</v>
      </c>
      <c r="H296" s="9">
        <v>0.22</v>
      </c>
      <c r="I296" s="12" t="s">
        <v>1826</v>
      </c>
      <c r="J296" s="9">
        <v>1127.0219999999999</v>
      </c>
    </row>
    <row r="297" spans="1:10" x14ac:dyDescent="0.3">
      <c r="A297" s="22" t="s">
        <v>2106</v>
      </c>
      <c r="B297" s="10">
        <v>45504</v>
      </c>
      <c r="C297" s="12" t="s">
        <v>181</v>
      </c>
      <c r="D297" s="12" t="s">
        <v>1676</v>
      </c>
      <c r="E297" s="12" t="s">
        <v>1761</v>
      </c>
      <c r="F297" s="11">
        <v>2</v>
      </c>
      <c r="G297" s="12">
        <v>138.41</v>
      </c>
      <c r="H297" s="9">
        <v>0.02</v>
      </c>
      <c r="I297" s="12" t="s">
        <v>1824</v>
      </c>
      <c r="J297" s="9">
        <v>271.28359999999998</v>
      </c>
    </row>
    <row r="298" spans="1:10" x14ac:dyDescent="0.3">
      <c r="A298" s="22" t="s">
        <v>2107</v>
      </c>
      <c r="B298" s="10">
        <v>45679</v>
      </c>
      <c r="C298" s="12" t="s">
        <v>435</v>
      </c>
      <c r="D298" s="12" t="s">
        <v>1708</v>
      </c>
      <c r="E298" s="12" t="s">
        <v>1761</v>
      </c>
      <c r="F298" s="11">
        <v>4</v>
      </c>
      <c r="G298" s="12">
        <v>741.51</v>
      </c>
      <c r="H298" s="9">
        <v>0.09</v>
      </c>
      <c r="I298" s="12" t="s">
        <v>1829</v>
      </c>
      <c r="J298" s="9">
        <v>2699.0963999999999</v>
      </c>
    </row>
    <row r="299" spans="1:10" x14ac:dyDescent="0.3">
      <c r="A299" s="22" t="s">
        <v>2108</v>
      </c>
      <c r="B299" s="10">
        <v>45611</v>
      </c>
      <c r="C299" s="12" t="s">
        <v>100</v>
      </c>
      <c r="D299" s="12" t="s">
        <v>1708</v>
      </c>
      <c r="E299" s="12" t="s">
        <v>1807</v>
      </c>
      <c r="F299" s="11">
        <v>2</v>
      </c>
      <c r="G299" s="12">
        <v>588.9</v>
      </c>
      <c r="H299" s="9">
        <v>0.19</v>
      </c>
      <c r="I299" s="12" t="s">
        <v>1826</v>
      </c>
      <c r="J299" s="9">
        <v>954.01800000000003</v>
      </c>
    </row>
    <row r="300" spans="1:10" x14ac:dyDescent="0.3">
      <c r="A300" s="22" t="s">
        <v>2109</v>
      </c>
      <c r="B300" s="10">
        <v>45389</v>
      </c>
      <c r="C300" s="12" t="s">
        <v>960</v>
      </c>
      <c r="D300" s="12" t="s">
        <v>1648</v>
      </c>
      <c r="E300" s="12" t="s">
        <v>1761</v>
      </c>
      <c r="F300" s="11">
        <v>1</v>
      </c>
      <c r="G300" s="12">
        <v>88.92</v>
      </c>
      <c r="H300" s="9">
        <v>0.19</v>
      </c>
      <c r="I300" s="12" t="s">
        <v>1826</v>
      </c>
      <c r="J300" s="9">
        <v>72.025200000000012</v>
      </c>
    </row>
    <row r="301" spans="1:10" x14ac:dyDescent="0.3">
      <c r="A301" s="22" t="s">
        <v>2110</v>
      </c>
      <c r="B301" s="10">
        <v>45339</v>
      </c>
      <c r="C301" s="12" t="s">
        <v>411</v>
      </c>
      <c r="D301" s="12" t="s">
        <v>1670</v>
      </c>
      <c r="E301" s="12" t="s">
        <v>1804</v>
      </c>
      <c r="F301" s="11">
        <v>1</v>
      </c>
      <c r="G301" s="12">
        <v>299.13</v>
      </c>
      <c r="H301" s="9">
        <v>0.1</v>
      </c>
      <c r="I301" s="12" t="s">
        <v>1829</v>
      </c>
      <c r="J301" s="9">
        <v>269.21699999999998</v>
      </c>
    </row>
    <row r="302" spans="1:10" x14ac:dyDescent="0.3">
      <c r="A302" s="22" t="s">
        <v>2111</v>
      </c>
      <c r="B302" s="10">
        <v>45433</v>
      </c>
      <c r="C302" s="12" t="s">
        <v>405</v>
      </c>
      <c r="D302" s="12" t="s">
        <v>1702</v>
      </c>
      <c r="E302" s="12" t="s">
        <v>1766</v>
      </c>
      <c r="F302" s="11">
        <v>2</v>
      </c>
      <c r="G302" s="12">
        <v>548.29999999999995</v>
      </c>
      <c r="H302" s="9">
        <v>0.23</v>
      </c>
      <c r="I302" s="12" t="s">
        <v>1824</v>
      </c>
      <c r="J302" s="9">
        <v>844.38199999999995</v>
      </c>
    </row>
    <row r="303" spans="1:10" x14ac:dyDescent="0.3">
      <c r="A303" s="22" t="s">
        <v>2112</v>
      </c>
      <c r="B303" s="10">
        <v>45435</v>
      </c>
      <c r="C303" s="12" t="s">
        <v>836</v>
      </c>
      <c r="D303" s="12" t="s">
        <v>1656</v>
      </c>
      <c r="E303" s="12" t="s">
        <v>1789</v>
      </c>
      <c r="F303" s="11">
        <v>3</v>
      </c>
      <c r="G303" s="12">
        <v>977.55</v>
      </c>
      <c r="H303" s="9">
        <v>0.02</v>
      </c>
      <c r="I303" s="12" t="s">
        <v>1826</v>
      </c>
      <c r="J303" s="9">
        <v>2873.9969999999989</v>
      </c>
    </row>
    <row r="304" spans="1:10" x14ac:dyDescent="0.3">
      <c r="A304" s="22" t="s">
        <v>2113</v>
      </c>
      <c r="B304" s="10">
        <v>45823</v>
      </c>
      <c r="C304" s="12" t="s">
        <v>1086</v>
      </c>
      <c r="D304" s="12" t="s">
        <v>1636</v>
      </c>
      <c r="E304" s="12" t="s">
        <v>1810</v>
      </c>
      <c r="F304" s="11">
        <v>1</v>
      </c>
      <c r="G304" s="12">
        <v>459.42</v>
      </c>
      <c r="H304" s="9">
        <v>0.28000000000000003</v>
      </c>
      <c r="I304" s="12" t="s">
        <v>1829</v>
      </c>
      <c r="J304" s="9">
        <v>330.7824</v>
      </c>
    </row>
    <row r="305" spans="1:10" x14ac:dyDescent="0.3">
      <c r="A305" s="22" t="s">
        <v>2114</v>
      </c>
      <c r="B305" s="10">
        <v>45663</v>
      </c>
      <c r="C305" s="12" t="s">
        <v>318</v>
      </c>
      <c r="D305" s="12" t="s">
        <v>1549</v>
      </c>
      <c r="E305" s="12" t="s">
        <v>1769</v>
      </c>
      <c r="F305" s="11">
        <v>2</v>
      </c>
      <c r="G305" s="12">
        <v>123.19</v>
      </c>
      <c r="H305" s="9">
        <v>0.19</v>
      </c>
      <c r="I305" s="12" t="s">
        <v>1824</v>
      </c>
      <c r="J305" s="9">
        <v>199.56780000000001</v>
      </c>
    </row>
    <row r="306" spans="1:10" x14ac:dyDescent="0.3">
      <c r="A306" s="22" t="s">
        <v>2115</v>
      </c>
      <c r="B306" s="10">
        <v>45879</v>
      </c>
      <c r="C306" s="12" t="s">
        <v>1121</v>
      </c>
      <c r="D306" s="12" t="s">
        <v>1658</v>
      </c>
      <c r="E306" s="12" t="s">
        <v>1813</v>
      </c>
      <c r="F306" s="11">
        <v>1</v>
      </c>
      <c r="G306" s="12">
        <v>222.95</v>
      </c>
      <c r="H306" s="9">
        <v>0.02</v>
      </c>
      <c r="I306" s="12" t="s">
        <v>1826</v>
      </c>
      <c r="J306" s="9">
        <v>218.49100000000001</v>
      </c>
    </row>
    <row r="307" spans="1:10" x14ac:dyDescent="0.3">
      <c r="A307" s="22" t="s">
        <v>2116</v>
      </c>
      <c r="B307" s="10">
        <v>45840</v>
      </c>
      <c r="C307" s="12" t="s">
        <v>1044</v>
      </c>
      <c r="D307" s="12" t="s">
        <v>1612</v>
      </c>
      <c r="E307" s="12" t="s">
        <v>1769</v>
      </c>
      <c r="F307" s="11">
        <v>3</v>
      </c>
      <c r="G307" s="12">
        <v>601.92999999999995</v>
      </c>
      <c r="H307" s="9">
        <v>0.14000000000000001</v>
      </c>
      <c r="I307" s="12" t="s">
        <v>1824</v>
      </c>
      <c r="J307" s="9">
        <v>1552.9793999999999</v>
      </c>
    </row>
    <row r="308" spans="1:10" x14ac:dyDescent="0.3">
      <c r="A308" s="22" t="s">
        <v>2117</v>
      </c>
      <c r="B308" s="10">
        <v>45380</v>
      </c>
      <c r="C308" s="12" t="s">
        <v>939</v>
      </c>
      <c r="D308" s="12" t="s">
        <v>1686</v>
      </c>
      <c r="E308" s="12" t="s">
        <v>1761</v>
      </c>
      <c r="F308" s="11">
        <v>1</v>
      </c>
      <c r="G308" s="12">
        <v>564.1</v>
      </c>
      <c r="H308" s="9">
        <v>0.03</v>
      </c>
      <c r="I308" s="12" t="s">
        <v>1824</v>
      </c>
      <c r="J308" s="9">
        <v>547.17700000000002</v>
      </c>
    </row>
    <row r="309" spans="1:10" x14ac:dyDescent="0.3">
      <c r="A309" s="22" t="s">
        <v>2118</v>
      </c>
      <c r="B309" s="10">
        <v>45672</v>
      </c>
      <c r="C309" s="12" t="s">
        <v>341</v>
      </c>
      <c r="D309" s="12" t="s">
        <v>1708</v>
      </c>
      <c r="E309" s="12" t="s">
        <v>1773</v>
      </c>
      <c r="F309" s="11">
        <v>1</v>
      </c>
      <c r="G309" s="12">
        <v>516.62</v>
      </c>
      <c r="H309" s="9">
        <v>0.18</v>
      </c>
      <c r="I309" s="12" t="s">
        <v>1824</v>
      </c>
      <c r="J309" s="9">
        <v>423.62840000000011</v>
      </c>
    </row>
    <row r="310" spans="1:10" x14ac:dyDescent="0.3">
      <c r="A310" s="22" t="s">
        <v>2119</v>
      </c>
      <c r="B310" s="10">
        <v>45497</v>
      </c>
      <c r="C310" s="12" t="s">
        <v>1357</v>
      </c>
      <c r="D310" s="12" t="s">
        <v>1674</v>
      </c>
      <c r="E310" s="12" t="s">
        <v>1794</v>
      </c>
      <c r="F310" s="11">
        <v>1</v>
      </c>
      <c r="G310" s="12">
        <v>934.75</v>
      </c>
      <c r="H310" s="9">
        <v>0.11</v>
      </c>
      <c r="I310" s="12" t="s">
        <v>1826</v>
      </c>
      <c r="J310" s="9">
        <v>831.92750000000001</v>
      </c>
    </row>
    <row r="311" spans="1:10" x14ac:dyDescent="0.3">
      <c r="A311" s="22" t="s">
        <v>2120</v>
      </c>
      <c r="B311" s="10">
        <v>45407</v>
      </c>
      <c r="C311" s="12" t="s">
        <v>752</v>
      </c>
      <c r="D311" s="12" t="s">
        <v>1744</v>
      </c>
      <c r="E311" s="12" t="s">
        <v>1779</v>
      </c>
      <c r="F311" s="11">
        <v>4</v>
      </c>
      <c r="G311" s="12">
        <v>548.44000000000005</v>
      </c>
      <c r="H311" s="9">
        <v>0.05</v>
      </c>
      <c r="I311" s="12" t="s">
        <v>1826</v>
      </c>
      <c r="J311" s="9">
        <v>2084.0720000000001</v>
      </c>
    </row>
    <row r="312" spans="1:10" x14ac:dyDescent="0.3">
      <c r="A312" s="22" t="s">
        <v>2121</v>
      </c>
      <c r="B312" s="10">
        <v>45764</v>
      </c>
      <c r="C312" s="12" t="s">
        <v>63</v>
      </c>
      <c r="D312" s="12" t="s">
        <v>1622</v>
      </c>
      <c r="E312" s="12" t="s">
        <v>1766</v>
      </c>
      <c r="F312" s="11">
        <v>3</v>
      </c>
      <c r="G312" s="12">
        <v>361.11</v>
      </c>
      <c r="H312" s="9">
        <v>0.06</v>
      </c>
      <c r="I312" s="12" t="s">
        <v>1824</v>
      </c>
      <c r="J312" s="9">
        <v>1018.3302</v>
      </c>
    </row>
    <row r="313" spans="1:10" x14ac:dyDescent="0.3">
      <c r="A313" s="22" t="s">
        <v>2122</v>
      </c>
      <c r="B313" s="10">
        <v>45924</v>
      </c>
      <c r="C313" s="12" t="s">
        <v>616</v>
      </c>
      <c r="D313" s="12" t="s">
        <v>1574</v>
      </c>
      <c r="E313" s="12" t="s">
        <v>1757</v>
      </c>
      <c r="F313" s="11">
        <v>2</v>
      </c>
      <c r="G313" s="12">
        <v>610.37</v>
      </c>
      <c r="H313" s="9">
        <v>0.1</v>
      </c>
      <c r="I313" s="12" t="s">
        <v>1826</v>
      </c>
      <c r="J313" s="9">
        <v>1098.6659999999999</v>
      </c>
    </row>
    <row r="314" spans="1:10" x14ac:dyDescent="0.3">
      <c r="A314" s="22" t="s">
        <v>2123</v>
      </c>
      <c r="B314" s="10">
        <v>45240</v>
      </c>
      <c r="C314" s="12" t="s">
        <v>1050</v>
      </c>
      <c r="D314" s="12" t="s">
        <v>1650</v>
      </c>
      <c r="E314" s="12" t="s">
        <v>1804</v>
      </c>
      <c r="F314" s="11">
        <v>1</v>
      </c>
      <c r="G314" s="12">
        <v>272.2</v>
      </c>
      <c r="H314" s="9">
        <v>0.3</v>
      </c>
      <c r="I314" s="12" t="s">
        <v>1824</v>
      </c>
      <c r="J314" s="9">
        <v>190.54</v>
      </c>
    </row>
    <row r="315" spans="1:10" x14ac:dyDescent="0.3">
      <c r="A315" s="22" t="s">
        <v>2124</v>
      </c>
      <c r="B315" s="10">
        <v>45349</v>
      </c>
      <c r="C315" s="12" t="s">
        <v>1357</v>
      </c>
      <c r="D315" s="12" t="s">
        <v>1702</v>
      </c>
      <c r="E315" s="12" t="s">
        <v>1776</v>
      </c>
      <c r="F315" s="11">
        <v>3</v>
      </c>
      <c r="G315" s="12">
        <v>573.1</v>
      </c>
      <c r="H315" s="9">
        <v>0.16</v>
      </c>
      <c r="I315" s="12" t="s">
        <v>1829</v>
      </c>
      <c r="J315" s="9">
        <v>1444.212</v>
      </c>
    </row>
    <row r="316" spans="1:10" x14ac:dyDescent="0.3">
      <c r="A316" s="22" t="s">
        <v>2125</v>
      </c>
      <c r="B316" s="10">
        <v>45756</v>
      </c>
      <c r="C316" s="12" t="s">
        <v>1014</v>
      </c>
      <c r="D316" s="12" t="s">
        <v>1557</v>
      </c>
      <c r="E316" s="12" t="s">
        <v>1752</v>
      </c>
      <c r="F316" s="11">
        <v>4</v>
      </c>
      <c r="G316" s="12">
        <v>24.72</v>
      </c>
      <c r="H316" s="9">
        <v>0.28000000000000003</v>
      </c>
      <c r="I316" s="12" t="s">
        <v>1824</v>
      </c>
      <c r="J316" s="9">
        <v>71.193599999999989</v>
      </c>
    </row>
    <row r="317" spans="1:10" x14ac:dyDescent="0.3">
      <c r="A317" s="22" t="s">
        <v>2126</v>
      </c>
      <c r="B317" s="10">
        <v>45478</v>
      </c>
      <c r="C317" s="12" t="s">
        <v>803</v>
      </c>
      <c r="D317" s="12" t="s">
        <v>1565</v>
      </c>
      <c r="E317" s="12" t="s">
        <v>1786</v>
      </c>
      <c r="F317" s="11">
        <v>3</v>
      </c>
      <c r="G317" s="12">
        <v>268.89</v>
      </c>
      <c r="H317" s="9">
        <v>7.0000000000000007E-2</v>
      </c>
      <c r="I317" s="12" t="s">
        <v>1829</v>
      </c>
      <c r="J317" s="9">
        <v>750.20309999999995</v>
      </c>
    </row>
    <row r="318" spans="1:10" x14ac:dyDescent="0.3">
      <c r="A318" s="22" t="s">
        <v>2127</v>
      </c>
      <c r="B318" s="10">
        <v>45890</v>
      </c>
      <c r="C318" s="12" t="s">
        <v>821</v>
      </c>
      <c r="D318" s="12" t="s">
        <v>1684</v>
      </c>
      <c r="E318" s="12" t="s">
        <v>1786</v>
      </c>
      <c r="F318" s="11">
        <v>1</v>
      </c>
      <c r="G318" s="12">
        <v>78.5</v>
      </c>
      <c r="H318" s="9">
        <v>0.17</v>
      </c>
      <c r="I318" s="12" t="s">
        <v>1829</v>
      </c>
      <c r="J318" s="9">
        <v>65.155000000000001</v>
      </c>
    </row>
    <row r="319" spans="1:10" x14ac:dyDescent="0.3">
      <c r="A319" s="22" t="s">
        <v>2128</v>
      </c>
      <c r="B319" s="10">
        <v>45815</v>
      </c>
      <c r="C319" s="12" t="s">
        <v>455</v>
      </c>
      <c r="D319" s="12" t="s">
        <v>1620</v>
      </c>
      <c r="E319" s="12" t="s">
        <v>1769</v>
      </c>
      <c r="F319" s="11">
        <v>3</v>
      </c>
      <c r="G319" s="12">
        <v>399.42</v>
      </c>
      <c r="H319" s="9">
        <v>0.02</v>
      </c>
      <c r="I319" s="12" t="s">
        <v>1824</v>
      </c>
      <c r="J319" s="9">
        <v>1174.2947999999999</v>
      </c>
    </row>
    <row r="320" spans="1:10" x14ac:dyDescent="0.3">
      <c r="A320" s="22" t="s">
        <v>2129</v>
      </c>
      <c r="B320" s="10">
        <v>45891</v>
      </c>
      <c r="C320" s="12" t="s">
        <v>307</v>
      </c>
      <c r="D320" s="12" t="s">
        <v>1610</v>
      </c>
      <c r="E320" s="12" t="s">
        <v>1813</v>
      </c>
      <c r="F320" s="11">
        <v>3</v>
      </c>
      <c r="G320" s="12">
        <v>455.82</v>
      </c>
      <c r="H320" s="9">
        <v>0.01</v>
      </c>
      <c r="I320" s="12" t="s">
        <v>1826</v>
      </c>
      <c r="J320" s="9">
        <v>1353.7854</v>
      </c>
    </row>
    <row r="321" spans="1:10" x14ac:dyDescent="0.3">
      <c r="A321" s="22" t="s">
        <v>2130</v>
      </c>
      <c r="B321" s="10">
        <v>45609</v>
      </c>
      <c r="C321" s="12" t="s">
        <v>1095</v>
      </c>
      <c r="D321" s="12" t="s">
        <v>1648</v>
      </c>
      <c r="E321" s="12" t="s">
        <v>1773</v>
      </c>
      <c r="F321" s="11">
        <v>2</v>
      </c>
      <c r="G321" s="12">
        <v>613.23</v>
      </c>
      <c r="H321" s="9">
        <v>0.15</v>
      </c>
      <c r="I321" s="12" t="s">
        <v>1826</v>
      </c>
      <c r="J321" s="9">
        <v>1042.491</v>
      </c>
    </row>
    <row r="322" spans="1:10" x14ac:dyDescent="0.3">
      <c r="A322" s="22" t="s">
        <v>2131</v>
      </c>
      <c r="B322" s="10">
        <v>45309</v>
      </c>
      <c r="C322" s="12" t="s">
        <v>1414</v>
      </c>
      <c r="D322" s="12" t="s">
        <v>1549</v>
      </c>
      <c r="E322" s="12" t="s">
        <v>1799</v>
      </c>
      <c r="F322" s="11">
        <v>4</v>
      </c>
      <c r="G322" s="12">
        <v>971.9</v>
      </c>
      <c r="H322" s="9">
        <v>0.28000000000000003</v>
      </c>
      <c r="I322" s="12" t="s">
        <v>1826</v>
      </c>
      <c r="J322" s="9">
        <v>2799.0720000000001</v>
      </c>
    </row>
    <row r="323" spans="1:10" x14ac:dyDescent="0.3">
      <c r="A323" s="22" t="s">
        <v>2132</v>
      </c>
      <c r="B323" s="10">
        <v>45519</v>
      </c>
      <c r="C323" s="12" t="s">
        <v>137</v>
      </c>
      <c r="D323" s="12" t="s">
        <v>1604</v>
      </c>
      <c r="E323" s="12" t="s">
        <v>1779</v>
      </c>
      <c r="F323" s="11">
        <v>3</v>
      </c>
      <c r="G323" s="12">
        <v>884.92</v>
      </c>
      <c r="H323" s="9">
        <v>0.06</v>
      </c>
      <c r="I323" s="12" t="s">
        <v>1826</v>
      </c>
      <c r="J323" s="9">
        <v>2495.4744000000001</v>
      </c>
    </row>
    <row r="324" spans="1:10" x14ac:dyDescent="0.3">
      <c r="A324" s="22" t="s">
        <v>2133</v>
      </c>
      <c r="B324" s="10">
        <v>45921</v>
      </c>
      <c r="C324" s="12" t="s">
        <v>314</v>
      </c>
      <c r="D324" s="12" t="s">
        <v>1562</v>
      </c>
      <c r="E324" s="12" t="s">
        <v>1786</v>
      </c>
      <c r="F324" s="11">
        <v>1</v>
      </c>
      <c r="G324" s="12">
        <v>125</v>
      </c>
      <c r="H324" s="9">
        <v>0.23</v>
      </c>
      <c r="I324" s="12" t="s">
        <v>1824</v>
      </c>
      <c r="J324" s="9">
        <v>96.25</v>
      </c>
    </row>
    <row r="325" spans="1:10" x14ac:dyDescent="0.3">
      <c r="A325" s="22" t="s">
        <v>2134</v>
      </c>
      <c r="B325" s="10">
        <v>45465</v>
      </c>
      <c r="C325" s="12" t="s">
        <v>441</v>
      </c>
      <c r="D325" s="12" t="s">
        <v>1568</v>
      </c>
      <c r="E325" s="12" t="s">
        <v>1801</v>
      </c>
      <c r="F325" s="11">
        <v>2</v>
      </c>
      <c r="G325" s="12">
        <v>188.25</v>
      </c>
      <c r="H325" s="9">
        <v>0.08</v>
      </c>
      <c r="I325" s="12" t="s">
        <v>1826</v>
      </c>
      <c r="J325" s="9">
        <v>346.38</v>
      </c>
    </row>
    <row r="326" spans="1:10" x14ac:dyDescent="0.3">
      <c r="A326" s="22" t="s">
        <v>2135</v>
      </c>
      <c r="B326" s="10">
        <v>45303</v>
      </c>
      <c r="C326" s="12" t="s">
        <v>719</v>
      </c>
      <c r="D326" s="12" t="s">
        <v>1640</v>
      </c>
      <c r="E326" s="12" t="s">
        <v>1776</v>
      </c>
      <c r="F326" s="11">
        <v>4</v>
      </c>
      <c r="G326" s="12">
        <v>344.12</v>
      </c>
      <c r="H326" s="9">
        <v>0.25</v>
      </c>
      <c r="I326" s="12" t="s">
        <v>1826</v>
      </c>
      <c r="J326" s="9">
        <v>1032.3599999999999</v>
      </c>
    </row>
    <row r="327" spans="1:10" x14ac:dyDescent="0.3">
      <c r="A327" s="22" t="s">
        <v>2136</v>
      </c>
      <c r="B327" s="10">
        <v>45218</v>
      </c>
      <c r="C327" s="12" t="s">
        <v>181</v>
      </c>
      <c r="D327" s="12" t="s">
        <v>1582</v>
      </c>
      <c r="E327" s="12" t="s">
        <v>1813</v>
      </c>
      <c r="F327" s="11">
        <v>3</v>
      </c>
      <c r="G327" s="12">
        <v>997.95</v>
      </c>
      <c r="H327" s="9">
        <v>0.09</v>
      </c>
      <c r="I327" s="12" t="s">
        <v>1829</v>
      </c>
      <c r="J327" s="9">
        <v>2724.4034999999999</v>
      </c>
    </row>
    <row r="328" spans="1:10" x14ac:dyDescent="0.3">
      <c r="A328" s="22" t="s">
        <v>2137</v>
      </c>
      <c r="B328" s="10">
        <v>45727</v>
      </c>
      <c r="C328" s="12" t="s">
        <v>505</v>
      </c>
      <c r="D328" s="12" t="s">
        <v>1570</v>
      </c>
      <c r="E328" s="12" t="s">
        <v>1801</v>
      </c>
      <c r="F328" s="11">
        <v>3</v>
      </c>
      <c r="G328" s="12">
        <v>121.64</v>
      </c>
      <c r="H328" s="9">
        <v>7.0000000000000007E-2</v>
      </c>
      <c r="I328" s="12" t="s">
        <v>1826</v>
      </c>
      <c r="J328" s="9">
        <v>339.37560000000002</v>
      </c>
    </row>
    <row r="329" spans="1:10" x14ac:dyDescent="0.3">
      <c r="A329" s="22" t="s">
        <v>2138</v>
      </c>
      <c r="B329" s="10">
        <v>45557</v>
      </c>
      <c r="C329" s="12" t="s">
        <v>716</v>
      </c>
      <c r="D329" s="12" t="s">
        <v>1684</v>
      </c>
      <c r="E329" s="12" t="s">
        <v>1789</v>
      </c>
      <c r="F329" s="11">
        <v>2</v>
      </c>
      <c r="G329" s="12">
        <v>692.72</v>
      </c>
      <c r="H329" s="9">
        <v>0.13</v>
      </c>
      <c r="I329" s="12" t="s">
        <v>1826</v>
      </c>
      <c r="J329" s="9">
        <v>1205.3327999999999</v>
      </c>
    </row>
    <row r="330" spans="1:10" x14ac:dyDescent="0.3">
      <c r="A330" s="22" t="s">
        <v>2139</v>
      </c>
      <c r="B330" s="10">
        <v>45623</v>
      </c>
      <c r="C330" s="12" t="s">
        <v>114</v>
      </c>
      <c r="D330" s="12" t="s">
        <v>1596</v>
      </c>
      <c r="E330" s="12" t="s">
        <v>1813</v>
      </c>
      <c r="F330" s="11">
        <v>3</v>
      </c>
      <c r="G330" s="12">
        <v>794.59</v>
      </c>
      <c r="H330" s="9">
        <v>0.03</v>
      </c>
      <c r="I330" s="12" t="s">
        <v>1826</v>
      </c>
      <c r="J330" s="9">
        <v>2312.2568999999999</v>
      </c>
    </row>
    <row r="331" spans="1:10" x14ac:dyDescent="0.3">
      <c r="A331" s="22" t="s">
        <v>2140</v>
      </c>
      <c r="B331" s="10">
        <v>45224</v>
      </c>
      <c r="C331" s="12" t="s">
        <v>67</v>
      </c>
      <c r="D331" s="12" t="s">
        <v>1600</v>
      </c>
      <c r="E331" s="12" t="s">
        <v>1786</v>
      </c>
      <c r="F331" s="11">
        <v>1</v>
      </c>
      <c r="G331" s="12">
        <v>907.95</v>
      </c>
      <c r="H331" s="9">
        <v>0.1</v>
      </c>
      <c r="I331" s="12" t="s">
        <v>1826</v>
      </c>
      <c r="J331" s="9">
        <v>817.15500000000009</v>
      </c>
    </row>
    <row r="332" spans="1:10" x14ac:dyDescent="0.3">
      <c r="A332" s="22" t="s">
        <v>2141</v>
      </c>
      <c r="B332" s="10">
        <v>45940</v>
      </c>
      <c r="C332" s="12" t="s">
        <v>911</v>
      </c>
      <c r="D332" s="12" t="s">
        <v>1648</v>
      </c>
      <c r="E332" s="12" t="s">
        <v>1752</v>
      </c>
      <c r="F332" s="11">
        <v>2</v>
      </c>
      <c r="G332" s="12">
        <v>660.81</v>
      </c>
      <c r="H332" s="9">
        <v>0.18</v>
      </c>
      <c r="I332" s="12" t="s">
        <v>1824</v>
      </c>
      <c r="J332" s="9">
        <v>1083.7284</v>
      </c>
    </row>
    <row r="333" spans="1:10" x14ac:dyDescent="0.3">
      <c r="A333" s="22" t="s">
        <v>2142</v>
      </c>
      <c r="B333" s="10">
        <v>45915</v>
      </c>
      <c r="C333" s="12" t="s">
        <v>227</v>
      </c>
      <c r="D333" s="12" t="s">
        <v>1650</v>
      </c>
      <c r="E333" s="12" t="s">
        <v>1782</v>
      </c>
      <c r="F333" s="11">
        <v>3</v>
      </c>
      <c r="G333" s="12">
        <v>564.94000000000005</v>
      </c>
      <c r="H333" s="9">
        <v>0.22</v>
      </c>
      <c r="I333" s="12" t="s">
        <v>1829</v>
      </c>
      <c r="J333" s="9">
        <v>1321.9595999999999</v>
      </c>
    </row>
    <row r="334" spans="1:10" x14ac:dyDescent="0.3">
      <c r="A334" s="22" t="s">
        <v>2143</v>
      </c>
      <c r="B334" s="10">
        <v>45541</v>
      </c>
      <c r="C334" s="12" t="s">
        <v>205</v>
      </c>
      <c r="D334" s="12" t="s">
        <v>1578</v>
      </c>
      <c r="E334" s="12" t="s">
        <v>1801</v>
      </c>
      <c r="F334" s="11">
        <v>2</v>
      </c>
      <c r="G334" s="12">
        <v>280.37</v>
      </c>
      <c r="H334" s="9">
        <v>0.22</v>
      </c>
      <c r="I334" s="12" t="s">
        <v>1829</v>
      </c>
      <c r="J334" s="9">
        <v>437.37720000000002</v>
      </c>
    </row>
    <row r="335" spans="1:10" x14ac:dyDescent="0.3">
      <c r="A335" s="22" t="s">
        <v>2144</v>
      </c>
      <c r="B335" s="10">
        <v>45489</v>
      </c>
      <c r="C335" s="12" t="s">
        <v>1163</v>
      </c>
      <c r="D335" s="12" t="s">
        <v>1648</v>
      </c>
      <c r="E335" s="12" t="s">
        <v>1766</v>
      </c>
      <c r="F335" s="11">
        <v>2</v>
      </c>
      <c r="G335" s="12">
        <v>85.23</v>
      </c>
      <c r="H335" s="9">
        <v>0.13</v>
      </c>
      <c r="I335" s="12" t="s">
        <v>1824</v>
      </c>
      <c r="J335" s="9">
        <v>148.30019999999999</v>
      </c>
    </row>
    <row r="336" spans="1:10" x14ac:dyDescent="0.3">
      <c r="A336" s="22" t="s">
        <v>2145</v>
      </c>
      <c r="B336" s="10">
        <v>45748</v>
      </c>
      <c r="C336" s="12" t="s">
        <v>984</v>
      </c>
      <c r="D336" s="12" t="s">
        <v>1602</v>
      </c>
      <c r="E336" s="12" t="s">
        <v>1797</v>
      </c>
      <c r="F336" s="11">
        <v>2</v>
      </c>
      <c r="G336" s="12">
        <v>563.29999999999995</v>
      </c>
      <c r="H336" s="9">
        <v>0.26</v>
      </c>
      <c r="I336" s="12" t="s">
        <v>1824</v>
      </c>
      <c r="J336" s="9">
        <v>833.68399999999997</v>
      </c>
    </row>
    <row r="337" spans="1:10" x14ac:dyDescent="0.3">
      <c r="A337" s="22" t="s">
        <v>2146</v>
      </c>
      <c r="B337" s="10">
        <v>45309</v>
      </c>
      <c r="C337" s="12" t="s">
        <v>134</v>
      </c>
      <c r="D337" s="12" t="s">
        <v>1708</v>
      </c>
      <c r="E337" s="12" t="s">
        <v>1810</v>
      </c>
      <c r="F337" s="11">
        <v>2</v>
      </c>
      <c r="G337" s="12">
        <v>827.81</v>
      </c>
      <c r="H337" s="9">
        <v>0.04</v>
      </c>
      <c r="I337" s="12" t="s">
        <v>1826</v>
      </c>
      <c r="J337" s="9">
        <v>1589.3951999999999</v>
      </c>
    </row>
    <row r="338" spans="1:10" x14ac:dyDescent="0.3">
      <c r="A338" s="22" t="s">
        <v>2147</v>
      </c>
      <c r="B338" s="10">
        <v>45621</v>
      </c>
      <c r="C338" s="12" t="s">
        <v>696</v>
      </c>
      <c r="D338" s="12" t="s">
        <v>1572</v>
      </c>
      <c r="E338" s="12" t="s">
        <v>1810</v>
      </c>
      <c r="F338" s="11">
        <v>3</v>
      </c>
      <c r="G338" s="12">
        <v>877.71</v>
      </c>
      <c r="H338" s="9">
        <v>0.12</v>
      </c>
      <c r="I338" s="12" t="s">
        <v>1826</v>
      </c>
      <c r="J338" s="9">
        <v>2317.1543999999999</v>
      </c>
    </row>
    <row r="339" spans="1:10" x14ac:dyDescent="0.3">
      <c r="A339" s="22" t="s">
        <v>2148</v>
      </c>
      <c r="B339" s="10">
        <v>45603</v>
      </c>
      <c r="C339" s="12" t="s">
        <v>821</v>
      </c>
      <c r="D339" s="12" t="s">
        <v>1662</v>
      </c>
      <c r="E339" s="12" t="s">
        <v>1786</v>
      </c>
      <c r="F339" s="11">
        <v>4</v>
      </c>
      <c r="G339" s="12">
        <v>488.56</v>
      </c>
      <c r="H339" s="9">
        <v>0.26</v>
      </c>
      <c r="I339" s="12" t="s">
        <v>1829</v>
      </c>
      <c r="J339" s="9">
        <v>1446.1376</v>
      </c>
    </row>
    <row r="340" spans="1:10" x14ac:dyDescent="0.3">
      <c r="A340" s="22" t="s">
        <v>2149</v>
      </c>
      <c r="B340" s="10">
        <v>45501</v>
      </c>
      <c r="C340" s="12" t="s">
        <v>369</v>
      </c>
      <c r="D340" s="12" t="s">
        <v>1598</v>
      </c>
      <c r="E340" s="12" t="s">
        <v>1794</v>
      </c>
      <c r="F340" s="11">
        <v>4</v>
      </c>
      <c r="G340" s="12">
        <v>175.91</v>
      </c>
      <c r="H340" s="9">
        <v>0.13</v>
      </c>
      <c r="I340" s="12" t="s">
        <v>1826</v>
      </c>
      <c r="J340" s="9">
        <v>612.16679999999997</v>
      </c>
    </row>
    <row r="341" spans="1:10" x14ac:dyDescent="0.3">
      <c r="A341" s="22" t="s">
        <v>2150</v>
      </c>
      <c r="B341" s="10">
        <v>45398</v>
      </c>
      <c r="C341" s="12" t="s">
        <v>794</v>
      </c>
      <c r="D341" s="12" t="s">
        <v>1722</v>
      </c>
      <c r="E341" s="12" t="s">
        <v>1782</v>
      </c>
      <c r="F341" s="11">
        <v>4</v>
      </c>
      <c r="G341" s="12">
        <v>289.66000000000003</v>
      </c>
      <c r="H341" s="9">
        <v>0.25</v>
      </c>
      <c r="I341" s="12" t="s">
        <v>1829</v>
      </c>
      <c r="J341" s="9">
        <v>868.98</v>
      </c>
    </row>
    <row r="342" spans="1:10" x14ac:dyDescent="0.3">
      <c r="A342" s="22" t="s">
        <v>2151</v>
      </c>
      <c r="B342" s="10">
        <v>45304</v>
      </c>
      <c r="C342" s="12" t="s">
        <v>773</v>
      </c>
      <c r="D342" s="12" t="s">
        <v>1578</v>
      </c>
      <c r="E342" s="12" t="s">
        <v>1801</v>
      </c>
      <c r="F342" s="11">
        <v>2</v>
      </c>
      <c r="G342" s="12">
        <v>899.27</v>
      </c>
      <c r="H342" s="9">
        <v>0.17</v>
      </c>
      <c r="I342" s="12" t="s">
        <v>1824</v>
      </c>
      <c r="J342" s="9">
        <v>1492.7882</v>
      </c>
    </row>
    <row r="343" spans="1:10" x14ac:dyDescent="0.3">
      <c r="A343" s="22" t="s">
        <v>2152</v>
      </c>
      <c r="B343" s="10">
        <v>45299</v>
      </c>
      <c r="C343" s="12" t="s">
        <v>241</v>
      </c>
      <c r="D343" s="12" t="s">
        <v>1584</v>
      </c>
      <c r="E343" s="12" t="s">
        <v>1757</v>
      </c>
      <c r="F343" s="11">
        <v>1</v>
      </c>
      <c r="G343" s="12">
        <v>691.38</v>
      </c>
      <c r="H343" s="9">
        <v>0.11</v>
      </c>
      <c r="I343" s="12" t="s">
        <v>1829</v>
      </c>
      <c r="J343" s="9">
        <v>615.32820000000004</v>
      </c>
    </row>
    <row r="344" spans="1:10" x14ac:dyDescent="0.3">
      <c r="A344" s="22" t="s">
        <v>2153</v>
      </c>
      <c r="B344" s="10">
        <v>45564</v>
      </c>
      <c r="C344" s="12" t="s">
        <v>550</v>
      </c>
      <c r="D344" s="12" t="s">
        <v>1602</v>
      </c>
      <c r="E344" s="12" t="s">
        <v>1752</v>
      </c>
      <c r="F344" s="11">
        <v>3</v>
      </c>
      <c r="G344" s="12">
        <v>158.72</v>
      </c>
      <c r="H344" s="9">
        <v>0.13</v>
      </c>
      <c r="I344" s="12" t="s">
        <v>1824</v>
      </c>
      <c r="J344" s="9">
        <v>414.25920000000002</v>
      </c>
    </row>
    <row r="345" spans="1:10" x14ac:dyDescent="0.3">
      <c r="A345" s="22" t="s">
        <v>2154</v>
      </c>
      <c r="B345" s="10">
        <v>45413</v>
      </c>
      <c r="C345" s="12" t="s">
        <v>684</v>
      </c>
      <c r="D345" s="12" t="s">
        <v>1668</v>
      </c>
      <c r="E345" s="12" t="s">
        <v>1804</v>
      </c>
      <c r="F345" s="11">
        <v>4</v>
      </c>
      <c r="G345" s="12">
        <v>537.15</v>
      </c>
      <c r="H345" s="9">
        <v>0.06</v>
      </c>
      <c r="I345" s="12" t="s">
        <v>1829</v>
      </c>
      <c r="J345" s="9">
        <v>2019.684</v>
      </c>
    </row>
    <row r="346" spans="1:10" x14ac:dyDescent="0.3">
      <c r="A346" s="22" t="s">
        <v>2155</v>
      </c>
      <c r="B346" s="10">
        <v>45480</v>
      </c>
      <c r="C346" s="12" t="s">
        <v>1295</v>
      </c>
      <c r="D346" s="12" t="s">
        <v>1630</v>
      </c>
      <c r="E346" s="12" t="s">
        <v>1786</v>
      </c>
      <c r="F346" s="11">
        <v>3</v>
      </c>
      <c r="G346" s="12">
        <v>771.7</v>
      </c>
      <c r="H346" s="9">
        <v>0.05</v>
      </c>
      <c r="I346" s="12" t="s">
        <v>1829</v>
      </c>
      <c r="J346" s="9">
        <v>2199.3449999999998</v>
      </c>
    </row>
    <row r="347" spans="1:10" x14ac:dyDescent="0.3">
      <c r="A347" s="22" t="s">
        <v>2156</v>
      </c>
      <c r="B347" s="10">
        <v>45610</v>
      </c>
      <c r="C347" s="12" t="s">
        <v>381</v>
      </c>
      <c r="D347" s="12" t="s">
        <v>1724</v>
      </c>
      <c r="E347" s="12" t="s">
        <v>1757</v>
      </c>
      <c r="F347" s="11">
        <v>4</v>
      </c>
      <c r="G347" s="12">
        <v>677.25</v>
      </c>
      <c r="H347" s="9">
        <v>0.14000000000000001</v>
      </c>
      <c r="I347" s="12" t="s">
        <v>1826</v>
      </c>
      <c r="J347" s="9">
        <v>2329.7399999999998</v>
      </c>
    </row>
    <row r="348" spans="1:10" x14ac:dyDescent="0.3">
      <c r="A348" s="22" t="s">
        <v>2157</v>
      </c>
      <c r="B348" s="10">
        <v>45763</v>
      </c>
      <c r="C348" s="12" t="s">
        <v>363</v>
      </c>
      <c r="D348" s="12" t="s">
        <v>1744</v>
      </c>
      <c r="E348" s="12" t="s">
        <v>1792</v>
      </c>
      <c r="F348" s="11">
        <v>1</v>
      </c>
      <c r="G348" s="12">
        <v>645.48</v>
      </c>
      <c r="H348" s="9">
        <v>0.26</v>
      </c>
      <c r="I348" s="12" t="s">
        <v>1829</v>
      </c>
      <c r="J348" s="9">
        <v>477.65519999999998</v>
      </c>
    </row>
    <row r="349" spans="1:10" x14ac:dyDescent="0.3">
      <c r="A349" s="22" t="s">
        <v>2158</v>
      </c>
      <c r="B349" s="10">
        <v>45856</v>
      </c>
      <c r="C349" s="12" t="s">
        <v>1127</v>
      </c>
      <c r="D349" s="12" t="s">
        <v>1694</v>
      </c>
      <c r="E349" s="12" t="s">
        <v>1761</v>
      </c>
      <c r="F349" s="11">
        <v>2</v>
      </c>
      <c r="G349" s="12">
        <v>934</v>
      </c>
      <c r="H349" s="9">
        <v>0.3</v>
      </c>
      <c r="I349" s="12" t="s">
        <v>1829</v>
      </c>
      <c r="J349" s="9">
        <v>1307.5999999999999</v>
      </c>
    </row>
    <row r="350" spans="1:10" x14ac:dyDescent="0.3">
      <c r="A350" s="22" t="s">
        <v>2159</v>
      </c>
      <c r="B350" s="10">
        <v>45712</v>
      </c>
      <c r="C350" s="12" t="s">
        <v>1050</v>
      </c>
      <c r="D350" s="12" t="s">
        <v>1640</v>
      </c>
      <c r="E350" s="12" t="s">
        <v>1761</v>
      </c>
      <c r="F350" s="11">
        <v>1</v>
      </c>
      <c r="G350" s="12">
        <v>669.53</v>
      </c>
      <c r="H350" s="9">
        <v>0.2</v>
      </c>
      <c r="I350" s="12" t="s">
        <v>1824</v>
      </c>
      <c r="J350" s="9">
        <v>535.62400000000002</v>
      </c>
    </row>
    <row r="351" spans="1:10" x14ac:dyDescent="0.3">
      <c r="A351" s="22" t="s">
        <v>2160</v>
      </c>
      <c r="B351" s="10">
        <v>45723</v>
      </c>
      <c r="C351" s="12" t="s">
        <v>702</v>
      </c>
      <c r="D351" s="12" t="s">
        <v>1618</v>
      </c>
      <c r="E351" s="12" t="s">
        <v>1810</v>
      </c>
      <c r="F351" s="11">
        <v>1</v>
      </c>
      <c r="G351" s="12">
        <v>213.69</v>
      </c>
      <c r="H351" s="9">
        <v>0.28000000000000003</v>
      </c>
      <c r="I351" s="12" t="s">
        <v>1829</v>
      </c>
      <c r="J351" s="9">
        <v>153.85679999999999</v>
      </c>
    </row>
    <row r="352" spans="1:10" x14ac:dyDescent="0.3">
      <c r="A352" s="22" t="s">
        <v>2161</v>
      </c>
      <c r="B352" s="10">
        <v>45706</v>
      </c>
      <c r="C352" s="12" t="s">
        <v>281</v>
      </c>
      <c r="D352" s="12" t="s">
        <v>1590</v>
      </c>
      <c r="E352" s="12" t="s">
        <v>1813</v>
      </c>
      <c r="F352" s="11">
        <v>2</v>
      </c>
      <c r="G352" s="12">
        <v>99.1</v>
      </c>
      <c r="H352" s="9">
        <v>0.2</v>
      </c>
      <c r="I352" s="12" t="s">
        <v>1826</v>
      </c>
      <c r="J352" s="9">
        <v>158.56</v>
      </c>
    </row>
    <row r="353" spans="1:10" x14ac:dyDescent="0.3">
      <c r="A353" s="22" t="s">
        <v>2162</v>
      </c>
      <c r="B353" s="10">
        <v>45469</v>
      </c>
      <c r="C353" s="12" t="s">
        <v>1157</v>
      </c>
      <c r="D353" s="12" t="s">
        <v>1622</v>
      </c>
      <c r="E353" s="12" t="s">
        <v>1804</v>
      </c>
      <c r="F353" s="11">
        <v>1</v>
      </c>
      <c r="G353" s="12">
        <v>628.98</v>
      </c>
      <c r="H353" s="9">
        <v>0.03</v>
      </c>
      <c r="I353" s="12" t="s">
        <v>1829</v>
      </c>
      <c r="J353" s="9">
        <v>610.11059999999998</v>
      </c>
    </row>
    <row r="354" spans="1:10" x14ac:dyDescent="0.3">
      <c r="A354" s="22" t="s">
        <v>2163</v>
      </c>
      <c r="B354" s="10">
        <v>45711</v>
      </c>
      <c r="C354" s="12" t="s">
        <v>307</v>
      </c>
      <c r="D354" s="12" t="s">
        <v>1716</v>
      </c>
      <c r="E354" s="12" t="s">
        <v>1769</v>
      </c>
      <c r="F354" s="11">
        <v>3</v>
      </c>
      <c r="G354" s="12">
        <v>944.64</v>
      </c>
      <c r="H354" s="9">
        <v>0.26</v>
      </c>
      <c r="I354" s="12" t="s">
        <v>1824</v>
      </c>
      <c r="J354" s="9">
        <v>2097.1008000000002</v>
      </c>
    </row>
    <row r="355" spans="1:10" x14ac:dyDescent="0.3">
      <c r="A355" s="22" t="s">
        <v>2164</v>
      </c>
      <c r="B355" s="10">
        <v>45823</v>
      </c>
      <c r="C355" s="12" t="s">
        <v>1452</v>
      </c>
      <c r="D355" s="12" t="s">
        <v>1734</v>
      </c>
      <c r="E355" s="12" t="s">
        <v>1794</v>
      </c>
      <c r="F355" s="11">
        <v>2</v>
      </c>
      <c r="G355" s="12">
        <v>121.7</v>
      </c>
      <c r="H355" s="9">
        <v>0.06</v>
      </c>
      <c r="I355" s="12" t="s">
        <v>1829</v>
      </c>
      <c r="J355" s="9">
        <v>228.79599999999999</v>
      </c>
    </row>
    <row r="356" spans="1:10" x14ac:dyDescent="0.3">
      <c r="A356" s="22" t="s">
        <v>2165</v>
      </c>
      <c r="B356" s="10">
        <v>45217</v>
      </c>
      <c r="C356" s="12" t="s">
        <v>1386</v>
      </c>
      <c r="D356" s="12" t="s">
        <v>1678</v>
      </c>
      <c r="E356" s="12" t="s">
        <v>1766</v>
      </c>
      <c r="F356" s="11">
        <v>4</v>
      </c>
      <c r="G356" s="12">
        <v>269.49</v>
      </c>
      <c r="H356" s="9">
        <v>7.0000000000000007E-2</v>
      </c>
      <c r="I356" s="12" t="s">
        <v>1826</v>
      </c>
      <c r="J356" s="9">
        <v>1002.5028</v>
      </c>
    </row>
    <row r="357" spans="1:10" x14ac:dyDescent="0.3">
      <c r="A357" s="22" t="s">
        <v>2166</v>
      </c>
      <c r="B357" s="10">
        <v>45733</v>
      </c>
      <c r="C357" s="12" t="s">
        <v>353</v>
      </c>
      <c r="D357" s="12" t="s">
        <v>1592</v>
      </c>
      <c r="E357" s="12" t="s">
        <v>1810</v>
      </c>
      <c r="F357" s="11">
        <v>1</v>
      </c>
      <c r="G357" s="12">
        <v>678.2</v>
      </c>
      <c r="H357" s="9">
        <v>0.14000000000000001</v>
      </c>
      <c r="I357" s="12" t="s">
        <v>1824</v>
      </c>
      <c r="J357" s="9">
        <v>583.25200000000007</v>
      </c>
    </row>
    <row r="358" spans="1:10" x14ac:dyDescent="0.3">
      <c r="A358" s="22" t="s">
        <v>2167</v>
      </c>
      <c r="B358" s="10">
        <v>45520</v>
      </c>
      <c r="C358" s="12" t="s">
        <v>743</v>
      </c>
      <c r="D358" s="12" t="s">
        <v>1728</v>
      </c>
      <c r="E358" s="12" t="s">
        <v>1797</v>
      </c>
      <c r="F358" s="11">
        <v>1</v>
      </c>
      <c r="G358" s="12">
        <v>752.45</v>
      </c>
      <c r="H358" s="9">
        <v>0.21</v>
      </c>
      <c r="I358" s="12" t="s">
        <v>1829</v>
      </c>
      <c r="J358" s="9">
        <v>594.43550000000005</v>
      </c>
    </row>
    <row r="359" spans="1:10" x14ac:dyDescent="0.3">
      <c r="A359" s="22" t="s">
        <v>2168</v>
      </c>
      <c r="B359" s="10">
        <v>45373</v>
      </c>
      <c r="C359" s="12" t="s">
        <v>147</v>
      </c>
      <c r="D359" s="12" t="s">
        <v>1736</v>
      </c>
      <c r="E359" s="12" t="s">
        <v>1797</v>
      </c>
      <c r="F359" s="11">
        <v>2</v>
      </c>
      <c r="G359" s="12">
        <v>209.66</v>
      </c>
      <c r="H359" s="9">
        <v>0.21</v>
      </c>
      <c r="I359" s="12" t="s">
        <v>1824</v>
      </c>
      <c r="J359" s="9">
        <v>331.26280000000003</v>
      </c>
    </row>
    <row r="360" spans="1:10" x14ac:dyDescent="0.3">
      <c r="A360" s="22" t="s">
        <v>2169</v>
      </c>
      <c r="B360" s="10">
        <v>45688</v>
      </c>
      <c r="C360" s="12" t="s">
        <v>538</v>
      </c>
      <c r="D360" s="12" t="s">
        <v>1742</v>
      </c>
      <c r="E360" s="12" t="s">
        <v>1813</v>
      </c>
      <c r="F360" s="11">
        <v>2</v>
      </c>
      <c r="G360" s="12">
        <v>739.95</v>
      </c>
      <c r="H360" s="9">
        <v>0.1</v>
      </c>
      <c r="I360" s="12" t="s">
        <v>1829</v>
      </c>
      <c r="J360" s="9">
        <v>1331.91</v>
      </c>
    </row>
    <row r="361" spans="1:10" x14ac:dyDescent="0.3">
      <c r="A361" s="22" t="s">
        <v>2170</v>
      </c>
      <c r="B361" s="10">
        <v>45276</v>
      </c>
      <c r="C361" s="12" t="s">
        <v>1446</v>
      </c>
      <c r="D361" s="12" t="s">
        <v>1638</v>
      </c>
      <c r="E361" s="12" t="s">
        <v>1801</v>
      </c>
      <c r="F361" s="11">
        <v>1</v>
      </c>
      <c r="G361" s="12">
        <v>496.19</v>
      </c>
      <c r="H361" s="9">
        <v>0.08</v>
      </c>
      <c r="I361" s="12" t="s">
        <v>1829</v>
      </c>
      <c r="J361" s="9">
        <v>456.4948</v>
      </c>
    </row>
    <row r="362" spans="1:10" x14ac:dyDescent="0.3">
      <c r="A362" s="22" t="s">
        <v>2171</v>
      </c>
      <c r="B362" s="10">
        <v>45756</v>
      </c>
      <c r="C362" s="12" t="s">
        <v>172</v>
      </c>
      <c r="D362" s="12" t="s">
        <v>1565</v>
      </c>
      <c r="E362" s="12" t="s">
        <v>1794</v>
      </c>
      <c r="F362" s="11">
        <v>1</v>
      </c>
      <c r="G362" s="12">
        <v>306.36</v>
      </c>
      <c r="H362" s="9">
        <v>0.01</v>
      </c>
      <c r="I362" s="12" t="s">
        <v>1826</v>
      </c>
      <c r="J362" s="9">
        <v>303.29640000000001</v>
      </c>
    </row>
    <row r="363" spans="1:10" x14ac:dyDescent="0.3">
      <c r="A363" s="22" t="s">
        <v>2172</v>
      </c>
      <c r="B363" s="10">
        <v>45309</v>
      </c>
      <c r="C363" s="12" t="s">
        <v>417</v>
      </c>
      <c r="D363" s="12" t="s">
        <v>1694</v>
      </c>
      <c r="E363" s="12" t="s">
        <v>1769</v>
      </c>
      <c r="F363" s="11">
        <v>4</v>
      </c>
      <c r="G363" s="12">
        <v>693.16</v>
      </c>
      <c r="H363" s="9">
        <v>0.05</v>
      </c>
      <c r="I363" s="12" t="s">
        <v>1826</v>
      </c>
      <c r="J363" s="9">
        <v>2634.0079999999998</v>
      </c>
    </row>
    <row r="364" spans="1:10" x14ac:dyDescent="0.3">
      <c r="A364" s="22" t="s">
        <v>2173</v>
      </c>
      <c r="B364" s="10">
        <v>45744</v>
      </c>
      <c r="C364" s="12" t="s">
        <v>1405</v>
      </c>
      <c r="D364" s="12" t="s">
        <v>1714</v>
      </c>
      <c r="E364" s="12" t="s">
        <v>1789</v>
      </c>
      <c r="F364" s="11">
        <v>1</v>
      </c>
      <c r="G364" s="12">
        <v>995.52</v>
      </c>
      <c r="H364" s="9">
        <v>0.22</v>
      </c>
      <c r="I364" s="12" t="s">
        <v>1826</v>
      </c>
      <c r="J364" s="9">
        <v>776.50559999999996</v>
      </c>
    </row>
    <row r="365" spans="1:10" x14ac:dyDescent="0.3">
      <c r="A365" s="22" t="s">
        <v>2174</v>
      </c>
      <c r="B365" s="10">
        <v>45535</v>
      </c>
      <c r="C365" s="12" t="s">
        <v>431</v>
      </c>
      <c r="D365" s="12" t="s">
        <v>1560</v>
      </c>
      <c r="E365" s="12" t="s">
        <v>1810</v>
      </c>
      <c r="F365" s="11">
        <v>4</v>
      </c>
      <c r="G365" s="12">
        <v>241.32</v>
      </c>
      <c r="H365" s="9">
        <v>0.28999999999999998</v>
      </c>
      <c r="I365" s="12" t="s">
        <v>1829</v>
      </c>
      <c r="J365" s="9">
        <v>685.34879999999998</v>
      </c>
    </row>
    <row r="366" spans="1:10" x14ac:dyDescent="0.3">
      <c r="A366" s="22" t="s">
        <v>2175</v>
      </c>
      <c r="B366" s="10">
        <v>45240</v>
      </c>
      <c r="C366" s="12" t="s">
        <v>767</v>
      </c>
      <c r="D366" s="12" t="s">
        <v>1704</v>
      </c>
      <c r="E366" s="12" t="s">
        <v>1757</v>
      </c>
      <c r="F366" s="11">
        <v>3</v>
      </c>
      <c r="G366" s="12">
        <v>636.03</v>
      </c>
      <c r="H366" s="9">
        <v>0.06</v>
      </c>
      <c r="I366" s="12" t="s">
        <v>1829</v>
      </c>
      <c r="J366" s="9">
        <v>1793.6045999999999</v>
      </c>
    </row>
    <row r="367" spans="1:10" x14ac:dyDescent="0.3">
      <c r="A367" s="22" t="s">
        <v>2176</v>
      </c>
      <c r="B367" s="10">
        <v>45275</v>
      </c>
      <c r="C367" s="12" t="s">
        <v>344</v>
      </c>
      <c r="D367" s="12" t="s">
        <v>1553</v>
      </c>
      <c r="E367" s="12" t="s">
        <v>1813</v>
      </c>
      <c r="F367" s="11">
        <v>4</v>
      </c>
      <c r="G367" s="12">
        <v>603.30999999999995</v>
      </c>
      <c r="H367" s="9">
        <v>0.15</v>
      </c>
      <c r="I367" s="12" t="s">
        <v>1824</v>
      </c>
      <c r="J367" s="9">
        <v>2051.2539999999999</v>
      </c>
    </row>
    <row r="368" spans="1:10" x14ac:dyDescent="0.3">
      <c r="A368" s="22" t="s">
        <v>2177</v>
      </c>
      <c r="B368" s="10">
        <v>45427</v>
      </c>
      <c r="C368" s="12" t="s">
        <v>275</v>
      </c>
      <c r="D368" s="12" t="s">
        <v>1726</v>
      </c>
      <c r="E368" s="12" t="s">
        <v>1789</v>
      </c>
      <c r="F368" s="11">
        <v>3</v>
      </c>
      <c r="G368" s="12">
        <v>437.96</v>
      </c>
      <c r="H368" s="9">
        <v>0.27</v>
      </c>
      <c r="I368" s="12" t="s">
        <v>1829</v>
      </c>
      <c r="J368" s="9">
        <v>959.13239999999985</v>
      </c>
    </row>
    <row r="369" spans="1:10" x14ac:dyDescent="0.3">
      <c r="A369" s="22" t="s">
        <v>2178</v>
      </c>
      <c r="B369" s="10">
        <v>45322</v>
      </c>
      <c r="C369" s="12" t="s">
        <v>678</v>
      </c>
      <c r="D369" s="12" t="s">
        <v>1616</v>
      </c>
      <c r="E369" s="12" t="s">
        <v>1769</v>
      </c>
      <c r="F369" s="11">
        <v>2</v>
      </c>
      <c r="G369" s="12">
        <v>56.91</v>
      </c>
      <c r="H369" s="9">
        <v>0.08</v>
      </c>
      <c r="I369" s="12" t="s">
        <v>1829</v>
      </c>
      <c r="J369" s="9">
        <v>104.7144</v>
      </c>
    </row>
    <row r="370" spans="1:10" x14ac:dyDescent="0.3">
      <c r="A370" s="22" t="s">
        <v>2179</v>
      </c>
      <c r="B370" s="10">
        <v>45266</v>
      </c>
      <c r="C370" s="12" t="s">
        <v>1050</v>
      </c>
      <c r="D370" s="12" t="s">
        <v>1700</v>
      </c>
      <c r="E370" s="12" t="s">
        <v>1776</v>
      </c>
      <c r="F370" s="11">
        <v>1</v>
      </c>
      <c r="G370" s="12">
        <v>141.79</v>
      </c>
      <c r="H370" s="9">
        <v>0.1</v>
      </c>
      <c r="I370" s="12" t="s">
        <v>1824</v>
      </c>
      <c r="J370" s="9">
        <v>127.611</v>
      </c>
    </row>
    <row r="371" spans="1:10" x14ac:dyDescent="0.3">
      <c r="A371" s="22" t="s">
        <v>2180</v>
      </c>
      <c r="B371" s="10">
        <v>45302</v>
      </c>
      <c r="C371" s="12" t="s">
        <v>1487</v>
      </c>
      <c r="D371" s="12" t="s">
        <v>1565</v>
      </c>
      <c r="E371" s="12" t="s">
        <v>1801</v>
      </c>
      <c r="F371" s="11">
        <v>4</v>
      </c>
      <c r="G371" s="12">
        <v>355.14</v>
      </c>
      <c r="H371" s="9">
        <v>0.16</v>
      </c>
      <c r="I371" s="12" t="s">
        <v>1829</v>
      </c>
      <c r="J371" s="9">
        <v>1193.2704000000001</v>
      </c>
    </row>
    <row r="372" spans="1:10" x14ac:dyDescent="0.3">
      <c r="A372" s="22" t="s">
        <v>2181</v>
      </c>
      <c r="B372" s="10">
        <v>45907</v>
      </c>
      <c r="C372" s="12" t="s">
        <v>687</v>
      </c>
      <c r="D372" s="12" t="s">
        <v>1624</v>
      </c>
      <c r="E372" s="12" t="s">
        <v>1776</v>
      </c>
      <c r="F372" s="11">
        <v>4</v>
      </c>
      <c r="G372" s="12">
        <v>960.38</v>
      </c>
      <c r="H372" s="9">
        <v>0.15</v>
      </c>
      <c r="I372" s="12" t="s">
        <v>1829</v>
      </c>
      <c r="J372" s="9">
        <v>3265.2919999999999</v>
      </c>
    </row>
    <row r="373" spans="1:10" x14ac:dyDescent="0.3">
      <c r="A373" s="22" t="s">
        <v>2182</v>
      </c>
      <c r="B373" s="10">
        <v>45433</v>
      </c>
      <c r="C373" s="12" t="s">
        <v>1304</v>
      </c>
      <c r="D373" s="12" t="s">
        <v>1686</v>
      </c>
      <c r="E373" s="12" t="s">
        <v>1804</v>
      </c>
      <c r="F373" s="11">
        <v>3</v>
      </c>
      <c r="G373" s="12">
        <v>847.21</v>
      </c>
      <c r="H373" s="9">
        <v>0.06</v>
      </c>
      <c r="I373" s="12" t="s">
        <v>1826</v>
      </c>
      <c r="J373" s="9">
        <v>2389.1322</v>
      </c>
    </row>
    <row r="374" spans="1:10" x14ac:dyDescent="0.3">
      <c r="A374" s="22" t="s">
        <v>2183</v>
      </c>
      <c r="B374" s="10">
        <v>45892</v>
      </c>
      <c r="C374" s="12" t="s">
        <v>244</v>
      </c>
      <c r="D374" s="12" t="s">
        <v>1708</v>
      </c>
      <c r="E374" s="12" t="s">
        <v>1789</v>
      </c>
      <c r="F374" s="11">
        <v>4</v>
      </c>
      <c r="G374" s="12">
        <v>773.81</v>
      </c>
      <c r="H374" s="9">
        <v>0.08</v>
      </c>
      <c r="I374" s="12" t="s">
        <v>1829</v>
      </c>
      <c r="J374" s="9">
        <v>2847.6208000000001</v>
      </c>
    </row>
    <row r="375" spans="1:10" x14ac:dyDescent="0.3">
      <c r="A375" s="22" t="s">
        <v>2184</v>
      </c>
      <c r="B375" s="10">
        <v>45780</v>
      </c>
      <c r="C375" s="12" t="s">
        <v>8</v>
      </c>
      <c r="D375" s="12" t="s">
        <v>1674</v>
      </c>
      <c r="E375" s="12" t="s">
        <v>1804</v>
      </c>
      <c r="F375" s="11">
        <v>1</v>
      </c>
      <c r="G375" s="12">
        <v>664.71</v>
      </c>
      <c r="H375" s="9">
        <v>0.1</v>
      </c>
      <c r="I375" s="12" t="s">
        <v>1826</v>
      </c>
      <c r="J375" s="9">
        <v>598.23900000000003</v>
      </c>
    </row>
    <row r="376" spans="1:10" x14ac:dyDescent="0.3">
      <c r="A376" s="22" t="s">
        <v>2185</v>
      </c>
      <c r="B376" s="10">
        <v>45233</v>
      </c>
      <c r="C376" s="12" t="s">
        <v>1089</v>
      </c>
      <c r="D376" s="12" t="s">
        <v>1622</v>
      </c>
      <c r="E376" s="12" t="s">
        <v>1779</v>
      </c>
      <c r="F376" s="11">
        <v>4</v>
      </c>
      <c r="G376" s="12">
        <v>482.06</v>
      </c>
      <c r="H376" s="9">
        <v>7.0000000000000007E-2</v>
      </c>
      <c r="I376" s="12" t="s">
        <v>1826</v>
      </c>
      <c r="J376" s="9">
        <v>1793.2632000000001</v>
      </c>
    </row>
    <row r="377" spans="1:10" x14ac:dyDescent="0.3">
      <c r="A377" s="22" t="s">
        <v>2186</v>
      </c>
      <c r="B377" s="10">
        <v>45742</v>
      </c>
      <c r="C377" s="12" t="s">
        <v>321</v>
      </c>
      <c r="D377" s="12" t="s">
        <v>1662</v>
      </c>
      <c r="E377" s="12" t="s">
        <v>1766</v>
      </c>
      <c r="F377" s="11">
        <v>4</v>
      </c>
      <c r="G377" s="12">
        <v>995.55</v>
      </c>
      <c r="H377" s="9">
        <v>0.19</v>
      </c>
      <c r="I377" s="12" t="s">
        <v>1826</v>
      </c>
      <c r="J377" s="9">
        <v>3225.5819999999999</v>
      </c>
    </row>
    <row r="378" spans="1:10" x14ac:dyDescent="0.3">
      <c r="A378" s="22" t="s">
        <v>2187</v>
      </c>
      <c r="B378" s="10">
        <v>45478</v>
      </c>
      <c r="C378" s="12" t="s">
        <v>478</v>
      </c>
      <c r="D378" s="12" t="s">
        <v>1734</v>
      </c>
      <c r="E378" s="12" t="s">
        <v>1797</v>
      </c>
      <c r="F378" s="11">
        <v>2</v>
      </c>
      <c r="G378" s="12">
        <v>153.84</v>
      </c>
      <c r="H378" s="9">
        <v>0.27</v>
      </c>
      <c r="I378" s="12" t="s">
        <v>1826</v>
      </c>
      <c r="J378" s="9">
        <v>224.60640000000001</v>
      </c>
    </row>
    <row r="379" spans="1:10" x14ac:dyDescent="0.3">
      <c r="A379" s="22" t="s">
        <v>2188</v>
      </c>
      <c r="B379" s="10">
        <v>45789</v>
      </c>
      <c r="C379" s="12" t="s">
        <v>514</v>
      </c>
      <c r="D379" s="12" t="s">
        <v>1704</v>
      </c>
      <c r="E379" s="12" t="s">
        <v>1776</v>
      </c>
      <c r="F379" s="11">
        <v>3</v>
      </c>
      <c r="G379" s="12">
        <v>362.11</v>
      </c>
      <c r="H379" s="9">
        <v>0.23</v>
      </c>
      <c r="I379" s="12" t="s">
        <v>1829</v>
      </c>
      <c r="J379" s="9">
        <v>836.47409999999991</v>
      </c>
    </row>
    <row r="380" spans="1:10" x14ac:dyDescent="0.3">
      <c r="A380" s="22" t="s">
        <v>2189</v>
      </c>
      <c r="B380" s="10">
        <v>45561</v>
      </c>
      <c r="C380" s="12" t="s">
        <v>1455</v>
      </c>
      <c r="D380" s="12" t="s">
        <v>1634</v>
      </c>
      <c r="E380" s="12" t="s">
        <v>1782</v>
      </c>
      <c r="F380" s="11">
        <v>3</v>
      </c>
      <c r="G380" s="12">
        <v>112.26</v>
      </c>
      <c r="H380" s="9">
        <v>0.11</v>
      </c>
      <c r="I380" s="12" t="s">
        <v>1824</v>
      </c>
      <c r="J380" s="9">
        <v>299.73419999999999</v>
      </c>
    </row>
    <row r="381" spans="1:10" x14ac:dyDescent="0.3">
      <c r="A381" s="22" t="s">
        <v>2190</v>
      </c>
      <c r="B381" s="10">
        <v>45378</v>
      </c>
      <c r="C381" s="12" t="s">
        <v>663</v>
      </c>
      <c r="D381" s="12" t="s">
        <v>1736</v>
      </c>
      <c r="E381" s="12" t="s">
        <v>1813</v>
      </c>
      <c r="F381" s="11">
        <v>2</v>
      </c>
      <c r="G381" s="12">
        <v>962.81</v>
      </c>
      <c r="H381" s="9">
        <v>0.06</v>
      </c>
      <c r="I381" s="12" t="s">
        <v>1829</v>
      </c>
      <c r="J381" s="9">
        <v>1810.0827999999999</v>
      </c>
    </row>
    <row r="382" spans="1:10" x14ac:dyDescent="0.3">
      <c r="A382" s="22" t="s">
        <v>2191</v>
      </c>
      <c r="B382" s="10">
        <v>45308</v>
      </c>
      <c r="C382" s="12" t="s">
        <v>693</v>
      </c>
      <c r="D382" s="12" t="s">
        <v>1590</v>
      </c>
      <c r="E382" s="12" t="s">
        <v>1752</v>
      </c>
      <c r="F382" s="11">
        <v>4</v>
      </c>
      <c r="G382" s="12">
        <v>276.23</v>
      </c>
      <c r="H382" s="9">
        <v>0.12</v>
      </c>
      <c r="I382" s="12" t="s">
        <v>1824</v>
      </c>
      <c r="J382" s="9">
        <v>972.32960000000003</v>
      </c>
    </row>
    <row r="383" spans="1:10" x14ac:dyDescent="0.3">
      <c r="A383" s="22" t="s">
        <v>2192</v>
      </c>
      <c r="B383" s="10">
        <v>45407</v>
      </c>
      <c r="C383" s="12" t="s">
        <v>71</v>
      </c>
      <c r="D383" s="12" t="s">
        <v>1584</v>
      </c>
      <c r="E383" s="12" t="s">
        <v>1799</v>
      </c>
      <c r="F383" s="11">
        <v>3</v>
      </c>
      <c r="G383" s="12">
        <v>991.37</v>
      </c>
      <c r="H383" s="9">
        <v>0.1</v>
      </c>
      <c r="I383" s="12" t="s">
        <v>1826</v>
      </c>
      <c r="J383" s="9">
        <v>2676.6990000000001</v>
      </c>
    </row>
    <row r="384" spans="1:10" x14ac:dyDescent="0.3">
      <c r="A384" s="22" t="s">
        <v>2193</v>
      </c>
      <c r="B384" s="10">
        <v>45929</v>
      </c>
      <c r="C384" s="12" t="s">
        <v>559</v>
      </c>
      <c r="D384" s="12" t="s">
        <v>1590</v>
      </c>
      <c r="E384" s="12" t="s">
        <v>1797</v>
      </c>
      <c r="F384" s="11">
        <v>3</v>
      </c>
      <c r="G384" s="12">
        <v>977.47</v>
      </c>
      <c r="H384" s="9">
        <v>0.05</v>
      </c>
      <c r="I384" s="12" t="s">
        <v>1824</v>
      </c>
      <c r="J384" s="9">
        <v>2785.7894999999999</v>
      </c>
    </row>
    <row r="385" spans="1:10" x14ac:dyDescent="0.3">
      <c r="A385" s="22" t="s">
        <v>2194</v>
      </c>
      <c r="B385" s="10">
        <v>45844</v>
      </c>
      <c r="C385" s="12" t="s">
        <v>672</v>
      </c>
      <c r="D385" s="12" t="s">
        <v>1736</v>
      </c>
      <c r="E385" s="12" t="s">
        <v>1794</v>
      </c>
      <c r="F385" s="11">
        <v>2</v>
      </c>
      <c r="G385" s="12">
        <v>308.7</v>
      </c>
      <c r="H385" s="9">
        <v>0.2</v>
      </c>
      <c r="I385" s="12" t="s">
        <v>1826</v>
      </c>
      <c r="J385" s="9">
        <v>493.92</v>
      </c>
    </row>
    <row r="386" spans="1:10" x14ac:dyDescent="0.3">
      <c r="A386" s="22" t="s">
        <v>2195</v>
      </c>
      <c r="B386" s="10">
        <v>45579</v>
      </c>
      <c r="C386" s="12" t="s">
        <v>147</v>
      </c>
      <c r="D386" s="12" t="s">
        <v>1557</v>
      </c>
      <c r="E386" s="12" t="s">
        <v>1804</v>
      </c>
      <c r="F386" s="11">
        <v>2</v>
      </c>
      <c r="G386" s="12">
        <v>733.87</v>
      </c>
      <c r="H386" s="9">
        <v>0.1</v>
      </c>
      <c r="I386" s="12" t="s">
        <v>1826</v>
      </c>
      <c r="J386" s="9">
        <v>1320.9659999999999</v>
      </c>
    </row>
    <row r="387" spans="1:10" x14ac:dyDescent="0.3">
      <c r="A387" s="22" t="s">
        <v>2196</v>
      </c>
      <c r="B387" s="10">
        <v>45227</v>
      </c>
      <c r="C387" s="12" t="s">
        <v>341</v>
      </c>
      <c r="D387" s="12" t="s">
        <v>1586</v>
      </c>
      <c r="E387" s="12" t="s">
        <v>1804</v>
      </c>
      <c r="F387" s="11">
        <v>2</v>
      </c>
      <c r="G387" s="12">
        <v>22.47</v>
      </c>
      <c r="H387" s="9">
        <v>0.22</v>
      </c>
      <c r="I387" s="12" t="s">
        <v>1826</v>
      </c>
      <c r="J387" s="9">
        <v>35.053199999999997</v>
      </c>
    </row>
    <row r="388" spans="1:10" x14ac:dyDescent="0.3">
      <c r="A388" s="22" t="s">
        <v>2197</v>
      </c>
      <c r="B388" s="10">
        <v>45380</v>
      </c>
      <c r="C388" s="12" t="s">
        <v>1092</v>
      </c>
      <c r="D388" s="12" t="s">
        <v>1662</v>
      </c>
      <c r="E388" s="12" t="s">
        <v>1797</v>
      </c>
      <c r="F388" s="11">
        <v>4</v>
      </c>
      <c r="G388" s="12">
        <v>651.36</v>
      </c>
      <c r="H388" s="9">
        <v>0.13</v>
      </c>
      <c r="I388" s="12" t="s">
        <v>1824</v>
      </c>
      <c r="J388" s="9">
        <v>2266.7328000000002</v>
      </c>
    </row>
    <row r="389" spans="1:10" x14ac:dyDescent="0.3">
      <c r="A389" s="22" t="s">
        <v>2198</v>
      </c>
      <c r="B389" s="10">
        <v>45817</v>
      </c>
      <c r="C389" s="12" t="s">
        <v>937</v>
      </c>
      <c r="D389" s="12" t="s">
        <v>1576</v>
      </c>
      <c r="E389" s="12" t="s">
        <v>1789</v>
      </c>
      <c r="F389" s="11">
        <v>1</v>
      </c>
      <c r="G389" s="12">
        <v>753.39</v>
      </c>
      <c r="H389" s="9">
        <v>0.04</v>
      </c>
      <c r="I389" s="12" t="s">
        <v>1829</v>
      </c>
      <c r="J389" s="9">
        <v>723.25439999999992</v>
      </c>
    </row>
    <row r="390" spans="1:10" x14ac:dyDescent="0.3">
      <c r="A390" s="22" t="s">
        <v>2199</v>
      </c>
      <c r="B390" s="10">
        <v>45576</v>
      </c>
      <c r="C390" s="12" t="s">
        <v>657</v>
      </c>
      <c r="D390" s="12" t="s">
        <v>1690</v>
      </c>
      <c r="E390" s="12" t="s">
        <v>1794</v>
      </c>
      <c r="F390" s="11">
        <v>4</v>
      </c>
      <c r="G390" s="12">
        <v>849.17</v>
      </c>
      <c r="H390" s="9">
        <v>0.12</v>
      </c>
      <c r="I390" s="12" t="s">
        <v>1829</v>
      </c>
      <c r="J390" s="9">
        <v>2989.0783999999999</v>
      </c>
    </row>
    <row r="391" spans="1:10" x14ac:dyDescent="0.3">
      <c r="A391" s="22" t="s">
        <v>2200</v>
      </c>
      <c r="B391" s="10">
        <v>45495</v>
      </c>
      <c r="C391" s="12" t="s">
        <v>1184</v>
      </c>
      <c r="D391" s="12" t="s">
        <v>1588</v>
      </c>
      <c r="E391" s="12" t="s">
        <v>1752</v>
      </c>
      <c r="F391" s="11">
        <v>4</v>
      </c>
      <c r="G391" s="12">
        <v>585.45000000000005</v>
      </c>
      <c r="H391" s="9">
        <v>0.25</v>
      </c>
      <c r="I391" s="12" t="s">
        <v>1829</v>
      </c>
      <c r="J391" s="9">
        <v>1756.35</v>
      </c>
    </row>
    <row r="392" spans="1:10" x14ac:dyDescent="0.3">
      <c r="A392" s="22" t="s">
        <v>2201</v>
      </c>
      <c r="B392" s="10">
        <v>45628</v>
      </c>
      <c r="C392" s="12" t="s">
        <v>1466</v>
      </c>
      <c r="D392" s="12" t="s">
        <v>1698</v>
      </c>
      <c r="E392" s="12" t="s">
        <v>1804</v>
      </c>
      <c r="F392" s="11">
        <v>1</v>
      </c>
      <c r="G392" s="12">
        <v>745.15</v>
      </c>
      <c r="H392" s="9">
        <v>0.25</v>
      </c>
      <c r="I392" s="12" t="s">
        <v>1829</v>
      </c>
      <c r="J392" s="9">
        <v>558.86249999999995</v>
      </c>
    </row>
    <row r="393" spans="1:10" x14ac:dyDescent="0.3">
      <c r="A393" s="22" t="s">
        <v>2202</v>
      </c>
      <c r="B393" s="10">
        <v>45244</v>
      </c>
      <c r="C393" s="12" t="s">
        <v>191</v>
      </c>
      <c r="D393" s="12" t="s">
        <v>1746</v>
      </c>
      <c r="E393" s="12" t="s">
        <v>1761</v>
      </c>
      <c r="F393" s="11">
        <v>1</v>
      </c>
      <c r="G393" s="12">
        <v>848.69</v>
      </c>
      <c r="H393" s="9">
        <v>0.04</v>
      </c>
      <c r="I393" s="12" t="s">
        <v>1829</v>
      </c>
      <c r="J393" s="9">
        <v>814.74239999999998</v>
      </c>
    </row>
    <row r="394" spans="1:10" x14ac:dyDescent="0.3">
      <c r="A394" s="22" t="s">
        <v>2203</v>
      </c>
      <c r="B394" s="10">
        <v>45336</v>
      </c>
      <c r="C394" s="12" t="s">
        <v>1283</v>
      </c>
      <c r="D394" s="12" t="s">
        <v>1688</v>
      </c>
      <c r="E394" s="12" t="s">
        <v>1799</v>
      </c>
      <c r="F394" s="11">
        <v>2</v>
      </c>
      <c r="G394" s="12">
        <v>247.67</v>
      </c>
      <c r="H394" s="9">
        <v>0.1</v>
      </c>
      <c r="I394" s="12" t="s">
        <v>1826</v>
      </c>
      <c r="J394" s="9">
        <v>445.80599999999998</v>
      </c>
    </row>
    <row r="395" spans="1:10" x14ac:dyDescent="0.3">
      <c r="A395" s="22" t="s">
        <v>2204</v>
      </c>
      <c r="B395" s="10">
        <v>45465</v>
      </c>
      <c r="C395" s="12" t="s">
        <v>153</v>
      </c>
      <c r="D395" s="12" t="s">
        <v>1696</v>
      </c>
      <c r="E395" s="12" t="s">
        <v>1766</v>
      </c>
      <c r="F395" s="11">
        <v>3</v>
      </c>
      <c r="G395" s="12">
        <v>220.51</v>
      </c>
      <c r="H395" s="9">
        <v>0.02</v>
      </c>
      <c r="I395" s="12" t="s">
        <v>1826</v>
      </c>
      <c r="J395" s="9">
        <v>648.29939999999999</v>
      </c>
    </row>
    <row r="396" spans="1:10" x14ac:dyDescent="0.3">
      <c r="A396" s="22" t="s">
        <v>2205</v>
      </c>
      <c r="B396" s="10">
        <v>45837</v>
      </c>
      <c r="C396" s="12" t="s">
        <v>1029</v>
      </c>
      <c r="D396" s="12" t="s">
        <v>1578</v>
      </c>
      <c r="E396" s="12" t="s">
        <v>1804</v>
      </c>
      <c r="F396" s="11">
        <v>4</v>
      </c>
      <c r="G396" s="12">
        <v>370.63</v>
      </c>
      <c r="H396" s="9">
        <v>0.08</v>
      </c>
      <c r="I396" s="12" t="s">
        <v>1824</v>
      </c>
      <c r="J396" s="9">
        <v>1363.9184</v>
      </c>
    </row>
    <row r="397" spans="1:10" x14ac:dyDescent="0.3">
      <c r="A397" s="22" t="s">
        <v>2206</v>
      </c>
      <c r="B397" s="10">
        <v>45706</v>
      </c>
      <c r="C397" s="12" t="s">
        <v>1220</v>
      </c>
      <c r="D397" s="12" t="s">
        <v>1606</v>
      </c>
      <c r="E397" s="12" t="s">
        <v>1813</v>
      </c>
      <c r="F397" s="11">
        <v>4</v>
      </c>
      <c r="G397" s="12">
        <v>349.84</v>
      </c>
      <c r="H397" s="9">
        <v>0.11</v>
      </c>
      <c r="I397" s="12" t="s">
        <v>1824</v>
      </c>
      <c r="J397" s="9">
        <v>1245.4304</v>
      </c>
    </row>
    <row r="398" spans="1:10" x14ac:dyDescent="0.3">
      <c r="A398" s="22" t="s">
        <v>2207</v>
      </c>
      <c r="B398" s="10">
        <v>45823</v>
      </c>
      <c r="C398" s="12" t="s">
        <v>168</v>
      </c>
      <c r="D398" s="12" t="s">
        <v>1626</v>
      </c>
      <c r="E398" s="12" t="s">
        <v>1794</v>
      </c>
      <c r="F398" s="11">
        <v>1</v>
      </c>
      <c r="G398" s="12">
        <v>770.87</v>
      </c>
      <c r="H398" s="9">
        <v>0.1</v>
      </c>
      <c r="I398" s="12" t="s">
        <v>1829</v>
      </c>
      <c r="J398" s="9">
        <v>693.78300000000002</v>
      </c>
    </row>
    <row r="399" spans="1:10" x14ac:dyDescent="0.3">
      <c r="A399" s="22" t="s">
        <v>2208</v>
      </c>
      <c r="B399" s="10">
        <v>45518</v>
      </c>
      <c r="C399" s="12" t="s">
        <v>1475</v>
      </c>
      <c r="D399" s="12" t="s">
        <v>1746</v>
      </c>
      <c r="E399" s="12" t="s">
        <v>1807</v>
      </c>
      <c r="F399" s="11">
        <v>3</v>
      </c>
      <c r="G399" s="12">
        <v>507.33</v>
      </c>
      <c r="H399" s="9">
        <v>0.06</v>
      </c>
      <c r="I399" s="12" t="s">
        <v>1826</v>
      </c>
      <c r="J399" s="9">
        <v>1430.6705999999999</v>
      </c>
    </row>
    <row r="400" spans="1:10" x14ac:dyDescent="0.3">
      <c r="A400" s="22" t="s">
        <v>2209</v>
      </c>
      <c r="B400" s="10">
        <v>45863</v>
      </c>
      <c r="C400" s="12" t="s">
        <v>610</v>
      </c>
      <c r="D400" s="12" t="s">
        <v>1680</v>
      </c>
      <c r="E400" s="12" t="s">
        <v>1786</v>
      </c>
      <c r="F400" s="11">
        <v>1</v>
      </c>
      <c r="G400" s="12">
        <v>87.78</v>
      </c>
      <c r="H400" s="9">
        <v>0.06</v>
      </c>
      <c r="I400" s="12" t="s">
        <v>1824</v>
      </c>
      <c r="J400" s="9">
        <v>82.513199999999998</v>
      </c>
    </row>
    <row r="401" spans="1:10" x14ac:dyDescent="0.3">
      <c r="A401" s="22" t="s">
        <v>2210</v>
      </c>
      <c r="B401" s="10">
        <v>45666</v>
      </c>
      <c r="C401" s="12" t="s">
        <v>36</v>
      </c>
      <c r="D401" s="12" t="s">
        <v>1734</v>
      </c>
      <c r="E401" s="12" t="s">
        <v>1769</v>
      </c>
      <c r="F401" s="11">
        <v>2</v>
      </c>
      <c r="G401" s="12">
        <v>772.24</v>
      </c>
      <c r="H401" s="9">
        <v>0.22</v>
      </c>
      <c r="I401" s="12" t="s">
        <v>1824</v>
      </c>
      <c r="J401" s="9">
        <v>1204.6944000000001</v>
      </c>
    </row>
    <row r="402" spans="1:10" x14ac:dyDescent="0.3">
      <c r="A402" s="22" t="s">
        <v>2211</v>
      </c>
      <c r="B402" s="10">
        <v>45813</v>
      </c>
      <c r="C402" s="12" t="s">
        <v>181</v>
      </c>
      <c r="D402" s="12" t="s">
        <v>1688</v>
      </c>
      <c r="E402" s="12" t="s">
        <v>1799</v>
      </c>
      <c r="F402" s="11">
        <v>1</v>
      </c>
      <c r="G402" s="12">
        <v>108.27</v>
      </c>
      <c r="H402" s="9">
        <v>0.1</v>
      </c>
      <c r="I402" s="12" t="s">
        <v>1829</v>
      </c>
      <c r="J402" s="9">
        <v>97.442999999999998</v>
      </c>
    </row>
    <row r="403" spans="1:10" x14ac:dyDescent="0.3">
      <c r="A403" s="22" t="s">
        <v>2212</v>
      </c>
      <c r="B403" s="10">
        <v>45633</v>
      </c>
      <c r="C403" s="12" t="s">
        <v>1089</v>
      </c>
      <c r="D403" s="12" t="s">
        <v>1624</v>
      </c>
      <c r="E403" s="12" t="s">
        <v>1807</v>
      </c>
      <c r="F403" s="11">
        <v>2</v>
      </c>
      <c r="G403" s="12">
        <v>839.24</v>
      </c>
      <c r="H403" s="9">
        <v>0.21</v>
      </c>
      <c r="I403" s="12" t="s">
        <v>1826</v>
      </c>
      <c r="J403" s="9">
        <v>1325.9992</v>
      </c>
    </row>
    <row r="404" spans="1:10" x14ac:dyDescent="0.3">
      <c r="A404" s="22" t="s">
        <v>2213</v>
      </c>
      <c r="B404" s="10">
        <v>45331</v>
      </c>
      <c r="C404" s="12" t="s">
        <v>1196</v>
      </c>
      <c r="D404" s="12" t="s">
        <v>1664</v>
      </c>
      <c r="E404" s="12" t="s">
        <v>1789</v>
      </c>
      <c r="F404" s="11">
        <v>2</v>
      </c>
      <c r="G404" s="12">
        <v>466.27</v>
      </c>
      <c r="H404" s="9">
        <v>0.11</v>
      </c>
      <c r="I404" s="12" t="s">
        <v>1826</v>
      </c>
      <c r="J404" s="9">
        <v>829.9606</v>
      </c>
    </row>
    <row r="405" spans="1:10" x14ac:dyDescent="0.3">
      <c r="A405" s="22" t="s">
        <v>2214</v>
      </c>
      <c r="B405" s="10">
        <v>45942</v>
      </c>
      <c r="C405" s="12" t="s">
        <v>1240</v>
      </c>
      <c r="D405" s="12" t="s">
        <v>1672</v>
      </c>
      <c r="E405" s="12" t="s">
        <v>1799</v>
      </c>
      <c r="F405" s="11">
        <v>3</v>
      </c>
      <c r="G405" s="12">
        <v>969.83</v>
      </c>
      <c r="H405" s="9">
        <v>0.02</v>
      </c>
      <c r="I405" s="12" t="s">
        <v>1824</v>
      </c>
      <c r="J405" s="9">
        <v>2851.3002000000001</v>
      </c>
    </row>
    <row r="406" spans="1:10" x14ac:dyDescent="0.3">
      <c r="A406" s="22" t="s">
        <v>2215</v>
      </c>
      <c r="B406" s="10">
        <v>45824</v>
      </c>
      <c r="C406" s="12" t="s">
        <v>1295</v>
      </c>
      <c r="D406" s="12" t="s">
        <v>1730</v>
      </c>
      <c r="E406" s="12" t="s">
        <v>1813</v>
      </c>
      <c r="F406" s="11">
        <v>2</v>
      </c>
      <c r="G406" s="12">
        <v>782.11</v>
      </c>
      <c r="H406" s="9">
        <v>0.17</v>
      </c>
      <c r="I406" s="12" t="s">
        <v>1826</v>
      </c>
      <c r="J406" s="9">
        <v>1298.3026</v>
      </c>
    </row>
    <row r="407" spans="1:10" x14ac:dyDescent="0.3">
      <c r="A407" s="22" t="s">
        <v>2216</v>
      </c>
      <c r="B407" s="10">
        <v>45921</v>
      </c>
      <c r="C407" s="12" t="s">
        <v>1395</v>
      </c>
      <c r="D407" s="12" t="s">
        <v>1628</v>
      </c>
      <c r="E407" s="12" t="s">
        <v>1792</v>
      </c>
      <c r="F407" s="11">
        <v>2</v>
      </c>
      <c r="G407" s="12">
        <v>74.63</v>
      </c>
      <c r="H407" s="9">
        <v>0.01</v>
      </c>
      <c r="I407" s="12" t="s">
        <v>1826</v>
      </c>
      <c r="J407" s="9">
        <v>147.76740000000001</v>
      </c>
    </row>
    <row r="408" spans="1:10" x14ac:dyDescent="0.3">
      <c r="A408" s="22" t="s">
        <v>2217</v>
      </c>
      <c r="B408" s="10">
        <v>45909</v>
      </c>
      <c r="C408" s="12" t="s">
        <v>160</v>
      </c>
      <c r="D408" s="12" t="s">
        <v>1718</v>
      </c>
      <c r="E408" s="12" t="s">
        <v>1776</v>
      </c>
      <c r="F408" s="11">
        <v>3</v>
      </c>
      <c r="G408" s="12">
        <v>522.78</v>
      </c>
      <c r="H408" s="9">
        <v>0.25</v>
      </c>
      <c r="I408" s="12" t="s">
        <v>1826</v>
      </c>
      <c r="J408" s="9">
        <v>1176.2550000000001</v>
      </c>
    </row>
    <row r="409" spans="1:10" x14ac:dyDescent="0.3">
      <c r="A409" s="22" t="s">
        <v>2218</v>
      </c>
      <c r="B409" s="10">
        <v>45853</v>
      </c>
      <c r="C409" s="12" t="s">
        <v>1062</v>
      </c>
      <c r="D409" s="12" t="s">
        <v>1574</v>
      </c>
      <c r="E409" s="12" t="s">
        <v>1801</v>
      </c>
      <c r="F409" s="11">
        <v>1</v>
      </c>
      <c r="G409" s="12">
        <v>206.45</v>
      </c>
      <c r="H409" s="9">
        <v>0.15</v>
      </c>
      <c r="I409" s="12" t="s">
        <v>1826</v>
      </c>
      <c r="J409" s="9">
        <v>175.48249999999999</v>
      </c>
    </row>
    <row r="410" spans="1:10" x14ac:dyDescent="0.3">
      <c r="A410" s="22" t="s">
        <v>2219</v>
      </c>
      <c r="B410" s="10">
        <v>45580</v>
      </c>
      <c r="C410" s="12" t="s">
        <v>490</v>
      </c>
      <c r="D410" s="12" t="s">
        <v>1686</v>
      </c>
      <c r="E410" s="12" t="s">
        <v>1773</v>
      </c>
      <c r="F410" s="11">
        <v>1</v>
      </c>
      <c r="G410" s="12">
        <v>815.53</v>
      </c>
      <c r="H410" s="9">
        <v>0.3</v>
      </c>
      <c r="I410" s="12" t="s">
        <v>1826</v>
      </c>
      <c r="J410" s="9">
        <v>570.87099999999998</v>
      </c>
    </row>
    <row r="411" spans="1:10" x14ac:dyDescent="0.3">
      <c r="A411" s="22" t="s">
        <v>2220</v>
      </c>
      <c r="B411" s="10">
        <v>45220</v>
      </c>
      <c r="C411" s="12" t="s">
        <v>147</v>
      </c>
      <c r="D411" s="12" t="s">
        <v>1706</v>
      </c>
      <c r="E411" s="12" t="s">
        <v>1797</v>
      </c>
      <c r="F411" s="11">
        <v>1</v>
      </c>
      <c r="G411" s="12">
        <v>823.61</v>
      </c>
      <c r="H411" s="9">
        <v>0.28000000000000003</v>
      </c>
      <c r="I411" s="12" t="s">
        <v>1829</v>
      </c>
      <c r="J411" s="9">
        <v>592.99919999999997</v>
      </c>
    </row>
    <row r="412" spans="1:10" x14ac:dyDescent="0.3">
      <c r="A412" s="22" t="s">
        <v>2221</v>
      </c>
      <c r="B412" s="10">
        <v>45807</v>
      </c>
      <c r="C412" s="12" t="s">
        <v>1472</v>
      </c>
      <c r="D412" s="12" t="s">
        <v>1722</v>
      </c>
      <c r="E412" s="12" t="s">
        <v>1786</v>
      </c>
      <c r="F412" s="11">
        <v>2</v>
      </c>
      <c r="G412" s="12">
        <v>209.96</v>
      </c>
      <c r="H412" s="9">
        <v>0</v>
      </c>
      <c r="I412" s="12" t="s">
        <v>1824</v>
      </c>
      <c r="J412" s="9">
        <v>419.92</v>
      </c>
    </row>
    <row r="413" spans="1:10" x14ac:dyDescent="0.3">
      <c r="A413" s="22" t="s">
        <v>2222</v>
      </c>
      <c r="B413" s="10">
        <v>45462</v>
      </c>
      <c r="C413" s="12" t="s">
        <v>579</v>
      </c>
      <c r="D413" s="12" t="s">
        <v>1543</v>
      </c>
      <c r="E413" s="12" t="s">
        <v>1804</v>
      </c>
      <c r="F413" s="11">
        <v>4</v>
      </c>
      <c r="G413" s="12">
        <v>897.93</v>
      </c>
      <c r="H413" s="9">
        <v>0.05</v>
      </c>
      <c r="I413" s="12" t="s">
        <v>1829</v>
      </c>
      <c r="J413" s="9">
        <v>3412.134</v>
      </c>
    </row>
    <row r="414" spans="1:10" x14ac:dyDescent="0.3">
      <c r="A414" s="22" t="s">
        <v>2223</v>
      </c>
      <c r="B414" s="10">
        <v>45646</v>
      </c>
      <c r="C414" s="12" t="s">
        <v>598</v>
      </c>
      <c r="D414" s="12" t="s">
        <v>1674</v>
      </c>
      <c r="E414" s="12" t="s">
        <v>1752</v>
      </c>
      <c r="F414" s="11">
        <v>4</v>
      </c>
      <c r="G414" s="12">
        <v>925.95</v>
      </c>
      <c r="H414" s="9">
        <v>0.16</v>
      </c>
      <c r="I414" s="12" t="s">
        <v>1829</v>
      </c>
      <c r="J414" s="9">
        <v>3111.192</v>
      </c>
    </row>
    <row r="415" spans="1:10" x14ac:dyDescent="0.3">
      <c r="A415" s="22" t="s">
        <v>2224</v>
      </c>
      <c r="B415" s="10">
        <v>45520</v>
      </c>
      <c r="C415" s="12" t="s">
        <v>304</v>
      </c>
      <c r="D415" s="12" t="s">
        <v>1650</v>
      </c>
      <c r="E415" s="12" t="s">
        <v>1776</v>
      </c>
      <c r="F415" s="11">
        <v>2</v>
      </c>
      <c r="G415" s="12">
        <v>573.09</v>
      </c>
      <c r="H415" s="9">
        <v>0.03</v>
      </c>
      <c r="I415" s="12" t="s">
        <v>1829</v>
      </c>
      <c r="J415" s="9">
        <v>1111.7945999999999</v>
      </c>
    </row>
    <row r="416" spans="1:10" x14ac:dyDescent="0.3">
      <c r="A416" s="22" t="s">
        <v>2225</v>
      </c>
      <c r="B416" s="10">
        <v>45731</v>
      </c>
      <c r="C416" s="12" t="s">
        <v>604</v>
      </c>
      <c r="D416" s="12" t="s">
        <v>1560</v>
      </c>
      <c r="E416" s="12" t="s">
        <v>1769</v>
      </c>
      <c r="F416" s="11">
        <v>4</v>
      </c>
      <c r="G416" s="12">
        <v>149.83000000000001</v>
      </c>
      <c r="H416" s="9">
        <v>0.02</v>
      </c>
      <c r="I416" s="12" t="s">
        <v>1824</v>
      </c>
      <c r="J416" s="9">
        <v>587.33360000000005</v>
      </c>
    </row>
    <row r="417" spans="1:10" x14ac:dyDescent="0.3">
      <c r="A417" s="22" t="s">
        <v>2226</v>
      </c>
      <c r="B417" s="10">
        <v>45445</v>
      </c>
      <c r="C417" s="12" t="s">
        <v>14</v>
      </c>
      <c r="D417" s="12" t="s">
        <v>1650</v>
      </c>
      <c r="E417" s="12" t="s">
        <v>1799</v>
      </c>
      <c r="F417" s="11">
        <v>3</v>
      </c>
      <c r="G417" s="12">
        <v>287.70999999999998</v>
      </c>
      <c r="H417" s="9">
        <v>0.03</v>
      </c>
      <c r="I417" s="12" t="s">
        <v>1829</v>
      </c>
      <c r="J417" s="9">
        <v>837.23609999999985</v>
      </c>
    </row>
    <row r="418" spans="1:10" x14ac:dyDescent="0.3">
      <c r="A418" s="22" t="s">
        <v>2227</v>
      </c>
      <c r="B418" s="10">
        <v>45860</v>
      </c>
      <c r="C418" s="12" t="s">
        <v>338</v>
      </c>
      <c r="D418" s="12" t="s">
        <v>1682</v>
      </c>
      <c r="E418" s="12" t="s">
        <v>1776</v>
      </c>
      <c r="F418" s="11">
        <v>2</v>
      </c>
      <c r="G418" s="12">
        <v>849.8</v>
      </c>
      <c r="H418" s="9">
        <v>0.06</v>
      </c>
      <c r="I418" s="12" t="s">
        <v>1829</v>
      </c>
      <c r="J418" s="9">
        <v>1597.624</v>
      </c>
    </row>
    <row r="419" spans="1:10" x14ac:dyDescent="0.3">
      <c r="A419" s="22" t="s">
        <v>2228</v>
      </c>
      <c r="B419" s="10">
        <v>45725</v>
      </c>
      <c r="C419" s="12" t="s">
        <v>75</v>
      </c>
      <c r="D419" s="12" t="s">
        <v>1630</v>
      </c>
      <c r="E419" s="12" t="s">
        <v>1766</v>
      </c>
      <c r="F419" s="11">
        <v>3</v>
      </c>
      <c r="G419" s="12">
        <v>482.58</v>
      </c>
      <c r="H419" s="9">
        <v>0.28000000000000003</v>
      </c>
      <c r="I419" s="12" t="s">
        <v>1826</v>
      </c>
      <c r="J419" s="9">
        <v>1042.3728000000001</v>
      </c>
    </row>
    <row r="420" spans="1:10" x14ac:dyDescent="0.3">
      <c r="A420" s="22" t="s">
        <v>2229</v>
      </c>
      <c r="B420" s="10">
        <v>45699</v>
      </c>
      <c r="C420" s="12" t="s">
        <v>399</v>
      </c>
      <c r="D420" s="12" t="s">
        <v>1666</v>
      </c>
      <c r="E420" s="12" t="s">
        <v>1761</v>
      </c>
      <c r="F420" s="11">
        <v>2</v>
      </c>
      <c r="G420" s="12">
        <v>64.7</v>
      </c>
      <c r="H420" s="9">
        <v>0</v>
      </c>
      <c r="I420" s="12" t="s">
        <v>1824</v>
      </c>
      <c r="J420" s="9">
        <v>129.4</v>
      </c>
    </row>
    <row r="421" spans="1:10" x14ac:dyDescent="0.3">
      <c r="A421" s="22" t="s">
        <v>2230</v>
      </c>
      <c r="B421" s="10">
        <v>45266</v>
      </c>
      <c r="C421" s="12" t="s">
        <v>499</v>
      </c>
      <c r="D421" s="12" t="s">
        <v>1555</v>
      </c>
      <c r="E421" s="12" t="s">
        <v>1773</v>
      </c>
      <c r="F421" s="11">
        <v>3</v>
      </c>
      <c r="G421" s="12">
        <v>589.83000000000004</v>
      </c>
      <c r="H421" s="9">
        <v>0.26</v>
      </c>
      <c r="I421" s="12" t="s">
        <v>1824</v>
      </c>
      <c r="J421" s="9">
        <v>1309.4226000000001</v>
      </c>
    </row>
    <row r="422" spans="1:10" x14ac:dyDescent="0.3">
      <c r="A422" s="22" t="s">
        <v>2231</v>
      </c>
      <c r="B422" s="10">
        <v>45889</v>
      </c>
      <c r="C422" s="12" t="s">
        <v>914</v>
      </c>
      <c r="D422" s="12" t="s">
        <v>1551</v>
      </c>
      <c r="E422" s="12" t="s">
        <v>1786</v>
      </c>
      <c r="F422" s="11">
        <v>4</v>
      </c>
      <c r="G422" s="12">
        <v>758.49</v>
      </c>
      <c r="H422" s="9">
        <v>0.16</v>
      </c>
      <c r="I422" s="12" t="s">
        <v>1829</v>
      </c>
      <c r="J422" s="9">
        <v>2548.5264000000002</v>
      </c>
    </row>
    <row r="423" spans="1:10" x14ac:dyDescent="0.3">
      <c r="A423" s="22" t="s">
        <v>2232</v>
      </c>
      <c r="B423" s="10">
        <v>45555</v>
      </c>
      <c r="C423" s="12" t="s">
        <v>202</v>
      </c>
      <c r="D423" s="12" t="s">
        <v>1622</v>
      </c>
      <c r="E423" s="12" t="s">
        <v>1794</v>
      </c>
      <c r="F423" s="11">
        <v>4</v>
      </c>
      <c r="G423" s="12">
        <v>747.56</v>
      </c>
      <c r="H423" s="9">
        <v>0.09</v>
      </c>
      <c r="I423" s="12" t="s">
        <v>1829</v>
      </c>
      <c r="J423" s="9">
        <v>2721.1183999999998</v>
      </c>
    </row>
    <row r="424" spans="1:10" x14ac:dyDescent="0.3">
      <c r="A424" s="22" t="s">
        <v>2233</v>
      </c>
      <c r="B424" s="10">
        <v>45813</v>
      </c>
      <c r="C424" s="12" t="s">
        <v>809</v>
      </c>
      <c r="D424" s="12" t="s">
        <v>1628</v>
      </c>
      <c r="E424" s="12" t="s">
        <v>1807</v>
      </c>
      <c r="F424" s="11">
        <v>3</v>
      </c>
      <c r="G424" s="12">
        <v>551.22</v>
      </c>
      <c r="H424" s="9">
        <v>0.12</v>
      </c>
      <c r="I424" s="12" t="s">
        <v>1826</v>
      </c>
      <c r="J424" s="9">
        <v>1455.2208000000001</v>
      </c>
    </row>
    <row r="425" spans="1:10" x14ac:dyDescent="0.3">
      <c r="A425" s="22" t="s">
        <v>2234</v>
      </c>
      <c r="B425" s="10">
        <v>45811</v>
      </c>
      <c r="C425" s="12" t="s">
        <v>532</v>
      </c>
      <c r="D425" s="12" t="s">
        <v>1686</v>
      </c>
      <c r="E425" s="12" t="s">
        <v>1799</v>
      </c>
      <c r="F425" s="11">
        <v>2</v>
      </c>
      <c r="G425" s="12">
        <v>527.05999999999995</v>
      </c>
      <c r="H425" s="9">
        <v>0.17</v>
      </c>
      <c r="I425" s="12" t="s">
        <v>1826</v>
      </c>
      <c r="J425" s="9">
        <v>874.91959999999983</v>
      </c>
    </row>
    <row r="426" spans="1:10" x14ac:dyDescent="0.3">
      <c r="A426" s="22" t="s">
        <v>2235</v>
      </c>
      <c r="B426" s="10">
        <v>45670</v>
      </c>
      <c r="C426" s="12" t="s">
        <v>350</v>
      </c>
      <c r="D426" s="12" t="s">
        <v>1672</v>
      </c>
      <c r="E426" s="12" t="s">
        <v>1773</v>
      </c>
      <c r="F426" s="11">
        <v>4</v>
      </c>
      <c r="G426" s="12">
        <v>875.41</v>
      </c>
      <c r="H426" s="9">
        <v>0.27</v>
      </c>
      <c r="I426" s="12" t="s">
        <v>1824</v>
      </c>
      <c r="J426" s="9">
        <v>2556.1972000000001</v>
      </c>
    </row>
    <row r="427" spans="1:10" x14ac:dyDescent="0.3">
      <c r="A427" s="22" t="s">
        <v>2236</v>
      </c>
      <c r="B427" s="10">
        <v>45736</v>
      </c>
      <c r="C427" s="12" t="s">
        <v>40</v>
      </c>
      <c r="D427" s="12" t="s">
        <v>1718</v>
      </c>
      <c r="E427" s="12" t="s">
        <v>1752</v>
      </c>
      <c r="F427" s="11">
        <v>2</v>
      </c>
      <c r="G427" s="12">
        <v>226.43</v>
      </c>
      <c r="H427" s="9">
        <v>0.03</v>
      </c>
      <c r="I427" s="12" t="s">
        <v>1824</v>
      </c>
      <c r="J427" s="9">
        <v>439.27420000000001</v>
      </c>
    </row>
    <row r="428" spans="1:10" x14ac:dyDescent="0.3">
      <c r="A428" s="22" t="s">
        <v>2237</v>
      </c>
      <c r="B428" s="10">
        <v>45480</v>
      </c>
      <c r="C428" s="12" t="s">
        <v>141</v>
      </c>
      <c r="D428" s="12" t="s">
        <v>1706</v>
      </c>
      <c r="E428" s="12" t="s">
        <v>1773</v>
      </c>
      <c r="F428" s="11">
        <v>2</v>
      </c>
      <c r="G428" s="12">
        <v>285.39</v>
      </c>
      <c r="H428" s="9">
        <v>0.1</v>
      </c>
      <c r="I428" s="12" t="s">
        <v>1824</v>
      </c>
      <c r="J428" s="9">
        <v>513.702</v>
      </c>
    </row>
    <row r="429" spans="1:10" x14ac:dyDescent="0.3">
      <c r="A429" s="22" t="s">
        <v>2238</v>
      </c>
      <c r="B429" s="10">
        <v>45929</v>
      </c>
      <c r="C429" s="12" t="s">
        <v>1050</v>
      </c>
      <c r="D429" s="12" t="s">
        <v>1570</v>
      </c>
      <c r="E429" s="12" t="s">
        <v>1801</v>
      </c>
      <c r="F429" s="11">
        <v>2</v>
      </c>
      <c r="G429" s="12">
        <v>298.01</v>
      </c>
      <c r="H429" s="9">
        <v>0.05</v>
      </c>
      <c r="I429" s="12" t="s">
        <v>1824</v>
      </c>
      <c r="J429" s="9">
        <v>566.21899999999994</v>
      </c>
    </row>
    <row r="430" spans="1:10" x14ac:dyDescent="0.3">
      <c r="A430" s="22" t="s">
        <v>2239</v>
      </c>
      <c r="B430" s="10">
        <v>45626</v>
      </c>
      <c r="C430" s="12" t="s">
        <v>532</v>
      </c>
      <c r="D430" s="12" t="s">
        <v>1628</v>
      </c>
      <c r="E430" s="12" t="s">
        <v>1769</v>
      </c>
      <c r="F430" s="11">
        <v>4</v>
      </c>
      <c r="G430" s="12">
        <v>753.49</v>
      </c>
      <c r="H430" s="9">
        <v>0.26</v>
      </c>
      <c r="I430" s="12" t="s">
        <v>1829</v>
      </c>
      <c r="J430" s="9">
        <v>2230.3303999999998</v>
      </c>
    </row>
    <row r="431" spans="1:10" x14ac:dyDescent="0.3">
      <c r="A431" s="22" t="s">
        <v>2240</v>
      </c>
      <c r="B431" s="10">
        <v>45460</v>
      </c>
      <c r="C431" s="12" t="s">
        <v>1501</v>
      </c>
      <c r="D431" s="12" t="s">
        <v>1704</v>
      </c>
      <c r="E431" s="12" t="s">
        <v>1794</v>
      </c>
      <c r="F431" s="11">
        <v>2</v>
      </c>
      <c r="G431" s="12">
        <v>130.38999999999999</v>
      </c>
      <c r="H431" s="9">
        <v>0.17</v>
      </c>
      <c r="I431" s="12" t="s">
        <v>1826</v>
      </c>
      <c r="J431" s="9">
        <v>216.44739999999999</v>
      </c>
    </row>
    <row r="432" spans="1:10" x14ac:dyDescent="0.3">
      <c r="A432" s="22" t="s">
        <v>2241</v>
      </c>
      <c r="B432" s="10">
        <v>45709</v>
      </c>
      <c r="C432" s="12" t="s">
        <v>1083</v>
      </c>
      <c r="D432" s="12" t="s">
        <v>1592</v>
      </c>
      <c r="E432" s="12" t="s">
        <v>1786</v>
      </c>
      <c r="F432" s="11">
        <v>4</v>
      </c>
      <c r="G432" s="12">
        <v>164.02</v>
      </c>
      <c r="H432" s="9">
        <v>0.01</v>
      </c>
      <c r="I432" s="12" t="s">
        <v>1826</v>
      </c>
      <c r="J432" s="9">
        <v>649.51920000000007</v>
      </c>
    </row>
    <row r="433" spans="1:10" x14ac:dyDescent="0.3">
      <c r="A433" s="22" t="s">
        <v>2242</v>
      </c>
      <c r="B433" s="10">
        <v>45551</v>
      </c>
      <c r="C433" s="12" t="s">
        <v>547</v>
      </c>
      <c r="D433" s="12" t="s">
        <v>1606</v>
      </c>
      <c r="E433" s="12" t="s">
        <v>1769</v>
      </c>
      <c r="F433" s="11">
        <v>2</v>
      </c>
      <c r="G433" s="12">
        <v>527.51</v>
      </c>
      <c r="H433" s="9">
        <v>0.18</v>
      </c>
      <c r="I433" s="12" t="s">
        <v>1826</v>
      </c>
      <c r="J433" s="9">
        <v>865.1164</v>
      </c>
    </row>
    <row r="434" spans="1:10" x14ac:dyDescent="0.3">
      <c r="A434" s="22" t="s">
        <v>2243</v>
      </c>
      <c r="B434" s="10">
        <v>45939</v>
      </c>
      <c r="C434" s="12" t="s">
        <v>809</v>
      </c>
      <c r="D434" s="12" t="s">
        <v>1662</v>
      </c>
      <c r="E434" s="12" t="s">
        <v>1797</v>
      </c>
      <c r="F434" s="11">
        <v>3</v>
      </c>
      <c r="G434" s="12">
        <v>628.17999999999995</v>
      </c>
      <c r="H434" s="9">
        <v>0.26</v>
      </c>
      <c r="I434" s="12" t="s">
        <v>1824</v>
      </c>
      <c r="J434" s="9">
        <v>1394.5596</v>
      </c>
    </row>
    <row r="435" spans="1:10" x14ac:dyDescent="0.3">
      <c r="A435" s="22" t="s">
        <v>2244</v>
      </c>
      <c r="B435" s="10">
        <v>45553</v>
      </c>
      <c r="C435" s="12" t="s">
        <v>857</v>
      </c>
      <c r="D435" s="12" t="s">
        <v>1660</v>
      </c>
      <c r="E435" s="12" t="s">
        <v>1766</v>
      </c>
      <c r="F435" s="11">
        <v>1</v>
      </c>
      <c r="G435" s="12">
        <v>862.31</v>
      </c>
      <c r="H435" s="9">
        <v>0.06</v>
      </c>
      <c r="I435" s="12" t="s">
        <v>1824</v>
      </c>
      <c r="J435" s="9">
        <v>810.57139999999993</v>
      </c>
    </row>
    <row r="436" spans="1:10" x14ac:dyDescent="0.3">
      <c r="A436" s="22" t="s">
        <v>2245</v>
      </c>
      <c r="B436" s="10">
        <v>45806</v>
      </c>
      <c r="C436" s="12" t="s">
        <v>261</v>
      </c>
      <c r="D436" s="12" t="s">
        <v>1714</v>
      </c>
      <c r="E436" s="12" t="s">
        <v>1799</v>
      </c>
      <c r="F436" s="11">
        <v>2</v>
      </c>
      <c r="G436" s="12">
        <v>541.39</v>
      </c>
      <c r="H436" s="9">
        <v>0.03</v>
      </c>
      <c r="I436" s="12" t="s">
        <v>1829</v>
      </c>
      <c r="J436" s="9">
        <v>1050.2965999999999</v>
      </c>
    </row>
    <row r="437" spans="1:10" x14ac:dyDescent="0.3">
      <c r="A437" s="22" t="s">
        <v>2246</v>
      </c>
      <c r="B437" s="10">
        <v>45811</v>
      </c>
      <c r="C437" s="12" t="s">
        <v>1469</v>
      </c>
      <c r="D437" s="12" t="s">
        <v>1700</v>
      </c>
      <c r="E437" s="12" t="s">
        <v>1804</v>
      </c>
      <c r="F437" s="11">
        <v>3</v>
      </c>
      <c r="G437" s="12">
        <v>761.8</v>
      </c>
      <c r="H437" s="9">
        <v>0.06</v>
      </c>
      <c r="I437" s="12" t="s">
        <v>1829</v>
      </c>
      <c r="J437" s="9">
        <v>2148.2759999999989</v>
      </c>
    </row>
    <row r="438" spans="1:10" x14ac:dyDescent="0.3">
      <c r="A438" s="22" t="s">
        <v>2247</v>
      </c>
      <c r="B438" s="10">
        <v>45508</v>
      </c>
      <c r="C438" s="12" t="s">
        <v>1310</v>
      </c>
      <c r="D438" s="12" t="s">
        <v>1646</v>
      </c>
      <c r="E438" s="12" t="s">
        <v>1761</v>
      </c>
      <c r="F438" s="11">
        <v>4</v>
      </c>
      <c r="G438" s="12">
        <v>829.36</v>
      </c>
      <c r="H438" s="9">
        <v>0.11</v>
      </c>
      <c r="I438" s="12" t="s">
        <v>1826</v>
      </c>
      <c r="J438" s="9">
        <v>2952.5216</v>
      </c>
    </row>
    <row r="439" spans="1:10" x14ac:dyDescent="0.3">
      <c r="A439" s="22" t="s">
        <v>2248</v>
      </c>
      <c r="B439" s="10">
        <v>45460</v>
      </c>
      <c r="C439" s="12" t="s">
        <v>1257</v>
      </c>
      <c r="D439" s="12" t="s">
        <v>1594</v>
      </c>
      <c r="E439" s="12" t="s">
        <v>1804</v>
      </c>
      <c r="F439" s="11">
        <v>2</v>
      </c>
      <c r="G439" s="12">
        <v>425.06</v>
      </c>
      <c r="H439" s="9">
        <v>0.09</v>
      </c>
      <c r="I439" s="12" t="s">
        <v>1826</v>
      </c>
      <c r="J439" s="9">
        <v>773.60919999999999</v>
      </c>
    </row>
    <row r="440" spans="1:10" x14ac:dyDescent="0.3">
      <c r="A440" s="22" t="s">
        <v>2249</v>
      </c>
      <c r="B440" s="10">
        <v>45311</v>
      </c>
      <c r="C440" s="12" t="s">
        <v>438</v>
      </c>
      <c r="D440" s="12" t="s">
        <v>1658</v>
      </c>
      <c r="E440" s="12" t="s">
        <v>1752</v>
      </c>
      <c r="F440" s="11">
        <v>2</v>
      </c>
      <c r="G440" s="12">
        <v>911.14</v>
      </c>
      <c r="H440" s="9">
        <v>0.1</v>
      </c>
      <c r="I440" s="12" t="s">
        <v>1824</v>
      </c>
      <c r="J440" s="9">
        <v>1640.0519999999999</v>
      </c>
    </row>
    <row r="441" spans="1:10" x14ac:dyDescent="0.3">
      <c r="A441" s="22" t="s">
        <v>2250</v>
      </c>
      <c r="B441" s="10">
        <v>45906</v>
      </c>
      <c r="C441" s="12" t="s">
        <v>304</v>
      </c>
      <c r="D441" s="12" t="s">
        <v>1684</v>
      </c>
      <c r="E441" s="12" t="s">
        <v>1782</v>
      </c>
      <c r="F441" s="11">
        <v>3</v>
      </c>
      <c r="G441" s="12">
        <v>811.96</v>
      </c>
      <c r="H441" s="9">
        <v>0.28999999999999998</v>
      </c>
      <c r="I441" s="12" t="s">
        <v>1824</v>
      </c>
      <c r="J441" s="9">
        <v>1729.4748</v>
      </c>
    </row>
    <row r="442" spans="1:10" x14ac:dyDescent="0.3">
      <c r="A442" s="22" t="s">
        <v>2251</v>
      </c>
      <c r="B442" s="10">
        <v>45380</v>
      </c>
      <c r="C442" s="12" t="s">
        <v>869</v>
      </c>
      <c r="D442" s="12" t="s">
        <v>1610</v>
      </c>
      <c r="E442" s="12" t="s">
        <v>1789</v>
      </c>
      <c r="F442" s="11">
        <v>2</v>
      </c>
      <c r="G442" s="12">
        <v>780.05</v>
      </c>
      <c r="H442" s="9">
        <v>0.12</v>
      </c>
      <c r="I442" s="12" t="s">
        <v>1829</v>
      </c>
      <c r="J442" s="9">
        <v>1372.8879999999999</v>
      </c>
    </row>
    <row r="443" spans="1:10" x14ac:dyDescent="0.3">
      <c r="A443" s="22" t="s">
        <v>2252</v>
      </c>
      <c r="B443" s="10">
        <v>45527</v>
      </c>
      <c r="C443" s="12" t="s">
        <v>699</v>
      </c>
      <c r="D443" s="12" t="s">
        <v>1612</v>
      </c>
      <c r="E443" s="12" t="s">
        <v>1786</v>
      </c>
      <c r="F443" s="11">
        <v>4</v>
      </c>
      <c r="G443" s="12">
        <v>315.95</v>
      </c>
      <c r="H443" s="9">
        <v>0.19</v>
      </c>
      <c r="I443" s="12" t="s">
        <v>1829</v>
      </c>
      <c r="J443" s="9">
        <v>1023.678</v>
      </c>
    </row>
    <row r="444" spans="1:10" x14ac:dyDescent="0.3">
      <c r="A444" s="22" t="s">
        <v>2253</v>
      </c>
      <c r="B444" s="10">
        <v>45796</v>
      </c>
      <c r="C444" s="12" t="s">
        <v>737</v>
      </c>
      <c r="D444" s="12" t="s">
        <v>1652</v>
      </c>
      <c r="E444" s="12" t="s">
        <v>1786</v>
      </c>
      <c r="F444" s="11">
        <v>2</v>
      </c>
      <c r="G444" s="12">
        <v>810.17</v>
      </c>
      <c r="H444" s="9">
        <v>0.27</v>
      </c>
      <c r="I444" s="12" t="s">
        <v>1824</v>
      </c>
      <c r="J444" s="9">
        <v>1182.8481999999999</v>
      </c>
    </row>
    <row r="445" spans="1:10" x14ac:dyDescent="0.3">
      <c r="A445" s="22" t="s">
        <v>2254</v>
      </c>
      <c r="B445" s="10">
        <v>45389</v>
      </c>
      <c r="C445" s="12" t="s">
        <v>669</v>
      </c>
      <c r="D445" s="12" t="s">
        <v>1716</v>
      </c>
      <c r="E445" s="12" t="s">
        <v>1769</v>
      </c>
      <c r="F445" s="11">
        <v>3</v>
      </c>
      <c r="G445" s="12">
        <v>505.01</v>
      </c>
      <c r="H445" s="9">
        <v>0.02</v>
      </c>
      <c r="I445" s="12" t="s">
        <v>1826</v>
      </c>
      <c r="J445" s="9">
        <v>1484.7293999999999</v>
      </c>
    </row>
    <row r="446" spans="1:10" x14ac:dyDescent="0.3">
      <c r="A446" s="22" t="s">
        <v>2255</v>
      </c>
      <c r="B446" s="10">
        <v>45315</v>
      </c>
      <c r="C446" s="12" t="s">
        <v>1440</v>
      </c>
      <c r="D446" s="12" t="s">
        <v>1692</v>
      </c>
      <c r="E446" s="12" t="s">
        <v>1807</v>
      </c>
      <c r="F446" s="11">
        <v>2</v>
      </c>
      <c r="G446" s="12">
        <v>736.75</v>
      </c>
      <c r="H446" s="9">
        <v>0.18</v>
      </c>
      <c r="I446" s="12" t="s">
        <v>1824</v>
      </c>
      <c r="J446" s="9">
        <v>1208.27</v>
      </c>
    </row>
    <row r="447" spans="1:10" x14ac:dyDescent="0.3">
      <c r="A447" s="22" t="s">
        <v>2256</v>
      </c>
      <c r="B447" s="10">
        <v>45311</v>
      </c>
      <c r="C447" s="12" t="s">
        <v>114</v>
      </c>
      <c r="D447" s="12" t="s">
        <v>1702</v>
      </c>
      <c r="E447" s="12" t="s">
        <v>1786</v>
      </c>
      <c r="F447" s="11">
        <v>4</v>
      </c>
      <c r="G447" s="12">
        <v>700.31</v>
      </c>
      <c r="H447" s="9">
        <v>0.2</v>
      </c>
      <c r="I447" s="12" t="s">
        <v>1826</v>
      </c>
      <c r="J447" s="9">
        <v>2240.9920000000002</v>
      </c>
    </row>
    <row r="448" spans="1:10" x14ac:dyDescent="0.3">
      <c r="A448" s="22" t="s">
        <v>2257</v>
      </c>
      <c r="B448" s="10">
        <v>45270</v>
      </c>
      <c r="C448" s="12" t="s">
        <v>444</v>
      </c>
      <c r="D448" s="12" t="s">
        <v>1730</v>
      </c>
      <c r="E448" s="12" t="s">
        <v>1792</v>
      </c>
      <c r="F448" s="11">
        <v>4</v>
      </c>
      <c r="G448" s="12">
        <v>202.46</v>
      </c>
      <c r="H448" s="9">
        <v>0.24</v>
      </c>
      <c r="I448" s="12" t="s">
        <v>1824</v>
      </c>
      <c r="J448" s="9">
        <v>615.47840000000008</v>
      </c>
    </row>
    <row r="449" spans="1:10" x14ac:dyDescent="0.3">
      <c r="A449" s="22" t="s">
        <v>2258</v>
      </c>
      <c r="B449" s="10">
        <v>45279</v>
      </c>
      <c r="C449" s="12" t="s">
        <v>846</v>
      </c>
      <c r="D449" s="12" t="s">
        <v>1722</v>
      </c>
      <c r="E449" s="12" t="s">
        <v>1757</v>
      </c>
      <c r="F449" s="11">
        <v>2</v>
      </c>
      <c r="G449" s="12">
        <v>291.83999999999997</v>
      </c>
      <c r="H449" s="9">
        <v>0.25</v>
      </c>
      <c r="I449" s="12" t="s">
        <v>1826</v>
      </c>
      <c r="J449" s="9">
        <v>437.76</v>
      </c>
    </row>
    <row r="450" spans="1:10" x14ac:dyDescent="0.3">
      <c r="A450" s="22" t="s">
        <v>2259</v>
      </c>
      <c r="B450" s="10">
        <v>45252</v>
      </c>
      <c r="C450" s="12" t="s">
        <v>544</v>
      </c>
      <c r="D450" s="12" t="s">
        <v>1742</v>
      </c>
      <c r="E450" s="12" t="s">
        <v>1773</v>
      </c>
      <c r="F450" s="11">
        <v>2</v>
      </c>
      <c r="G450" s="12">
        <v>261.48</v>
      </c>
      <c r="H450" s="9">
        <v>0.17</v>
      </c>
      <c r="I450" s="12" t="s">
        <v>1824</v>
      </c>
      <c r="J450" s="9">
        <v>434.05680000000001</v>
      </c>
    </row>
    <row r="451" spans="1:10" x14ac:dyDescent="0.3">
      <c r="A451" s="22" t="s">
        <v>2260</v>
      </c>
      <c r="B451" s="10">
        <v>45938</v>
      </c>
      <c r="C451" s="12" t="s">
        <v>948</v>
      </c>
      <c r="D451" s="12" t="s">
        <v>1620</v>
      </c>
      <c r="E451" s="12" t="s">
        <v>1799</v>
      </c>
      <c r="F451" s="11">
        <v>1</v>
      </c>
      <c r="G451" s="12">
        <v>850.83</v>
      </c>
      <c r="H451" s="9">
        <v>0.28000000000000003</v>
      </c>
      <c r="I451" s="12" t="s">
        <v>1826</v>
      </c>
      <c r="J451" s="9">
        <v>612.59760000000006</v>
      </c>
    </row>
    <row r="452" spans="1:10" x14ac:dyDescent="0.3">
      <c r="A452" s="22" t="s">
        <v>2261</v>
      </c>
      <c r="B452" s="10">
        <v>45711</v>
      </c>
      <c r="C452" s="12" t="s">
        <v>1260</v>
      </c>
      <c r="D452" s="12" t="s">
        <v>1640</v>
      </c>
      <c r="E452" s="12" t="s">
        <v>1786</v>
      </c>
      <c r="F452" s="11">
        <v>1</v>
      </c>
      <c r="G452" s="12">
        <v>83.83</v>
      </c>
      <c r="H452" s="9">
        <v>0.05</v>
      </c>
      <c r="I452" s="12" t="s">
        <v>1824</v>
      </c>
      <c r="J452" s="9">
        <v>79.638499999999993</v>
      </c>
    </row>
    <row r="453" spans="1:10" x14ac:dyDescent="0.3">
      <c r="A453" s="22" t="s">
        <v>2262</v>
      </c>
      <c r="B453" s="10">
        <v>45713</v>
      </c>
      <c r="C453" s="12" t="s">
        <v>36</v>
      </c>
      <c r="D453" s="12" t="s">
        <v>1724</v>
      </c>
      <c r="E453" s="12" t="s">
        <v>1804</v>
      </c>
      <c r="F453" s="11">
        <v>3</v>
      </c>
      <c r="G453" s="12">
        <v>649.95000000000005</v>
      </c>
      <c r="H453" s="9">
        <v>0.28000000000000003</v>
      </c>
      <c r="I453" s="12" t="s">
        <v>1829</v>
      </c>
      <c r="J453" s="9">
        <v>1403.8920000000001</v>
      </c>
    </row>
    <row r="454" spans="1:10" x14ac:dyDescent="0.3">
      <c r="A454" s="22" t="s">
        <v>2263</v>
      </c>
      <c r="B454" s="10">
        <v>45565</v>
      </c>
      <c r="C454" s="12" t="s">
        <v>1145</v>
      </c>
      <c r="D454" s="12" t="s">
        <v>1694</v>
      </c>
      <c r="E454" s="12" t="s">
        <v>1776</v>
      </c>
      <c r="F454" s="11">
        <v>4</v>
      </c>
      <c r="G454" s="12">
        <v>934.96</v>
      </c>
      <c r="H454" s="9">
        <v>0.18</v>
      </c>
      <c r="I454" s="12" t="s">
        <v>1826</v>
      </c>
      <c r="J454" s="9">
        <v>3066.6687999999999</v>
      </c>
    </row>
    <row r="455" spans="1:10" x14ac:dyDescent="0.3">
      <c r="A455" s="22" t="s">
        <v>2264</v>
      </c>
      <c r="B455" s="10">
        <v>45279</v>
      </c>
      <c r="C455" s="12" t="s">
        <v>672</v>
      </c>
      <c r="D455" s="12" t="s">
        <v>1582</v>
      </c>
      <c r="E455" s="12" t="s">
        <v>1799</v>
      </c>
      <c r="F455" s="11">
        <v>1</v>
      </c>
      <c r="G455" s="12">
        <v>880.89</v>
      </c>
      <c r="H455" s="9">
        <v>0.13</v>
      </c>
      <c r="I455" s="12" t="s">
        <v>1829</v>
      </c>
      <c r="J455" s="9">
        <v>766.37429999999995</v>
      </c>
    </row>
    <row r="456" spans="1:10" x14ac:dyDescent="0.3">
      <c r="A456" s="22" t="s">
        <v>2265</v>
      </c>
      <c r="B456" s="10">
        <v>45614</v>
      </c>
      <c r="C456" s="12" t="s">
        <v>1469</v>
      </c>
      <c r="D456" s="12" t="s">
        <v>1744</v>
      </c>
      <c r="E456" s="12" t="s">
        <v>1782</v>
      </c>
      <c r="F456" s="11">
        <v>4</v>
      </c>
      <c r="G456" s="12">
        <v>610.6</v>
      </c>
      <c r="H456" s="9">
        <v>0.1</v>
      </c>
      <c r="I456" s="12" t="s">
        <v>1826</v>
      </c>
      <c r="J456" s="9">
        <v>2198.16</v>
      </c>
    </row>
    <row r="457" spans="1:10" x14ac:dyDescent="0.3">
      <c r="A457" s="22" t="s">
        <v>2266</v>
      </c>
      <c r="B457" s="10">
        <v>45912</v>
      </c>
      <c r="C457" s="12" t="s">
        <v>275</v>
      </c>
      <c r="D457" s="12" t="s">
        <v>1604</v>
      </c>
      <c r="E457" s="12" t="s">
        <v>1810</v>
      </c>
      <c r="F457" s="11">
        <v>1</v>
      </c>
      <c r="G457" s="12">
        <v>514.19000000000005</v>
      </c>
      <c r="H457" s="9">
        <v>0.2</v>
      </c>
      <c r="I457" s="12" t="s">
        <v>1824</v>
      </c>
      <c r="J457" s="9">
        <v>411.35200000000009</v>
      </c>
    </row>
    <row r="458" spans="1:10" x14ac:dyDescent="0.3">
      <c r="A458" s="22" t="s">
        <v>2267</v>
      </c>
      <c r="B458" s="10">
        <v>45688</v>
      </c>
      <c r="C458" s="12" t="s">
        <v>1243</v>
      </c>
      <c r="D458" s="12" t="s">
        <v>1622</v>
      </c>
      <c r="E458" s="12" t="s">
        <v>1797</v>
      </c>
      <c r="F458" s="11">
        <v>1</v>
      </c>
      <c r="G458" s="12">
        <v>546.20000000000005</v>
      </c>
      <c r="H458" s="9">
        <v>0.22</v>
      </c>
      <c r="I458" s="12" t="s">
        <v>1826</v>
      </c>
      <c r="J458" s="9">
        <v>426.03600000000012</v>
      </c>
    </row>
    <row r="459" spans="1:10" x14ac:dyDescent="0.3">
      <c r="A459" s="22" t="s">
        <v>2268</v>
      </c>
      <c r="B459" s="10">
        <v>45591</v>
      </c>
      <c r="C459" s="12" t="s">
        <v>646</v>
      </c>
      <c r="D459" s="12" t="s">
        <v>1622</v>
      </c>
      <c r="E459" s="12" t="s">
        <v>1752</v>
      </c>
      <c r="F459" s="11">
        <v>3</v>
      </c>
      <c r="G459" s="12">
        <v>416.01</v>
      </c>
      <c r="H459" s="9">
        <v>0.02</v>
      </c>
      <c r="I459" s="12" t="s">
        <v>1824</v>
      </c>
      <c r="J459" s="9">
        <v>1223.0694000000001</v>
      </c>
    </row>
    <row r="460" spans="1:10" x14ac:dyDescent="0.3">
      <c r="A460" s="22" t="s">
        <v>2269</v>
      </c>
      <c r="B460" s="10">
        <v>45864</v>
      </c>
      <c r="C460" s="12" t="s">
        <v>1199</v>
      </c>
      <c r="D460" s="12" t="s">
        <v>1696</v>
      </c>
      <c r="E460" s="12" t="s">
        <v>1789</v>
      </c>
      <c r="F460" s="11">
        <v>1</v>
      </c>
      <c r="G460" s="12">
        <v>30.94</v>
      </c>
      <c r="H460" s="9">
        <v>0.21</v>
      </c>
      <c r="I460" s="12" t="s">
        <v>1829</v>
      </c>
      <c r="J460" s="9">
        <v>24.442599999999999</v>
      </c>
    </row>
    <row r="461" spans="1:10" x14ac:dyDescent="0.3">
      <c r="A461" s="22" t="s">
        <v>2270</v>
      </c>
      <c r="B461" s="10">
        <v>45875</v>
      </c>
      <c r="C461" s="12" t="s">
        <v>654</v>
      </c>
      <c r="D461" s="12" t="s">
        <v>1664</v>
      </c>
      <c r="E461" s="12" t="s">
        <v>1804</v>
      </c>
      <c r="F461" s="11">
        <v>3</v>
      </c>
      <c r="G461" s="12">
        <v>666.39</v>
      </c>
      <c r="H461" s="9">
        <v>0.21</v>
      </c>
      <c r="I461" s="12" t="s">
        <v>1829</v>
      </c>
      <c r="J461" s="9">
        <v>1579.3443</v>
      </c>
    </row>
    <row r="462" spans="1:10" x14ac:dyDescent="0.3">
      <c r="A462" s="22" t="s">
        <v>2271</v>
      </c>
      <c r="B462" s="10">
        <v>45797</v>
      </c>
      <c r="C462" s="12" t="s">
        <v>553</v>
      </c>
      <c r="D462" s="12" t="s">
        <v>1710</v>
      </c>
      <c r="E462" s="12" t="s">
        <v>1789</v>
      </c>
      <c r="F462" s="11">
        <v>2</v>
      </c>
      <c r="G462" s="12">
        <v>145.26</v>
      </c>
      <c r="H462" s="9">
        <v>0.19</v>
      </c>
      <c r="I462" s="12" t="s">
        <v>1826</v>
      </c>
      <c r="J462" s="9">
        <v>235.3212</v>
      </c>
    </row>
    <row r="463" spans="1:10" x14ac:dyDescent="0.3">
      <c r="A463" s="22" t="s">
        <v>2272</v>
      </c>
      <c r="B463" s="10">
        <v>45364</v>
      </c>
      <c r="C463" s="12" t="s">
        <v>411</v>
      </c>
      <c r="D463" s="12" t="s">
        <v>1730</v>
      </c>
      <c r="E463" s="12" t="s">
        <v>1773</v>
      </c>
      <c r="F463" s="11">
        <v>4</v>
      </c>
      <c r="G463" s="12">
        <v>940.77</v>
      </c>
      <c r="H463" s="9">
        <v>0.24</v>
      </c>
      <c r="I463" s="12" t="s">
        <v>1829</v>
      </c>
      <c r="J463" s="9">
        <v>2859.9407999999999</v>
      </c>
    </row>
    <row r="464" spans="1:10" x14ac:dyDescent="0.3">
      <c r="A464" s="22" t="s">
        <v>2273</v>
      </c>
      <c r="B464" s="10">
        <v>45700</v>
      </c>
      <c r="C464" s="12" t="s">
        <v>1446</v>
      </c>
      <c r="D464" s="12" t="s">
        <v>1640</v>
      </c>
      <c r="E464" s="12" t="s">
        <v>1807</v>
      </c>
      <c r="F464" s="11">
        <v>1</v>
      </c>
      <c r="G464" s="12">
        <v>708.88</v>
      </c>
      <c r="H464" s="9">
        <v>0.09</v>
      </c>
      <c r="I464" s="12" t="s">
        <v>1824</v>
      </c>
      <c r="J464" s="9">
        <v>645.08080000000007</v>
      </c>
    </row>
    <row r="465" spans="1:10" x14ac:dyDescent="0.3">
      <c r="A465" s="22" t="s">
        <v>2274</v>
      </c>
      <c r="B465" s="10">
        <v>45924</v>
      </c>
      <c r="C465" s="12" t="s">
        <v>969</v>
      </c>
      <c r="D465" s="12" t="s">
        <v>1608</v>
      </c>
      <c r="E465" s="12" t="s">
        <v>1761</v>
      </c>
      <c r="F465" s="11">
        <v>1</v>
      </c>
      <c r="G465" s="12">
        <v>790.73</v>
      </c>
      <c r="H465" s="9">
        <v>0.24</v>
      </c>
      <c r="I465" s="12" t="s">
        <v>1826</v>
      </c>
      <c r="J465" s="9">
        <v>600.95479999999998</v>
      </c>
    </row>
    <row r="466" spans="1:10" x14ac:dyDescent="0.3">
      <c r="A466" s="22" t="s">
        <v>2275</v>
      </c>
      <c r="B466" s="10">
        <v>45574</v>
      </c>
      <c r="C466" s="12" t="s">
        <v>1389</v>
      </c>
      <c r="D466" s="12" t="s">
        <v>1578</v>
      </c>
      <c r="E466" s="12" t="s">
        <v>1786</v>
      </c>
      <c r="F466" s="11">
        <v>3</v>
      </c>
      <c r="G466" s="12">
        <v>635.13</v>
      </c>
      <c r="H466" s="9">
        <v>0.09</v>
      </c>
      <c r="I466" s="12" t="s">
        <v>1826</v>
      </c>
      <c r="J466" s="9">
        <v>1733.9049</v>
      </c>
    </row>
    <row r="467" spans="1:10" x14ac:dyDescent="0.3">
      <c r="A467" s="22" t="s">
        <v>2276</v>
      </c>
      <c r="B467" s="10">
        <v>45233</v>
      </c>
      <c r="C467" s="12" t="s">
        <v>849</v>
      </c>
      <c r="D467" s="12" t="s">
        <v>1734</v>
      </c>
      <c r="E467" s="12" t="s">
        <v>1799</v>
      </c>
      <c r="F467" s="11">
        <v>1</v>
      </c>
      <c r="G467" s="12">
        <v>744.88</v>
      </c>
      <c r="H467" s="9">
        <v>0.15</v>
      </c>
      <c r="I467" s="12" t="s">
        <v>1829</v>
      </c>
      <c r="J467" s="9">
        <v>633.14800000000002</v>
      </c>
    </row>
    <row r="468" spans="1:10" x14ac:dyDescent="0.3">
      <c r="A468" s="22" t="s">
        <v>2277</v>
      </c>
      <c r="B468" s="10">
        <v>45745</v>
      </c>
      <c r="C468" s="12" t="s">
        <v>604</v>
      </c>
      <c r="D468" s="12" t="s">
        <v>1604</v>
      </c>
      <c r="E468" s="12" t="s">
        <v>1757</v>
      </c>
      <c r="F468" s="11">
        <v>3</v>
      </c>
      <c r="G468" s="12">
        <v>205.34</v>
      </c>
      <c r="H468" s="9">
        <v>0.25</v>
      </c>
      <c r="I468" s="12" t="s">
        <v>1824</v>
      </c>
      <c r="J468" s="9">
        <v>462.01499999999999</v>
      </c>
    </row>
    <row r="469" spans="1:10" x14ac:dyDescent="0.3">
      <c r="A469" s="22" t="s">
        <v>2278</v>
      </c>
      <c r="B469" s="10">
        <v>45851</v>
      </c>
      <c r="C469" s="12" t="s">
        <v>1301</v>
      </c>
      <c r="D469" s="12" t="s">
        <v>1606</v>
      </c>
      <c r="E469" s="12" t="s">
        <v>1782</v>
      </c>
      <c r="F469" s="11">
        <v>2</v>
      </c>
      <c r="G469" s="12">
        <v>756.8</v>
      </c>
      <c r="H469" s="9">
        <v>0.15</v>
      </c>
      <c r="I469" s="12" t="s">
        <v>1824</v>
      </c>
      <c r="J469" s="9">
        <v>1286.56</v>
      </c>
    </row>
    <row r="470" spans="1:10" x14ac:dyDescent="0.3">
      <c r="A470" s="22" t="s">
        <v>2279</v>
      </c>
      <c r="B470" s="10">
        <v>45308</v>
      </c>
      <c r="C470" s="12" t="s">
        <v>172</v>
      </c>
      <c r="D470" s="12" t="s">
        <v>1590</v>
      </c>
      <c r="E470" s="12" t="s">
        <v>1789</v>
      </c>
      <c r="F470" s="11">
        <v>1</v>
      </c>
      <c r="G470" s="12">
        <v>771.73</v>
      </c>
      <c r="H470" s="9">
        <v>0.2</v>
      </c>
      <c r="I470" s="12" t="s">
        <v>1824</v>
      </c>
      <c r="J470" s="9">
        <v>617.38400000000001</v>
      </c>
    </row>
    <row r="471" spans="1:10" x14ac:dyDescent="0.3">
      <c r="A471" s="22" t="s">
        <v>2280</v>
      </c>
      <c r="B471" s="10">
        <v>45639</v>
      </c>
      <c r="C471" s="12" t="s">
        <v>1475</v>
      </c>
      <c r="D471" s="12" t="s">
        <v>1680</v>
      </c>
      <c r="E471" s="12" t="s">
        <v>1807</v>
      </c>
      <c r="F471" s="11">
        <v>1</v>
      </c>
      <c r="G471" s="12">
        <v>440.19</v>
      </c>
      <c r="H471" s="9">
        <v>0.03</v>
      </c>
      <c r="I471" s="12" t="s">
        <v>1826</v>
      </c>
      <c r="J471" s="9">
        <v>426.98430000000002</v>
      </c>
    </row>
    <row r="472" spans="1:10" x14ac:dyDescent="0.3">
      <c r="A472" s="22" t="s">
        <v>2281</v>
      </c>
      <c r="B472" s="10">
        <v>45919</v>
      </c>
      <c r="C472" s="12" t="s">
        <v>181</v>
      </c>
      <c r="D472" s="12" t="s">
        <v>1553</v>
      </c>
      <c r="E472" s="12" t="s">
        <v>1761</v>
      </c>
      <c r="F472" s="11">
        <v>2</v>
      </c>
      <c r="G472" s="12">
        <v>409</v>
      </c>
      <c r="H472" s="9">
        <v>0.17</v>
      </c>
      <c r="I472" s="12" t="s">
        <v>1824</v>
      </c>
      <c r="J472" s="9">
        <v>678.93999999999994</v>
      </c>
    </row>
    <row r="473" spans="1:10" x14ac:dyDescent="0.3">
      <c r="A473" s="22" t="s">
        <v>2282</v>
      </c>
      <c r="B473" s="10">
        <v>45333</v>
      </c>
      <c r="C473" s="12" t="s">
        <v>1077</v>
      </c>
      <c r="D473" s="12" t="s">
        <v>1624</v>
      </c>
      <c r="E473" s="12" t="s">
        <v>1813</v>
      </c>
      <c r="F473" s="11">
        <v>3</v>
      </c>
      <c r="G473" s="12">
        <v>134.58000000000001</v>
      </c>
      <c r="H473" s="9">
        <v>0.04</v>
      </c>
      <c r="I473" s="12" t="s">
        <v>1829</v>
      </c>
      <c r="J473" s="9">
        <v>387.59039999999999</v>
      </c>
    </row>
    <row r="474" spans="1:10" x14ac:dyDescent="0.3">
      <c r="A474" s="22" t="s">
        <v>2283</v>
      </c>
      <c r="B474" s="10">
        <v>45811</v>
      </c>
      <c r="C474" s="12" t="s">
        <v>1092</v>
      </c>
      <c r="D474" s="12" t="s">
        <v>1626</v>
      </c>
      <c r="E474" s="12" t="s">
        <v>1779</v>
      </c>
      <c r="F474" s="11">
        <v>4</v>
      </c>
      <c r="G474" s="12">
        <v>284.44</v>
      </c>
      <c r="H474" s="9">
        <v>0.02</v>
      </c>
      <c r="I474" s="12" t="s">
        <v>1824</v>
      </c>
      <c r="J474" s="9">
        <v>1115.0047999999999</v>
      </c>
    </row>
    <row r="475" spans="1:10" x14ac:dyDescent="0.3">
      <c r="A475" s="22" t="s">
        <v>2284</v>
      </c>
      <c r="B475" s="10">
        <v>45726</v>
      </c>
      <c r="C475" s="12" t="s">
        <v>1260</v>
      </c>
      <c r="D475" s="12" t="s">
        <v>1694</v>
      </c>
      <c r="E475" s="12" t="s">
        <v>1797</v>
      </c>
      <c r="F475" s="11">
        <v>4</v>
      </c>
      <c r="G475" s="12">
        <v>922.69</v>
      </c>
      <c r="H475" s="9">
        <v>0.16</v>
      </c>
      <c r="I475" s="12" t="s">
        <v>1824</v>
      </c>
      <c r="J475" s="9">
        <v>3100.2384000000002</v>
      </c>
    </row>
    <row r="476" spans="1:10" x14ac:dyDescent="0.3">
      <c r="A476" s="22" t="s">
        <v>2285</v>
      </c>
      <c r="B476" s="10">
        <v>45644</v>
      </c>
      <c r="C476" s="12" t="s">
        <v>875</v>
      </c>
      <c r="D476" s="12" t="s">
        <v>1620</v>
      </c>
      <c r="E476" s="12" t="s">
        <v>1776</v>
      </c>
      <c r="F476" s="11">
        <v>2</v>
      </c>
      <c r="G476" s="12">
        <v>992.55</v>
      </c>
      <c r="H476" s="9">
        <v>0.28000000000000003</v>
      </c>
      <c r="I476" s="12" t="s">
        <v>1824</v>
      </c>
      <c r="J476" s="9">
        <v>1429.2719999999999</v>
      </c>
    </row>
    <row r="477" spans="1:10" x14ac:dyDescent="0.3">
      <c r="A477" s="22" t="s">
        <v>2286</v>
      </c>
      <c r="B477" s="10">
        <v>45371</v>
      </c>
      <c r="C477" s="12" t="s">
        <v>1298</v>
      </c>
      <c r="D477" s="12" t="s">
        <v>1726</v>
      </c>
      <c r="E477" s="12" t="s">
        <v>1810</v>
      </c>
      <c r="F477" s="11">
        <v>1</v>
      </c>
      <c r="G477" s="12">
        <v>170.43</v>
      </c>
      <c r="H477" s="9">
        <v>0.03</v>
      </c>
      <c r="I477" s="12" t="s">
        <v>1824</v>
      </c>
      <c r="J477" s="9">
        <v>165.31710000000001</v>
      </c>
    </row>
    <row r="478" spans="1:10" x14ac:dyDescent="0.3">
      <c r="A478" s="22" t="s">
        <v>2287</v>
      </c>
      <c r="B478" s="10">
        <v>45462</v>
      </c>
      <c r="C478" s="12" t="s">
        <v>722</v>
      </c>
      <c r="D478" s="12" t="s">
        <v>1692</v>
      </c>
      <c r="E478" s="12" t="s">
        <v>1761</v>
      </c>
      <c r="F478" s="11">
        <v>3</v>
      </c>
      <c r="G478" s="12">
        <v>480.51</v>
      </c>
      <c r="H478" s="9">
        <v>0.03</v>
      </c>
      <c r="I478" s="12" t="s">
        <v>1824</v>
      </c>
      <c r="J478" s="9">
        <v>1398.2841000000001</v>
      </c>
    </row>
    <row r="479" spans="1:10" x14ac:dyDescent="0.3">
      <c r="A479" s="22" t="s">
        <v>2288</v>
      </c>
      <c r="B479" s="10">
        <v>45632</v>
      </c>
      <c r="C479" s="12" t="s">
        <v>523</v>
      </c>
      <c r="D479" s="12" t="s">
        <v>1646</v>
      </c>
      <c r="E479" s="12" t="s">
        <v>1779</v>
      </c>
      <c r="F479" s="11">
        <v>2</v>
      </c>
      <c r="G479" s="12">
        <v>955.66</v>
      </c>
      <c r="H479" s="9">
        <v>0.28999999999999998</v>
      </c>
      <c r="I479" s="12" t="s">
        <v>1829</v>
      </c>
      <c r="J479" s="9">
        <v>1357.0372</v>
      </c>
    </row>
    <row r="480" spans="1:10" x14ac:dyDescent="0.3">
      <c r="A480" s="22" t="s">
        <v>2289</v>
      </c>
      <c r="B480" s="10">
        <v>45863</v>
      </c>
      <c r="C480" s="12" t="s">
        <v>1395</v>
      </c>
      <c r="D480" s="12" t="s">
        <v>1692</v>
      </c>
      <c r="E480" s="12" t="s">
        <v>1752</v>
      </c>
      <c r="F480" s="11">
        <v>2</v>
      </c>
      <c r="G480" s="12">
        <v>488.02</v>
      </c>
      <c r="H480" s="9">
        <v>0.27</v>
      </c>
      <c r="I480" s="12" t="s">
        <v>1826</v>
      </c>
      <c r="J480" s="9">
        <v>712.50919999999996</v>
      </c>
    </row>
    <row r="481" spans="1:10" x14ac:dyDescent="0.3">
      <c r="A481" s="22" t="s">
        <v>2290</v>
      </c>
      <c r="B481" s="10">
        <v>45501</v>
      </c>
      <c r="C481" s="12" t="s">
        <v>770</v>
      </c>
      <c r="D481" s="12" t="s">
        <v>1584</v>
      </c>
      <c r="E481" s="12" t="s">
        <v>1752</v>
      </c>
      <c r="F481" s="11">
        <v>1</v>
      </c>
      <c r="G481" s="12">
        <v>917.17</v>
      </c>
      <c r="H481" s="9">
        <v>0.13</v>
      </c>
      <c r="I481" s="12" t="s">
        <v>1829</v>
      </c>
      <c r="J481" s="9">
        <v>797.93790000000001</v>
      </c>
    </row>
    <row r="482" spans="1:10" x14ac:dyDescent="0.3">
      <c r="A482" s="22" t="s">
        <v>2291</v>
      </c>
      <c r="B482" s="10">
        <v>45568</v>
      </c>
      <c r="C482" s="12" t="s">
        <v>1020</v>
      </c>
      <c r="D482" s="12" t="s">
        <v>1562</v>
      </c>
      <c r="E482" s="12" t="s">
        <v>1773</v>
      </c>
      <c r="F482" s="11">
        <v>2</v>
      </c>
      <c r="G482" s="12">
        <v>406.46</v>
      </c>
      <c r="H482" s="9">
        <v>0.3</v>
      </c>
      <c r="I482" s="12" t="s">
        <v>1826</v>
      </c>
      <c r="J482" s="9">
        <v>569.04399999999998</v>
      </c>
    </row>
    <row r="483" spans="1:10" x14ac:dyDescent="0.3">
      <c r="A483" s="22" t="s">
        <v>2292</v>
      </c>
      <c r="B483" s="10">
        <v>45238</v>
      </c>
      <c r="C483" s="12" t="s">
        <v>746</v>
      </c>
      <c r="D483" s="12" t="s">
        <v>1738</v>
      </c>
      <c r="E483" s="12" t="s">
        <v>1752</v>
      </c>
      <c r="F483" s="11">
        <v>2</v>
      </c>
      <c r="G483" s="12">
        <v>264.39</v>
      </c>
      <c r="H483" s="9">
        <v>0.11</v>
      </c>
      <c r="I483" s="12" t="s">
        <v>1829</v>
      </c>
      <c r="J483" s="9">
        <v>470.61419999999998</v>
      </c>
    </row>
    <row r="484" spans="1:10" x14ac:dyDescent="0.3">
      <c r="A484" s="22" t="s">
        <v>2293</v>
      </c>
      <c r="B484" s="10">
        <v>45754</v>
      </c>
      <c r="C484" s="12" t="s">
        <v>628</v>
      </c>
      <c r="D484" s="12" t="s">
        <v>1684</v>
      </c>
      <c r="E484" s="12" t="s">
        <v>1804</v>
      </c>
      <c r="F484" s="11">
        <v>1</v>
      </c>
      <c r="G484" s="12">
        <v>414.97</v>
      </c>
      <c r="H484" s="9">
        <v>0.22</v>
      </c>
      <c r="I484" s="12" t="s">
        <v>1826</v>
      </c>
      <c r="J484" s="9">
        <v>323.67660000000001</v>
      </c>
    </row>
    <row r="485" spans="1:10" x14ac:dyDescent="0.3">
      <c r="A485" s="22" t="s">
        <v>2294</v>
      </c>
      <c r="B485" s="10">
        <v>45280</v>
      </c>
      <c r="C485" s="12" t="s">
        <v>493</v>
      </c>
      <c r="D485" s="12" t="s">
        <v>1598</v>
      </c>
      <c r="E485" s="12" t="s">
        <v>1794</v>
      </c>
      <c r="F485" s="11">
        <v>2</v>
      </c>
      <c r="G485" s="12">
        <v>583.51</v>
      </c>
      <c r="H485" s="9">
        <v>0.2</v>
      </c>
      <c r="I485" s="12" t="s">
        <v>1829</v>
      </c>
      <c r="J485" s="9">
        <v>933.61599999999999</v>
      </c>
    </row>
    <row r="486" spans="1:10" x14ac:dyDescent="0.3">
      <c r="A486" s="22" t="s">
        <v>2295</v>
      </c>
      <c r="B486" s="10">
        <v>45911</v>
      </c>
      <c r="C486" s="12" t="s">
        <v>55</v>
      </c>
      <c r="D486" s="12" t="s">
        <v>1610</v>
      </c>
      <c r="E486" s="12" t="s">
        <v>1807</v>
      </c>
      <c r="F486" s="11">
        <v>1</v>
      </c>
      <c r="G486" s="12">
        <v>659.27</v>
      </c>
      <c r="H486" s="9">
        <v>0.15</v>
      </c>
      <c r="I486" s="12" t="s">
        <v>1826</v>
      </c>
      <c r="J486" s="9">
        <v>560.37950000000001</v>
      </c>
    </row>
    <row r="487" spans="1:10" x14ac:dyDescent="0.3">
      <c r="A487" s="22" t="s">
        <v>2296</v>
      </c>
      <c r="B487" s="10">
        <v>45627</v>
      </c>
      <c r="C487" s="12" t="s">
        <v>1377</v>
      </c>
      <c r="D487" s="12" t="s">
        <v>1549</v>
      </c>
      <c r="E487" s="12" t="s">
        <v>1769</v>
      </c>
      <c r="F487" s="11">
        <v>4</v>
      </c>
      <c r="G487" s="12">
        <v>106.66</v>
      </c>
      <c r="H487" s="9">
        <v>0.2</v>
      </c>
      <c r="I487" s="12" t="s">
        <v>1829</v>
      </c>
      <c r="J487" s="9">
        <v>341.31200000000001</v>
      </c>
    </row>
    <row r="488" spans="1:10" x14ac:dyDescent="0.3">
      <c r="A488" s="22" t="s">
        <v>2297</v>
      </c>
      <c r="B488" s="10">
        <v>45617</v>
      </c>
      <c r="C488" s="12" t="s">
        <v>544</v>
      </c>
      <c r="D488" s="12" t="s">
        <v>1568</v>
      </c>
      <c r="E488" s="12" t="s">
        <v>1773</v>
      </c>
      <c r="F488" s="11">
        <v>4</v>
      </c>
      <c r="G488" s="12">
        <v>168.55</v>
      </c>
      <c r="H488" s="9">
        <v>0.15</v>
      </c>
      <c r="I488" s="12" t="s">
        <v>1826</v>
      </c>
      <c r="J488" s="9">
        <v>573.07000000000005</v>
      </c>
    </row>
    <row r="489" spans="1:10" x14ac:dyDescent="0.3">
      <c r="A489" s="22" t="s">
        <v>2298</v>
      </c>
      <c r="B489" s="10">
        <v>45899</v>
      </c>
      <c r="C489" s="12" t="s">
        <v>1501</v>
      </c>
      <c r="D489" s="12" t="s">
        <v>1636</v>
      </c>
      <c r="E489" s="12" t="s">
        <v>1761</v>
      </c>
      <c r="F489" s="11">
        <v>1</v>
      </c>
      <c r="G489" s="12">
        <v>230.53</v>
      </c>
      <c r="H489" s="9">
        <v>0.06</v>
      </c>
      <c r="I489" s="12" t="s">
        <v>1829</v>
      </c>
      <c r="J489" s="9">
        <v>216.69820000000001</v>
      </c>
    </row>
    <row r="490" spans="1:10" x14ac:dyDescent="0.3">
      <c r="A490" s="22" t="s">
        <v>2299</v>
      </c>
      <c r="B490" s="10">
        <v>45889</v>
      </c>
      <c r="C490" s="12" t="s">
        <v>40</v>
      </c>
      <c r="D490" s="12" t="s">
        <v>1656</v>
      </c>
      <c r="E490" s="12" t="s">
        <v>1757</v>
      </c>
      <c r="F490" s="11">
        <v>2</v>
      </c>
      <c r="G490" s="12">
        <v>355.41</v>
      </c>
      <c r="H490" s="9">
        <v>0.13</v>
      </c>
      <c r="I490" s="12" t="s">
        <v>1829</v>
      </c>
      <c r="J490" s="9">
        <v>618.41340000000002</v>
      </c>
    </row>
    <row r="491" spans="1:10" x14ac:dyDescent="0.3">
      <c r="A491" s="22" t="s">
        <v>2300</v>
      </c>
      <c r="B491" s="10">
        <v>45943</v>
      </c>
      <c r="C491" s="12" t="s">
        <v>556</v>
      </c>
      <c r="D491" s="12" t="s">
        <v>1642</v>
      </c>
      <c r="E491" s="12" t="s">
        <v>1761</v>
      </c>
      <c r="F491" s="11">
        <v>3</v>
      </c>
      <c r="G491" s="12">
        <v>843.44</v>
      </c>
      <c r="H491" s="9">
        <v>0.22</v>
      </c>
      <c r="I491" s="12" t="s">
        <v>1824</v>
      </c>
      <c r="J491" s="9">
        <v>1973.6496</v>
      </c>
    </row>
    <row r="492" spans="1:10" x14ac:dyDescent="0.3">
      <c r="A492" s="22" t="s">
        <v>2301</v>
      </c>
      <c r="B492" s="10">
        <v>45306</v>
      </c>
      <c r="C492" s="12" t="s">
        <v>544</v>
      </c>
      <c r="D492" s="12" t="s">
        <v>1738</v>
      </c>
      <c r="E492" s="12" t="s">
        <v>1757</v>
      </c>
      <c r="F492" s="11">
        <v>1</v>
      </c>
      <c r="G492" s="12">
        <v>301.60000000000002</v>
      </c>
      <c r="H492" s="9">
        <v>0.27</v>
      </c>
      <c r="I492" s="12" t="s">
        <v>1824</v>
      </c>
      <c r="J492" s="9">
        <v>220.16800000000001</v>
      </c>
    </row>
    <row r="493" spans="1:10" x14ac:dyDescent="0.3">
      <c r="A493" s="22" t="s">
        <v>2302</v>
      </c>
      <c r="B493" s="10">
        <v>45772</v>
      </c>
      <c r="C493" s="12" t="s">
        <v>164</v>
      </c>
      <c r="D493" s="12" t="s">
        <v>1726</v>
      </c>
      <c r="E493" s="12" t="s">
        <v>1761</v>
      </c>
      <c r="F493" s="11">
        <v>3</v>
      </c>
      <c r="G493" s="12">
        <v>21.59</v>
      </c>
      <c r="H493" s="9">
        <v>0.16</v>
      </c>
      <c r="I493" s="12" t="s">
        <v>1829</v>
      </c>
      <c r="J493" s="9">
        <v>54.406799999999997</v>
      </c>
    </row>
    <row r="494" spans="1:10" x14ac:dyDescent="0.3">
      <c r="A494" s="22" t="s">
        <v>2303</v>
      </c>
      <c r="B494" s="10">
        <v>45346</v>
      </c>
      <c r="C494" s="12" t="s">
        <v>690</v>
      </c>
      <c r="D494" s="12" t="s">
        <v>1574</v>
      </c>
      <c r="E494" s="12" t="s">
        <v>1761</v>
      </c>
      <c r="F494" s="11">
        <v>4</v>
      </c>
      <c r="G494" s="12">
        <v>284.24</v>
      </c>
      <c r="H494" s="9">
        <v>0.09</v>
      </c>
      <c r="I494" s="12" t="s">
        <v>1824</v>
      </c>
      <c r="J494" s="9">
        <v>1034.6335999999999</v>
      </c>
    </row>
    <row r="495" spans="1:10" x14ac:dyDescent="0.3">
      <c r="A495" s="22" t="s">
        <v>2304</v>
      </c>
      <c r="B495" s="10">
        <v>45656</v>
      </c>
      <c r="C495" s="12" t="s">
        <v>1151</v>
      </c>
      <c r="D495" s="12" t="s">
        <v>1555</v>
      </c>
      <c r="E495" s="12" t="s">
        <v>1786</v>
      </c>
      <c r="F495" s="11">
        <v>1</v>
      </c>
      <c r="G495" s="12">
        <v>191.6</v>
      </c>
      <c r="H495" s="9">
        <v>0.27</v>
      </c>
      <c r="I495" s="12" t="s">
        <v>1826</v>
      </c>
      <c r="J495" s="9">
        <v>139.86799999999999</v>
      </c>
    </row>
    <row r="496" spans="1:10" x14ac:dyDescent="0.3">
      <c r="A496" s="22" t="s">
        <v>2305</v>
      </c>
      <c r="B496" s="10">
        <v>45762</v>
      </c>
      <c r="C496" s="12" t="s">
        <v>981</v>
      </c>
      <c r="D496" s="12" t="s">
        <v>1704</v>
      </c>
      <c r="E496" s="12" t="s">
        <v>1794</v>
      </c>
      <c r="F496" s="11">
        <v>2</v>
      </c>
      <c r="G496" s="12">
        <v>616.97</v>
      </c>
      <c r="H496" s="9">
        <v>0.22</v>
      </c>
      <c r="I496" s="12" t="s">
        <v>1824</v>
      </c>
      <c r="J496" s="9">
        <v>962.47320000000002</v>
      </c>
    </row>
    <row r="497" spans="1:10" x14ac:dyDescent="0.3">
      <c r="A497" s="22" t="s">
        <v>2306</v>
      </c>
      <c r="B497" s="10">
        <v>45580</v>
      </c>
      <c r="C497" s="12" t="s">
        <v>559</v>
      </c>
      <c r="D497" s="12" t="s">
        <v>1604</v>
      </c>
      <c r="E497" s="12" t="s">
        <v>1789</v>
      </c>
      <c r="F497" s="11">
        <v>3</v>
      </c>
      <c r="G497" s="12">
        <v>125.68</v>
      </c>
      <c r="H497" s="9">
        <v>0.26</v>
      </c>
      <c r="I497" s="12" t="s">
        <v>1829</v>
      </c>
      <c r="J497" s="9">
        <v>279.00959999999998</v>
      </c>
    </row>
    <row r="498" spans="1:10" x14ac:dyDescent="0.3">
      <c r="A498" s="22" t="s">
        <v>2307</v>
      </c>
      <c r="B498" s="10">
        <v>45676</v>
      </c>
      <c r="C498" s="12" t="s">
        <v>1104</v>
      </c>
      <c r="D498" s="12" t="s">
        <v>1634</v>
      </c>
      <c r="E498" s="12" t="s">
        <v>1769</v>
      </c>
      <c r="F498" s="11">
        <v>3</v>
      </c>
      <c r="G498" s="12">
        <v>307.48</v>
      </c>
      <c r="H498" s="9">
        <v>0.24</v>
      </c>
      <c r="I498" s="12" t="s">
        <v>1824</v>
      </c>
      <c r="J498" s="9">
        <v>701.0544000000001</v>
      </c>
    </row>
    <row r="499" spans="1:10" x14ac:dyDescent="0.3">
      <c r="A499" s="22" t="s">
        <v>2308</v>
      </c>
      <c r="B499" s="10">
        <v>45495</v>
      </c>
      <c r="C499" s="12" t="s">
        <v>942</v>
      </c>
      <c r="D499" s="12" t="s">
        <v>1549</v>
      </c>
      <c r="E499" s="12" t="s">
        <v>1813</v>
      </c>
      <c r="F499" s="11">
        <v>1</v>
      </c>
      <c r="G499" s="12">
        <v>505.23</v>
      </c>
      <c r="H499" s="9">
        <v>0.11</v>
      </c>
      <c r="I499" s="12" t="s">
        <v>1824</v>
      </c>
      <c r="J499" s="9">
        <v>449.65469999999999</v>
      </c>
    </row>
    <row r="500" spans="1:10" x14ac:dyDescent="0.3">
      <c r="A500" s="22" t="s">
        <v>2309</v>
      </c>
      <c r="B500" s="10">
        <v>45735</v>
      </c>
      <c r="C500" s="12" t="s">
        <v>1142</v>
      </c>
      <c r="D500" s="12" t="s">
        <v>1638</v>
      </c>
      <c r="E500" s="12" t="s">
        <v>1804</v>
      </c>
      <c r="F500" s="11">
        <v>1</v>
      </c>
      <c r="G500" s="12">
        <v>853.12</v>
      </c>
      <c r="H500" s="9">
        <v>0.19</v>
      </c>
      <c r="I500" s="12" t="s">
        <v>1829</v>
      </c>
      <c r="J500" s="9">
        <v>691.02719999999999</v>
      </c>
    </row>
    <row r="501" spans="1:10" x14ac:dyDescent="0.3">
      <c r="A501" s="22" t="s">
        <v>2310</v>
      </c>
      <c r="B501" s="10">
        <v>45312</v>
      </c>
      <c r="C501" s="12" t="s">
        <v>444</v>
      </c>
      <c r="D501" s="12" t="s">
        <v>1543</v>
      </c>
      <c r="E501" s="12" t="s">
        <v>1779</v>
      </c>
      <c r="F501" s="11">
        <v>4</v>
      </c>
      <c r="G501" s="12">
        <v>191.65</v>
      </c>
      <c r="H501" s="9">
        <v>0.19</v>
      </c>
      <c r="I501" s="12" t="s">
        <v>1826</v>
      </c>
      <c r="J501" s="9">
        <v>620.94600000000003</v>
      </c>
    </row>
    <row r="502" spans="1:10" x14ac:dyDescent="0.3">
      <c r="A502" s="22" t="s">
        <v>2311</v>
      </c>
      <c r="B502" s="10">
        <v>45286</v>
      </c>
      <c r="C502" s="12" t="s">
        <v>535</v>
      </c>
      <c r="D502" s="12" t="s">
        <v>1642</v>
      </c>
      <c r="E502" s="12" t="s">
        <v>1766</v>
      </c>
      <c r="F502" s="11">
        <v>1</v>
      </c>
      <c r="G502" s="12">
        <v>169.69</v>
      </c>
      <c r="H502" s="9">
        <v>0.22</v>
      </c>
      <c r="I502" s="12" t="s">
        <v>1824</v>
      </c>
      <c r="J502" s="9">
        <v>132.35820000000001</v>
      </c>
    </row>
    <row r="503" spans="1:10" x14ac:dyDescent="0.3">
      <c r="A503" s="22" t="s">
        <v>2312</v>
      </c>
      <c r="B503" s="10">
        <v>45372</v>
      </c>
      <c r="C503" s="12" t="s">
        <v>579</v>
      </c>
      <c r="D503" s="12" t="s">
        <v>1672</v>
      </c>
      <c r="E503" s="12" t="s">
        <v>1799</v>
      </c>
      <c r="F503" s="11">
        <v>1</v>
      </c>
      <c r="G503" s="12">
        <v>145.43</v>
      </c>
      <c r="H503" s="9">
        <v>0.08</v>
      </c>
      <c r="I503" s="12" t="s">
        <v>1824</v>
      </c>
      <c r="J503" s="9">
        <v>133.79560000000001</v>
      </c>
    </row>
    <row r="504" spans="1:10" x14ac:dyDescent="0.3">
      <c r="A504" s="22" t="s">
        <v>2313</v>
      </c>
      <c r="B504" s="10">
        <v>45633</v>
      </c>
      <c r="C504" s="12" t="s">
        <v>304</v>
      </c>
      <c r="D504" s="12" t="s">
        <v>1734</v>
      </c>
      <c r="E504" s="12" t="s">
        <v>1794</v>
      </c>
      <c r="F504" s="11">
        <v>4</v>
      </c>
      <c r="G504" s="12">
        <v>828.35</v>
      </c>
      <c r="H504" s="9">
        <v>0.17</v>
      </c>
      <c r="I504" s="12" t="s">
        <v>1824</v>
      </c>
      <c r="J504" s="9">
        <v>2750.1219999999998</v>
      </c>
    </row>
    <row r="505" spans="1:10" x14ac:dyDescent="0.3">
      <c r="A505" s="22" t="s">
        <v>2314</v>
      </c>
      <c r="B505" s="10">
        <v>45598</v>
      </c>
      <c r="C505" s="12" t="s">
        <v>1133</v>
      </c>
      <c r="D505" s="12" t="s">
        <v>1738</v>
      </c>
      <c r="E505" s="12" t="s">
        <v>1779</v>
      </c>
      <c r="F505" s="11">
        <v>3</v>
      </c>
      <c r="G505" s="12">
        <v>268.76</v>
      </c>
      <c r="H505" s="9">
        <v>0.01</v>
      </c>
      <c r="I505" s="12" t="s">
        <v>1826</v>
      </c>
      <c r="J505" s="9">
        <v>798.21719999999993</v>
      </c>
    </row>
    <row r="506" spans="1:10" x14ac:dyDescent="0.3">
      <c r="A506" s="22" t="s">
        <v>2315</v>
      </c>
      <c r="B506" s="10">
        <v>45495</v>
      </c>
      <c r="C506" s="12" t="s">
        <v>749</v>
      </c>
      <c r="D506" s="12" t="s">
        <v>1724</v>
      </c>
      <c r="E506" s="12" t="s">
        <v>1752</v>
      </c>
      <c r="F506" s="11">
        <v>4</v>
      </c>
      <c r="G506" s="12">
        <v>370.09</v>
      </c>
      <c r="H506" s="9">
        <v>0.22</v>
      </c>
      <c r="I506" s="12" t="s">
        <v>1829</v>
      </c>
      <c r="J506" s="9">
        <v>1154.6808000000001</v>
      </c>
    </row>
    <row r="507" spans="1:10" x14ac:dyDescent="0.3">
      <c r="A507" s="22" t="s">
        <v>2316</v>
      </c>
      <c r="B507" s="10">
        <v>45229</v>
      </c>
      <c r="C507" s="12" t="s">
        <v>809</v>
      </c>
      <c r="D507" s="12" t="s">
        <v>1704</v>
      </c>
      <c r="E507" s="12" t="s">
        <v>1776</v>
      </c>
      <c r="F507" s="11">
        <v>3</v>
      </c>
      <c r="G507" s="12">
        <v>679.22</v>
      </c>
      <c r="H507" s="9">
        <v>0.11</v>
      </c>
      <c r="I507" s="12" t="s">
        <v>1826</v>
      </c>
      <c r="J507" s="9">
        <v>1813.5174</v>
      </c>
    </row>
    <row r="508" spans="1:10" x14ac:dyDescent="0.3">
      <c r="A508" s="22" t="s">
        <v>2317</v>
      </c>
      <c r="B508" s="10">
        <v>45433</v>
      </c>
      <c r="C508" s="12" t="s">
        <v>1166</v>
      </c>
      <c r="D508" s="12" t="s">
        <v>1694</v>
      </c>
      <c r="E508" s="12" t="s">
        <v>1752</v>
      </c>
      <c r="F508" s="11">
        <v>3</v>
      </c>
      <c r="G508" s="12">
        <v>780.69</v>
      </c>
      <c r="H508" s="9">
        <v>0.1</v>
      </c>
      <c r="I508" s="12" t="s">
        <v>1829</v>
      </c>
      <c r="J508" s="9">
        <v>2107.8629999999998</v>
      </c>
    </row>
    <row r="509" spans="1:10" x14ac:dyDescent="0.3">
      <c r="A509" s="22" t="s">
        <v>2318</v>
      </c>
      <c r="B509" s="10">
        <v>45766</v>
      </c>
      <c r="C509" s="12" t="s">
        <v>833</v>
      </c>
      <c r="D509" s="12" t="s">
        <v>1632</v>
      </c>
      <c r="E509" s="12" t="s">
        <v>1761</v>
      </c>
      <c r="F509" s="11">
        <v>2</v>
      </c>
      <c r="G509" s="12">
        <v>42.97</v>
      </c>
      <c r="H509" s="9">
        <v>0.18</v>
      </c>
      <c r="I509" s="12" t="s">
        <v>1826</v>
      </c>
      <c r="J509" s="9">
        <v>70.470799999999997</v>
      </c>
    </row>
    <row r="510" spans="1:10" x14ac:dyDescent="0.3">
      <c r="A510" s="22" t="s">
        <v>2319</v>
      </c>
      <c r="B510" s="10">
        <v>45639</v>
      </c>
      <c r="C510" s="12" t="s">
        <v>908</v>
      </c>
      <c r="D510" s="12" t="s">
        <v>1712</v>
      </c>
      <c r="E510" s="12" t="s">
        <v>1752</v>
      </c>
      <c r="F510" s="11">
        <v>4</v>
      </c>
      <c r="G510" s="12">
        <v>854.37</v>
      </c>
      <c r="H510" s="9">
        <v>7.0000000000000007E-2</v>
      </c>
      <c r="I510" s="12" t="s">
        <v>1826</v>
      </c>
      <c r="J510" s="9">
        <v>3178.2564000000002</v>
      </c>
    </row>
    <row r="511" spans="1:10" x14ac:dyDescent="0.3">
      <c r="A511" s="22" t="s">
        <v>2320</v>
      </c>
      <c r="B511" s="10">
        <v>45774</v>
      </c>
      <c r="C511" s="12" t="s">
        <v>356</v>
      </c>
      <c r="D511" s="12" t="s">
        <v>1596</v>
      </c>
      <c r="E511" s="12" t="s">
        <v>1804</v>
      </c>
      <c r="F511" s="11">
        <v>2</v>
      </c>
      <c r="G511" s="12">
        <v>409.52</v>
      </c>
      <c r="H511" s="9">
        <v>0.06</v>
      </c>
      <c r="I511" s="12" t="s">
        <v>1829</v>
      </c>
      <c r="J511" s="9">
        <v>769.8975999999999</v>
      </c>
    </row>
    <row r="512" spans="1:10" x14ac:dyDescent="0.3">
      <c r="A512" s="22" t="s">
        <v>2321</v>
      </c>
      <c r="B512" s="10">
        <v>45569</v>
      </c>
      <c r="C512" s="12" t="s">
        <v>547</v>
      </c>
      <c r="D512" s="12" t="s">
        <v>1696</v>
      </c>
      <c r="E512" s="12" t="s">
        <v>1789</v>
      </c>
      <c r="F512" s="11">
        <v>2</v>
      </c>
      <c r="G512" s="12">
        <v>407.46</v>
      </c>
      <c r="H512" s="9">
        <v>0.21</v>
      </c>
      <c r="I512" s="12" t="s">
        <v>1824</v>
      </c>
      <c r="J512" s="9">
        <v>643.78679999999997</v>
      </c>
    </row>
    <row r="513" spans="1:10" x14ac:dyDescent="0.3">
      <c r="A513" s="22" t="s">
        <v>2322</v>
      </c>
      <c r="B513" s="10">
        <v>45856</v>
      </c>
      <c r="C513" s="12" t="s">
        <v>735</v>
      </c>
      <c r="D513" s="12" t="s">
        <v>1553</v>
      </c>
      <c r="E513" s="12" t="s">
        <v>1782</v>
      </c>
      <c r="F513" s="11">
        <v>1</v>
      </c>
      <c r="G513" s="12">
        <v>728.84</v>
      </c>
      <c r="H513" s="9">
        <v>0.28000000000000003</v>
      </c>
      <c r="I513" s="12" t="s">
        <v>1826</v>
      </c>
      <c r="J513" s="9">
        <v>524.76480000000004</v>
      </c>
    </row>
    <row r="514" spans="1:10" x14ac:dyDescent="0.3">
      <c r="A514" s="22" t="s">
        <v>2323</v>
      </c>
      <c r="B514" s="10">
        <v>45362</v>
      </c>
      <c r="C514" s="12" t="s">
        <v>1400</v>
      </c>
      <c r="D514" s="12" t="s">
        <v>1704</v>
      </c>
      <c r="E514" s="12" t="s">
        <v>1776</v>
      </c>
      <c r="F514" s="11">
        <v>4</v>
      </c>
      <c r="G514" s="12">
        <v>467.24</v>
      </c>
      <c r="H514" s="9">
        <v>0.08</v>
      </c>
      <c r="I514" s="12" t="s">
        <v>1826</v>
      </c>
      <c r="J514" s="9">
        <v>1719.4431999999999</v>
      </c>
    </row>
    <row r="515" spans="1:10" x14ac:dyDescent="0.3">
      <c r="A515" s="22" t="s">
        <v>2324</v>
      </c>
      <c r="B515" s="10">
        <v>45457</v>
      </c>
      <c r="C515" s="12" t="s">
        <v>332</v>
      </c>
      <c r="D515" s="12" t="s">
        <v>1568</v>
      </c>
      <c r="E515" s="12" t="s">
        <v>1792</v>
      </c>
      <c r="F515" s="11">
        <v>1</v>
      </c>
      <c r="G515" s="12">
        <v>57.94</v>
      </c>
      <c r="H515" s="9">
        <v>0.13</v>
      </c>
      <c r="I515" s="12" t="s">
        <v>1826</v>
      </c>
      <c r="J515" s="9">
        <v>50.407799999999988</v>
      </c>
    </row>
    <row r="516" spans="1:10" x14ac:dyDescent="0.3">
      <c r="A516" s="22" t="s">
        <v>2325</v>
      </c>
      <c r="B516" s="10">
        <v>45338</v>
      </c>
      <c r="C516" s="12" t="s">
        <v>1080</v>
      </c>
      <c r="D516" s="12" t="s">
        <v>1646</v>
      </c>
      <c r="E516" s="12" t="s">
        <v>1807</v>
      </c>
      <c r="F516" s="11">
        <v>1</v>
      </c>
      <c r="G516" s="12">
        <v>540.1</v>
      </c>
      <c r="H516" s="9">
        <v>0.22</v>
      </c>
      <c r="I516" s="12" t="s">
        <v>1824</v>
      </c>
      <c r="J516" s="9">
        <v>421.27800000000002</v>
      </c>
    </row>
    <row r="517" spans="1:10" x14ac:dyDescent="0.3">
      <c r="A517" s="22" t="s">
        <v>2326</v>
      </c>
      <c r="B517" s="10">
        <v>45552</v>
      </c>
      <c r="C517" s="12" t="s">
        <v>281</v>
      </c>
      <c r="D517" s="12" t="s">
        <v>1562</v>
      </c>
      <c r="E517" s="12" t="s">
        <v>1813</v>
      </c>
      <c r="F517" s="11">
        <v>4</v>
      </c>
      <c r="G517" s="12">
        <v>816.28</v>
      </c>
      <c r="H517" s="9">
        <v>0.15</v>
      </c>
      <c r="I517" s="12" t="s">
        <v>1829</v>
      </c>
      <c r="J517" s="9">
        <v>2775.3519999999999</v>
      </c>
    </row>
    <row r="518" spans="1:10" x14ac:dyDescent="0.3">
      <c r="A518" s="22" t="s">
        <v>2327</v>
      </c>
      <c r="B518" s="10">
        <v>45895</v>
      </c>
      <c r="C518" s="12" t="s">
        <v>589</v>
      </c>
      <c r="D518" s="12" t="s">
        <v>1632</v>
      </c>
      <c r="E518" s="12" t="s">
        <v>1782</v>
      </c>
      <c r="F518" s="11">
        <v>4</v>
      </c>
      <c r="G518" s="12">
        <v>727.49</v>
      </c>
      <c r="H518" s="9">
        <v>0.11</v>
      </c>
      <c r="I518" s="12" t="s">
        <v>1824</v>
      </c>
      <c r="J518" s="9">
        <v>2589.8643999999999</v>
      </c>
    </row>
    <row r="519" spans="1:10" x14ac:dyDescent="0.3">
      <c r="A519" s="22" t="s">
        <v>2328</v>
      </c>
      <c r="B519" s="10">
        <v>45447</v>
      </c>
      <c r="C519" s="12" t="s">
        <v>568</v>
      </c>
      <c r="D519" s="12" t="s">
        <v>1720</v>
      </c>
      <c r="E519" s="12" t="s">
        <v>1797</v>
      </c>
      <c r="F519" s="11">
        <v>4</v>
      </c>
      <c r="G519" s="12">
        <v>817.92</v>
      </c>
      <c r="H519" s="9">
        <v>0.21</v>
      </c>
      <c r="I519" s="12" t="s">
        <v>1824</v>
      </c>
      <c r="J519" s="9">
        <v>2584.6271999999999</v>
      </c>
    </row>
    <row r="520" spans="1:10" x14ac:dyDescent="0.3">
      <c r="A520" s="22" t="s">
        <v>2329</v>
      </c>
      <c r="B520" s="10">
        <v>45578</v>
      </c>
      <c r="C520" s="12" t="s">
        <v>1023</v>
      </c>
      <c r="D520" s="12" t="s">
        <v>1624</v>
      </c>
      <c r="E520" s="12" t="s">
        <v>1779</v>
      </c>
      <c r="F520" s="11">
        <v>2</v>
      </c>
      <c r="G520" s="12">
        <v>358.45</v>
      </c>
      <c r="H520" s="9">
        <v>7.0000000000000007E-2</v>
      </c>
      <c r="I520" s="12" t="s">
        <v>1829</v>
      </c>
      <c r="J520" s="9">
        <v>666.71699999999998</v>
      </c>
    </row>
    <row r="521" spans="1:10" x14ac:dyDescent="0.3">
      <c r="A521" s="22" t="s">
        <v>2330</v>
      </c>
      <c r="B521" s="10">
        <v>45697</v>
      </c>
      <c r="C521" s="12" t="s">
        <v>657</v>
      </c>
      <c r="D521" s="12" t="s">
        <v>1722</v>
      </c>
      <c r="E521" s="12" t="s">
        <v>1786</v>
      </c>
      <c r="F521" s="11">
        <v>1</v>
      </c>
      <c r="G521" s="12">
        <v>972.06</v>
      </c>
      <c r="H521" s="9">
        <v>0.3</v>
      </c>
      <c r="I521" s="12" t="s">
        <v>1829</v>
      </c>
      <c r="J521" s="9">
        <v>680.44199999999989</v>
      </c>
    </row>
    <row r="522" spans="1:10" x14ac:dyDescent="0.3">
      <c r="A522" s="22" t="s">
        <v>2331</v>
      </c>
      <c r="B522" s="10">
        <v>45281</v>
      </c>
      <c r="C522" s="12" t="s">
        <v>130</v>
      </c>
      <c r="D522" s="12" t="s">
        <v>1580</v>
      </c>
      <c r="E522" s="12" t="s">
        <v>1752</v>
      </c>
      <c r="F522" s="11">
        <v>1</v>
      </c>
      <c r="G522" s="12">
        <v>791.36</v>
      </c>
      <c r="H522" s="9">
        <v>0.06</v>
      </c>
      <c r="I522" s="12" t="s">
        <v>1826</v>
      </c>
      <c r="J522" s="9">
        <v>743.87839999999994</v>
      </c>
    </row>
    <row r="523" spans="1:10" x14ac:dyDescent="0.3">
      <c r="A523" s="22" t="s">
        <v>2332</v>
      </c>
      <c r="B523" s="10">
        <v>45855</v>
      </c>
      <c r="C523" s="12" t="s">
        <v>990</v>
      </c>
      <c r="D523" s="12" t="s">
        <v>1676</v>
      </c>
      <c r="E523" s="12" t="s">
        <v>1773</v>
      </c>
      <c r="F523" s="11">
        <v>4</v>
      </c>
      <c r="G523" s="12">
        <v>839.65</v>
      </c>
      <c r="H523" s="9">
        <v>0.26</v>
      </c>
      <c r="I523" s="12" t="s">
        <v>1829</v>
      </c>
      <c r="J523" s="9">
        <v>2485.364</v>
      </c>
    </row>
    <row r="524" spans="1:10" x14ac:dyDescent="0.3">
      <c r="A524" s="22" t="s">
        <v>2333</v>
      </c>
      <c r="B524" s="10">
        <v>45793</v>
      </c>
      <c r="C524" s="12" t="s">
        <v>815</v>
      </c>
      <c r="D524" s="12" t="s">
        <v>1692</v>
      </c>
      <c r="E524" s="12" t="s">
        <v>1761</v>
      </c>
      <c r="F524" s="11">
        <v>2</v>
      </c>
      <c r="G524" s="12">
        <v>245.52</v>
      </c>
      <c r="H524" s="9">
        <v>0.11</v>
      </c>
      <c r="I524" s="12" t="s">
        <v>1829</v>
      </c>
      <c r="J524" s="9">
        <v>437.0256</v>
      </c>
    </row>
    <row r="525" spans="1:10" x14ac:dyDescent="0.3">
      <c r="A525" s="22" t="s">
        <v>2334</v>
      </c>
      <c r="B525" s="10">
        <v>45881</v>
      </c>
      <c r="C525" s="12" t="s">
        <v>1211</v>
      </c>
      <c r="D525" s="12" t="s">
        <v>1712</v>
      </c>
      <c r="E525" s="12" t="s">
        <v>1782</v>
      </c>
      <c r="F525" s="11">
        <v>3</v>
      </c>
      <c r="G525" s="12">
        <v>787.91</v>
      </c>
      <c r="H525" s="9">
        <v>0.06</v>
      </c>
      <c r="I525" s="12" t="s">
        <v>1826</v>
      </c>
      <c r="J525" s="9">
        <v>2221.9061999999999</v>
      </c>
    </row>
    <row r="526" spans="1:10" x14ac:dyDescent="0.3">
      <c r="A526" s="22" t="s">
        <v>2335</v>
      </c>
      <c r="B526" s="10">
        <v>45890</v>
      </c>
      <c r="C526" s="12" t="s">
        <v>202</v>
      </c>
      <c r="D526" s="12" t="s">
        <v>1698</v>
      </c>
      <c r="E526" s="12" t="s">
        <v>1769</v>
      </c>
      <c r="F526" s="11">
        <v>2</v>
      </c>
      <c r="G526" s="12">
        <v>709.17</v>
      </c>
      <c r="H526" s="9">
        <v>0.22</v>
      </c>
      <c r="I526" s="12" t="s">
        <v>1824</v>
      </c>
      <c r="J526" s="9">
        <v>1106.3052</v>
      </c>
    </row>
    <row r="527" spans="1:10" x14ac:dyDescent="0.3">
      <c r="A527" s="22" t="s">
        <v>2336</v>
      </c>
      <c r="B527" s="10">
        <v>45251</v>
      </c>
      <c r="C527" s="12" t="s">
        <v>755</v>
      </c>
      <c r="D527" s="12" t="s">
        <v>1730</v>
      </c>
      <c r="E527" s="12" t="s">
        <v>1779</v>
      </c>
      <c r="F527" s="11">
        <v>2</v>
      </c>
      <c r="G527" s="12">
        <v>533.91999999999996</v>
      </c>
      <c r="H527" s="9">
        <v>0.13</v>
      </c>
      <c r="I527" s="12" t="s">
        <v>1824</v>
      </c>
      <c r="J527" s="9">
        <v>929.02079999999989</v>
      </c>
    </row>
    <row r="528" spans="1:10" x14ac:dyDescent="0.3">
      <c r="A528" s="22" t="s">
        <v>2337</v>
      </c>
      <c r="B528" s="10">
        <v>45695</v>
      </c>
      <c r="C528" s="12" t="s">
        <v>1513</v>
      </c>
      <c r="D528" s="12" t="s">
        <v>1632</v>
      </c>
      <c r="E528" s="12" t="s">
        <v>1752</v>
      </c>
      <c r="F528" s="11">
        <v>1</v>
      </c>
      <c r="G528" s="12">
        <v>878.84</v>
      </c>
      <c r="H528" s="9">
        <v>0.28000000000000003</v>
      </c>
      <c r="I528" s="12" t="s">
        <v>1829</v>
      </c>
      <c r="J528" s="9">
        <v>632.76480000000004</v>
      </c>
    </row>
    <row r="529" spans="1:10" x14ac:dyDescent="0.3">
      <c r="A529" s="22" t="s">
        <v>2338</v>
      </c>
      <c r="B529" s="10">
        <v>45287</v>
      </c>
      <c r="C529" s="12" t="s">
        <v>666</v>
      </c>
      <c r="D529" s="12" t="s">
        <v>1636</v>
      </c>
      <c r="E529" s="12" t="s">
        <v>1804</v>
      </c>
      <c r="F529" s="11">
        <v>1</v>
      </c>
      <c r="G529" s="12">
        <v>442.36</v>
      </c>
      <c r="H529" s="9">
        <v>0.14000000000000001</v>
      </c>
      <c r="I529" s="12" t="s">
        <v>1824</v>
      </c>
      <c r="J529" s="9">
        <v>380.42959999999999</v>
      </c>
    </row>
    <row r="530" spans="1:10" x14ac:dyDescent="0.3">
      <c r="A530" s="22" t="s">
        <v>2339</v>
      </c>
      <c r="B530" s="10">
        <v>45711</v>
      </c>
      <c r="C530" s="12" t="s">
        <v>1047</v>
      </c>
      <c r="D530" s="12" t="s">
        <v>1618</v>
      </c>
      <c r="E530" s="12" t="s">
        <v>1776</v>
      </c>
      <c r="F530" s="11">
        <v>1</v>
      </c>
      <c r="G530" s="12">
        <v>763.34</v>
      </c>
      <c r="H530" s="9">
        <v>0.11</v>
      </c>
      <c r="I530" s="12" t="s">
        <v>1829</v>
      </c>
      <c r="J530" s="9">
        <v>679.37260000000003</v>
      </c>
    </row>
    <row r="531" spans="1:10" x14ac:dyDescent="0.3">
      <c r="A531" s="22" t="s">
        <v>2340</v>
      </c>
      <c r="B531" s="10">
        <v>45842</v>
      </c>
      <c r="C531" s="12" t="s">
        <v>553</v>
      </c>
      <c r="D531" s="12" t="s">
        <v>1666</v>
      </c>
      <c r="E531" s="12" t="s">
        <v>1810</v>
      </c>
      <c r="F531" s="11">
        <v>3</v>
      </c>
      <c r="G531" s="12">
        <v>178.22</v>
      </c>
      <c r="H531" s="9">
        <v>0.15</v>
      </c>
      <c r="I531" s="12" t="s">
        <v>1829</v>
      </c>
      <c r="J531" s="9">
        <v>454.46100000000001</v>
      </c>
    </row>
    <row r="532" spans="1:10" x14ac:dyDescent="0.3">
      <c r="A532" s="22" t="s">
        <v>2341</v>
      </c>
      <c r="B532" s="10">
        <v>45255</v>
      </c>
      <c r="C532" s="12" t="s">
        <v>366</v>
      </c>
      <c r="D532" s="12" t="s">
        <v>1600</v>
      </c>
      <c r="E532" s="12" t="s">
        <v>1757</v>
      </c>
      <c r="F532" s="11">
        <v>4</v>
      </c>
      <c r="G532" s="12">
        <v>90.32</v>
      </c>
      <c r="H532" s="9">
        <v>0.08</v>
      </c>
      <c r="I532" s="12" t="s">
        <v>1826</v>
      </c>
      <c r="J532" s="9">
        <v>332.37759999999997</v>
      </c>
    </row>
    <row r="533" spans="1:10" x14ac:dyDescent="0.3">
      <c r="A533" s="22" t="s">
        <v>2342</v>
      </c>
      <c r="B533" s="10">
        <v>45695</v>
      </c>
      <c r="C533" s="12" t="s">
        <v>1181</v>
      </c>
      <c r="D533" s="12" t="s">
        <v>1568</v>
      </c>
      <c r="E533" s="12" t="s">
        <v>1776</v>
      </c>
      <c r="F533" s="11">
        <v>3</v>
      </c>
      <c r="G533" s="12">
        <v>370.93</v>
      </c>
      <c r="H533" s="9">
        <v>0</v>
      </c>
      <c r="I533" s="12" t="s">
        <v>1824</v>
      </c>
      <c r="J533" s="9">
        <v>1112.79</v>
      </c>
    </row>
    <row r="534" spans="1:10" x14ac:dyDescent="0.3">
      <c r="A534" s="22" t="s">
        <v>2343</v>
      </c>
      <c r="B534" s="10">
        <v>45281</v>
      </c>
      <c r="C534" s="12" t="s">
        <v>178</v>
      </c>
      <c r="D534" s="12" t="s">
        <v>1594</v>
      </c>
      <c r="E534" s="12" t="s">
        <v>1801</v>
      </c>
      <c r="F534" s="11">
        <v>1</v>
      </c>
      <c r="G534" s="12">
        <v>352.43</v>
      </c>
      <c r="H534" s="9">
        <v>0.14000000000000001</v>
      </c>
      <c r="I534" s="12" t="s">
        <v>1826</v>
      </c>
      <c r="J534" s="9">
        <v>303.08980000000003</v>
      </c>
    </row>
    <row r="535" spans="1:10" x14ac:dyDescent="0.3">
      <c r="A535" s="22" t="s">
        <v>2344</v>
      </c>
      <c r="B535" s="10">
        <v>45295</v>
      </c>
      <c r="C535" s="12" t="s">
        <v>425</v>
      </c>
      <c r="D535" s="12" t="s">
        <v>1572</v>
      </c>
      <c r="E535" s="12" t="s">
        <v>1801</v>
      </c>
      <c r="F535" s="11">
        <v>2</v>
      </c>
      <c r="G535" s="12">
        <v>562.97</v>
      </c>
      <c r="H535" s="9">
        <v>0.2</v>
      </c>
      <c r="I535" s="12" t="s">
        <v>1824</v>
      </c>
      <c r="J535" s="9">
        <v>900.75200000000007</v>
      </c>
    </row>
    <row r="536" spans="1:10" x14ac:dyDescent="0.3">
      <c r="A536" s="22" t="s">
        <v>2345</v>
      </c>
      <c r="B536" s="10">
        <v>45260</v>
      </c>
      <c r="C536" s="12" t="s">
        <v>526</v>
      </c>
      <c r="D536" s="12" t="s">
        <v>1658</v>
      </c>
      <c r="E536" s="12" t="s">
        <v>1779</v>
      </c>
      <c r="F536" s="11">
        <v>1</v>
      </c>
      <c r="G536" s="12">
        <v>522.85</v>
      </c>
      <c r="H536" s="9">
        <v>0.12</v>
      </c>
      <c r="I536" s="12" t="s">
        <v>1826</v>
      </c>
      <c r="J536" s="9">
        <v>460.108</v>
      </c>
    </row>
    <row r="537" spans="1:10" x14ac:dyDescent="0.3">
      <c r="A537" s="22" t="s">
        <v>2346</v>
      </c>
      <c r="B537" s="10">
        <v>45851</v>
      </c>
      <c r="C537" s="12" t="s">
        <v>1095</v>
      </c>
      <c r="D537" s="12" t="s">
        <v>1590</v>
      </c>
      <c r="E537" s="12" t="s">
        <v>1804</v>
      </c>
      <c r="F537" s="11">
        <v>4</v>
      </c>
      <c r="G537" s="12">
        <v>714.89</v>
      </c>
      <c r="H537" s="9">
        <v>0.15</v>
      </c>
      <c r="I537" s="12" t="s">
        <v>1824</v>
      </c>
      <c r="J537" s="9">
        <v>2430.6260000000002</v>
      </c>
    </row>
    <row r="538" spans="1:10" x14ac:dyDescent="0.3">
      <c r="A538" s="22" t="s">
        <v>2347</v>
      </c>
      <c r="B538" s="10">
        <v>45222</v>
      </c>
      <c r="C538" s="12" t="s">
        <v>616</v>
      </c>
      <c r="D538" s="12" t="s">
        <v>1634</v>
      </c>
      <c r="E538" s="12" t="s">
        <v>1761</v>
      </c>
      <c r="F538" s="11">
        <v>3</v>
      </c>
      <c r="G538" s="12">
        <v>137.77000000000001</v>
      </c>
      <c r="H538" s="9">
        <v>0.26</v>
      </c>
      <c r="I538" s="12" t="s">
        <v>1826</v>
      </c>
      <c r="J538" s="9">
        <v>305.84940000000012</v>
      </c>
    </row>
    <row r="539" spans="1:10" x14ac:dyDescent="0.3">
      <c r="A539" s="22" t="s">
        <v>2348</v>
      </c>
      <c r="B539" s="10">
        <v>45940</v>
      </c>
      <c r="C539" s="12" t="s">
        <v>114</v>
      </c>
      <c r="D539" s="12" t="s">
        <v>1732</v>
      </c>
      <c r="E539" s="12" t="s">
        <v>1792</v>
      </c>
      <c r="F539" s="11">
        <v>3</v>
      </c>
      <c r="G539" s="12">
        <v>862.18</v>
      </c>
      <c r="H539" s="9">
        <v>0.22</v>
      </c>
      <c r="I539" s="12" t="s">
        <v>1826</v>
      </c>
      <c r="J539" s="9">
        <v>2017.5011999999999</v>
      </c>
    </row>
    <row r="540" spans="1:10" x14ac:dyDescent="0.3">
      <c r="A540" s="22" t="s">
        <v>2349</v>
      </c>
      <c r="B540" s="10">
        <v>45822</v>
      </c>
      <c r="C540" s="12" t="s">
        <v>214</v>
      </c>
      <c r="D540" s="12" t="s">
        <v>1624</v>
      </c>
      <c r="E540" s="12" t="s">
        <v>1799</v>
      </c>
      <c r="F540" s="11">
        <v>2</v>
      </c>
      <c r="G540" s="12">
        <v>833.64</v>
      </c>
      <c r="H540" s="9">
        <v>0.24</v>
      </c>
      <c r="I540" s="12" t="s">
        <v>1826</v>
      </c>
      <c r="J540" s="9">
        <v>1267.1328000000001</v>
      </c>
    </row>
    <row r="541" spans="1:10" x14ac:dyDescent="0.3">
      <c r="A541" s="22" t="s">
        <v>2350</v>
      </c>
      <c r="B541" s="10">
        <v>45752</v>
      </c>
      <c r="C541" s="12" t="s">
        <v>860</v>
      </c>
      <c r="D541" s="12" t="s">
        <v>1586</v>
      </c>
      <c r="E541" s="12" t="s">
        <v>1801</v>
      </c>
      <c r="F541" s="11">
        <v>3</v>
      </c>
      <c r="G541" s="12">
        <v>543.22</v>
      </c>
      <c r="H541" s="9">
        <v>0.05</v>
      </c>
      <c r="I541" s="12" t="s">
        <v>1829</v>
      </c>
      <c r="J541" s="9">
        <v>1548.1769999999999</v>
      </c>
    </row>
    <row r="542" spans="1:10" x14ac:dyDescent="0.3">
      <c r="A542" s="22" t="s">
        <v>2351</v>
      </c>
      <c r="B542" s="10">
        <v>45677</v>
      </c>
      <c r="C542" s="12" t="s">
        <v>884</v>
      </c>
      <c r="D542" s="12" t="s">
        <v>1724</v>
      </c>
      <c r="E542" s="12" t="s">
        <v>1761</v>
      </c>
      <c r="F542" s="11">
        <v>3</v>
      </c>
      <c r="G542" s="12">
        <v>691.02</v>
      </c>
      <c r="H542" s="9">
        <v>0.12</v>
      </c>
      <c r="I542" s="12" t="s">
        <v>1829</v>
      </c>
      <c r="J542" s="9">
        <v>1824.2927999999999</v>
      </c>
    </row>
    <row r="543" spans="1:10" x14ac:dyDescent="0.3">
      <c r="A543" s="22" t="s">
        <v>2352</v>
      </c>
      <c r="B543" s="10">
        <v>45253</v>
      </c>
      <c r="C543" s="12" t="s">
        <v>314</v>
      </c>
      <c r="D543" s="12" t="s">
        <v>1720</v>
      </c>
      <c r="E543" s="12" t="s">
        <v>1807</v>
      </c>
      <c r="F543" s="11">
        <v>4</v>
      </c>
      <c r="G543" s="12">
        <v>338.73</v>
      </c>
      <c r="H543" s="9">
        <v>0.18</v>
      </c>
      <c r="I543" s="12" t="s">
        <v>1824</v>
      </c>
      <c r="J543" s="9">
        <v>1111.0344</v>
      </c>
    </row>
    <row r="544" spans="1:10" x14ac:dyDescent="0.3">
      <c r="A544" s="22" t="s">
        <v>2353</v>
      </c>
      <c r="B544" s="10">
        <v>45389</v>
      </c>
      <c r="C544" s="12" t="s">
        <v>230</v>
      </c>
      <c r="D544" s="12" t="s">
        <v>1716</v>
      </c>
      <c r="E544" s="12" t="s">
        <v>1804</v>
      </c>
      <c r="F544" s="11">
        <v>3</v>
      </c>
      <c r="G544" s="12">
        <v>366.08</v>
      </c>
      <c r="H544" s="9">
        <v>0.05</v>
      </c>
      <c r="I544" s="12" t="s">
        <v>1824</v>
      </c>
      <c r="J544" s="9">
        <v>1043.328</v>
      </c>
    </row>
    <row r="545" spans="1:10" x14ac:dyDescent="0.3">
      <c r="A545" s="22" t="s">
        <v>2354</v>
      </c>
      <c r="B545" s="10">
        <v>45840</v>
      </c>
      <c r="C545" s="12" t="s">
        <v>372</v>
      </c>
      <c r="D545" s="12" t="s">
        <v>1574</v>
      </c>
      <c r="E545" s="12" t="s">
        <v>1797</v>
      </c>
      <c r="F545" s="11">
        <v>4</v>
      </c>
      <c r="G545" s="12">
        <v>539.48</v>
      </c>
      <c r="H545" s="9">
        <v>0.28000000000000003</v>
      </c>
      <c r="I545" s="12" t="s">
        <v>1829</v>
      </c>
      <c r="J545" s="9">
        <v>1553.7023999999999</v>
      </c>
    </row>
    <row r="546" spans="1:10" x14ac:dyDescent="0.3">
      <c r="A546" s="22" t="s">
        <v>2355</v>
      </c>
      <c r="B546" s="10">
        <v>45256</v>
      </c>
      <c r="C546" s="12" t="s">
        <v>1214</v>
      </c>
      <c r="D546" s="12" t="s">
        <v>1730</v>
      </c>
      <c r="E546" s="12" t="s">
        <v>1804</v>
      </c>
      <c r="F546" s="11">
        <v>1</v>
      </c>
      <c r="G546" s="12">
        <v>499.59</v>
      </c>
      <c r="H546" s="9">
        <v>0.03</v>
      </c>
      <c r="I546" s="12" t="s">
        <v>1829</v>
      </c>
      <c r="J546" s="9">
        <v>484.60230000000001</v>
      </c>
    </row>
    <row r="547" spans="1:10" x14ac:dyDescent="0.3">
      <c r="A547" s="22" t="s">
        <v>2356</v>
      </c>
      <c r="B547" s="10">
        <v>45326</v>
      </c>
      <c r="C547" s="12" t="s">
        <v>619</v>
      </c>
      <c r="D547" s="12" t="s">
        <v>1608</v>
      </c>
      <c r="E547" s="12" t="s">
        <v>1782</v>
      </c>
      <c r="F547" s="11">
        <v>3</v>
      </c>
      <c r="G547" s="12">
        <v>330.04</v>
      </c>
      <c r="H547" s="9">
        <v>0.2</v>
      </c>
      <c r="I547" s="12" t="s">
        <v>1824</v>
      </c>
      <c r="J547" s="9">
        <v>792.09600000000012</v>
      </c>
    </row>
    <row r="548" spans="1:10" x14ac:dyDescent="0.3">
      <c r="A548" s="22" t="s">
        <v>2357</v>
      </c>
      <c r="B548" s="10">
        <v>45459</v>
      </c>
      <c r="C548" s="12" t="s">
        <v>601</v>
      </c>
      <c r="D548" s="12" t="s">
        <v>1570</v>
      </c>
      <c r="E548" s="12" t="s">
        <v>1807</v>
      </c>
      <c r="F548" s="11">
        <v>2</v>
      </c>
      <c r="G548" s="12">
        <v>813.01</v>
      </c>
      <c r="H548" s="9">
        <v>0.06</v>
      </c>
      <c r="I548" s="12" t="s">
        <v>1826</v>
      </c>
      <c r="J548" s="9">
        <v>1528.4588000000001</v>
      </c>
    </row>
    <row r="549" spans="1:10" x14ac:dyDescent="0.3">
      <c r="A549" s="22" t="s">
        <v>2358</v>
      </c>
      <c r="B549" s="10">
        <v>45715</v>
      </c>
      <c r="C549" s="12" t="s">
        <v>110</v>
      </c>
      <c r="D549" s="12" t="s">
        <v>1546</v>
      </c>
      <c r="E549" s="12" t="s">
        <v>1761</v>
      </c>
      <c r="F549" s="11">
        <v>4</v>
      </c>
      <c r="G549" s="12">
        <v>204.8</v>
      </c>
      <c r="H549" s="9">
        <v>0.03</v>
      </c>
      <c r="I549" s="12" t="s">
        <v>1826</v>
      </c>
      <c r="J549" s="9">
        <v>794.62400000000002</v>
      </c>
    </row>
    <row r="550" spans="1:10" x14ac:dyDescent="0.3">
      <c r="A550" s="22" t="s">
        <v>2359</v>
      </c>
      <c r="B550" s="10">
        <v>45223</v>
      </c>
      <c r="C550" s="12" t="s">
        <v>55</v>
      </c>
      <c r="D550" s="12" t="s">
        <v>1551</v>
      </c>
      <c r="E550" s="12" t="s">
        <v>1766</v>
      </c>
      <c r="F550" s="11">
        <v>3</v>
      </c>
      <c r="G550" s="12">
        <v>728.32</v>
      </c>
      <c r="H550" s="9">
        <v>0.01</v>
      </c>
      <c r="I550" s="12" t="s">
        <v>1824</v>
      </c>
      <c r="J550" s="9">
        <v>2163.1104</v>
      </c>
    </row>
    <row r="551" spans="1:10" x14ac:dyDescent="0.3">
      <c r="A551" s="22" t="s">
        <v>2360</v>
      </c>
      <c r="B551" s="10">
        <v>45507</v>
      </c>
      <c r="C551" s="12" t="s">
        <v>1397</v>
      </c>
      <c r="D551" s="12" t="s">
        <v>1666</v>
      </c>
      <c r="E551" s="12" t="s">
        <v>1779</v>
      </c>
      <c r="F551" s="11">
        <v>3</v>
      </c>
      <c r="G551" s="12">
        <v>836.4</v>
      </c>
      <c r="H551" s="9">
        <v>0</v>
      </c>
      <c r="I551" s="12" t="s">
        <v>1824</v>
      </c>
      <c r="J551" s="9">
        <v>2509.1999999999998</v>
      </c>
    </row>
    <row r="552" spans="1:10" x14ac:dyDescent="0.3">
      <c r="A552" s="22" t="s">
        <v>2361</v>
      </c>
      <c r="B552" s="10">
        <v>45843</v>
      </c>
      <c r="C552" s="12" t="s">
        <v>502</v>
      </c>
      <c r="D552" s="12" t="s">
        <v>1728</v>
      </c>
      <c r="E552" s="12" t="s">
        <v>1794</v>
      </c>
      <c r="F552" s="11">
        <v>1</v>
      </c>
      <c r="G552" s="12">
        <v>780.16</v>
      </c>
      <c r="H552" s="9">
        <v>0.02</v>
      </c>
      <c r="I552" s="12" t="s">
        <v>1829</v>
      </c>
      <c r="J552" s="9">
        <v>764.55679999999995</v>
      </c>
    </row>
    <row r="553" spans="1:10" x14ac:dyDescent="0.3">
      <c r="A553" s="22" t="s">
        <v>2362</v>
      </c>
      <c r="B553" s="10">
        <v>45804</v>
      </c>
      <c r="C553" s="12" t="s">
        <v>1449</v>
      </c>
      <c r="D553" s="12" t="s">
        <v>1640</v>
      </c>
      <c r="E553" s="12" t="s">
        <v>1797</v>
      </c>
      <c r="F553" s="11">
        <v>4</v>
      </c>
      <c r="G553" s="12">
        <v>354.12</v>
      </c>
      <c r="H553" s="9">
        <v>0.06</v>
      </c>
      <c r="I553" s="12" t="s">
        <v>1826</v>
      </c>
      <c r="J553" s="9">
        <v>1331.4911999999999</v>
      </c>
    </row>
    <row r="554" spans="1:10" x14ac:dyDescent="0.3">
      <c r="A554" s="22" t="s">
        <v>2363</v>
      </c>
      <c r="B554" s="10">
        <v>45602</v>
      </c>
      <c r="C554" s="12" t="s">
        <v>1397</v>
      </c>
      <c r="D554" s="12" t="s">
        <v>1674</v>
      </c>
      <c r="E554" s="12" t="s">
        <v>1761</v>
      </c>
      <c r="F554" s="11">
        <v>4</v>
      </c>
      <c r="G554" s="12">
        <v>282.48</v>
      </c>
      <c r="H554" s="9">
        <v>0.11</v>
      </c>
      <c r="I554" s="12" t="s">
        <v>1826</v>
      </c>
      <c r="J554" s="9">
        <v>1005.6288</v>
      </c>
    </row>
    <row r="555" spans="1:10" x14ac:dyDescent="0.3">
      <c r="A555" s="22" t="s">
        <v>2364</v>
      </c>
      <c r="B555" s="10">
        <v>45446</v>
      </c>
      <c r="C555" s="12" t="s">
        <v>1032</v>
      </c>
      <c r="D555" s="12" t="s">
        <v>1588</v>
      </c>
      <c r="E555" s="12" t="s">
        <v>1776</v>
      </c>
      <c r="F555" s="11">
        <v>2</v>
      </c>
      <c r="G555" s="12">
        <v>740.68</v>
      </c>
      <c r="H555" s="9">
        <v>0.02</v>
      </c>
      <c r="I555" s="12" t="s">
        <v>1826</v>
      </c>
      <c r="J555" s="9">
        <v>1451.7328</v>
      </c>
    </row>
    <row r="556" spans="1:10" x14ac:dyDescent="0.3">
      <c r="A556" s="22" t="s">
        <v>2365</v>
      </c>
      <c r="B556" s="10">
        <v>45384</v>
      </c>
      <c r="C556" s="12" t="s">
        <v>372</v>
      </c>
      <c r="D556" s="12" t="s">
        <v>1660</v>
      </c>
      <c r="E556" s="12" t="s">
        <v>1786</v>
      </c>
      <c r="F556" s="11">
        <v>3</v>
      </c>
      <c r="G556" s="12">
        <v>600.58000000000004</v>
      </c>
      <c r="H556" s="9">
        <v>0.28999999999999998</v>
      </c>
      <c r="I556" s="12" t="s">
        <v>1829</v>
      </c>
      <c r="J556" s="9">
        <v>1279.2354</v>
      </c>
    </row>
    <row r="557" spans="1:10" x14ac:dyDescent="0.3">
      <c r="A557" s="22" t="s">
        <v>2366</v>
      </c>
      <c r="B557" s="10">
        <v>45348</v>
      </c>
      <c r="C557" s="12" t="s">
        <v>1422</v>
      </c>
      <c r="D557" s="12" t="s">
        <v>1678</v>
      </c>
      <c r="E557" s="12" t="s">
        <v>1766</v>
      </c>
      <c r="F557" s="11">
        <v>3</v>
      </c>
      <c r="G557" s="12">
        <v>345.58</v>
      </c>
      <c r="H557" s="9">
        <v>0.22</v>
      </c>
      <c r="I557" s="12" t="s">
        <v>1824</v>
      </c>
      <c r="J557" s="9">
        <v>808.65719999999999</v>
      </c>
    </row>
    <row r="558" spans="1:10" x14ac:dyDescent="0.3">
      <c r="A558" s="22" t="s">
        <v>2367</v>
      </c>
      <c r="B558" s="10">
        <v>45688</v>
      </c>
      <c r="C558" s="12" t="s">
        <v>902</v>
      </c>
      <c r="D558" s="12" t="s">
        <v>1584</v>
      </c>
      <c r="E558" s="12" t="s">
        <v>1792</v>
      </c>
      <c r="F558" s="11">
        <v>1</v>
      </c>
      <c r="G558" s="12">
        <v>974.52</v>
      </c>
      <c r="H558" s="9">
        <v>0.01</v>
      </c>
      <c r="I558" s="12" t="s">
        <v>1826</v>
      </c>
      <c r="J558" s="9">
        <v>964.77480000000003</v>
      </c>
    </row>
    <row r="559" spans="1:10" x14ac:dyDescent="0.3">
      <c r="A559" s="22" t="s">
        <v>2368</v>
      </c>
      <c r="B559" s="10">
        <v>45249</v>
      </c>
      <c r="C559" s="12" t="s">
        <v>157</v>
      </c>
      <c r="D559" s="12" t="s">
        <v>1582</v>
      </c>
      <c r="E559" s="12" t="s">
        <v>1757</v>
      </c>
      <c r="F559" s="11">
        <v>3</v>
      </c>
      <c r="G559" s="12">
        <v>282.33</v>
      </c>
      <c r="H559" s="9">
        <v>7.0000000000000007E-2</v>
      </c>
      <c r="I559" s="12" t="s">
        <v>1824</v>
      </c>
      <c r="J559" s="9">
        <v>787.70069999999998</v>
      </c>
    </row>
    <row r="560" spans="1:10" x14ac:dyDescent="0.3">
      <c r="A560" s="22" t="s">
        <v>2369</v>
      </c>
      <c r="B560" s="10">
        <v>45726</v>
      </c>
      <c r="C560" s="12" t="s">
        <v>1193</v>
      </c>
      <c r="D560" s="12" t="s">
        <v>1700</v>
      </c>
      <c r="E560" s="12" t="s">
        <v>1813</v>
      </c>
      <c r="F560" s="11">
        <v>4</v>
      </c>
      <c r="G560" s="12">
        <v>158.46</v>
      </c>
      <c r="H560" s="9">
        <v>0.09</v>
      </c>
      <c r="I560" s="12" t="s">
        <v>1826</v>
      </c>
      <c r="J560" s="9">
        <v>576.7944</v>
      </c>
    </row>
    <row r="561" spans="1:10" x14ac:dyDescent="0.3">
      <c r="A561" s="22" t="s">
        <v>2370</v>
      </c>
      <c r="B561" s="10">
        <v>45283</v>
      </c>
      <c r="C561" s="12" t="s">
        <v>1077</v>
      </c>
      <c r="D561" s="12" t="s">
        <v>1658</v>
      </c>
      <c r="E561" s="12" t="s">
        <v>1779</v>
      </c>
      <c r="F561" s="11">
        <v>2</v>
      </c>
      <c r="G561" s="12">
        <v>778.56</v>
      </c>
      <c r="H561" s="9">
        <v>0.11</v>
      </c>
      <c r="I561" s="12" t="s">
        <v>1829</v>
      </c>
      <c r="J561" s="9">
        <v>1385.8368</v>
      </c>
    </row>
    <row r="562" spans="1:10" x14ac:dyDescent="0.3">
      <c r="A562" s="22" t="s">
        <v>2371</v>
      </c>
      <c r="B562" s="10">
        <v>45353</v>
      </c>
      <c r="C562" s="12" t="s">
        <v>761</v>
      </c>
      <c r="D562" s="12" t="s">
        <v>1648</v>
      </c>
      <c r="E562" s="12" t="s">
        <v>1813</v>
      </c>
      <c r="F562" s="11">
        <v>4</v>
      </c>
      <c r="G562" s="12">
        <v>280.16000000000003</v>
      </c>
      <c r="H562" s="9">
        <v>0.18</v>
      </c>
      <c r="I562" s="12" t="s">
        <v>1829</v>
      </c>
      <c r="J562" s="9">
        <v>918.92480000000012</v>
      </c>
    </row>
    <row r="563" spans="1:10" x14ac:dyDescent="0.3">
      <c r="A563" s="22" t="s">
        <v>2372</v>
      </c>
      <c r="B563" s="10">
        <v>45592</v>
      </c>
      <c r="C563" s="12" t="s">
        <v>911</v>
      </c>
      <c r="D563" s="12" t="s">
        <v>1690</v>
      </c>
      <c r="E563" s="12" t="s">
        <v>1797</v>
      </c>
      <c r="F563" s="11">
        <v>2</v>
      </c>
      <c r="G563" s="12">
        <v>649.54999999999995</v>
      </c>
      <c r="H563" s="9">
        <v>0.28999999999999998</v>
      </c>
      <c r="I563" s="12" t="s">
        <v>1826</v>
      </c>
      <c r="J563" s="9">
        <v>922.36099999999988</v>
      </c>
    </row>
    <row r="564" spans="1:10" x14ac:dyDescent="0.3">
      <c r="A564" s="22" t="s">
        <v>2373</v>
      </c>
      <c r="B564" s="10">
        <v>45360</v>
      </c>
      <c r="C564" s="12" t="s">
        <v>40</v>
      </c>
      <c r="D564" s="12" t="s">
        <v>1724</v>
      </c>
      <c r="E564" s="12" t="s">
        <v>1761</v>
      </c>
      <c r="F564" s="11">
        <v>2</v>
      </c>
      <c r="G564" s="12">
        <v>994.32</v>
      </c>
      <c r="H564" s="9">
        <v>0.27</v>
      </c>
      <c r="I564" s="12" t="s">
        <v>1826</v>
      </c>
      <c r="J564" s="9">
        <v>1451.7072000000001</v>
      </c>
    </row>
    <row r="565" spans="1:10" x14ac:dyDescent="0.3">
      <c r="A565" s="22" t="s">
        <v>2374</v>
      </c>
      <c r="B565" s="10">
        <v>45649</v>
      </c>
      <c r="C565" s="12" t="s">
        <v>722</v>
      </c>
      <c r="D565" s="12" t="s">
        <v>1710</v>
      </c>
      <c r="E565" s="12" t="s">
        <v>1794</v>
      </c>
      <c r="F565" s="11">
        <v>1</v>
      </c>
      <c r="G565" s="12">
        <v>64.94</v>
      </c>
      <c r="H565" s="9">
        <v>0.21</v>
      </c>
      <c r="I565" s="12" t="s">
        <v>1826</v>
      </c>
      <c r="J565" s="9">
        <v>51.302599999999998</v>
      </c>
    </row>
    <row r="566" spans="1:10" x14ac:dyDescent="0.3">
      <c r="A566" s="22" t="s">
        <v>2375</v>
      </c>
      <c r="B566" s="10">
        <v>45709</v>
      </c>
      <c r="C566" s="12" t="s">
        <v>464</v>
      </c>
      <c r="D566" s="12" t="s">
        <v>1626</v>
      </c>
      <c r="E566" s="12" t="s">
        <v>1779</v>
      </c>
      <c r="F566" s="11">
        <v>2</v>
      </c>
      <c r="G566" s="12">
        <v>507.66</v>
      </c>
      <c r="H566" s="9">
        <v>0</v>
      </c>
      <c r="I566" s="12" t="s">
        <v>1829</v>
      </c>
      <c r="J566" s="9">
        <v>1015.32</v>
      </c>
    </row>
    <row r="567" spans="1:10" x14ac:dyDescent="0.3">
      <c r="A567" s="22" t="s">
        <v>2376</v>
      </c>
      <c r="B567" s="10">
        <v>45273</v>
      </c>
      <c r="C567" s="12" t="s">
        <v>776</v>
      </c>
      <c r="D567" s="12" t="s">
        <v>1710</v>
      </c>
      <c r="E567" s="12" t="s">
        <v>1769</v>
      </c>
      <c r="F567" s="11">
        <v>4</v>
      </c>
      <c r="G567" s="12">
        <v>968.27</v>
      </c>
      <c r="H567" s="9">
        <v>0.03</v>
      </c>
      <c r="I567" s="12" t="s">
        <v>1826</v>
      </c>
      <c r="J567" s="9">
        <v>3756.8876</v>
      </c>
    </row>
    <row r="568" spans="1:10" x14ac:dyDescent="0.3">
      <c r="A568" s="22" t="s">
        <v>2377</v>
      </c>
      <c r="B568" s="10">
        <v>45250</v>
      </c>
      <c r="C568" s="12" t="s">
        <v>78</v>
      </c>
      <c r="D568" s="12" t="s">
        <v>1724</v>
      </c>
      <c r="E568" s="12" t="s">
        <v>1773</v>
      </c>
      <c r="F568" s="11">
        <v>4</v>
      </c>
      <c r="G568" s="12">
        <v>510.33</v>
      </c>
      <c r="H568" s="9">
        <v>0.2</v>
      </c>
      <c r="I568" s="12" t="s">
        <v>1826</v>
      </c>
      <c r="J568" s="9">
        <v>1633.056</v>
      </c>
    </row>
    <row r="569" spans="1:10" x14ac:dyDescent="0.3">
      <c r="A569" s="22" t="s">
        <v>2378</v>
      </c>
      <c r="B569" s="10">
        <v>45539</v>
      </c>
      <c r="C569" s="12" t="s">
        <v>55</v>
      </c>
      <c r="D569" s="12" t="s">
        <v>1636</v>
      </c>
      <c r="E569" s="12" t="s">
        <v>1813</v>
      </c>
      <c r="F569" s="11">
        <v>2</v>
      </c>
      <c r="G569" s="12">
        <v>156.72999999999999</v>
      </c>
      <c r="H569" s="9">
        <v>0.18</v>
      </c>
      <c r="I569" s="12" t="s">
        <v>1829</v>
      </c>
      <c r="J569" s="9">
        <v>257.03719999999998</v>
      </c>
    </row>
    <row r="570" spans="1:10" x14ac:dyDescent="0.3">
      <c r="A570" s="22" t="s">
        <v>2379</v>
      </c>
      <c r="B570" s="10">
        <v>45810</v>
      </c>
      <c r="C570" s="12" t="s">
        <v>481</v>
      </c>
      <c r="D570" s="12" t="s">
        <v>1746</v>
      </c>
      <c r="E570" s="12" t="s">
        <v>1789</v>
      </c>
      <c r="F570" s="11">
        <v>3</v>
      </c>
      <c r="G570" s="12">
        <v>53.83</v>
      </c>
      <c r="H570" s="9">
        <v>0.24</v>
      </c>
      <c r="I570" s="12" t="s">
        <v>1824</v>
      </c>
      <c r="J570" s="9">
        <v>122.7324</v>
      </c>
    </row>
    <row r="571" spans="1:10" x14ac:dyDescent="0.3">
      <c r="A571" s="22" t="s">
        <v>2380</v>
      </c>
      <c r="B571" s="10">
        <v>45350</v>
      </c>
      <c r="C571" s="12" t="s">
        <v>1178</v>
      </c>
      <c r="D571" s="12" t="s">
        <v>1704</v>
      </c>
      <c r="E571" s="12" t="s">
        <v>1769</v>
      </c>
      <c r="F571" s="11">
        <v>1</v>
      </c>
      <c r="G571" s="12">
        <v>34.71</v>
      </c>
      <c r="H571" s="9">
        <v>0.1</v>
      </c>
      <c r="I571" s="12" t="s">
        <v>1829</v>
      </c>
      <c r="J571" s="9">
        <v>31.239000000000001</v>
      </c>
    </row>
    <row r="572" spans="1:10" x14ac:dyDescent="0.3">
      <c r="A572" s="22" t="s">
        <v>2381</v>
      </c>
      <c r="B572" s="10">
        <v>45633</v>
      </c>
      <c r="C572" s="12" t="s">
        <v>737</v>
      </c>
      <c r="D572" s="12" t="s">
        <v>1702</v>
      </c>
      <c r="E572" s="12" t="s">
        <v>1757</v>
      </c>
      <c r="F572" s="11">
        <v>2</v>
      </c>
      <c r="G572" s="12">
        <v>829.15</v>
      </c>
      <c r="H572" s="9">
        <v>0.11</v>
      </c>
      <c r="I572" s="12" t="s">
        <v>1826</v>
      </c>
      <c r="J572" s="9">
        <v>1475.8869999999999</v>
      </c>
    </row>
    <row r="573" spans="1:10" x14ac:dyDescent="0.3">
      <c r="A573" s="22" t="s">
        <v>2382</v>
      </c>
      <c r="B573" s="10">
        <v>45798</v>
      </c>
      <c r="C573" s="12" t="s">
        <v>842</v>
      </c>
      <c r="D573" s="12" t="s">
        <v>1744</v>
      </c>
      <c r="E573" s="12" t="s">
        <v>1766</v>
      </c>
      <c r="F573" s="11">
        <v>2</v>
      </c>
      <c r="G573" s="12">
        <v>481.86</v>
      </c>
      <c r="H573" s="9">
        <v>0.1</v>
      </c>
      <c r="I573" s="12" t="s">
        <v>1829</v>
      </c>
      <c r="J573" s="9">
        <v>867.34800000000007</v>
      </c>
    </row>
    <row r="574" spans="1:10" x14ac:dyDescent="0.3">
      <c r="A574" s="22" t="s">
        <v>2383</v>
      </c>
      <c r="B574" s="10">
        <v>45354</v>
      </c>
      <c r="C574" s="12" t="s">
        <v>496</v>
      </c>
      <c r="D574" s="12" t="s">
        <v>1652</v>
      </c>
      <c r="E574" s="12" t="s">
        <v>1779</v>
      </c>
      <c r="F574" s="11">
        <v>4</v>
      </c>
      <c r="G574" s="12">
        <v>915.17</v>
      </c>
      <c r="H574" s="9">
        <v>0.19</v>
      </c>
      <c r="I574" s="12" t="s">
        <v>1829</v>
      </c>
      <c r="J574" s="9">
        <v>2965.1507999999999</v>
      </c>
    </row>
    <row r="575" spans="1:10" x14ac:dyDescent="0.3">
      <c r="A575" s="22" t="s">
        <v>2384</v>
      </c>
      <c r="B575" s="10">
        <v>45357</v>
      </c>
      <c r="C575" s="12" t="s">
        <v>696</v>
      </c>
      <c r="D575" s="12" t="s">
        <v>1690</v>
      </c>
      <c r="E575" s="12" t="s">
        <v>1810</v>
      </c>
      <c r="F575" s="11">
        <v>1</v>
      </c>
      <c r="G575" s="12">
        <v>250.95</v>
      </c>
      <c r="H575" s="9">
        <v>0.03</v>
      </c>
      <c r="I575" s="12" t="s">
        <v>1826</v>
      </c>
      <c r="J575" s="9">
        <v>243.42150000000001</v>
      </c>
    </row>
    <row r="576" spans="1:10" x14ac:dyDescent="0.3">
      <c r="A576" s="22" t="s">
        <v>2385</v>
      </c>
      <c r="B576" s="10">
        <v>45257</v>
      </c>
      <c r="C576" s="12" t="s">
        <v>1023</v>
      </c>
      <c r="D576" s="12" t="s">
        <v>1740</v>
      </c>
      <c r="E576" s="12" t="s">
        <v>1773</v>
      </c>
      <c r="F576" s="11">
        <v>3</v>
      </c>
      <c r="G576" s="12">
        <v>882.84</v>
      </c>
      <c r="H576" s="9">
        <v>0.1</v>
      </c>
      <c r="I576" s="12" t="s">
        <v>1824</v>
      </c>
      <c r="J576" s="9">
        <v>2383.6680000000001</v>
      </c>
    </row>
    <row r="577" spans="1:10" x14ac:dyDescent="0.3">
      <c r="A577" s="22" t="s">
        <v>2386</v>
      </c>
      <c r="B577" s="10">
        <v>45702</v>
      </c>
      <c r="C577" s="12" t="s">
        <v>470</v>
      </c>
      <c r="D577" s="12" t="s">
        <v>1586</v>
      </c>
      <c r="E577" s="12" t="s">
        <v>1810</v>
      </c>
      <c r="F577" s="11">
        <v>4</v>
      </c>
      <c r="G577" s="12">
        <v>573.37</v>
      </c>
      <c r="H577" s="9">
        <v>0.04</v>
      </c>
      <c r="I577" s="12" t="s">
        <v>1829</v>
      </c>
      <c r="J577" s="9">
        <v>2201.7408</v>
      </c>
    </row>
    <row r="578" spans="1:10" x14ac:dyDescent="0.3">
      <c r="A578" s="22" t="s">
        <v>2387</v>
      </c>
      <c r="B578" s="10">
        <v>45318</v>
      </c>
      <c r="C578" s="12" t="s">
        <v>218</v>
      </c>
      <c r="D578" s="12" t="s">
        <v>1612</v>
      </c>
      <c r="E578" s="12" t="s">
        <v>1794</v>
      </c>
      <c r="F578" s="11">
        <v>3</v>
      </c>
      <c r="G578" s="12">
        <v>622.72</v>
      </c>
      <c r="H578" s="9">
        <v>0.04</v>
      </c>
      <c r="I578" s="12" t="s">
        <v>1824</v>
      </c>
      <c r="J578" s="9">
        <v>1793.4336000000001</v>
      </c>
    </row>
    <row r="579" spans="1:10" x14ac:dyDescent="0.3">
      <c r="A579" s="22" t="s">
        <v>2388</v>
      </c>
      <c r="B579" s="10">
        <v>45943</v>
      </c>
      <c r="C579" s="12" t="s">
        <v>1211</v>
      </c>
      <c r="D579" s="12" t="s">
        <v>1732</v>
      </c>
      <c r="E579" s="12" t="s">
        <v>1807</v>
      </c>
      <c r="F579" s="11">
        <v>3</v>
      </c>
      <c r="G579" s="12">
        <v>259.74</v>
      </c>
      <c r="H579" s="9">
        <v>0.24</v>
      </c>
      <c r="I579" s="12" t="s">
        <v>1824</v>
      </c>
      <c r="J579" s="9">
        <v>592.20720000000006</v>
      </c>
    </row>
    <row r="580" spans="1:10" x14ac:dyDescent="0.3">
      <c r="A580" s="22" t="s">
        <v>2389</v>
      </c>
      <c r="B580" s="10">
        <v>45769</v>
      </c>
      <c r="C580" s="12" t="s">
        <v>205</v>
      </c>
      <c r="D580" s="12" t="s">
        <v>1604</v>
      </c>
      <c r="E580" s="12" t="s">
        <v>1797</v>
      </c>
      <c r="F580" s="11">
        <v>4</v>
      </c>
      <c r="G580" s="12">
        <v>951.09</v>
      </c>
      <c r="H580" s="9">
        <v>0.14000000000000001</v>
      </c>
      <c r="I580" s="12" t="s">
        <v>1829</v>
      </c>
      <c r="J580" s="9">
        <v>3271.7496000000001</v>
      </c>
    </row>
    <row r="581" spans="1:10" x14ac:dyDescent="0.3">
      <c r="A581" s="22" t="s">
        <v>2390</v>
      </c>
      <c r="B581" s="10">
        <v>45765</v>
      </c>
      <c r="C581" s="12" t="s">
        <v>651</v>
      </c>
      <c r="D581" s="12" t="s">
        <v>1746</v>
      </c>
      <c r="E581" s="12" t="s">
        <v>1761</v>
      </c>
      <c r="F581" s="11">
        <v>1</v>
      </c>
      <c r="G581" s="12">
        <v>71.709999999999994</v>
      </c>
      <c r="H581" s="9">
        <v>0.23</v>
      </c>
      <c r="I581" s="12" t="s">
        <v>1829</v>
      </c>
      <c r="J581" s="9">
        <v>55.216700000000003</v>
      </c>
    </row>
    <row r="582" spans="1:10" x14ac:dyDescent="0.3">
      <c r="A582" s="22" t="s">
        <v>2391</v>
      </c>
      <c r="B582" s="10">
        <v>45891</v>
      </c>
      <c r="C582" s="12" t="s">
        <v>574</v>
      </c>
      <c r="D582" s="12" t="s">
        <v>1588</v>
      </c>
      <c r="E582" s="12" t="s">
        <v>1779</v>
      </c>
      <c r="F582" s="11">
        <v>4</v>
      </c>
      <c r="G582" s="12">
        <v>894.93</v>
      </c>
      <c r="H582" s="9">
        <v>0.05</v>
      </c>
      <c r="I582" s="12" t="s">
        <v>1829</v>
      </c>
      <c r="J582" s="9">
        <v>3400.733999999999</v>
      </c>
    </row>
    <row r="583" spans="1:10" x14ac:dyDescent="0.3">
      <c r="A583" s="22" t="s">
        <v>2392</v>
      </c>
      <c r="B583" s="10">
        <v>45842</v>
      </c>
      <c r="C583" s="12" t="s">
        <v>660</v>
      </c>
      <c r="D583" s="12" t="s">
        <v>1704</v>
      </c>
      <c r="E583" s="12" t="s">
        <v>1782</v>
      </c>
      <c r="F583" s="11">
        <v>4</v>
      </c>
      <c r="G583" s="12">
        <v>870.18</v>
      </c>
      <c r="H583" s="9">
        <v>0.13</v>
      </c>
      <c r="I583" s="12" t="s">
        <v>1829</v>
      </c>
      <c r="J583" s="9">
        <v>3028.2264</v>
      </c>
    </row>
    <row r="584" spans="1:10" x14ac:dyDescent="0.3">
      <c r="A584" s="22" t="s">
        <v>2393</v>
      </c>
      <c r="B584" s="10">
        <v>45382</v>
      </c>
      <c r="C584" s="12" t="s">
        <v>884</v>
      </c>
      <c r="D584" s="12" t="s">
        <v>1676</v>
      </c>
      <c r="E584" s="12" t="s">
        <v>1761</v>
      </c>
      <c r="F584" s="11">
        <v>2</v>
      </c>
      <c r="G584" s="12">
        <v>552.72</v>
      </c>
      <c r="H584" s="9">
        <v>0.06</v>
      </c>
      <c r="I584" s="12" t="s">
        <v>1826</v>
      </c>
      <c r="J584" s="9">
        <v>1039.1135999999999</v>
      </c>
    </row>
    <row r="585" spans="1:10" x14ac:dyDescent="0.3">
      <c r="A585" s="22" t="s">
        <v>2394</v>
      </c>
      <c r="B585" s="10">
        <v>45236</v>
      </c>
      <c r="C585" s="12" t="s">
        <v>788</v>
      </c>
      <c r="D585" s="12" t="s">
        <v>1626</v>
      </c>
      <c r="E585" s="12" t="s">
        <v>1782</v>
      </c>
      <c r="F585" s="11">
        <v>3</v>
      </c>
      <c r="G585" s="12">
        <v>700.43</v>
      </c>
      <c r="H585" s="9">
        <v>0.01</v>
      </c>
      <c r="I585" s="12" t="s">
        <v>1829</v>
      </c>
      <c r="J585" s="9">
        <v>2080.2770999999998</v>
      </c>
    </row>
    <row r="586" spans="1:10" x14ac:dyDescent="0.3">
      <c r="A586" s="22" t="s">
        <v>2395</v>
      </c>
      <c r="B586" s="10">
        <v>45806</v>
      </c>
      <c r="C586" s="12" t="s">
        <v>1065</v>
      </c>
      <c r="D586" s="12" t="s">
        <v>1565</v>
      </c>
      <c r="E586" s="12" t="s">
        <v>1761</v>
      </c>
      <c r="F586" s="11">
        <v>2</v>
      </c>
      <c r="G586" s="12">
        <v>823.03</v>
      </c>
      <c r="H586" s="9">
        <v>0.18</v>
      </c>
      <c r="I586" s="12" t="s">
        <v>1826</v>
      </c>
      <c r="J586" s="9">
        <v>1349.7692</v>
      </c>
    </row>
    <row r="587" spans="1:10" x14ac:dyDescent="0.3">
      <c r="A587" s="22" t="s">
        <v>2396</v>
      </c>
      <c r="B587" s="10">
        <v>45401</v>
      </c>
      <c r="C587" s="12" t="s">
        <v>815</v>
      </c>
      <c r="D587" s="12" t="s">
        <v>1732</v>
      </c>
      <c r="E587" s="12" t="s">
        <v>1776</v>
      </c>
      <c r="F587" s="11">
        <v>1</v>
      </c>
      <c r="G587" s="12">
        <v>117.37</v>
      </c>
      <c r="H587" s="9">
        <v>0.21</v>
      </c>
      <c r="I587" s="12" t="s">
        <v>1824</v>
      </c>
      <c r="J587" s="9">
        <v>92.722300000000004</v>
      </c>
    </row>
    <row r="588" spans="1:10" x14ac:dyDescent="0.3">
      <c r="A588" s="22" t="s">
        <v>2397</v>
      </c>
      <c r="B588" s="10">
        <v>45716</v>
      </c>
      <c r="C588" s="12" t="s">
        <v>369</v>
      </c>
      <c r="D588" s="12" t="s">
        <v>1660</v>
      </c>
      <c r="E588" s="12" t="s">
        <v>1757</v>
      </c>
      <c r="F588" s="11">
        <v>4</v>
      </c>
      <c r="G588" s="12">
        <v>165.37</v>
      </c>
      <c r="H588" s="9">
        <v>0.28999999999999998</v>
      </c>
      <c r="I588" s="12" t="s">
        <v>1824</v>
      </c>
      <c r="J588" s="9">
        <v>469.6508</v>
      </c>
    </row>
    <row r="589" spans="1:10" x14ac:dyDescent="0.3">
      <c r="A589" s="22" t="s">
        <v>2398</v>
      </c>
      <c r="B589" s="10">
        <v>45718</v>
      </c>
      <c r="C589" s="12" t="s">
        <v>1181</v>
      </c>
      <c r="D589" s="12" t="s">
        <v>1557</v>
      </c>
      <c r="E589" s="12" t="s">
        <v>1789</v>
      </c>
      <c r="F589" s="11">
        <v>3</v>
      </c>
      <c r="G589" s="12">
        <v>483.06</v>
      </c>
      <c r="H589" s="9">
        <v>0.05</v>
      </c>
      <c r="I589" s="12" t="s">
        <v>1824</v>
      </c>
      <c r="J589" s="9">
        <v>1376.721</v>
      </c>
    </row>
    <row r="590" spans="1:10" x14ac:dyDescent="0.3">
      <c r="A590" s="22" t="s">
        <v>2399</v>
      </c>
      <c r="B590" s="10">
        <v>45379</v>
      </c>
      <c r="C590" s="12" t="s">
        <v>929</v>
      </c>
      <c r="D590" s="12" t="s">
        <v>1710</v>
      </c>
      <c r="E590" s="12" t="s">
        <v>1779</v>
      </c>
      <c r="F590" s="11">
        <v>4</v>
      </c>
      <c r="G590" s="12">
        <v>262.05</v>
      </c>
      <c r="H590" s="9">
        <v>0.24</v>
      </c>
      <c r="I590" s="12" t="s">
        <v>1826</v>
      </c>
      <c r="J590" s="9">
        <v>796.63200000000006</v>
      </c>
    </row>
    <row r="591" spans="1:10" x14ac:dyDescent="0.3">
      <c r="A591" s="22" t="s">
        <v>2400</v>
      </c>
      <c r="B591" s="10">
        <v>45635</v>
      </c>
      <c r="C591" s="12" t="s">
        <v>1428</v>
      </c>
      <c r="D591" s="12" t="s">
        <v>1576</v>
      </c>
      <c r="E591" s="12" t="s">
        <v>1799</v>
      </c>
      <c r="F591" s="11">
        <v>3</v>
      </c>
      <c r="G591" s="12">
        <v>970.89</v>
      </c>
      <c r="H591" s="9">
        <v>0.11</v>
      </c>
      <c r="I591" s="12" t="s">
        <v>1829</v>
      </c>
      <c r="J591" s="9">
        <v>2592.2763</v>
      </c>
    </row>
    <row r="592" spans="1:10" x14ac:dyDescent="0.3">
      <c r="A592" s="22" t="s">
        <v>2401</v>
      </c>
      <c r="B592" s="10">
        <v>45222</v>
      </c>
      <c r="C592" s="12" t="s">
        <v>702</v>
      </c>
      <c r="D592" s="12" t="s">
        <v>1692</v>
      </c>
      <c r="E592" s="12" t="s">
        <v>1752</v>
      </c>
      <c r="F592" s="11">
        <v>1</v>
      </c>
      <c r="G592" s="12">
        <v>61.11</v>
      </c>
      <c r="H592" s="9">
        <v>0.1</v>
      </c>
      <c r="I592" s="12" t="s">
        <v>1826</v>
      </c>
      <c r="J592" s="9">
        <v>54.999000000000002</v>
      </c>
    </row>
    <row r="593" spans="1:10" x14ac:dyDescent="0.3">
      <c r="A593" s="22" t="s">
        <v>2402</v>
      </c>
      <c r="B593" s="10">
        <v>45555</v>
      </c>
      <c r="C593" s="12" t="s">
        <v>121</v>
      </c>
      <c r="D593" s="12" t="s">
        <v>1602</v>
      </c>
      <c r="E593" s="12" t="s">
        <v>1782</v>
      </c>
      <c r="F593" s="11">
        <v>3</v>
      </c>
      <c r="G593" s="12">
        <v>827.88</v>
      </c>
      <c r="H593" s="9">
        <v>0.19</v>
      </c>
      <c r="I593" s="12" t="s">
        <v>1826</v>
      </c>
      <c r="J593" s="9">
        <v>2011.7483999999999</v>
      </c>
    </row>
    <row r="594" spans="1:10" x14ac:dyDescent="0.3">
      <c r="A594" s="22" t="s">
        <v>2403</v>
      </c>
      <c r="B594" s="10">
        <v>45583</v>
      </c>
      <c r="C594" s="12" t="s">
        <v>1334</v>
      </c>
      <c r="D594" s="12" t="s">
        <v>1722</v>
      </c>
      <c r="E594" s="12" t="s">
        <v>1797</v>
      </c>
      <c r="F594" s="11">
        <v>3</v>
      </c>
      <c r="G594" s="12">
        <v>926.85</v>
      </c>
      <c r="H594" s="9">
        <v>0.18</v>
      </c>
      <c r="I594" s="12" t="s">
        <v>1829</v>
      </c>
      <c r="J594" s="9">
        <v>2280.0509999999999</v>
      </c>
    </row>
    <row r="595" spans="1:10" x14ac:dyDescent="0.3">
      <c r="A595" s="22" t="s">
        <v>2404</v>
      </c>
      <c r="B595" s="10">
        <v>45662</v>
      </c>
      <c r="C595" s="12" t="s">
        <v>999</v>
      </c>
      <c r="D595" s="12" t="s">
        <v>1568</v>
      </c>
      <c r="E595" s="12" t="s">
        <v>1799</v>
      </c>
      <c r="F595" s="11">
        <v>1</v>
      </c>
      <c r="G595" s="12">
        <v>874.59</v>
      </c>
      <c r="H595" s="9">
        <v>0.28999999999999998</v>
      </c>
      <c r="I595" s="12" t="s">
        <v>1826</v>
      </c>
      <c r="J595" s="9">
        <v>620.95889999999997</v>
      </c>
    </row>
    <row r="596" spans="1:10" x14ac:dyDescent="0.3">
      <c r="A596" s="22" t="s">
        <v>2405</v>
      </c>
      <c r="B596" s="10">
        <v>45921</v>
      </c>
      <c r="C596" s="12" t="s">
        <v>1449</v>
      </c>
      <c r="D596" s="12" t="s">
        <v>1578</v>
      </c>
      <c r="E596" s="12" t="s">
        <v>1757</v>
      </c>
      <c r="F596" s="11">
        <v>4</v>
      </c>
      <c r="G596" s="12">
        <v>479.11</v>
      </c>
      <c r="H596" s="9">
        <v>0.24</v>
      </c>
      <c r="I596" s="12" t="s">
        <v>1826</v>
      </c>
      <c r="J596" s="9">
        <v>1456.4944</v>
      </c>
    </row>
    <row r="597" spans="1:10" x14ac:dyDescent="0.3">
      <c r="A597" s="22" t="s">
        <v>2406</v>
      </c>
      <c r="B597" s="10">
        <v>45490</v>
      </c>
      <c r="C597" s="12" t="s">
        <v>693</v>
      </c>
      <c r="D597" s="12" t="s">
        <v>1612</v>
      </c>
      <c r="E597" s="12" t="s">
        <v>1807</v>
      </c>
      <c r="F597" s="11">
        <v>3</v>
      </c>
      <c r="G597" s="12">
        <v>182.91</v>
      </c>
      <c r="H597" s="9">
        <v>0.28999999999999998</v>
      </c>
      <c r="I597" s="12" t="s">
        <v>1824</v>
      </c>
      <c r="J597" s="9">
        <v>389.59829999999999</v>
      </c>
    </row>
    <row r="598" spans="1:10" x14ac:dyDescent="0.3">
      <c r="A598" s="22" t="s">
        <v>2407</v>
      </c>
      <c r="B598" s="10">
        <v>45652</v>
      </c>
      <c r="C598" s="12" t="s">
        <v>866</v>
      </c>
      <c r="D598" s="12" t="s">
        <v>1616</v>
      </c>
      <c r="E598" s="12" t="s">
        <v>1773</v>
      </c>
      <c r="F598" s="11">
        <v>4</v>
      </c>
      <c r="G598" s="12">
        <v>745.51</v>
      </c>
      <c r="H598" s="9">
        <v>0.05</v>
      </c>
      <c r="I598" s="12" t="s">
        <v>1824</v>
      </c>
      <c r="J598" s="9">
        <v>2832.9380000000001</v>
      </c>
    </row>
    <row r="599" spans="1:10" x14ac:dyDescent="0.3">
      <c r="A599" s="22" t="s">
        <v>2408</v>
      </c>
      <c r="B599" s="10">
        <v>45598</v>
      </c>
      <c r="C599" s="12" t="s">
        <v>1481</v>
      </c>
      <c r="D599" s="12" t="s">
        <v>1724</v>
      </c>
      <c r="E599" s="12" t="s">
        <v>1801</v>
      </c>
      <c r="F599" s="11">
        <v>3</v>
      </c>
      <c r="G599" s="12">
        <v>920.61</v>
      </c>
      <c r="H599" s="9">
        <v>0.04</v>
      </c>
      <c r="I599" s="12" t="s">
        <v>1824</v>
      </c>
      <c r="J599" s="9">
        <v>2651.3568</v>
      </c>
    </row>
    <row r="600" spans="1:10" x14ac:dyDescent="0.3">
      <c r="A600" s="22" t="s">
        <v>2409</v>
      </c>
      <c r="B600" s="10">
        <v>45772</v>
      </c>
      <c r="C600" s="12" t="s">
        <v>1319</v>
      </c>
      <c r="D600" s="12" t="s">
        <v>1698</v>
      </c>
      <c r="E600" s="12" t="s">
        <v>1789</v>
      </c>
      <c r="F600" s="11">
        <v>4</v>
      </c>
      <c r="G600" s="12">
        <v>659.03</v>
      </c>
      <c r="H600" s="9">
        <v>0.15</v>
      </c>
      <c r="I600" s="12" t="s">
        <v>1824</v>
      </c>
      <c r="J600" s="9">
        <v>2240.7020000000002</v>
      </c>
    </row>
    <row r="601" spans="1:10" x14ac:dyDescent="0.3">
      <c r="A601" s="22" t="s">
        <v>2410</v>
      </c>
      <c r="B601" s="10">
        <v>45338</v>
      </c>
      <c r="C601" s="12" t="s">
        <v>1510</v>
      </c>
      <c r="D601" s="12" t="s">
        <v>1565</v>
      </c>
      <c r="E601" s="12" t="s">
        <v>1761</v>
      </c>
      <c r="F601" s="11">
        <v>1</v>
      </c>
      <c r="G601" s="12">
        <v>312.91000000000003</v>
      </c>
      <c r="H601" s="9">
        <v>0.12</v>
      </c>
      <c r="I601" s="12" t="s">
        <v>1826</v>
      </c>
      <c r="J601" s="9">
        <v>275.36079999999998</v>
      </c>
    </row>
    <row r="602" spans="1:10" x14ac:dyDescent="0.3">
      <c r="A602" s="22" t="s">
        <v>2411</v>
      </c>
      <c r="B602" s="10">
        <v>45524</v>
      </c>
      <c r="C602" s="12" t="s">
        <v>735</v>
      </c>
      <c r="D602" s="12" t="s">
        <v>1572</v>
      </c>
      <c r="E602" s="12" t="s">
        <v>1810</v>
      </c>
      <c r="F602" s="11">
        <v>4</v>
      </c>
      <c r="G602" s="12">
        <v>705.64</v>
      </c>
      <c r="H602" s="9">
        <v>0.11</v>
      </c>
      <c r="I602" s="12" t="s">
        <v>1826</v>
      </c>
      <c r="J602" s="9">
        <v>2512.0783999999999</v>
      </c>
    </row>
    <row r="603" spans="1:10" x14ac:dyDescent="0.3">
      <c r="A603" s="22" t="s">
        <v>2412</v>
      </c>
      <c r="B603" s="10">
        <v>45497</v>
      </c>
      <c r="C603" s="12" t="s">
        <v>487</v>
      </c>
      <c r="D603" s="12" t="s">
        <v>1565</v>
      </c>
      <c r="E603" s="12" t="s">
        <v>1789</v>
      </c>
      <c r="F603" s="11">
        <v>4</v>
      </c>
      <c r="G603" s="12">
        <v>386.41</v>
      </c>
      <c r="H603" s="9">
        <v>0.13</v>
      </c>
      <c r="I603" s="12" t="s">
        <v>1829</v>
      </c>
      <c r="J603" s="9">
        <v>1344.7067999999999</v>
      </c>
    </row>
    <row r="604" spans="1:10" x14ac:dyDescent="0.3">
      <c r="A604" s="22" t="s">
        <v>2413</v>
      </c>
      <c r="B604" s="10">
        <v>45534</v>
      </c>
      <c r="C604" s="12" t="s">
        <v>121</v>
      </c>
      <c r="D604" s="12" t="s">
        <v>1736</v>
      </c>
      <c r="E604" s="12" t="s">
        <v>1792</v>
      </c>
      <c r="F604" s="11">
        <v>3</v>
      </c>
      <c r="G604" s="12">
        <v>265.89</v>
      </c>
      <c r="H604" s="9">
        <v>0.08</v>
      </c>
      <c r="I604" s="12" t="s">
        <v>1829</v>
      </c>
      <c r="J604" s="9">
        <v>733.85640000000001</v>
      </c>
    </row>
    <row r="605" spans="1:10" x14ac:dyDescent="0.3">
      <c r="A605" s="22" t="s">
        <v>2414</v>
      </c>
      <c r="B605" s="10">
        <v>45925</v>
      </c>
      <c r="C605" s="12" t="s">
        <v>275</v>
      </c>
      <c r="D605" s="12" t="s">
        <v>1608</v>
      </c>
      <c r="E605" s="12" t="s">
        <v>1804</v>
      </c>
      <c r="F605" s="11">
        <v>1</v>
      </c>
      <c r="G605" s="12">
        <v>703.16</v>
      </c>
      <c r="H605" s="9">
        <v>0.28999999999999998</v>
      </c>
      <c r="I605" s="12" t="s">
        <v>1824</v>
      </c>
      <c r="J605" s="9">
        <v>499.24360000000001</v>
      </c>
    </row>
    <row r="606" spans="1:10" x14ac:dyDescent="0.3">
      <c r="A606" s="22" t="s">
        <v>2415</v>
      </c>
      <c r="B606" s="10">
        <v>45765</v>
      </c>
      <c r="C606" s="12" t="s">
        <v>1452</v>
      </c>
      <c r="D606" s="12" t="s">
        <v>1742</v>
      </c>
      <c r="E606" s="12" t="s">
        <v>1797</v>
      </c>
      <c r="F606" s="11">
        <v>2</v>
      </c>
      <c r="G606" s="12">
        <v>394.5</v>
      </c>
      <c r="H606" s="9">
        <v>0.28999999999999998</v>
      </c>
      <c r="I606" s="12" t="s">
        <v>1829</v>
      </c>
      <c r="J606" s="9">
        <v>560.18999999999994</v>
      </c>
    </row>
    <row r="607" spans="1:10" x14ac:dyDescent="0.3">
      <c r="A607" s="22" t="s">
        <v>2416</v>
      </c>
      <c r="B607" s="10">
        <v>45882</v>
      </c>
      <c r="C607" s="12" t="s">
        <v>408</v>
      </c>
      <c r="D607" s="12" t="s">
        <v>1742</v>
      </c>
      <c r="E607" s="12" t="s">
        <v>1779</v>
      </c>
      <c r="F607" s="11">
        <v>3</v>
      </c>
      <c r="G607" s="12">
        <v>411.25</v>
      </c>
      <c r="H607" s="9">
        <v>0.05</v>
      </c>
      <c r="I607" s="12" t="s">
        <v>1824</v>
      </c>
      <c r="J607" s="9">
        <v>1172.0625</v>
      </c>
    </row>
    <row r="608" spans="1:10" x14ac:dyDescent="0.3">
      <c r="A608" s="22" t="s">
        <v>2417</v>
      </c>
      <c r="B608" s="10">
        <v>45923</v>
      </c>
      <c r="C608" s="12" t="s">
        <v>1107</v>
      </c>
      <c r="D608" s="12" t="s">
        <v>1644</v>
      </c>
      <c r="E608" s="12" t="s">
        <v>1761</v>
      </c>
      <c r="F608" s="11">
        <v>4</v>
      </c>
      <c r="G608" s="12">
        <v>395.45</v>
      </c>
      <c r="H608" s="9">
        <v>0.01</v>
      </c>
      <c r="I608" s="12" t="s">
        <v>1824</v>
      </c>
      <c r="J608" s="9">
        <v>1565.982</v>
      </c>
    </row>
    <row r="609" spans="1:10" x14ac:dyDescent="0.3">
      <c r="A609" s="22" t="s">
        <v>2418</v>
      </c>
      <c r="B609" s="10">
        <v>45421</v>
      </c>
      <c r="C609" s="12" t="s">
        <v>144</v>
      </c>
      <c r="D609" s="12" t="s">
        <v>1728</v>
      </c>
      <c r="E609" s="12" t="s">
        <v>1773</v>
      </c>
      <c r="F609" s="11">
        <v>2</v>
      </c>
      <c r="G609" s="12">
        <v>678.98</v>
      </c>
      <c r="H609" s="9">
        <v>0.23</v>
      </c>
      <c r="I609" s="12" t="s">
        <v>1824</v>
      </c>
      <c r="J609" s="9">
        <v>1045.6292000000001</v>
      </c>
    </row>
    <row r="610" spans="1:10" x14ac:dyDescent="0.3">
      <c r="A610" s="22" t="s">
        <v>2419</v>
      </c>
      <c r="B610" s="10">
        <v>45608</v>
      </c>
      <c r="C610" s="12" t="s">
        <v>264</v>
      </c>
      <c r="D610" s="12" t="s">
        <v>1602</v>
      </c>
      <c r="E610" s="12" t="s">
        <v>1799</v>
      </c>
      <c r="F610" s="11">
        <v>4</v>
      </c>
      <c r="G610" s="12">
        <v>757.71</v>
      </c>
      <c r="H610" s="9">
        <v>0.26</v>
      </c>
      <c r="I610" s="12" t="s">
        <v>1829</v>
      </c>
      <c r="J610" s="9">
        <v>2242.8216000000002</v>
      </c>
    </row>
    <row r="611" spans="1:10" x14ac:dyDescent="0.3">
      <c r="A611" s="22" t="s">
        <v>2420</v>
      </c>
      <c r="B611" s="10">
        <v>45644</v>
      </c>
      <c r="C611" s="12" t="s">
        <v>221</v>
      </c>
      <c r="D611" s="12" t="s">
        <v>1736</v>
      </c>
      <c r="E611" s="12" t="s">
        <v>1769</v>
      </c>
      <c r="F611" s="11">
        <v>1</v>
      </c>
      <c r="G611" s="12">
        <v>647.86</v>
      </c>
      <c r="H611" s="9">
        <v>0.05</v>
      </c>
      <c r="I611" s="12" t="s">
        <v>1829</v>
      </c>
      <c r="J611" s="9">
        <v>615.46699999999998</v>
      </c>
    </row>
    <row r="612" spans="1:10" x14ac:dyDescent="0.3">
      <c r="A612" s="22" t="s">
        <v>2421</v>
      </c>
      <c r="B612" s="10">
        <v>45517</v>
      </c>
      <c r="C612" s="12" t="s">
        <v>461</v>
      </c>
      <c r="D612" s="12" t="s">
        <v>1572</v>
      </c>
      <c r="E612" s="12" t="s">
        <v>1776</v>
      </c>
      <c r="F612" s="11">
        <v>2</v>
      </c>
      <c r="G612" s="12">
        <v>179.64</v>
      </c>
      <c r="H612" s="9">
        <v>0.1</v>
      </c>
      <c r="I612" s="12" t="s">
        <v>1826</v>
      </c>
      <c r="J612" s="9">
        <v>323.35199999999998</v>
      </c>
    </row>
    <row r="613" spans="1:10" x14ac:dyDescent="0.3">
      <c r="A613" s="22" t="s">
        <v>2422</v>
      </c>
      <c r="B613" s="10">
        <v>45545</v>
      </c>
      <c r="C613" s="12" t="s">
        <v>1235</v>
      </c>
      <c r="D613" s="12" t="s">
        <v>1672</v>
      </c>
      <c r="E613" s="12" t="s">
        <v>1769</v>
      </c>
      <c r="F613" s="11">
        <v>3</v>
      </c>
      <c r="G613" s="12">
        <v>392.65</v>
      </c>
      <c r="H613" s="9">
        <v>0.17</v>
      </c>
      <c r="I613" s="12" t="s">
        <v>1826</v>
      </c>
      <c r="J613" s="9">
        <v>977.69849999999985</v>
      </c>
    </row>
    <row r="614" spans="1:10" x14ac:dyDescent="0.3">
      <c r="A614" s="22" t="s">
        <v>2423</v>
      </c>
      <c r="B614" s="10">
        <v>45547</v>
      </c>
      <c r="C614" s="12" t="s">
        <v>582</v>
      </c>
      <c r="D614" s="12" t="s">
        <v>1730</v>
      </c>
      <c r="E614" s="12" t="s">
        <v>1804</v>
      </c>
      <c r="F614" s="11">
        <v>4</v>
      </c>
      <c r="G614" s="12">
        <v>969.55</v>
      </c>
      <c r="H614" s="9">
        <v>0.09</v>
      </c>
      <c r="I614" s="12" t="s">
        <v>1829</v>
      </c>
      <c r="J614" s="9">
        <v>3529.1619999999998</v>
      </c>
    </row>
    <row r="615" spans="1:10" x14ac:dyDescent="0.3">
      <c r="A615" s="22" t="s">
        <v>2424</v>
      </c>
      <c r="B615" s="10">
        <v>45433</v>
      </c>
      <c r="C615" s="12" t="s">
        <v>1425</v>
      </c>
      <c r="D615" s="12" t="s">
        <v>1696</v>
      </c>
      <c r="E615" s="12" t="s">
        <v>1794</v>
      </c>
      <c r="F615" s="11">
        <v>3</v>
      </c>
      <c r="G615" s="12">
        <v>322.94</v>
      </c>
      <c r="H615" s="9">
        <v>0.01</v>
      </c>
      <c r="I615" s="12" t="s">
        <v>1824</v>
      </c>
      <c r="J615" s="9">
        <v>959.13179999999988</v>
      </c>
    </row>
    <row r="616" spans="1:10" x14ac:dyDescent="0.3">
      <c r="A616" s="22" t="s">
        <v>2425</v>
      </c>
      <c r="B616" s="10">
        <v>45792</v>
      </c>
      <c r="C616" s="12" t="s">
        <v>1133</v>
      </c>
      <c r="D616" s="12" t="s">
        <v>1714</v>
      </c>
      <c r="E616" s="12" t="s">
        <v>1752</v>
      </c>
      <c r="F616" s="11">
        <v>1</v>
      </c>
      <c r="G616" s="12">
        <v>92.83</v>
      </c>
      <c r="H616" s="9">
        <v>0.26</v>
      </c>
      <c r="I616" s="12" t="s">
        <v>1826</v>
      </c>
      <c r="J616" s="9">
        <v>68.694199999999995</v>
      </c>
    </row>
    <row r="617" spans="1:10" x14ac:dyDescent="0.3">
      <c r="A617" s="22" t="s">
        <v>2426</v>
      </c>
      <c r="B617" s="10">
        <v>45804</v>
      </c>
      <c r="C617" s="12" t="s">
        <v>1304</v>
      </c>
      <c r="D617" s="12" t="s">
        <v>1562</v>
      </c>
      <c r="E617" s="12" t="s">
        <v>1766</v>
      </c>
      <c r="F617" s="11">
        <v>4</v>
      </c>
      <c r="G617" s="12">
        <v>432.29</v>
      </c>
      <c r="H617" s="9">
        <v>0.16</v>
      </c>
      <c r="I617" s="12" t="s">
        <v>1829</v>
      </c>
      <c r="J617" s="9">
        <v>1452.4944</v>
      </c>
    </row>
    <row r="618" spans="1:10" x14ac:dyDescent="0.3">
      <c r="A618" s="22" t="s">
        <v>2427</v>
      </c>
      <c r="B618" s="10">
        <v>45311</v>
      </c>
      <c r="C618" s="12" t="s">
        <v>292</v>
      </c>
      <c r="D618" s="12" t="s">
        <v>1626</v>
      </c>
      <c r="E618" s="12" t="s">
        <v>1797</v>
      </c>
      <c r="F618" s="11">
        <v>2</v>
      </c>
      <c r="G618" s="12">
        <v>925.78</v>
      </c>
      <c r="H618" s="9">
        <v>0.14000000000000001</v>
      </c>
      <c r="I618" s="12" t="s">
        <v>1829</v>
      </c>
      <c r="J618" s="9">
        <v>1592.3416</v>
      </c>
    </row>
    <row r="619" spans="1:10" x14ac:dyDescent="0.3">
      <c r="A619" s="22" t="s">
        <v>2428</v>
      </c>
      <c r="B619" s="10">
        <v>45605</v>
      </c>
      <c r="C619" s="12" t="s">
        <v>1469</v>
      </c>
      <c r="D619" s="12" t="s">
        <v>1598</v>
      </c>
      <c r="E619" s="12" t="s">
        <v>1792</v>
      </c>
      <c r="F619" s="11">
        <v>2</v>
      </c>
      <c r="G619" s="12">
        <v>151.47</v>
      </c>
      <c r="H619" s="9">
        <v>0.21</v>
      </c>
      <c r="I619" s="12" t="s">
        <v>1826</v>
      </c>
      <c r="J619" s="9">
        <v>239.32259999999999</v>
      </c>
    </row>
    <row r="620" spans="1:10" x14ac:dyDescent="0.3">
      <c r="A620" s="22" t="s">
        <v>2429</v>
      </c>
      <c r="B620" s="10">
        <v>45338</v>
      </c>
      <c r="C620" s="12" t="s">
        <v>1389</v>
      </c>
      <c r="D620" s="12" t="s">
        <v>1714</v>
      </c>
      <c r="E620" s="12" t="s">
        <v>1789</v>
      </c>
      <c r="F620" s="11">
        <v>1</v>
      </c>
      <c r="G620" s="12">
        <v>343.05</v>
      </c>
      <c r="H620" s="9">
        <v>0.28000000000000003</v>
      </c>
      <c r="I620" s="12" t="s">
        <v>1826</v>
      </c>
      <c r="J620" s="9">
        <v>246.99600000000001</v>
      </c>
    </row>
    <row r="621" spans="1:10" x14ac:dyDescent="0.3">
      <c r="A621" s="22" t="s">
        <v>2430</v>
      </c>
      <c r="B621" s="10">
        <v>45642</v>
      </c>
      <c r="C621" s="12" t="s">
        <v>244</v>
      </c>
      <c r="D621" s="12" t="s">
        <v>1582</v>
      </c>
      <c r="E621" s="12" t="s">
        <v>1769</v>
      </c>
      <c r="F621" s="11">
        <v>1</v>
      </c>
      <c r="G621" s="12">
        <v>373.06</v>
      </c>
      <c r="H621" s="9">
        <v>0.11</v>
      </c>
      <c r="I621" s="12" t="s">
        <v>1826</v>
      </c>
      <c r="J621" s="9">
        <v>332.02339999999998</v>
      </c>
    </row>
    <row r="622" spans="1:10" x14ac:dyDescent="0.3">
      <c r="A622" s="22" t="s">
        <v>2431</v>
      </c>
      <c r="B622" s="10">
        <v>45693</v>
      </c>
      <c r="C622" s="12" t="s">
        <v>1278</v>
      </c>
      <c r="D622" s="12" t="s">
        <v>1584</v>
      </c>
      <c r="E622" s="12" t="s">
        <v>1801</v>
      </c>
      <c r="F622" s="11">
        <v>1</v>
      </c>
      <c r="G622" s="12">
        <v>124.98</v>
      </c>
      <c r="H622" s="9">
        <v>7.0000000000000007E-2</v>
      </c>
      <c r="I622" s="12" t="s">
        <v>1829</v>
      </c>
      <c r="J622" s="9">
        <v>116.23139999999999</v>
      </c>
    </row>
    <row r="623" spans="1:10" x14ac:dyDescent="0.3">
      <c r="A623" s="22" t="s">
        <v>2432</v>
      </c>
      <c r="B623" s="10">
        <v>45763</v>
      </c>
      <c r="C623" s="12" t="s">
        <v>866</v>
      </c>
      <c r="D623" s="12" t="s">
        <v>1694</v>
      </c>
      <c r="E623" s="12" t="s">
        <v>1813</v>
      </c>
      <c r="F623" s="11">
        <v>4</v>
      </c>
      <c r="G623" s="12">
        <v>221.49</v>
      </c>
      <c r="H623" s="9">
        <v>0.26</v>
      </c>
      <c r="I623" s="12" t="s">
        <v>1826</v>
      </c>
      <c r="J623" s="9">
        <v>655.61040000000003</v>
      </c>
    </row>
    <row r="624" spans="1:10" x14ac:dyDescent="0.3">
      <c r="A624" s="22" t="s">
        <v>2433</v>
      </c>
      <c r="B624" s="10">
        <v>45572</v>
      </c>
      <c r="C624" s="12" t="s">
        <v>565</v>
      </c>
      <c r="D624" s="12" t="s">
        <v>1594</v>
      </c>
      <c r="E624" s="12" t="s">
        <v>1801</v>
      </c>
      <c r="F624" s="11">
        <v>1</v>
      </c>
      <c r="G624" s="12">
        <v>563.32000000000005</v>
      </c>
      <c r="H624" s="9">
        <v>0.01</v>
      </c>
      <c r="I624" s="12" t="s">
        <v>1826</v>
      </c>
      <c r="J624" s="9">
        <v>557.68680000000006</v>
      </c>
    </row>
    <row r="625" spans="1:10" x14ac:dyDescent="0.3">
      <c r="A625" s="22" t="s">
        <v>2434</v>
      </c>
      <c r="B625" s="10">
        <v>45338</v>
      </c>
      <c r="C625" s="12" t="s">
        <v>1217</v>
      </c>
      <c r="D625" s="12" t="s">
        <v>1570</v>
      </c>
      <c r="E625" s="12" t="s">
        <v>1752</v>
      </c>
      <c r="F625" s="11">
        <v>1</v>
      </c>
      <c r="G625" s="12">
        <v>362.93</v>
      </c>
      <c r="H625" s="9">
        <v>0.27</v>
      </c>
      <c r="I625" s="12" t="s">
        <v>1824</v>
      </c>
      <c r="J625" s="9">
        <v>264.93889999999999</v>
      </c>
    </row>
    <row r="626" spans="1:10" x14ac:dyDescent="0.3">
      <c r="A626" s="22" t="s">
        <v>2435</v>
      </c>
      <c r="B626" s="10">
        <v>45373</v>
      </c>
      <c r="C626" s="12" t="s">
        <v>1056</v>
      </c>
      <c r="D626" s="12" t="s">
        <v>1570</v>
      </c>
      <c r="E626" s="12" t="s">
        <v>1801</v>
      </c>
      <c r="F626" s="11">
        <v>4</v>
      </c>
      <c r="G626" s="12">
        <v>369.22</v>
      </c>
      <c r="H626" s="9">
        <v>0.18</v>
      </c>
      <c r="I626" s="12" t="s">
        <v>1829</v>
      </c>
      <c r="J626" s="9">
        <v>1211.0416</v>
      </c>
    </row>
    <row r="627" spans="1:10" x14ac:dyDescent="0.3">
      <c r="A627" s="22" t="s">
        <v>2436</v>
      </c>
      <c r="B627" s="10">
        <v>45590</v>
      </c>
      <c r="C627" s="12" t="s">
        <v>1275</v>
      </c>
      <c r="D627" s="12" t="s">
        <v>1740</v>
      </c>
      <c r="E627" s="12" t="s">
        <v>1799</v>
      </c>
      <c r="F627" s="11">
        <v>3</v>
      </c>
      <c r="G627" s="12">
        <v>950.83</v>
      </c>
      <c r="H627" s="9">
        <v>0.06</v>
      </c>
      <c r="I627" s="12" t="s">
        <v>1826</v>
      </c>
      <c r="J627" s="9">
        <v>2681.3406</v>
      </c>
    </row>
    <row r="628" spans="1:10" x14ac:dyDescent="0.3">
      <c r="A628" s="22" t="s">
        <v>2437</v>
      </c>
      <c r="B628" s="10">
        <v>45365</v>
      </c>
      <c r="C628" s="12" t="s">
        <v>484</v>
      </c>
      <c r="D628" s="12" t="s">
        <v>1622</v>
      </c>
      <c r="E628" s="12" t="s">
        <v>1797</v>
      </c>
      <c r="F628" s="11">
        <v>3</v>
      </c>
      <c r="G628" s="12">
        <v>338.79</v>
      </c>
      <c r="H628" s="9">
        <v>0.01</v>
      </c>
      <c r="I628" s="12" t="s">
        <v>1824</v>
      </c>
      <c r="J628" s="9">
        <v>1006.2063000000001</v>
      </c>
    </row>
    <row r="629" spans="1:10" x14ac:dyDescent="0.3">
      <c r="A629" s="22" t="s">
        <v>2438</v>
      </c>
      <c r="B629" s="10">
        <v>45711</v>
      </c>
      <c r="C629" s="12" t="s">
        <v>493</v>
      </c>
      <c r="D629" s="12" t="s">
        <v>1728</v>
      </c>
      <c r="E629" s="12" t="s">
        <v>1757</v>
      </c>
      <c r="F629" s="11">
        <v>3</v>
      </c>
      <c r="G629" s="12">
        <v>853.32</v>
      </c>
      <c r="H629" s="9">
        <v>7.0000000000000007E-2</v>
      </c>
      <c r="I629" s="12" t="s">
        <v>1829</v>
      </c>
      <c r="J629" s="9">
        <v>2380.7628</v>
      </c>
    </row>
    <row r="630" spans="1:10" x14ac:dyDescent="0.3">
      <c r="A630" s="22" t="s">
        <v>2439</v>
      </c>
      <c r="B630" s="10">
        <v>45586</v>
      </c>
      <c r="C630" s="12" t="s">
        <v>502</v>
      </c>
      <c r="D630" s="12" t="s">
        <v>1700</v>
      </c>
      <c r="E630" s="12" t="s">
        <v>1776</v>
      </c>
      <c r="F630" s="11">
        <v>3</v>
      </c>
      <c r="G630" s="12">
        <v>89.78</v>
      </c>
      <c r="H630" s="9">
        <v>0.2</v>
      </c>
      <c r="I630" s="12" t="s">
        <v>1829</v>
      </c>
      <c r="J630" s="9">
        <v>215.47200000000001</v>
      </c>
    </row>
    <row r="631" spans="1:10" x14ac:dyDescent="0.3">
      <c r="A631" s="22" t="s">
        <v>2440</v>
      </c>
      <c r="B631" s="10">
        <v>45334</v>
      </c>
      <c r="C631" s="12" t="s">
        <v>628</v>
      </c>
      <c r="D631" s="12" t="s">
        <v>1658</v>
      </c>
      <c r="E631" s="12" t="s">
        <v>1757</v>
      </c>
      <c r="F631" s="11">
        <v>1</v>
      </c>
      <c r="G631" s="12">
        <v>172.04</v>
      </c>
      <c r="H631" s="9">
        <v>0.04</v>
      </c>
      <c r="I631" s="12" t="s">
        <v>1826</v>
      </c>
      <c r="J631" s="9">
        <v>165.1584</v>
      </c>
    </row>
    <row r="632" spans="1:10" x14ac:dyDescent="0.3">
      <c r="A632" s="22" t="s">
        <v>2441</v>
      </c>
      <c r="B632" s="10">
        <v>45333</v>
      </c>
      <c r="C632" s="12" t="s">
        <v>1440</v>
      </c>
      <c r="D632" s="12" t="s">
        <v>1656</v>
      </c>
      <c r="E632" s="12" t="s">
        <v>1757</v>
      </c>
      <c r="F632" s="11">
        <v>1</v>
      </c>
      <c r="G632" s="12">
        <v>389.2</v>
      </c>
      <c r="H632" s="9">
        <v>0.05</v>
      </c>
      <c r="I632" s="12" t="s">
        <v>1824</v>
      </c>
      <c r="J632" s="9">
        <v>369.74</v>
      </c>
    </row>
    <row r="633" spans="1:10" x14ac:dyDescent="0.3">
      <c r="A633" s="22" t="s">
        <v>2442</v>
      </c>
      <c r="B633" s="10">
        <v>45778</v>
      </c>
      <c r="C633" s="12" t="s">
        <v>1422</v>
      </c>
      <c r="D633" s="12" t="s">
        <v>1702</v>
      </c>
      <c r="E633" s="12" t="s">
        <v>1797</v>
      </c>
      <c r="F633" s="11">
        <v>3</v>
      </c>
      <c r="G633" s="12">
        <v>865.96</v>
      </c>
      <c r="H633" s="9">
        <v>0.12</v>
      </c>
      <c r="I633" s="12" t="s">
        <v>1826</v>
      </c>
      <c r="J633" s="9">
        <v>2286.1343999999999</v>
      </c>
    </row>
    <row r="634" spans="1:10" x14ac:dyDescent="0.3">
      <c r="A634" s="22" t="s">
        <v>2443</v>
      </c>
      <c r="B634" s="10">
        <v>45592</v>
      </c>
      <c r="C634" s="12" t="s">
        <v>562</v>
      </c>
      <c r="D634" s="12" t="s">
        <v>1586</v>
      </c>
      <c r="E634" s="12" t="s">
        <v>1757</v>
      </c>
      <c r="F634" s="11">
        <v>3</v>
      </c>
      <c r="G634" s="12">
        <v>79.95</v>
      </c>
      <c r="H634" s="9">
        <v>0.2</v>
      </c>
      <c r="I634" s="12" t="s">
        <v>1829</v>
      </c>
      <c r="J634" s="9">
        <v>191.88</v>
      </c>
    </row>
    <row r="635" spans="1:10" x14ac:dyDescent="0.3">
      <c r="A635" s="22" t="s">
        <v>2444</v>
      </c>
      <c r="B635" s="10">
        <v>45259</v>
      </c>
      <c r="C635" s="12" t="s">
        <v>1190</v>
      </c>
      <c r="D635" s="12" t="s">
        <v>1600</v>
      </c>
      <c r="E635" s="12" t="s">
        <v>1779</v>
      </c>
      <c r="F635" s="11">
        <v>1</v>
      </c>
      <c r="G635" s="12">
        <v>566.5</v>
      </c>
      <c r="H635" s="9">
        <v>0.25</v>
      </c>
      <c r="I635" s="12" t="s">
        <v>1829</v>
      </c>
      <c r="J635" s="9">
        <v>424.875</v>
      </c>
    </row>
    <row r="636" spans="1:10" x14ac:dyDescent="0.3">
      <c r="A636" s="22" t="s">
        <v>2445</v>
      </c>
      <c r="B636" s="10">
        <v>45801</v>
      </c>
      <c r="C636" s="12" t="s">
        <v>1252</v>
      </c>
      <c r="D636" s="12" t="s">
        <v>1590</v>
      </c>
      <c r="E636" s="12" t="s">
        <v>1752</v>
      </c>
      <c r="F636" s="11">
        <v>2</v>
      </c>
      <c r="G636" s="12">
        <v>347.95</v>
      </c>
      <c r="H636" s="9">
        <v>0.13</v>
      </c>
      <c r="I636" s="12" t="s">
        <v>1829</v>
      </c>
      <c r="J636" s="9">
        <v>605.43299999999999</v>
      </c>
    </row>
    <row r="637" spans="1:10" x14ac:dyDescent="0.3">
      <c r="A637" s="22" t="s">
        <v>2446</v>
      </c>
      <c r="B637" s="10">
        <v>45347</v>
      </c>
      <c r="C637" s="12" t="s">
        <v>681</v>
      </c>
      <c r="D637" s="12" t="s">
        <v>1664</v>
      </c>
      <c r="E637" s="12" t="s">
        <v>1766</v>
      </c>
      <c r="F637" s="11">
        <v>2</v>
      </c>
      <c r="G637" s="12">
        <v>250.83</v>
      </c>
      <c r="H637" s="9">
        <v>0.15</v>
      </c>
      <c r="I637" s="12" t="s">
        <v>1826</v>
      </c>
      <c r="J637" s="9">
        <v>426.411</v>
      </c>
    </row>
    <row r="638" spans="1:10" x14ac:dyDescent="0.3">
      <c r="A638" s="22" t="s">
        <v>2447</v>
      </c>
      <c r="B638" s="10">
        <v>45721</v>
      </c>
      <c r="C638" s="12" t="s">
        <v>502</v>
      </c>
      <c r="D638" s="12" t="s">
        <v>1690</v>
      </c>
      <c r="E638" s="12" t="s">
        <v>1757</v>
      </c>
      <c r="F638" s="11">
        <v>1</v>
      </c>
      <c r="G638" s="12">
        <v>888.05</v>
      </c>
      <c r="H638" s="9">
        <v>0.2</v>
      </c>
      <c r="I638" s="12" t="s">
        <v>1826</v>
      </c>
      <c r="J638" s="9">
        <v>710.44</v>
      </c>
    </row>
    <row r="639" spans="1:10" x14ac:dyDescent="0.3">
      <c r="A639" s="22" t="s">
        <v>2448</v>
      </c>
      <c r="B639" s="10">
        <v>45531</v>
      </c>
      <c r="C639" s="12" t="s">
        <v>36</v>
      </c>
      <c r="D639" s="12" t="s">
        <v>1626</v>
      </c>
      <c r="E639" s="12" t="s">
        <v>1810</v>
      </c>
      <c r="F639" s="11">
        <v>2</v>
      </c>
      <c r="G639" s="12">
        <v>673.02</v>
      </c>
      <c r="H639" s="9">
        <v>0.11</v>
      </c>
      <c r="I639" s="12" t="s">
        <v>1826</v>
      </c>
      <c r="J639" s="9">
        <v>1197.9756</v>
      </c>
    </row>
    <row r="640" spans="1:10" x14ac:dyDescent="0.3">
      <c r="A640" s="22" t="s">
        <v>2449</v>
      </c>
      <c r="B640" s="10">
        <v>45332</v>
      </c>
      <c r="C640" s="12" t="s">
        <v>1362</v>
      </c>
      <c r="D640" s="12" t="s">
        <v>1676</v>
      </c>
      <c r="E640" s="12" t="s">
        <v>1766</v>
      </c>
      <c r="F640" s="11">
        <v>2</v>
      </c>
      <c r="G640" s="12">
        <v>492.62</v>
      </c>
      <c r="H640" s="9">
        <v>0.26</v>
      </c>
      <c r="I640" s="12" t="s">
        <v>1829</v>
      </c>
      <c r="J640" s="9">
        <v>729.07759999999996</v>
      </c>
    </row>
    <row r="641" spans="1:10" x14ac:dyDescent="0.3">
      <c r="A641" s="22" t="s">
        <v>2450</v>
      </c>
      <c r="B641" s="10">
        <v>45344</v>
      </c>
      <c r="C641" s="12" t="s">
        <v>1175</v>
      </c>
      <c r="D641" s="12" t="s">
        <v>1718</v>
      </c>
      <c r="E641" s="12" t="s">
        <v>1766</v>
      </c>
      <c r="F641" s="11">
        <v>4</v>
      </c>
      <c r="G641" s="12">
        <v>986.93</v>
      </c>
      <c r="H641" s="9">
        <v>0.01</v>
      </c>
      <c r="I641" s="12" t="s">
        <v>1824</v>
      </c>
      <c r="J641" s="9">
        <v>3908.2428</v>
      </c>
    </row>
    <row r="642" spans="1:10" x14ac:dyDescent="0.3">
      <c r="A642" s="22" t="s">
        <v>2451</v>
      </c>
      <c r="B642" s="10">
        <v>45388</v>
      </c>
      <c r="C642" s="12" t="s">
        <v>1475</v>
      </c>
      <c r="D642" s="12" t="s">
        <v>1592</v>
      </c>
      <c r="E642" s="12" t="s">
        <v>1794</v>
      </c>
      <c r="F642" s="11">
        <v>4</v>
      </c>
      <c r="G642" s="12">
        <v>411.68</v>
      </c>
      <c r="H642" s="9">
        <v>0.06</v>
      </c>
      <c r="I642" s="12" t="s">
        <v>1826</v>
      </c>
      <c r="J642" s="9">
        <v>1547.9168</v>
      </c>
    </row>
    <row r="643" spans="1:10" x14ac:dyDescent="0.3">
      <c r="A643" s="22" t="s">
        <v>2452</v>
      </c>
      <c r="B643" s="10">
        <v>45397</v>
      </c>
      <c r="C643" s="12" t="s">
        <v>711</v>
      </c>
      <c r="D643" s="12" t="s">
        <v>1620</v>
      </c>
      <c r="E643" s="12" t="s">
        <v>1807</v>
      </c>
      <c r="F643" s="11">
        <v>2</v>
      </c>
      <c r="G643" s="12">
        <v>637.55999999999995</v>
      </c>
      <c r="H643" s="9">
        <v>0.05</v>
      </c>
      <c r="I643" s="12" t="s">
        <v>1829</v>
      </c>
      <c r="J643" s="9">
        <v>1211.364</v>
      </c>
    </row>
    <row r="644" spans="1:10" x14ac:dyDescent="0.3">
      <c r="A644" s="22" t="s">
        <v>2453</v>
      </c>
      <c r="B644" s="10">
        <v>45633</v>
      </c>
      <c r="C644" s="12" t="s">
        <v>67</v>
      </c>
      <c r="D644" s="12" t="s">
        <v>1574</v>
      </c>
      <c r="E644" s="12" t="s">
        <v>1766</v>
      </c>
      <c r="F644" s="11">
        <v>3</v>
      </c>
      <c r="G644" s="12">
        <v>706.87</v>
      </c>
      <c r="H644" s="9">
        <v>0.27</v>
      </c>
      <c r="I644" s="12" t="s">
        <v>1824</v>
      </c>
      <c r="J644" s="9">
        <v>1548.0453</v>
      </c>
    </row>
    <row r="645" spans="1:10" x14ac:dyDescent="0.3">
      <c r="A645" s="22" t="s">
        <v>2454</v>
      </c>
      <c r="B645" s="10">
        <v>45629</v>
      </c>
      <c r="C645" s="12" t="s">
        <v>208</v>
      </c>
      <c r="D645" s="12" t="s">
        <v>1578</v>
      </c>
      <c r="E645" s="12" t="s">
        <v>1776</v>
      </c>
      <c r="F645" s="11">
        <v>2</v>
      </c>
      <c r="G645" s="12">
        <v>884.48</v>
      </c>
      <c r="H645" s="9">
        <v>0</v>
      </c>
      <c r="I645" s="12" t="s">
        <v>1829</v>
      </c>
      <c r="J645" s="9">
        <v>1768.96</v>
      </c>
    </row>
    <row r="646" spans="1:10" x14ac:dyDescent="0.3">
      <c r="A646" s="22" t="s">
        <v>2455</v>
      </c>
      <c r="B646" s="10">
        <v>45291</v>
      </c>
      <c r="C646" s="12" t="s">
        <v>181</v>
      </c>
      <c r="D646" s="12" t="s">
        <v>1732</v>
      </c>
      <c r="E646" s="12" t="s">
        <v>1769</v>
      </c>
      <c r="F646" s="11">
        <v>3</v>
      </c>
      <c r="G646" s="12">
        <v>718.23</v>
      </c>
      <c r="H646" s="9">
        <v>0.19</v>
      </c>
      <c r="I646" s="12" t="s">
        <v>1826</v>
      </c>
      <c r="J646" s="9">
        <v>1745.2989</v>
      </c>
    </row>
    <row r="647" spans="1:10" x14ac:dyDescent="0.3">
      <c r="A647" s="22" t="s">
        <v>2456</v>
      </c>
      <c r="B647" s="10">
        <v>45914</v>
      </c>
      <c r="C647" s="12" t="s">
        <v>595</v>
      </c>
      <c r="D647" s="12" t="s">
        <v>1728</v>
      </c>
      <c r="E647" s="12" t="s">
        <v>1810</v>
      </c>
      <c r="F647" s="11">
        <v>3</v>
      </c>
      <c r="G647" s="12">
        <v>107.44</v>
      </c>
      <c r="H647" s="9">
        <v>0.27</v>
      </c>
      <c r="I647" s="12" t="s">
        <v>1826</v>
      </c>
      <c r="J647" s="9">
        <v>235.2936</v>
      </c>
    </row>
    <row r="648" spans="1:10" x14ac:dyDescent="0.3">
      <c r="A648" s="22" t="s">
        <v>2457</v>
      </c>
      <c r="B648" s="10">
        <v>45673</v>
      </c>
      <c r="C648" s="12" t="s">
        <v>211</v>
      </c>
      <c r="D648" s="12" t="s">
        <v>1640</v>
      </c>
      <c r="E648" s="12" t="s">
        <v>1766</v>
      </c>
      <c r="F648" s="11">
        <v>4</v>
      </c>
      <c r="G648" s="12">
        <v>608.97</v>
      </c>
      <c r="H648" s="9">
        <v>0.14000000000000001</v>
      </c>
      <c r="I648" s="12" t="s">
        <v>1829</v>
      </c>
      <c r="J648" s="9">
        <v>2094.8568</v>
      </c>
    </row>
    <row r="649" spans="1:10" x14ac:dyDescent="0.3">
      <c r="A649" s="22" t="s">
        <v>2458</v>
      </c>
      <c r="B649" s="10">
        <v>45689</v>
      </c>
      <c r="C649" s="12" t="s">
        <v>1109</v>
      </c>
      <c r="D649" s="12" t="s">
        <v>1670</v>
      </c>
      <c r="E649" s="12" t="s">
        <v>1776</v>
      </c>
      <c r="F649" s="11">
        <v>3</v>
      </c>
      <c r="G649" s="12">
        <v>260.45999999999998</v>
      </c>
      <c r="H649" s="9">
        <v>0.09</v>
      </c>
      <c r="I649" s="12" t="s">
        <v>1824</v>
      </c>
      <c r="J649" s="9">
        <v>711.05579999999986</v>
      </c>
    </row>
    <row r="650" spans="1:10" x14ac:dyDescent="0.3">
      <c r="A650" s="22" t="s">
        <v>2459</v>
      </c>
      <c r="B650" s="10">
        <v>45646</v>
      </c>
      <c r="C650" s="12" t="s">
        <v>425</v>
      </c>
      <c r="D650" s="12" t="s">
        <v>1592</v>
      </c>
      <c r="E650" s="12" t="s">
        <v>1776</v>
      </c>
      <c r="F650" s="11">
        <v>1</v>
      </c>
      <c r="G650" s="12">
        <v>747.03</v>
      </c>
      <c r="H650" s="9">
        <v>0.01</v>
      </c>
      <c r="I650" s="12" t="s">
        <v>1824</v>
      </c>
      <c r="J650" s="9">
        <v>739.55970000000002</v>
      </c>
    </row>
    <row r="651" spans="1:10" x14ac:dyDescent="0.3">
      <c r="A651" s="22" t="s">
        <v>2460</v>
      </c>
      <c r="B651" s="10">
        <v>45475</v>
      </c>
      <c r="C651" s="12" t="s">
        <v>1257</v>
      </c>
      <c r="D651" s="12" t="s">
        <v>1580</v>
      </c>
      <c r="E651" s="12" t="s">
        <v>1782</v>
      </c>
      <c r="F651" s="11">
        <v>4</v>
      </c>
      <c r="G651" s="12">
        <v>700.88</v>
      </c>
      <c r="H651" s="9">
        <v>0.23</v>
      </c>
      <c r="I651" s="12" t="s">
        <v>1826</v>
      </c>
      <c r="J651" s="9">
        <v>2158.7103999999999</v>
      </c>
    </row>
    <row r="652" spans="1:10" x14ac:dyDescent="0.3">
      <c r="A652" s="22" t="s">
        <v>2461</v>
      </c>
      <c r="B652" s="10">
        <v>45781</v>
      </c>
      <c r="C652" s="12" t="s">
        <v>185</v>
      </c>
      <c r="D652" s="12" t="s">
        <v>1738</v>
      </c>
      <c r="E652" s="12" t="s">
        <v>1799</v>
      </c>
      <c r="F652" s="11">
        <v>4</v>
      </c>
      <c r="G652" s="12">
        <v>20.09</v>
      </c>
      <c r="H652" s="9">
        <v>0.16</v>
      </c>
      <c r="I652" s="12" t="s">
        <v>1826</v>
      </c>
      <c r="J652" s="9">
        <v>67.502399999999994</v>
      </c>
    </row>
    <row r="653" spans="1:10" x14ac:dyDescent="0.3">
      <c r="A653" s="22" t="s">
        <v>2462</v>
      </c>
      <c r="B653" s="10">
        <v>45654</v>
      </c>
      <c r="C653" s="12" t="s">
        <v>230</v>
      </c>
      <c r="D653" s="12" t="s">
        <v>1622</v>
      </c>
      <c r="E653" s="12" t="s">
        <v>1792</v>
      </c>
      <c r="F653" s="11">
        <v>3</v>
      </c>
      <c r="G653" s="12">
        <v>917.64</v>
      </c>
      <c r="H653" s="9">
        <v>0.24</v>
      </c>
      <c r="I653" s="12" t="s">
        <v>1826</v>
      </c>
      <c r="J653" s="9">
        <v>2092.2192</v>
      </c>
    </row>
    <row r="654" spans="1:10" x14ac:dyDescent="0.3">
      <c r="A654" s="22" t="s">
        <v>2463</v>
      </c>
      <c r="B654" s="10">
        <v>45594</v>
      </c>
      <c r="C654" s="12" t="s">
        <v>195</v>
      </c>
      <c r="D654" s="12" t="s">
        <v>1590</v>
      </c>
      <c r="E654" s="12" t="s">
        <v>1752</v>
      </c>
      <c r="F654" s="11">
        <v>1</v>
      </c>
      <c r="G654" s="12">
        <v>242.08</v>
      </c>
      <c r="H654" s="9">
        <v>0.18</v>
      </c>
      <c r="I654" s="12" t="s">
        <v>1826</v>
      </c>
      <c r="J654" s="9">
        <v>198.50559999999999</v>
      </c>
    </row>
    <row r="655" spans="1:10" x14ac:dyDescent="0.3">
      <c r="A655" s="22" t="s">
        <v>2464</v>
      </c>
      <c r="B655" s="10">
        <v>45581</v>
      </c>
      <c r="C655" s="12" t="s">
        <v>214</v>
      </c>
      <c r="D655" s="12" t="s">
        <v>1674</v>
      </c>
      <c r="E655" s="12" t="s">
        <v>1779</v>
      </c>
      <c r="F655" s="11">
        <v>1</v>
      </c>
      <c r="G655" s="12">
        <v>536.67999999999995</v>
      </c>
      <c r="H655" s="9">
        <v>0.27</v>
      </c>
      <c r="I655" s="12" t="s">
        <v>1824</v>
      </c>
      <c r="J655" s="9">
        <v>391.77640000000002</v>
      </c>
    </row>
    <row r="656" spans="1:10" x14ac:dyDescent="0.3">
      <c r="A656" s="22" t="s">
        <v>2465</v>
      </c>
      <c r="B656" s="10">
        <v>45748</v>
      </c>
      <c r="C656" s="12" t="s">
        <v>338</v>
      </c>
      <c r="D656" s="12" t="s">
        <v>1606</v>
      </c>
      <c r="E656" s="12" t="s">
        <v>1769</v>
      </c>
      <c r="F656" s="11">
        <v>2</v>
      </c>
      <c r="G656" s="12">
        <v>145.18</v>
      </c>
      <c r="H656" s="9">
        <v>0.26</v>
      </c>
      <c r="I656" s="12" t="s">
        <v>1826</v>
      </c>
      <c r="J656" s="9">
        <v>214.8664</v>
      </c>
    </row>
    <row r="657" spans="1:10" x14ac:dyDescent="0.3">
      <c r="A657" s="22" t="s">
        <v>2466</v>
      </c>
      <c r="B657" s="10">
        <v>45369</v>
      </c>
      <c r="C657" s="12" t="s">
        <v>716</v>
      </c>
      <c r="D657" s="12" t="s">
        <v>1682</v>
      </c>
      <c r="E657" s="12" t="s">
        <v>1769</v>
      </c>
      <c r="F657" s="11">
        <v>2</v>
      </c>
      <c r="G657" s="12">
        <v>132.77000000000001</v>
      </c>
      <c r="H657" s="9">
        <v>0.13</v>
      </c>
      <c r="I657" s="12" t="s">
        <v>1829</v>
      </c>
      <c r="J657" s="9">
        <v>231.0198</v>
      </c>
    </row>
    <row r="658" spans="1:10" x14ac:dyDescent="0.3">
      <c r="A658" s="22" t="s">
        <v>2467</v>
      </c>
      <c r="B658" s="10">
        <v>45701</v>
      </c>
      <c r="C658" s="12" t="s">
        <v>63</v>
      </c>
      <c r="D658" s="12" t="s">
        <v>1630</v>
      </c>
      <c r="E658" s="12" t="s">
        <v>1786</v>
      </c>
      <c r="F658" s="11">
        <v>4</v>
      </c>
      <c r="G658" s="12">
        <v>682.11</v>
      </c>
      <c r="H658" s="9">
        <v>0.14000000000000001</v>
      </c>
      <c r="I658" s="12" t="s">
        <v>1824</v>
      </c>
      <c r="J658" s="9">
        <v>2346.4584</v>
      </c>
    </row>
    <row r="659" spans="1:10" x14ac:dyDescent="0.3">
      <c r="A659" s="22" t="s">
        <v>2468</v>
      </c>
      <c r="B659" s="10">
        <v>45510</v>
      </c>
      <c r="C659" s="12" t="s">
        <v>1495</v>
      </c>
      <c r="D659" s="12" t="s">
        <v>1628</v>
      </c>
      <c r="E659" s="12" t="s">
        <v>1807</v>
      </c>
      <c r="F659" s="11">
        <v>4</v>
      </c>
      <c r="G659" s="12">
        <v>502.95</v>
      </c>
      <c r="H659" s="9">
        <v>0.14000000000000001</v>
      </c>
      <c r="I659" s="12" t="s">
        <v>1829</v>
      </c>
      <c r="J659" s="9">
        <v>1730.1479999999999</v>
      </c>
    </row>
    <row r="660" spans="1:10" x14ac:dyDescent="0.3">
      <c r="A660" s="22" t="s">
        <v>2469</v>
      </c>
      <c r="B660" s="10">
        <v>45538</v>
      </c>
      <c r="C660" s="12" t="s">
        <v>752</v>
      </c>
      <c r="D660" s="12" t="s">
        <v>1622</v>
      </c>
      <c r="E660" s="12" t="s">
        <v>1804</v>
      </c>
      <c r="F660" s="11">
        <v>2</v>
      </c>
      <c r="G660" s="12">
        <v>472.08</v>
      </c>
      <c r="H660" s="9">
        <v>7.0000000000000007E-2</v>
      </c>
      <c r="I660" s="12" t="s">
        <v>1824</v>
      </c>
      <c r="J660" s="9">
        <v>878.0687999999999</v>
      </c>
    </row>
    <row r="661" spans="1:10" x14ac:dyDescent="0.3">
      <c r="A661" s="22" t="s">
        <v>2470</v>
      </c>
      <c r="B661" s="10">
        <v>45665</v>
      </c>
      <c r="C661" s="12" t="s">
        <v>1458</v>
      </c>
      <c r="D661" s="12" t="s">
        <v>1662</v>
      </c>
      <c r="E661" s="12" t="s">
        <v>1807</v>
      </c>
      <c r="F661" s="11">
        <v>2</v>
      </c>
      <c r="G661" s="12">
        <v>218.11</v>
      </c>
      <c r="H661" s="9">
        <v>0.02</v>
      </c>
      <c r="I661" s="12" t="s">
        <v>1829</v>
      </c>
      <c r="J661" s="9">
        <v>427.49560000000002</v>
      </c>
    </row>
    <row r="662" spans="1:10" x14ac:dyDescent="0.3">
      <c r="A662" s="22" t="s">
        <v>2471</v>
      </c>
      <c r="B662" s="10">
        <v>45859</v>
      </c>
      <c r="C662" s="12" t="s">
        <v>214</v>
      </c>
      <c r="D662" s="12" t="s">
        <v>1546</v>
      </c>
      <c r="E662" s="12" t="s">
        <v>1776</v>
      </c>
      <c r="F662" s="11">
        <v>4</v>
      </c>
      <c r="G662" s="12">
        <v>845.58</v>
      </c>
      <c r="H662" s="9">
        <v>0.06</v>
      </c>
      <c r="I662" s="12" t="s">
        <v>1826</v>
      </c>
      <c r="J662" s="9">
        <v>3179.3807999999999</v>
      </c>
    </row>
    <row r="663" spans="1:10" x14ac:dyDescent="0.3">
      <c r="A663" s="22" t="s">
        <v>2472</v>
      </c>
      <c r="B663" s="10">
        <v>45255</v>
      </c>
      <c r="C663" s="12" t="s">
        <v>441</v>
      </c>
      <c r="D663" s="12" t="s">
        <v>1708</v>
      </c>
      <c r="E663" s="12" t="s">
        <v>1761</v>
      </c>
      <c r="F663" s="11">
        <v>2</v>
      </c>
      <c r="G663" s="12">
        <v>111.28</v>
      </c>
      <c r="H663" s="9">
        <v>0.14000000000000001</v>
      </c>
      <c r="I663" s="12" t="s">
        <v>1824</v>
      </c>
      <c r="J663" s="9">
        <v>191.4016</v>
      </c>
    </row>
    <row r="664" spans="1:10" x14ac:dyDescent="0.3">
      <c r="A664" s="22" t="s">
        <v>2473</v>
      </c>
      <c r="B664" s="10">
        <v>45842</v>
      </c>
      <c r="C664" s="12" t="s">
        <v>585</v>
      </c>
      <c r="D664" s="12" t="s">
        <v>1666</v>
      </c>
      <c r="E664" s="12" t="s">
        <v>1799</v>
      </c>
      <c r="F664" s="11">
        <v>2</v>
      </c>
      <c r="G664" s="12">
        <v>37.21</v>
      </c>
      <c r="H664" s="9">
        <v>0.19</v>
      </c>
      <c r="I664" s="12" t="s">
        <v>1824</v>
      </c>
      <c r="J664" s="9">
        <v>60.280200000000008</v>
      </c>
    </row>
    <row r="665" spans="1:10" x14ac:dyDescent="0.3">
      <c r="A665" s="22" t="s">
        <v>2474</v>
      </c>
      <c r="B665" s="10">
        <v>45220</v>
      </c>
      <c r="C665" s="12" t="s">
        <v>1295</v>
      </c>
      <c r="D665" s="12" t="s">
        <v>1672</v>
      </c>
      <c r="E665" s="12" t="s">
        <v>1797</v>
      </c>
      <c r="F665" s="11">
        <v>1</v>
      </c>
      <c r="G665" s="12">
        <v>331.73</v>
      </c>
      <c r="H665" s="9">
        <v>0.04</v>
      </c>
      <c r="I665" s="12" t="s">
        <v>1824</v>
      </c>
      <c r="J665" s="9">
        <v>318.46080000000001</v>
      </c>
    </row>
    <row r="666" spans="1:10" x14ac:dyDescent="0.3">
      <c r="A666" s="22" t="s">
        <v>2475</v>
      </c>
      <c r="B666" s="10">
        <v>45273</v>
      </c>
      <c r="C666" s="12" t="s">
        <v>1139</v>
      </c>
      <c r="D666" s="12" t="s">
        <v>1688</v>
      </c>
      <c r="E666" s="12" t="s">
        <v>1794</v>
      </c>
      <c r="F666" s="11">
        <v>3</v>
      </c>
      <c r="G666" s="12">
        <v>306.70999999999998</v>
      </c>
      <c r="H666" s="9">
        <v>0.09</v>
      </c>
      <c r="I666" s="12" t="s">
        <v>1826</v>
      </c>
      <c r="J666" s="9">
        <v>837.31829999999991</v>
      </c>
    </row>
    <row r="667" spans="1:10" x14ac:dyDescent="0.3">
      <c r="A667" s="22" t="s">
        <v>2476</v>
      </c>
      <c r="B667" s="10">
        <v>45456</v>
      </c>
      <c r="C667" s="12" t="s">
        <v>860</v>
      </c>
      <c r="D667" s="12" t="s">
        <v>1598</v>
      </c>
      <c r="E667" s="12" t="s">
        <v>1776</v>
      </c>
      <c r="F667" s="11">
        <v>4</v>
      </c>
      <c r="G667" s="12">
        <v>484.92</v>
      </c>
      <c r="H667" s="9">
        <v>0.28000000000000003</v>
      </c>
      <c r="I667" s="12" t="s">
        <v>1826</v>
      </c>
      <c r="J667" s="9">
        <v>1396.5696</v>
      </c>
    </row>
    <row r="668" spans="1:10" x14ac:dyDescent="0.3">
      <c r="A668" s="22" t="s">
        <v>2477</v>
      </c>
      <c r="B668" s="10">
        <v>45292</v>
      </c>
      <c r="C668" s="12" t="s">
        <v>168</v>
      </c>
      <c r="D668" s="12" t="s">
        <v>1648</v>
      </c>
      <c r="E668" s="12" t="s">
        <v>1773</v>
      </c>
      <c r="F668" s="11">
        <v>2</v>
      </c>
      <c r="G668" s="12">
        <v>42.04</v>
      </c>
      <c r="H668" s="9">
        <v>7.0000000000000007E-2</v>
      </c>
      <c r="I668" s="12" t="s">
        <v>1824</v>
      </c>
      <c r="J668" s="9">
        <v>78.194399999999987</v>
      </c>
    </row>
    <row r="669" spans="1:10" x14ac:dyDescent="0.3">
      <c r="A669" s="22" t="s">
        <v>2478</v>
      </c>
      <c r="B669" s="10">
        <v>45278</v>
      </c>
      <c r="C669" s="12" t="s">
        <v>893</v>
      </c>
      <c r="D669" s="12" t="s">
        <v>1658</v>
      </c>
      <c r="E669" s="12" t="s">
        <v>1776</v>
      </c>
      <c r="F669" s="11">
        <v>3</v>
      </c>
      <c r="G669" s="12">
        <v>599.48</v>
      </c>
      <c r="H669" s="9">
        <v>0.22</v>
      </c>
      <c r="I669" s="12" t="s">
        <v>1826</v>
      </c>
      <c r="J669" s="9">
        <v>1402.7832000000001</v>
      </c>
    </row>
    <row r="670" spans="1:10" x14ac:dyDescent="0.3">
      <c r="A670" s="22" t="s">
        <v>2479</v>
      </c>
      <c r="B670" s="10">
        <v>45232</v>
      </c>
      <c r="C670" s="12" t="s">
        <v>1118</v>
      </c>
      <c r="D670" s="12" t="s">
        <v>1582</v>
      </c>
      <c r="E670" s="12" t="s">
        <v>1757</v>
      </c>
      <c r="F670" s="11">
        <v>3</v>
      </c>
      <c r="G670" s="12">
        <v>401.42</v>
      </c>
      <c r="H670" s="9">
        <v>0.01</v>
      </c>
      <c r="I670" s="12" t="s">
        <v>1829</v>
      </c>
      <c r="J670" s="9">
        <v>1192.2174</v>
      </c>
    </row>
    <row r="671" spans="1:10" x14ac:dyDescent="0.3">
      <c r="A671" s="22" t="s">
        <v>2480</v>
      </c>
      <c r="B671" s="10">
        <v>45907</v>
      </c>
      <c r="C671" s="12" t="s">
        <v>631</v>
      </c>
      <c r="D671" s="12" t="s">
        <v>1640</v>
      </c>
      <c r="E671" s="12" t="s">
        <v>1782</v>
      </c>
      <c r="F671" s="11">
        <v>4</v>
      </c>
      <c r="G671" s="12">
        <v>442.54</v>
      </c>
      <c r="H671" s="9">
        <v>0.06</v>
      </c>
      <c r="I671" s="12" t="s">
        <v>1824</v>
      </c>
      <c r="J671" s="9">
        <v>1663.9503999999999</v>
      </c>
    </row>
    <row r="672" spans="1:10" x14ac:dyDescent="0.3">
      <c r="A672" s="22" t="s">
        <v>2481</v>
      </c>
      <c r="B672" s="10">
        <v>45270</v>
      </c>
      <c r="C672" s="12" t="s">
        <v>1408</v>
      </c>
      <c r="D672" s="12" t="s">
        <v>1724</v>
      </c>
      <c r="E672" s="12" t="s">
        <v>1797</v>
      </c>
      <c r="F672" s="11">
        <v>4</v>
      </c>
      <c r="G672" s="12">
        <v>451.41</v>
      </c>
      <c r="H672" s="9">
        <v>0.06</v>
      </c>
      <c r="I672" s="12" t="s">
        <v>1826</v>
      </c>
      <c r="J672" s="9">
        <v>1697.3016</v>
      </c>
    </row>
    <row r="673" spans="1:10" x14ac:dyDescent="0.3">
      <c r="A673" s="22" t="s">
        <v>2482</v>
      </c>
      <c r="B673" s="10">
        <v>45942</v>
      </c>
      <c r="C673" s="12" t="s">
        <v>846</v>
      </c>
      <c r="D673" s="12" t="s">
        <v>1730</v>
      </c>
      <c r="E673" s="12" t="s">
        <v>1786</v>
      </c>
      <c r="F673" s="11">
        <v>4</v>
      </c>
      <c r="G673" s="12">
        <v>547.21</v>
      </c>
      <c r="H673" s="9">
        <v>0.25</v>
      </c>
      <c r="I673" s="12" t="s">
        <v>1824</v>
      </c>
      <c r="J673" s="9">
        <v>1641.63</v>
      </c>
    </row>
    <row r="674" spans="1:10" x14ac:dyDescent="0.3">
      <c r="A674" s="22" t="s">
        <v>2483</v>
      </c>
      <c r="B674" s="10">
        <v>45750</v>
      </c>
      <c r="C674" s="12" t="s">
        <v>663</v>
      </c>
      <c r="D674" s="12" t="s">
        <v>1722</v>
      </c>
      <c r="E674" s="12" t="s">
        <v>1769</v>
      </c>
      <c r="F674" s="11">
        <v>1</v>
      </c>
      <c r="G674" s="12">
        <v>979.28</v>
      </c>
      <c r="H674" s="9">
        <v>0.2</v>
      </c>
      <c r="I674" s="12" t="s">
        <v>1826</v>
      </c>
      <c r="J674" s="9">
        <v>783.42399999999998</v>
      </c>
    </row>
    <row r="675" spans="1:10" x14ac:dyDescent="0.3">
      <c r="A675" s="22" t="s">
        <v>2484</v>
      </c>
      <c r="B675" s="10">
        <v>45300</v>
      </c>
      <c r="C675" s="12" t="s">
        <v>1431</v>
      </c>
      <c r="D675" s="12" t="s">
        <v>1660</v>
      </c>
      <c r="E675" s="12" t="s">
        <v>1779</v>
      </c>
      <c r="F675" s="11">
        <v>4</v>
      </c>
      <c r="G675" s="12">
        <v>263.58999999999997</v>
      </c>
      <c r="H675" s="9">
        <v>0.04</v>
      </c>
      <c r="I675" s="12" t="s">
        <v>1824</v>
      </c>
      <c r="J675" s="9">
        <v>1012.1856</v>
      </c>
    </row>
    <row r="676" spans="1:10" x14ac:dyDescent="0.3">
      <c r="A676" s="22" t="s">
        <v>2485</v>
      </c>
      <c r="B676" s="10">
        <v>45876</v>
      </c>
      <c r="C676" s="12" t="s">
        <v>20</v>
      </c>
      <c r="D676" s="12" t="s">
        <v>1656</v>
      </c>
      <c r="E676" s="12" t="s">
        <v>1773</v>
      </c>
      <c r="F676" s="11">
        <v>1</v>
      </c>
      <c r="G676" s="12">
        <v>692.75</v>
      </c>
      <c r="H676" s="9">
        <v>0.11</v>
      </c>
      <c r="I676" s="12" t="s">
        <v>1829</v>
      </c>
      <c r="J676" s="9">
        <v>616.54750000000001</v>
      </c>
    </row>
    <row r="677" spans="1:10" x14ac:dyDescent="0.3">
      <c r="A677" s="22" t="s">
        <v>2486</v>
      </c>
      <c r="B677" s="10">
        <v>45301</v>
      </c>
      <c r="C677" s="12" t="s">
        <v>544</v>
      </c>
      <c r="D677" s="12" t="s">
        <v>1674</v>
      </c>
      <c r="E677" s="12" t="s">
        <v>1766</v>
      </c>
      <c r="F677" s="11">
        <v>3</v>
      </c>
      <c r="G677" s="12">
        <v>142.83000000000001</v>
      </c>
      <c r="H677" s="9">
        <v>0.01</v>
      </c>
      <c r="I677" s="12" t="s">
        <v>1824</v>
      </c>
      <c r="J677" s="9">
        <v>424.20510000000002</v>
      </c>
    </row>
    <row r="678" spans="1:10" x14ac:dyDescent="0.3">
      <c r="A678" s="22" t="s">
        <v>2487</v>
      </c>
      <c r="B678" s="10">
        <v>45857</v>
      </c>
      <c r="C678" s="12" t="s">
        <v>428</v>
      </c>
      <c r="D678" s="12" t="s">
        <v>1592</v>
      </c>
      <c r="E678" s="12" t="s">
        <v>1761</v>
      </c>
      <c r="F678" s="11">
        <v>2</v>
      </c>
      <c r="G678" s="12">
        <v>419.25</v>
      </c>
      <c r="H678" s="9">
        <v>0.17</v>
      </c>
      <c r="I678" s="12" t="s">
        <v>1826</v>
      </c>
      <c r="J678" s="9">
        <v>695.95499999999993</v>
      </c>
    </row>
    <row r="679" spans="1:10" x14ac:dyDescent="0.3">
      <c r="A679" s="22" t="s">
        <v>2488</v>
      </c>
      <c r="B679" s="10">
        <v>45650</v>
      </c>
      <c r="C679" s="12" t="s">
        <v>770</v>
      </c>
      <c r="D679" s="12" t="s">
        <v>1600</v>
      </c>
      <c r="E679" s="12" t="s">
        <v>1813</v>
      </c>
      <c r="F679" s="11">
        <v>2</v>
      </c>
      <c r="G679" s="12">
        <v>800.84</v>
      </c>
      <c r="H679" s="9">
        <v>0.27</v>
      </c>
      <c r="I679" s="12" t="s">
        <v>1829</v>
      </c>
      <c r="J679" s="9">
        <v>1169.2264</v>
      </c>
    </row>
    <row r="680" spans="1:10" x14ac:dyDescent="0.3">
      <c r="A680" s="22" t="s">
        <v>2489</v>
      </c>
      <c r="B680" s="10">
        <v>45520</v>
      </c>
      <c r="C680" s="12" t="s">
        <v>14</v>
      </c>
      <c r="D680" s="12" t="s">
        <v>1644</v>
      </c>
      <c r="E680" s="12" t="s">
        <v>1761</v>
      </c>
      <c r="F680" s="11">
        <v>1</v>
      </c>
      <c r="G680" s="12">
        <v>301.24</v>
      </c>
      <c r="H680" s="9">
        <v>0.11</v>
      </c>
      <c r="I680" s="12" t="s">
        <v>1826</v>
      </c>
      <c r="J680" s="9">
        <v>268.10359999999997</v>
      </c>
    </row>
    <row r="681" spans="1:10" x14ac:dyDescent="0.3">
      <c r="A681" s="22" t="s">
        <v>2490</v>
      </c>
      <c r="B681" s="10">
        <v>45497</v>
      </c>
      <c r="C681" s="12" t="s">
        <v>914</v>
      </c>
      <c r="D681" s="12" t="s">
        <v>1718</v>
      </c>
      <c r="E681" s="12" t="s">
        <v>1773</v>
      </c>
      <c r="F681" s="11">
        <v>2</v>
      </c>
      <c r="G681" s="12">
        <v>701.49</v>
      </c>
      <c r="H681" s="9">
        <v>0.09</v>
      </c>
      <c r="I681" s="12" t="s">
        <v>1826</v>
      </c>
      <c r="J681" s="9">
        <v>1276.7118</v>
      </c>
    </row>
    <row r="682" spans="1:10" x14ac:dyDescent="0.3">
      <c r="A682" s="22" t="s">
        <v>2491</v>
      </c>
      <c r="B682" s="10">
        <v>45615</v>
      </c>
      <c r="C682" s="12" t="s">
        <v>1101</v>
      </c>
      <c r="D682" s="12" t="s">
        <v>1600</v>
      </c>
      <c r="E682" s="12" t="s">
        <v>1789</v>
      </c>
      <c r="F682" s="11">
        <v>4</v>
      </c>
      <c r="G682" s="12">
        <v>413.48</v>
      </c>
      <c r="H682" s="9">
        <v>0.02</v>
      </c>
      <c r="I682" s="12" t="s">
        <v>1826</v>
      </c>
      <c r="J682" s="9">
        <v>1620.8416</v>
      </c>
    </row>
    <row r="683" spans="1:10" x14ac:dyDescent="0.3">
      <c r="A683" s="22" t="s">
        <v>2492</v>
      </c>
      <c r="B683" s="10">
        <v>45365</v>
      </c>
      <c r="C683" s="12" t="s">
        <v>646</v>
      </c>
      <c r="D683" s="12" t="s">
        <v>1562</v>
      </c>
      <c r="E683" s="12" t="s">
        <v>1757</v>
      </c>
      <c r="F683" s="11">
        <v>4</v>
      </c>
      <c r="G683" s="12">
        <v>167.83</v>
      </c>
      <c r="H683" s="9">
        <v>0.15</v>
      </c>
      <c r="I683" s="12" t="s">
        <v>1824</v>
      </c>
      <c r="J683" s="9">
        <v>570.62200000000007</v>
      </c>
    </row>
    <row r="684" spans="1:10" x14ac:dyDescent="0.3">
      <c r="A684" s="22" t="s">
        <v>2493</v>
      </c>
      <c r="B684" s="10">
        <v>45832</v>
      </c>
      <c r="C684" s="12" t="s">
        <v>472</v>
      </c>
      <c r="D684" s="12" t="s">
        <v>1578</v>
      </c>
      <c r="E684" s="12" t="s">
        <v>1810</v>
      </c>
      <c r="F684" s="11">
        <v>2</v>
      </c>
      <c r="G684" s="12">
        <v>669.12</v>
      </c>
      <c r="H684" s="9">
        <v>0.22</v>
      </c>
      <c r="I684" s="12" t="s">
        <v>1824</v>
      </c>
      <c r="J684" s="9">
        <v>1043.8271999999999</v>
      </c>
    </row>
    <row r="685" spans="1:10" x14ac:dyDescent="0.3">
      <c r="A685" s="22" t="s">
        <v>2494</v>
      </c>
      <c r="B685" s="10">
        <v>45530</v>
      </c>
      <c r="C685" s="12" t="s">
        <v>153</v>
      </c>
      <c r="D685" s="12" t="s">
        <v>1622</v>
      </c>
      <c r="E685" s="12" t="s">
        <v>1779</v>
      </c>
      <c r="F685" s="11">
        <v>3</v>
      </c>
      <c r="G685" s="12">
        <v>346.77</v>
      </c>
      <c r="H685" s="9">
        <v>0.18</v>
      </c>
      <c r="I685" s="12" t="s">
        <v>1826</v>
      </c>
      <c r="J685" s="9">
        <v>853.05420000000004</v>
      </c>
    </row>
    <row r="686" spans="1:10" x14ac:dyDescent="0.3">
      <c r="A686" s="22" t="s">
        <v>2495</v>
      </c>
      <c r="B686" s="10">
        <v>45939</v>
      </c>
      <c r="C686" s="12" t="s">
        <v>221</v>
      </c>
      <c r="D686" s="12" t="s">
        <v>1594</v>
      </c>
      <c r="E686" s="12" t="s">
        <v>1813</v>
      </c>
      <c r="F686" s="11">
        <v>3</v>
      </c>
      <c r="G686" s="12">
        <v>648.33000000000004</v>
      </c>
      <c r="H686" s="9">
        <v>0.2</v>
      </c>
      <c r="I686" s="12" t="s">
        <v>1829</v>
      </c>
      <c r="J686" s="9">
        <v>1555.992</v>
      </c>
    </row>
    <row r="687" spans="1:10" x14ac:dyDescent="0.3">
      <c r="A687" s="22" t="s">
        <v>2496</v>
      </c>
      <c r="B687" s="10">
        <v>45401</v>
      </c>
      <c r="C687" s="12" t="s">
        <v>905</v>
      </c>
      <c r="D687" s="12" t="s">
        <v>1557</v>
      </c>
      <c r="E687" s="12" t="s">
        <v>1761</v>
      </c>
      <c r="F687" s="11">
        <v>4</v>
      </c>
      <c r="G687" s="12">
        <v>254.94</v>
      </c>
      <c r="H687" s="9">
        <v>0.06</v>
      </c>
      <c r="I687" s="12" t="s">
        <v>1826</v>
      </c>
      <c r="J687" s="9">
        <v>958.57439999999997</v>
      </c>
    </row>
    <row r="688" spans="1:10" x14ac:dyDescent="0.3">
      <c r="A688" s="22" t="s">
        <v>2497</v>
      </c>
      <c r="B688" s="10">
        <v>45420</v>
      </c>
      <c r="C688" s="12" t="s">
        <v>1062</v>
      </c>
      <c r="D688" s="12" t="s">
        <v>1710</v>
      </c>
      <c r="E688" s="12" t="s">
        <v>1769</v>
      </c>
      <c r="F688" s="11">
        <v>1</v>
      </c>
      <c r="G688" s="12">
        <v>445.5</v>
      </c>
      <c r="H688" s="9">
        <v>0.28000000000000003</v>
      </c>
      <c r="I688" s="12" t="s">
        <v>1824</v>
      </c>
      <c r="J688" s="9">
        <v>320.76</v>
      </c>
    </row>
    <row r="689" spans="1:10" x14ac:dyDescent="0.3">
      <c r="A689" s="22" t="s">
        <v>2498</v>
      </c>
      <c r="B689" s="10">
        <v>45459</v>
      </c>
      <c r="C689" s="12" t="s">
        <v>716</v>
      </c>
      <c r="D689" s="12" t="s">
        <v>1728</v>
      </c>
      <c r="E689" s="12" t="s">
        <v>1769</v>
      </c>
      <c r="F689" s="11">
        <v>1</v>
      </c>
      <c r="G689" s="12">
        <v>900.94</v>
      </c>
      <c r="H689" s="9">
        <v>0.1</v>
      </c>
      <c r="I689" s="12" t="s">
        <v>1824</v>
      </c>
      <c r="J689" s="9">
        <v>810.84600000000012</v>
      </c>
    </row>
    <row r="690" spans="1:10" x14ac:dyDescent="0.3">
      <c r="A690" s="22" t="s">
        <v>2499</v>
      </c>
      <c r="B690" s="10">
        <v>45429</v>
      </c>
      <c r="C690" s="12" t="s">
        <v>643</v>
      </c>
      <c r="D690" s="12" t="s">
        <v>1578</v>
      </c>
      <c r="E690" s="12" t="s">
        <v>1804</v>
      </c>
      <c r="F690" s="11">
        <v>3</v>
      </c>
      <c r="G690" s="12">
        <v>262.69</v>
      </c>
      <c r="H690" s="9">
        <v>0.04</v>
      </c>
      <c r="I690" s="12" t="s">
        <v>1826</v>
      </c>
      <c r="J690" s="9">
        <v>756.54719999999986</v>
      </c>
    </row>
    <row r="691" spans="1:10" x14ac:dyDescent="0.3">
      <c r="A691" s="22" t="s">
        <v>2500</v>
      </c>
      <c r="B691" s="10">
        <v>45386</v>
      </c>
      <c r="C691" s="12" t="s">
        <v>1484</v>
      </c>
      <c r="D691" s="12" t="s">
        <v>1684</v>
      </c>
      <c r="E691" s="12" t="s">
        <v>1761</v>
      </c>
      <c r="F691" s="11">
        <v>3</v>
      </c>
      <c r="G691" s="12">
        <v>212.72</v>
      </c>
      <c r="H691" s="9">
        <v>0.22</v>
      </c>
      <c r="I691" s="12" t="s">
        <v>1826</v>
      </c>
      <c r="J691" s="9">
        <v>497.76479999999998</v>
      </c>
    </row>
    <row r="692" spans="1:10" x14ac:dyDescent="0.3">
      <c r="A692" s="22" t="s">
        <v>2501</v>
      </c>
      <c r="B692" s="10">
        <v>45803</v>
      </c>
      <c r="C692" s="12" t="s">
        <v>508</v>
      </c>
      <c r="D692" s="12" t="s">
        <v>1596</v>
      </c>
      <c r="E692" s="12" t="s">
        <v>1810</v>
      </c>
      <c r="F692" s="11">
        <v>4</v>
      </c>
      <c r="G692" s="12">
        <v>757.9</v>
      </c>
      <c r="H692" s="9">
        <v>0.22</v>
      </c>
      <c r="I692" s="12" t="s">
        <v>1826</v>
      </c>
      <c r="J692" s="9">
        <v>2364.6480000000001</v>
      </c>
    </row>
    <row r="693" spans="1:10" x14ac:dyDescent="0.3">
      <c r="A693" s="22" t="s">
        <v>2502</v>
      </c>
      <c r="B693" s="10">
        <v>45346</v>
      </c>
      <c r="C693" s="12" t="s">
        <v>78</v>
      </c>
      <c r="D693" s="12" t="s">
        <v>1708</v>
      </c>
      <c r="E693" s="12" t="s">
        <v>1807</v>
      </c>
      <c r="F693" s="11">
        <v>1</v>
      </c>
      <c r="G693" s="12">
        <v>846.04</v>
      </c>
      <c r="H693" s="9">
        <v>0.08</v>
      </c>
      <c r="I693" s="12" t="s">
        <v>1826</v>
      </c>
      <c r="J693" s="9">
        <v>778.35680000000002</v>
      </c>
    </row>
    <row r="694" spans="1:10" x14ac:dyDescent="0.3">
      <c r="A694" s="22" t="s">
        <v>2503</v>
      </c>
      <c r="B694" s="10">
        <v>45267</v>
      </c>
      <c r="C694" s="12" t="s">
        <v>532</v>
      </c>
      <c r="D694" s="12" t="s">
        <v>1624</v>
      </c>
      <c r="E694" s="12" t="s">
        <v>1779</v>
      </c>
      <c r="F694" s="11">
        <v>3</v>
      </c>
      <c r="G694" s="12">
        <v>179.7</v>
      </c>
      <c r="H694" s="9">
        <v>0.17</v>
      </c>
      <c r="I694" s="12" t="s">
        <v>1829</v>
      </c>
      <c r="J694" s="9">
        <v>447.45299999999992</v>
      </c>
    </row>
    <row r="695" spans="1:10" x14ac:dyDescent="0.3">
      <c r="A695" s="22" t="s">
        <v>2504</v>
      </c>
      <c r="B695" s="10">
        <v>45572</v>
      </c>
      <c r="C695" s="12" t="s">
        <v>1380</v>
      </c>
      <c r="D695" s="12" t="s">
        <v>1610</v>
      </c>
      <c r="E695" s="12" t="s">
        <v>1769</v>
      </c>
      <c r="F695" s="11">
        <v>4</v>
      </c>
      <c r="G695" s="12">
        <v>681.08</v>
      </c>
      <c r="H695" s="9">
        <v>0</v>
      </c>
      <c r="I695" s="12" t="s">
        <v>1826</v>
      </c>
      <c r="J695" s="9">
        <v>2724.32</v>
      </c>
    </row>
    <row r="696" spans="1:10" x14ac:dyDescent="0.3">
      <c r="A696" s="22" t="s">
        <v>2505</v>
      </c>
      <c r="B696" s="10">
        <v>45252</v>
      </c>
      <c r="C696" s="12" t="s">
        <v>1254</v>
      </c>
      <c r="D696" s="12" t="s">
        <v>1553</v>
      </c>
      <c r="E696" s="12" t="s">
        <v>1779</v>
      </c>
      <c r="F696" s="11">
        <v>4</v>
      </c>
      <c r="G696" s="12">
        <v>723.44</v>
      </c>
      <c r="H696" s="9">
        <v>0.14000000000000001</v>
      </c>
      <c r="I696" s="12" t="s">
        <v>1826</v>
      </c>
      <c r="J696" s="9">
        <v>2488.6336000000001</v>
      </c>
    </row>
    <row r="697" spans="1:10" x14ac:dyDescent="0.3">
      <c r="A697" s="22" t="s">
        <v>2506</v>
      </c>
      <c r="B697" s="10">
        <v>45939</v>
      </c>
      <c r="C697" s="12" t="s">
        <v>435</v>
      </c>
      <c r="D697" s="12" t="s">
        <v>1610</v>
      </c>
      <c r="E697" s="12" t="s">
        <v>1799</v>
      </c>
      <c r="F697" s="11">
        <v>4</v>
      </c>
      <c r="G697" s="12">
        <v>471.89</v>
      </c>
      <c r="H697" s="9">
        <v>0.12</v>
      </c>
      <c r="I697" s="12" t="s">
        <v>1829</v>
      </c>
      <c r="J697" s="9">
        <v>1661.0527999999999</v>
      </c>
    </row>
    <row r="698" spans="1:10" x14ac:dyDescent="0.3">
      <c r="A698" s="22" t="s">
        <v>2507</v>
      </c>
      <c r="B698" s="10">
        <v>45559</v>
      </c>
      <c r="C698" s="12" t="s">
        <v>1145</v>
      </c>
      <c r="D698" s="12" t="s">
        <v>1690</v>
      </c>
      <c r="E698" s="12" t="s">
        <v>1807</v>
      </c>
      <c r="F698" s="11">
        <v>1</v>
      </c>
      <c r="G698" s="12">
        <v>613.17999999999995</v>
      </c>
      <c r="H698" s="9">
        <v>0.14000000000000001</v>
      </c>
      <c r="I698" s="12" t="s">
        <v>1829</v>
      </c>
      <c r="J698" s="9">
        <v>527.33479999999997</v>
      </c>
    </row>
    <row r="699" spans="1:10" x14ac:dyDescent="0.3">
      <c r="A699" s="22" t="s">
        <v>2508</v>
      </c>
      <c r="B699" s="10">
        <v>45229</v>
      </c>
      <c r="C699" s="12" t="s">
        <v>195</v>
      </c>
      <c r="D699" s="12" t="s">
        <v>1634</v>
      </c>
      <c r="E699" s="12" t="s">
        <v>1769</v>
      </c>
      <c r="F699" s="11">
        <v>1</v>
      </c>
      <c r="G699" s="12">
        <v>651.30999999999995</v>
      </c>
      <c r="H699" s="9">
        <v>0.24</v>
      </c>
      <c r="I699" s="12" t="s">
        <v>1826</v>
      </c>
      <c r="J699" s="9">
        <v>494.99560000000002</v>
      </c>
    </row>
    <row r="700" spans="1:10" x14ac:dyDescent="0.3">
      <c r="A700" s="22" t="s">
        <v>2509</v>
      </c>
      <c r="B700" s="10">
        <v>45333</v>
      </c>
      <c r="C700" s="12" t="s">
        <v>103</v>
      </c>
      <c r="D700" s="12" t="s">
        <v>1551</v>
      </c>
      <c r="E700" s="12" t="s">
        <v>1776</v>
      </c>
      <c r="F700" s="11">
        <v>2</v>
      </c>
      <c r="G700" s="12">
        <v>635.14</v>
      </c>
      <c r="H700" s="9">
        <v>0.1</v>
      </c>
      <c r="I700" s="12" t="s">
        <v>1829</v>
      </c>
      <c r="J700" s="9">
        <v>1143.252</v>
      </c>
    </row>
    <row r="701" spans="1:10" x14ac:dyDescent="0.3">
      <c r="A701" s="22" t="s">
        <v>2510</v>
      </c>
      <c r="B701" s="10">
        <v>45752</v>
      </c>
      <c r="C701" s="12" t="s">
        <v>1187</v>
      </c>
      <c r="D701" s="12" t="s">
        <v>1744</v>
      </c>
      <c r="E701" s="12" t="s">
        <v>1799</v>
      </c>
      <c r="F701" s="11">
        <v>4</v>
      </c>
      <c r="G701" s="12">
        <v>912.61</v>
      </c>
      <c r="H701" s="9">
        <v>0.14000000000000001</v>
      </c>
      <c r="I701" s="12" t="s">
        <v>1824</v>
      </c>
      <c r="J701" s="9">
        <v>3139.3784000000001</v>
      </c>
    </row>
    <row r="702" spans="1:10" x14ac:dyDescent="0.3">
      <c r="A702" s="22" t="s">
        <v>2511</v>
      </c>
      <c r="B702" s="10">
        <v>45795</v>
      </c>
      <c r="C702" s="12" t="s">
        <v>872</v>
      </c>
      <c r="D702" s="12" t="s">
        <v>1642</v>
      </c>
      <c r="E702" s="12" t="s">
        <v>1779</v>
      </c>
      <c r="F702" s="11">
        <v>3</v>
      </c>
      <c r="G702" s="12">
        <v>79.77</v>
      </c>
      <c r="H702" s="9">
        <v>0.09</v>
      </c>
      <c r="I702" s="12" t="s">
        <v>1824</v>
      </c>
      <c r="J702" s="9">
        <v>217.77209999999999</v>
      </c>
    </row>
    <row r="703" spans="1:10" x14ac:dyDescent="0.3">
      <c r="A703" s="22" t="s">
        <v>2512</v>
      </c>
      <c r="B703" s="10">
        <v>45755</v>
      </c>
      <c r="C703" s="12" t="s">
        <v>881</v>
      </c>
      <c r="D703" s="12" t="s">
        <v>1736</v>
      </c>
      <c r="E703" s="12" t="s">
        <v>1801</v>
      </c>
      <c r="F703" s="11">
        <v>4</v>
      </c>
      <c r="G703" s="12">
        <v>603.52</v>
      </c>
      <c r="H703" s="9">
        <v>0.25</v>
      </c>
      <c r="I703" s="12" t="s">
        <v>1824</v>
      </c>
      <c r="J703" s="9">
        <v>1810.56</v>
      </c>
    </row>
    <row r="704" spans="1:10" x14ac:dyDescent="0.3">
      <c r="A704" s="22" t="s">
        <v>2513</v>
      </c>
      <c r="B704" s="10">
        <v>45625</v>
      </c>
      <c r="C704" s="12" t="s">
        <v>281</v>
      </c>
      <c r="D704" s="12" t="s">
        <v>1702</v>
      </c>
      <c r="E704" s="12" t="s">
        <v>1794</v>
      </c>
      <c r="F704" s="11">
        <v>4</v>
      </c>
      <c r="G704" s="12">
        <v>453.12</v>
      </c>
      <c r="H704" s="9">
        <v>0.23</v>
      </c>
      <c r="I704" s="12" t="s">
        <v>1829</v>
      </c>
      <c r="J704" s="9">
        <v>1395.6096</v>
      </c>
    </row>
    <row r="705" spans="1:10" x14ac:dyDescent="0.3">
      <c r="A705" s="22" t="s">
        <v>2514</v>
      </c>
      <c r="B705" s="10">
        <v>45656</v>
      </c>
      <c r="C705" s="12" t="s">
        <v>1527</v>
      </c>
      <c r="D705" s="12" t="s">
        <v>1614</v>
      </c>
      <c r="E705" s="12" t="s">
        <v>1786</v>
      </c>
      <c r="F705" s="11">
        <v>2</v>
      </c>
      <c r="G705" s="12">
        <v>974.35</v>
      </c>
      <c r="H705" s="9">
        <v>0.15</v>
      </c>
      <c r="I705" s="12" t="s">
        <v>1824</v>
      </c>
      <c r="J705" s="9">
        <v>1656.395</v>
      </c>
    </row>
    <row r="706" spans="1:10" x14ac:dyDescent="0.3">
      <c r="A706" s="22" t="s">
        <v>2515</v>
      </c>
      <c r="B706" s="10">
        <v>45824</v>
      </c>
      <c r="C706" s="12" t="s">
        <v>1466</v>
      </c>
      <c r="D706" s="12" t="s">
        <v>1738</v>
      </c>
      <c r="E706" s="12" t="s">
        <v>1807</v>
      </c>
      <c r="F706" s="11">
        <v>4</v>
      </c>
      <c r="G706" s="12">
        <v>52.35</v>
      </c>
      <c r="H706" s="9">
        <v>0.23</v>
      </c>
      <c r="I706" s="12" t="s">
        <v>1829</v>
      </c>
      <c r="J706" s="9">
        <v>161.238</v>
      </c>
    </row>
    <row r="707" spans="1:10" x14ac:dyDescent="0.3">
      <c r="A707" s="22" t="s">
        <v>2516</v>
      </c>
      <c r="B707" s="10">
        <v>45824</v>
      </c>
      <c r="C707" s="12" t="s">
        <v>1157</v>
      </c>
      <c r="D707" s="12" t="s">
        <v>1678</v>
      </c>
      <c r="E707" s="12" t="s">
        <v>1807</v>
      </c>
      <c r="F707" s="11">
        <v>3</v>
      </c>
      <c r="G707" s="12">
        <v>681.58</v>
      </c>
      <c r="H707" s="9">
        <v>0.23</v>
      </c>
      <c r="I707" s="12" t="s">
        <v>1824</v>
      </c>
      <c r="J707" s="9">
        <v>1574.4498000000001</v>
      </c>
    </row>
    <row r="708" spans="1:10" x14ac:dyDescent="0.3">
      <c r="A708" s="22" t="s">
        <v>2517</v>
      </c>
      <c r="B708" s="10">
        <v>45384</v>
      </c>
      <c r="C708" s="12" t="s">
        <v>585</v>
      </c>
      <c r="D708" s="12" t="s">
        <v>1714</v>
      </c>
      <c r="E708" s="12" t="s">
        <v>1801</v>
      </c>
      <c r="F708" s="11">
        <v>3</v>
      </c>
      <c r="G708" s="12">
        <v>71.23</v>
      </c>
      <c r="H708" s="9">
        <v>0.03</v>
      </c>
      <c r="I708" s="12" t="s">
        <v>1824</v>
      </c>
      <c r="J708" s="9">
        <v>207.27930000000001</v>
      </c>
    </row>
    <row r="709" spans="1:10" x14ac:dyDescent="0.3">
      <c r="A709" s="22" t="s">
        <v>2518</v>
      </c>
      <c r="B709" s="10">
        <v>45379</v>
      </c>
      <c r="C709" s="12" t="s">
        <v>773</v>
      </c>
      <c r="D709" s="12" t="s">
        <v>1578</v>
      </c>
      <c r="E709" s="12" t="s">
        <v>1799</v>
      </c>
      <c r="F709" s="11">
        <v>1</v>
      </c>
      <c r="G709" s="12">
        <v>31.36</v>
      </c>
      <c r="H709" s="9">
        <v>0.21</v>
      </c>
      <c r="I709" s="12" t="s">
        <v>1829</v>
      </c>
      <c r="J709" s="9">
        <v>24.7744</v>
      </c>
    </row>
    <row r="710" spans="1:10" x14ac:dyDescent="0.3">
      <c r="A710" s="22" t="s">
        <v>2519</v>
      </c>
      <c r="B710" s="10">
        <v>45674</v>
      </c>
      <c r="C710" s="12" t="s">
        <v>1071</v>
      </c>
      <c r="D710" s="12" t="s">
        <v>1630</v>
      </c>
      <c r="E710" s="12" t="s">
        <v>1797</v>
      </c>
      <c r="F710" s="11">
        <v>2</v>
      </c>
      <c r="G710" s="12">
        <v>555.54999999999995</v>
      </c>
      <c r="H710" s="9">
        <v>0.14000000000000001</v>
      </c>
      <c r="I710" s="12" t="s">
        <v>1824</v>
      </c>
      <c r="J710" s="9">
        <v>955.54599999999994</v>
      </c>
    </row>
    <row r="711" spans="1:10" x14ac:dyDescent="0.3">
      <c r="A711" s="22" t="s">
        <v>2520</v>
      </c>
      <c r="B711" s="10">
        <v>45760</v>
      </c>
      <c r="C711" s="12" t="s">
        <v>803</v>
      </c>
      <c r="D711" s="12" t="s">
        <v>1680</v>
      </c>
      <c r="E711" s="12" t="s">
        <v>1804</v>
      </c>
      <c r="F711" s="11">
        <v>4</v>
      </c>
      <c r="G711" s="12">
        <v>805.99</v>
      </c>
      <c r="H711" s="9">
        <v>0.06</v>
      </c>
      <c r="I711" s="12" t="s">
        <v>1824</v>
      </c>
      <c r="J711" s="9">
        <v>3030.5223999999998</v>
      </c>
    </row>
    <row r="712" spans="1:10" x14ac:dyDescent="0.3">
      <c r="A712" s="22" t="s">
        <v>2521</v>
      </c>
      <c r="B712" s="10">
        <v>45474</v>
      </c>
      <c r="C712" s="12" t="s">
        <v>1211</v>
      </c>
      <c r="D712" s="12" t="s">
        <v>1690</v>
      </c>
      <c r="E712" s="12" t="s">
        <v>1757</v>
      </c>
      <c r="F712" s="11">
        <v>1</v>
      </c>
      <c r="G712" s="12">
        <v>506.55</v>
      </c>
      <c r="H712" s="9">
        <v>0.28000000000000003</v>
      </c>
      <c r="I712" s="12" t="s">
        <v>1824</v>
      </c>
      <c r="J712" s="9">
        <v>364.71600000000001</v>
      </c>
    </row>
    <row r="713" spans="1:10" x14ac:dyDescent="0.3">
      <c r="A713" s="22" t="s">
        <v>2522</v>
      </c>
      <c r="B713" s="10">
        <v>45640</v>
      </c>
      <c r="C713" s="12" t="s">
        <v>447</v>
      </c>
      <c r="D713" s="12" t="s">
        <v>1630</v>
      </c>
      <c r="E713" s="12" t="s">
        <v>1792</v>
      </c>
      <c r="F713" s="11">
        <v>3</v>
      </c>
      <c r="G713" s="12">
        <v>28.69</v>
      </c>
      <c r="H713" s="9">
        <v>0.02</v>
      </c>
      <c r="I713" s="12" t="s">
        <v>1824</v>
      </c>
      <c r="J713" s="9">
        <v>84.348600000000005</v>
      </c>
    </row>
    <row r="714" spans="1:10" x14ac:dyDescent="0.3">
      <c r="A714" s="22" t="s">
        <v>2523</v>
      </c>
      <c r="B714" s="10">
        <v>45253</v>
      </c>
      <c r="C714" s="12" t="s">
        <v>1208</v>
      </c>
      <c r="D714" s="12" t="s">
        <v>1700</v>
      </c>
      <c r="E714" s="12" t="s">
        <v>1769</v>
      </c>
      <c r="F714" s="11">
        <v>1</v>
      </c>
      <c r="G714" s="12">
        <v>106.07</v>
      </c>
      <c r="H714" s="9">
        <v>0.23</v>
      </c>
      <c r="I714" s="12" t="s">
        <v>1829</v>
      </c>
      <c r="J714" s="9">
        <v>81.673900000000003</v>
      </c>
    </row>
    <row r="715" spans="1:10" x14ac:dyDescent="0.3">
      <c r="A715" s="22" t="s">
        <v>2524</v>
      </c>
      <c r="B715" s="10">
        <v>45225</v>
      </c>
      <c r="C715" s="12" t="s">
        <v>830</v>
      </c>
      <c r="D715" s="12" t="s">
        <v>1730</v>
      </c>
      <c r="E715" s="12" t="s">
        <v>1752</v>
      </c>
      <c r="F715" s="11">
        <v>4</v>
      </c>
      <c r="G715" s="12">
        <v>289.77</v>
      </c>
      <c r="H715" s="9">
        <v>0.06</v>
      </c>
      <c r="I715" s="12" t="s">
        <v>1826</v>
      </c>
      <c r="J715" s="9">
        <v>1089.5352</v>
      </c>
    </row>
    <row r="716" spans="1:10" x14ac:dyDescent="0.3">
      <c r="A716" s="22" t="s">
        <v>2525</v>
      </c>
      <c r="B716" s="10">
        <v>45263</v>
      </c>
      <c r="C716" s="12" t="s">
        <v>523</v>
      </c>
      <c r="D716" s="12" t="s">
        <v>1714</v>
      </c>
      <c r="E716" s="12" t="s">
        <v>1810</v>
      </c>
      <c r="F716" s="11">
        <v>2</v>
      </c>
      <c r="G716" s="12">
        <v>354.26</v>
      </c>
      <c r="H716" s="9">
        <v>0.01</v>
      </c>
      <c r="I716" s="12" t="s">
        <v>1829</v>
      </c>
      <c r="J716" s="9">
        <v>701.4348</v>
      </c>
    </row>
    <row r="717" spans="1:10" x14ac:dyDescent="0.3">
      <c r="A717" s="22" t="s">
        <v>2526</v>
      </c>
      <c r="B717" s="10">
        <v>45554</v>
      </c>
      <c r="C717" s="12" t="s">
        <v>1202</v>
      </c>
      <c r="D717" s="12" t="s">
        <v>1684</v>
      </c>
      <c r="E717" s="12" t="s">
        <v>1799</v>
      </c>
      <c r="F717" s="11">
        <v>1</v>
      </c>
      <c r="G717" s="12">
        <v>522.72</v>
      </c>
      <c r="H717" s="9">
        <v>0.25</v>
      </c>
      <c r="I717" s="12" t="s">
        <v>1826</v>
      </c>
      <c r="J717" s="9">
        <v>392.04</v>
      </c>
    </row>
    <row r="718" spans="1:10" x14ac:dyDescent="0.3">
      <c r="A718" s="22" t="s">
        <v>2527</v>
      </c>
      <c r="B718" s="10">
        <v>45569</v>
      </c>
      <c r="C718" s="12" t="s">
        <v>214</v>
      </c>
      <c r="D718" s="12" t="s">
        <v>1555</v>
      </c>
      <c r="E718" s="12" t="s">
        <v>1786</v>
      </c>
      <c r="F718" s="11">
        <v>3</v>
      </c>
      <c r="G718" s="12">
        <v>966.02</v>
      </c>
      <c r="H718" s="9">
        <v>0.03</v>
      </c>
      <c r="I718" s="12" t="s">
        <v>1829</v>
      </c>
      <c r="J718" s="9">
        <v>2811.1181999999999</v>
      </c>
    </row>
    <row r="719" spans="1:10" x14ac:dyDescent="0.3">
      <c r="A719" s="22" t="s">
        <v>2528</v>
      </c>
      <c r="B719" s="10">
        <v>45217</v>
      </c>
      <c r="C719" s="12" t="s">
        <v>724</v>
      </c>
      <c r="D719" s="12" t="s">
        <v>1648</v>
      </c>
      <c r="E719" s="12" t="s">
        <v>1807</v>
      </c>
      <c r="F719" s="11">
        <v>1</v>
      </c>
      <c r="G719" s="12">
        <v>498.61</v>
      </c>
      <c r="H719" s="9">
        <v>0.04</v>
      </c>
      <c r="I719" s="12" t="s">
        <v>1826</v>
      </c>
      <c r="J719" s="9">
        <v>478.66559999999998</v>
      </c>
    </row>
    <row r="720" spans="1:10" x14ac:dyDescent="0.3">
      <c r="A720" s="22" t="s">
        <v>2529</v>
      </c>
      <c r="B720" s="10">
        <v>45783</v>
      </c>
      <c r="C720" s="12" t="s">
        <v>1038</v>
      </c>
      <c r="D720" s="12" t="s">
        <v>1632</v>
      </c>
      <c r="E720" s="12" t="s">
        <v>1776</v>
      </c>
      <c r="F720" s="11">
        <v>4</v>
      </c>
      <c r="G720" s="12">
        <v>758.27</v>
      </c>
      <c r="H720" s="9">
        <v>0.05</v>
      </c>
      <c r="I720" s="12" t="s">
        <v>1826</v>
      </c>
      <c r="J720" s="9">
        <v>2881.4259999999999</v>
      </c>
    </row>
    <row r="721" spans="1:10" x14ac:dyDescent="0.3">
      <c r="A721" s="22" t="s">
        <v>2530</v>
      </c>
      <c r="B721" s="10">
        <v>45371</v>
      </c>
      <c r="C721" s="12" t="s">
        <v>648</v>
      </c>
      <c r="D721" s="12" t="s">
        <v>1551</v>
      </c>
      <c r="E721" s="12" t="s">
        <v>1761</v>
      </c>
      <c r="F721" s="11">
        <v>2</v>
      </c>
      <c r="G721" s="12">
        <v>371.03</v>
      </c>
      <c r="H721" s="9">
        <v>0.23</v>
      </c>
      <c r="I721" s="12" t="s">
        <v>1826</v>
      </c>
      <c r="J721" s="9">
        <v>571.38619999999992</v>
      </c>
    </row>
    <row r="722" spans="1:10" x14ac:dyDescent="0.3">
      <c r="A722" s="22" t="s">
        <v>2531</v>
      </c>
      <c r="B722" s="10">
        <v>45453</v>
      </c>
      <c r="C722" s="12" t="s">
        <v>1112</v>
      </c>
      <c r="D722" s="12" t="s">
        <v>1730</v>
      </c>
      <c r="E722" s="12" t="s">
        <v>1807</v>
      </c>
      <c r="F722" s="11">
        <v>1</v>
      </c>
      <c r="G722" s="12">
        <v>230.32</v>
      </c>
      <c r="H722" s="9">
        <v>0.05</v>
      </c>
      <c r="I722" s="12" t="s">
        <v>1829</v>
      </c>
      <c r="J722" s="9">
        <v>218.804</v>
      </c>
    </row>
    <row r="723" spans="1:10" x14ac:dyDescent="0.3">
      <c r="A723" s="22" t="s">
        <v>2532</v>
      </c>
      <c r="B723" s="10">
        <v>45526</v>
      </c>
      <c r="C723" s="12" t="s">
        <v>1074</v>
      </c>
      <c r="D723" s="12" t="s">
        <v>1670</v>
      </c>
      <c r="E723" s="12" t="s">
        <v>1776</v>
      </c>
      <c r="F723" s="11">
        <v>2</v>
      </c>
      <c r="G723" s="12">
        <v>985.43</v>
      </c>
      <c r="H723" s="9">
        <v>0.28000000000000003</v>
      </c>
      <c r="I723" s="12" t="s">
        <v>1829</v>
      </c>
      <c r="J723" s="9">
        <v>1419.0192</v>
      </c>
    </row>
    <row r="724" spans="1:10" x14ac:dyDescent="0.3">
      <c r="A724" s="22" t="s">
        <v>2533</v>
      </c>
      <c r="B724" s="10">
        <v>45756</v>
      </c>
      <c r="C724" s="12" t="s">
        <v>1310</v>
      </c>
      <c r="D724" s="12" t="s">
        <v>1565</v>
      </c>
      <c r="E724" s="12" t="s">
        <v>1769</v>
      </c>
      <c r="F724" s="11">
        <v>2</v>
      </c>
      <c r="G724" s="12">
        <v>492.5</v>
      </c>
      <c r="H724" s="9">
        <v>0.3</v>
      </c>
      <c r="I724" s="12" t="s">
        <v>1826</v>
      </c>
      <c r="J724" s="9">
        <v>689.5</v>
      </c>
    </row>
    <row r="725" spans="1:10" x14ac:dyDescent="0.3">
      <c r="A725" s="22" t="s">
        <v>2534</v>
      </c>
      <c r="B725" s="10">
        <v>45657</v>
      </c>
      <c r="C725" s="12" t="s">
        <v>1139</v>
      </c>
      <c r="D725" s="12" t="s">
        <v>1640</v>
      </c>
      <c r="E725" s="12" t="s">
        <v>1792</v>
      </c>
      <c r="F725" s="11">
        <v>2</v>
      </c>
      <c r="G725" s="12">
        <v>213.69</v>
      </c>
      <c r="H725" s="9">
        <v>0.28000000000000003</v>
      </c>
      <c r="I725" s="12" t="s">
        <v>1826</v>
      </c>
      <c r="J725" s="9">
        <v>307.71359999999999</v>
      </c>
    </row>
    <row r="726" spans="1:10" x14ac:dyDescent="0.3">
      <c r="A726" s="22" t="s">
        <v>2535</v>
      </c>
      <c r="B726" s="10">
        <v>45716</v>
      </c>
      <c r="C726" s="12" t="s">
        <v>241</v>
      </c>
      <c r="D726" s="12" t="s">
        <v>1588</v>
      </c>
      <c r="E726" s="12" t="s">
        <v>1782</v>
      </c>
      <c r="F726" s="11">
        <v>4</v>
      </c>
      <c r="G726" s="12">
        <v>618.83000000000004</v>
      </c>
      <c r="H726" s="9">
        <v>0.08</v>
      </c>
      <c r="I726" s="12" t="s">
        <v>1826</v>
      </c>
      <c r="J726" s="9">
        <v>2277.2944000000002</v>
      </c>
    </row>
    <row r="727" spans="1:10" x14ac:dyDescent="0.3">
      <c r="A727" s="22" t="s">
        <v>2536</v>
      </c>
      <c r="B727" s="10">
        <v>45313</v>
      </c>
      <c r="C727" s="12" t="s">
        <v>335</v>
      </c>
      <c r="D727" s="12" t="s">
        <v>1666</v>
      </c>
      <c r="E727" s="12" t="s">
        <v>1792</v>
      </c>
      <c r="F727" s="11">
        <v>2</v>
      </c>
      <c r="G727" s="12">
        <v>81.16</v>
      </c>
      <c r="H727" s="9">
        <v>0.16</v>
      </c>
      <c r="I727" s="12" t="s">
        <v>1826</v>
      </c>
      <c r="J727" s="9">
        <v>136.34880000000001</v>
      </c>
    </row>
    <row r="728" spans="1:10" x14ac:dyDescent="0.3">
      <c r="A728" s="22" t="s">
        <v>2537</v>
      </c>
      <c r="B728" s="10">
        <v>45372</v>
      </c>
      <c r="C728" s="12" t="s">
        <v>20</v>
      </c>
      <c r="D728" s="12" t="s">
        <v>1720</v>
      </c>
      <c r="E728" s="12" t="s">
        <v>1786</v>
      </c>
      <c r="F728" s="11">
        <v>1</v>
      </c>
      <c r="G728" s="12">
        <v>431.69</v>
      </c>
      <c r="H728" s="9">
        <v>0.09</v>
      </c>
      <c r="I728" s="12" t="s">
        <v>1824</v>
      </c>
      <c r="J728" s="9">
        <v>392.83789999999999</v>
      </c>
    </row>
    <row r="729" spans="1:10" x14ac:dyDescent="0.3">
      <c r="A729" s="22" t="s">
        <v>2538</v>
      </c>
      <c r="B729" s="10">
        <v>45648</v>
      </c>
      <c r="C729" s="12" t="s">
        <v>1260</v>
      </c>
      <c r="D729" s="12" t="s">
        <v>1584</v>
      </c>
      <c r="E729" s="12" t="s">
        <v>1773</v>
      </c>
      <c r="F729" s="11">
        <v>3</v>
      </c>
      <c r="G729" s="12">
        <v>438.65</v>
      </c>
      <c r="H729" s="9">
        <v>0.28999999999999998</v>
      </c>
      <c r="I729" s="12" t="s">
        <v>1826</v>
      </c>
      <c r="J729" s="9">
        <v>934.32449999999983</v>
      </c>
    </row>
    <row r="730" spans="1:10" x14ac:dyDescent="0.3">
      <c r="A730" s="22" t="s">
        <v>2539</v>
      </c>
      <c r="B730" s="10">
        <v>45384</v>
      </c>
      <c r="C730" s="12" t="s">
        <v>571</v>
      </c>
      <c r="D730" s="12" t="s">
        <v>1706</v>
      </c>
      <c r="E730" s="12" t="s">
        <v>1766</v>
      </c>
      <c r="F730" s="11">
        <v>3</v>
      </c>
      <c r="G730" s="12">
        <v>339.41</v>
      </c>
      <c r="H730" s="9">
        <v>0.26</v>
      </c>
      <c r="I730" s="12" t="s">
        <v>1824</v>
      </c>
      <c r="J730" s="9">
        <v>753.49019999999996</v>
      </c>
    </row>
    <row r="731" spans="1:10" x14ac:dyDescent="0.3">
      <c r="A731" s="22" t="s">
        <v>2540</v>
      </c>
      <c r="B731" s="10">
        <v>45687</v>
      </c>
      <c r="C731" s="12" t="s">
        <v>1449</v>
      </c>
      <c r="D731" s="12" t="s">
        <v>1706</v>
      </c>
      <c r="E731" s="12" t="s">
        <v>1786</v>
      </c>
      <c r="F731" s="11">
        <v>4</v>
      </c>
      <c r="G731" s="12">
        <v>848.47</v>
      </c>
      <c r="H731" s="9">
        <v>0.21</v>
      </c>
      <c r="I731" s="12" t="s">
        <v>1829</v>
      </c>
      <c r="J731" s="9">
        <v>2681.1651999999999</v>
      </c>
    </row>
    <row r="732" spans="1:10" x14ac:dyDescent="0.3">
      <c r="A732" s="22" t="s">
        <v>2541</v>
      </c>
      <c r="B732" s="10">
        <v>45747</v>
      </c>
      <c r="C732" s="12" t="s">
        <v>631</v>
      </c>
      <c r="D732" s="12" t="s">
        <v>1682</v>
      </c>
      <c r="E732" s="12" t="s">
        <v>1782</v>
      </c>
      <c r="F732" s="11">
        <v>1</v>
      </c>
      <c r="G732" s="12">
        <v>664.87</v>
      </c>
      <c r="H732" s="9">
        <v>0.08</v>
      </c>
      <c r="I732" s="12" t="s">
        <v>1826</v>
      </c>
      <c r="J732" s="9">
        <v>611.68040000000008</v>
      </c>
    </row>
    <row r="733" spans="1:10" x14ac:dyDescent="0.3">
      <c r="A733" s="22" t="s">
        <v>2542</v>
      </c>
      <c r="B733" s="10">
        <v>45687</v>
      </c>
      <c r="C733" s="12" t="s">
        <v>353</v>
      </c>
      <c r="D733" s="12" t="s">
        <v>1596</v>
      </c>
      <c r="E733" s="12" t="s">
        <v>1779</v>
      </c>
      <c r="F733" s="11">
        <v>1</v>
      </c>
      <c r="G733" s="12">
        <v>412.11</v>
      </c>
      <c r="H733" s="9">
        <v>0.23</v>
      </c>
      <c r="I733" s="12" t="s">
        <v>1826</v>
      </c>
      <c r="J733" s="9">
        <v>317.32470000000001</v>
      </c>
    </row>
    <row r="734" spans="1:10" x14ac:dyDescent="0.3">
      <c r="A734" s="22" t="s">
        <v>2543</v>
      </c>
      <c r="B734" s="10">
        <v>45916</v>
      </c>
      <c r="C734" s="12" t="s">
        <v>422</v>
      </c>
      <c r="D734" s="12" t="s">
        <v>1736</v>
      </c>
      <c r="E734" s="12" t="s">
        <v>1757</v>
      </c>
      <c r="F734" s="11">
        <v>1</v>
      </c>
      <c r="G734" s="12">
        <v>126.09</v>
      </c>
      <c r="H734" s="9">
        <v>0.05</v>
      </c>
      <c r="I734" s="12" t="s">
        <v>1829</v>
      </c>
      <c r="J734" s="9">
        <v>119.7855</v>
      </c>
    </row>
    <row r="735" spans="1:10" x14ac:dyDescent="0.3">
      <c r="A735" s="22" t="s">
        <v>2544</v>
      </c>
      <c r="B735" s="10">
        <v>45917</v>
      </c>
      <c r="C735" s="12" t="s">
        <v>648</v>
      </c>
      <c r="D735" s="12" t="s">
        <v>1682</v>
      </c>
      <c r="E735" s="12" t="s">
        <v>1789</v>
      </c>
      <c r="F735" s="11">
        <v>4</v>
      </c>
      <c r="G735" s="12">
        <v>602.39</v>
      </c>
      <c r="H735" s="9">
        <v>0.19</v>
      </c>
      <c r="I735" s="12" t="s">
        <v>1829</v>
      </c>
      <c r="J735" s="9">
        <v>1951.7436</v>
      </c>
    </row>
    <row r="736" spans="1:10" x14ac:dyDescent="0.3">
      <c r="A736" s="22" t="s">
        <v>2545</v>
      </c>
      <c r="B736" s="10">
        <v>45941</v>
      </c>
      <c r="C736" s="12" t="s">
        <v>1023</v>
      </c>
      <c r="D736" s="12" t="s">
        <v>1712</v>
      </c>
      <c r="E736" s="12" t="s">
        <v>1766</v>
      </c>
      <c r="F736" s="11">
        <v>3</v>
      </c>
      <c r="G736" s="12">
        <v>447.69</v>
      </c>
      <c r="H736" s="9">
        <v>0.02</v>
      </c>
      <c r="I736" s="12" t="s">
        <v>1829</v>
      </c>
      <c r="J736" s="9">
        <v>1316.2085999999999</v>
      </c>
    </row>
    <row r="737" spans="1:10" x14ac:dyDescent="0.3">
      <c r="A737" s="22" t="s">
        <v>2546</v>
      </c>
      <c r="B737" s="10">
        <v>45778</v>
      </c>
      <c r="C737" s="12" t="s">
        <v>794</v>
      </c>
      <c r="D737" s="12" t="s">
        <v>1616</v>
      </c>
      <c r="E737" s="12" t="s">
        <v>1766</v>
      </c>
      <c r="F737" s="11">
        <v>3</v>
      </c>
      <c r="G737" s="12">
        <v>35.159999999999997</v>
      </c>
      <c r="H737" s="9">
        <v>0.04</v>
      </c>
      <c r="I737" s="12" t="s">
        <v>1829</v>
      </c>
      <c r="J737" s="9">
        <v>101.2608</v>
      </c>
    </row>
    <row r="738" spans="1:10" x14ac:dyDescent="0.3">
      <c r="A738" s="22" t="s">
        <v>2547</v>
      </c>
      <c r="B738" s="10">
        <v>45740</v>
      </c>
      <c r="C738" s="12" t="s">
        <v>1038</v>
      </c>
      <c r="D738" s="12" t="s">
        <v>1692</v>
      </c>
      <c r="E738" s="12" t="s">
        <v>1792</v>
      </c>
      <c r="F738" s="11">
        <v>2</v>
      </c>
      <c r="G738" s="12">
        <v>838.59</v>
      </c>
      <c r="H738" s="9">
        <v>0.18</v>
      </c>
      <c r="I738" s="12" t="s">
        <v>1829</v>
      </c>
      <c r="J738" s="9">
        <v>1375.2876000000001</v>
      </c>
    </row>
    <row r="739" spans="1:10" x14ac:dyDescent="0.3">
      <c r="A739" s="22" t="s">
        <v>2548</v>
      </c>
      <c r="B739" s="10">
        <v>45598</v>
      </c>
      <c r="C739" s="12" t="s">
        <v>321</v>
      </c>
      <c r="D739" s="12" t="s">
        <v>1666</v>
      </c>
      <c r="E739" s="12" t="s">
        <v>1776</v>
      </c>
      <c r="F739" s="11">
        <v>4</v>
      </c>
      <c r="G739" s="12">
        <v>867.94</v>
      </c>
      <c r="H739" s="9">
        <v>0.26</v>
      </c>
      <c r="I739" s="12" t="s">
        <v>1826</v>
      </c>
      <c r="J739" s="9">
        <v>2569.1024000000002</v>
      </c>
    </row>
    <row r="740" spans="1:10" x14ac:dyDescent="0.3">
      <c r="A740" s="22" t="s">
        <v>2549</v>
      </c>
      <c r="B740" s="10">
        <v>45591</v>
      </c>
      <c r="C740" s="12" t="s">
        <v>643</v>
      </c>
      <c r="D740" s="12" t="s">
        <v>1626</v>
      </c>
      <c r="E740" s="12" t="s">
        <v>1807</v>
      </c>
      <c r="F740" s="11">
        <v>1</v>
      </c>
      <c r="G740" s="12">
        <v>623.88</v>
      </c>
      <c r="H740" s="9">
        <v>0.25</v>
      </c>
      <c r="I740" s="12" t="s">
        <v>1824</v>
      </c>
      <c r="J740" s="9">
        <v>467.91</v>
      </c>
    </row>
    <row r="741" spans="1:10" x14ac:dyDescent="0.3">
      <c r="A741" s="22" t="s">
        <v>2550</v>
      </c>
      <c r="B741" s="10">
        <v>45546</v>
      </c>
      <c r="C741" s="12" t="s">
        <v>585</v>
      </c>
      <c r="D741" s="12" t="s">
        <v>1632</v>
      </c>
      <c r="E741" s="12" t="s">
        <v>1799</v>
      </c>
      <c r="F741" s="11">
        <v>2</v>
      </c>
      <c r="G741" s="12">
        <v>567.95000000000005</v>
      </c>
      <c r="H741" s="9">
        <v>0.12</v>
      </c>
      <c r="I741" s="12" t="s">
        <v>1826</v>
      </c>
      <c r="J741" s="9">
        <v>999.5920000000001</v>
      </c>
    </row>
    <row r="742" spans="1:10" x14ac:dyDescent="0.3">
      <c r="A742" s="22" t="s">
        <v>2551</v>
      </c>
      <c r="B742" s="10">
        <v>45483</v>
      </c>
      <c r="C742" s="12" t="s">
        <v>1017</v>
      </c>
      <c r="D742" s="12" t="s">
        <v>1610</v>
      </c>
      <c r="E742" s="12" t="s">
        <v>1810</v>
      </c>
      <c r="F742" s="11">
        <v>2</v>
      </c>
      <c r="G742" s="12">
        <v>671.69</v>
      </c>
      <c r="H742" s="9">
        <v>0.19</v>
      </c>
      <c r="I742" s="12" t="s">
        <v>1824</v>
      </c>
      <c r="J742" s="9">
        <v>1088.1378</v>
      </c>
    </row>
    <row r="743" spans="1:10" x14ac:dyDescent="0.3">
      <c r="A743" s="22" t="s">
        <v>2552</v>
      </c>
      <c r="B743" s="10">
        <v>45786</v>
      </c>
      <c r="C743" s="12" t="s">
        <v>672</v>
      </c>
      <c r="D743" s="12" t="s">
        <v>1557</v>
      </c>
      <c r="E743" s="12" t="s">
        <v>1779</v>
      </c>
      <c r="F743" s="11">
        <v>2</v>
      </c>
      <c r="G743" s="12">
        <v>257.95999999999998</v>
      </c>
      <c r="H743" s="9">
        <v>0.21</v>
      </c>
      <c r="I743" s="12" t="s">
        <v>1826</v>
      </c>
      <c r="J743" s="9">
        <v>407.57679999999999</v>
      </c>
    </row>
    <row r="744" spans="1:10" x14ac:dyDescent="0.3">
      <c r="A744" s="22" t="s">
        <v>2553</v>
      </c>
      <c r="B744" s="10">
        <v>45475</v>
      </c>
      <c r="C744" s="12" t="s">
        <v>666</v>
      </c>
      <c r="D744" s="12" t="s">
        <v>1744</v>
      </c>
      <c r="E744" s="12" t="s">
        <v>1813</v>
      </c>
      <c r="F744" s="11">
        <v>4</v>
      </c>
      <c r="G744" s="12">
        <v>281.48</v>
      </c>
      <c r="H744" s="9">
        <v>0.27</v>
      </c>
      <c r="I744" s="12" t="s">
        <v>1826</v>
      </c>
      <c r="J744" s="9">
        <v>821.92160000000001</v>
      </c>
    </row>
    <row r="745" spans="1:10" x14ac:dyDescent="0.3">
      <c r="A745" s="22" t="s">
        <v>2554</v>
      </c>
      <c r="B745" s="10">
        <v>45470</v>
      </c>
      <c r="C745" s="12" t="s">
        <v>996</v>
      </c>
      <c r="D745" s="12" t="s">
        <v>1588</v>
      </c>
      <c r="E745" s="12" t="s">
        <v>1792</v>
      </c>
      <c r="F745" s="11">
        <v>1</v>
      </c>
      <c r="G745" s="12">
        <v>202.13</v>
      </c>
      <c r="H745" s="9">
        <v>0.13</v>
      </c>
      <c r="I745" s="12" t="s">
        <v>1829</v>
      </c>
      <c r="J745" s="9">
        <v>175.85310000000001</v>
      </c>
    </row>
    <row r="746" spans="1:10" x14ac:dyDescent="0.3">
      <c r="A746" s="22" t="s">
        <v>2555</v>
      </c>
      <c r="B746" s="10">
        <v>45243</v>
      </c>
      <c r="C746" s="12" t="s">
        <v>863</v>
      </c>
      <c r="D746" s="12" t="s">
        <v>1696</v>
      </c>
      <c r="E746" s="12" t="s">
        <v>1773</v>
      </c>
      <c r="F746" s="11">
        <v>1</v>
      </c>
      <c r="G746" s="12">
        <v>370.66</v>
      </c>
      <c r="H746" s="9">
        <v>0.01</v>
      </c>
      <c r="I746" s="12" t="s">
        <v>1826</v>
      </c>
      <c r="J746" s="9">
        <v>366.95339999999999</v>
      </c>
    </row>
    <row r="747" spans="1:10" x14ac:dyDescent="0.3">
      <c r="A747" s="22" t="s">
        <v>2556</v>
      </c>
      <c r="B747" s="10">
        <v>45341</v>
      </c>
      <c r="C747" s="12" t="s">
        <v>32</v>
      </c>
      <c r="D747" s="12" t="s">
        <v>1670</v>
      </c>
      <c r="E747" s="12" t="s">
        <v>1794</v>
      </c>
      <c r="F747" s="11">
        <v>4</v>
      </c>
      <c r="G747" s="12">
        <v>731.53</v>
      </c>
      <c r="H747" s="9">
        <v>0.12</v>
      </c>
      <c r="I747" s="12" t="s">
        <v>1824</v>
      </c>
      <c r="J747" s="9">
        <v>2574.9856</v>
      </c>
    </row>
    <row r="748" spans="1:10" x14ac:dyDescent="0.3">
      <c r="A748" s="22" t="s">
        <v>2557</v>
      </c>
      <c r="B748" s="10">
        <v>45371</v>
      </c>
      <c r="C748" s="12" t="s">
        <v>550</v>
      </c>
      <c r="D748" s="12" t="s">
        <v>1704</v>
      </c>
      <c r="E748" s="12" t="s">
        <v>1757</v>
      </c>
      <c r="F748" s="11">
        <v>3</v>
      </c>
      <c r="G748" s="12">
        <v>468.25</v>
      </c>
      <c r="H748" s="9">
        <v>7.0000000000000007E-2</v>
      </c>
      <c r="I748" s="12" t="s">
        <v>1826</v>
      </c>
      <c r="J748" s="9">
        <v>1306.4175</v>
      </c>
    </row>
    <row r="749" spans="1:10" x14ac:dyDescent="0.3">
      <c r="A749" s="22" t="s">
        <v>2558</v>
      </c>
      <c r="B749" s="10">
        <v>45360</v>
      </c>
      <c r="C749" s="12" t="s">
        <v>14</v>
      </c>
      <c r="D749" s="12" t="s">
        <v>1682</v>
      </c>
      <c r="E749" s="12" t="s">
        <v>1752</v>
      </c>
      <c r="F749" s="11">
        <v>1</v>
      </c>
      <c r="G749" s="12">
        <v>928.72</v>
      </c>
      <c r="H749" s="9">
        <v>0.1</v>
      </c>
      <c r="I749" s="12" t="s">
        <v>1829</v>
      </c>
      <c r="J749" s="9">
        <v>835.84800000000007</v>
      </c>
    </row>
    <row r="750" spans="1:10" x14ac:dyDescent="0.3">
      <c r="A750" s="22" t="s">
        <v>2559</v>
      </c>
      <c r="B750" s="10">
        <v>45499</v>
      </c>
      <c r="C750" s="12" t="s">
        <v>360</v>
      </c>
      <c r="D750" s="12" t="s">
        <v>1553</v>
      </c>
      <c r="E750" s="12" t="s">
        <v>1810</v>
      </c>
      <c r="F750" s="11">
        <v>3</v>
      </c>
      <c r="G750" s="12">
        <v>217.22</v>
      </c>
      <c r="H750" s="9">
        <v>0.06</v>
      </c>
      <c r="I750" s="12" t="s">
        <v>1826</v>
      </c>
      <c r="J750" s="9">
        <v>612.56039999999996</v>
      </c>
    </row>
    <row r="751" spans="1:10" x14ac:dyDescent="0.3">
      <c r="A751" s="22" t="s">
        <v>2560</v>
      </c>
      <c r="B751" s="10">
        <v>45745</v>
      </c>
      <c r="C751" s="12" t="s">
        <v>1260</v>
      </c>
      <c r="D751" s="12" t="s">
        <v>1596</v>
      </c>
      <c r="E751" s="12" t="s">
        <v>1766</v>
      </c>
      <c r="F751" s="11">
        <v>1</v>
      </c>
      <c r="G751" s="12">
        <v>387.99</v>
      </c>
      <c r="H751" s="9">
        <v>0.3</v>
      </c>
      <c r="I751" s="12" t="s">
        <v>1824</v>
      </c>
      <c r="J751" s="9">
        <v>271.59300000000002</v>
      </c>
    </row>
    <row r="752" spans="1:10" x14ac:dyDescent="0.3">
      <c r="A752" s="22" t="s">
        <v>2561</v>
      </c>
      <c r="B752" s="10">
        <v>45718</v>
      </c>
      <c r="C752" s="12" t="s">
        <v>1466</v>
      </c>
      <c r="D752" s="12" t="s">
        <v>1584</v>
      </c>
      <c r="E752" s="12" t="s">
        <v>1776</v>
      </c>
      <c r="F752" s="11">
        <v>4</v>
      </c>
      <c r="G752" s="12">
        <v>186.24</v>
      </c>
      <c r="H752" s="9">
        <v>0.23</v>
      </c>
      <c r="I752" s="12" t="s">
        <v>1824</v>
      </c>
      <c r="J752" s="9">
        <v>573.61920000000009</v>
      </c>
    </row>
    <row r="753" spans="1:10" x14ac:dyDescent="0.3">
      <c r="A753" s="22" t="s">
        <v>2562</v>
      </c>
      <c r="B753" s="10">
        <v>45454</v>
      </c>
      <c r="C753" s="12" t="s">
        <v>937</v>
      </c>
      <c r="D753" s="12" t="s">
        <v>1628</v>
      </c>
      <c r="E753" s="12" t="s">
        <v>1782</v>
      </c>
      <c r="F753" s="11">
        <v>4</v>
      </c>
      <c r="G753" s="12">
        <v>609.05999999999995</v>
      </c>
      <c r="H753" s="9">
        <v>0.22</v>
      </c>
      <c r="I753" s="12" t="s">
        <v>1829</v>
      </c>
      <c r="J753" s="9">
        <v>1900.2672</v>
      </c>
    </row>
    <row r="754" spans="1:10" x14ac:dyDescent="0.3">
      <c r="A754" s="22" t="s">
        <v>2563</v>
      </c>
      <c r="B754" s="10">
        <v>45434</v>
      </c>
      <c r="C754" s="12" t="s">
        <v>1355</v>
      </c>
      <c r="D754" s="12" t="s">
        <v>1614</v>
      </c>
      <c r="E754" s="12" t="s">
        <v>1792</v>
      </c>
      <c r="F754" s="11">
        <v>1</v>
      </c>
      <c r="G754" s="12">
        <v>827.91</v>
      </c>
      <c r="H754" s="9">
        <v>0.21</v>
      </c>
      <c r="I754" s="12" t="s">
        <v>1826</v>
      </c>
      <c r="J754" s="9">
        <v>654.0489</v>
      </c>
    </row>
    <row r="755" spans="1:10" x14ac:dyDescent="0.3">
      <c r="A755" s="22" t="s">
        <v>2564</v>
      </c>
      <c r="B755" s="10">
        <v>45486</v>
      </c>
      <c r="C755" s="12" t="s">
        <v>582</v>
      </c>
      <c r="D755" s="12" t="s">
        <v>1714</v>
      </c>
      <c r="E755" s="12" t="s">
        <v>1752</v>
      </c>
      <c r="F755" s="11">
        <v>1</v>
      </c>
      <c r="G755" s="12">
        <v>303.79000000000002</v>
      </c>
      <c r="H755" s="9">
        <v>0.24</v>
      </c>
      <c r="I755" s="12" t="s">
        <v>1826</v>
      </c>
      <c r="J755" s="9">
        <v>230.88040000000001</v>
      </c>
    </row>
    <row r="756" spans="1:10" x14ac:dyDescent="0.3">
      <c r="A756" s="22" t="s">
        <v>2565</v>
      </c>
      <c r="B756" s="10">
        <v>45902</v>
      </c>
      <c r="C756" s="12" t="s">
        <v>369</v>
      </c>
      <c r="D756" s="12" t="s">
        <v>1622</v>
      </c>
      <c r="E756" s="12" t="s">
        <v>1776</v>
      </c>
      <c r="F756" s="11">
        <v>2</v>
      </c>
      <c r="G756" s="12">
        <v>365.91</v>
      </c>
      <c r="H756" s="9">
        <v>0.14000000000000001</v>
      </c>
      <c r="I756" s="12" t="s">
        <v>1829</v>
      </c>
      <c r="J756" s="9">
        <v>629.36520000000007</v>
      </c>
    </row>
    <row r="757" spans="1:10" x14ac:dyDescent="0.3">
      <c r="A757" s="22" t="s">
        <v>2566</v>
      </c>
      <c r="B757" s="10">
        <v>45762</v>
      </c>
      <c r="C757" s="12" t="s">
        <v>255</v>
      </c>
      <c r="D757" s="12" t="s">
        <v>1598</v>
      </c>
      <c r="E757" s="12" t="s">
        <v>1807</v>
      </c>
      <c r="F757" s="11">
        <v>3</v>
      </c>
      <c r="G757" s="12">
        <v>852.72</v>
      </c>
      <c r="H757" s="9">
        <v>0.16</v>
      </c>
      <c r="I757" s="12" t="s">
        <v>1824</v>
      </c>
      <c r="J757" s="9">
        <v>2148.8544000000002</v>
      </c>
    </row>
    <row r="758" spans="1:10" x14ac:dyDescent="0.3">
      <c r="A758" s="22" t="s">
        <v>2567</v>
      </c>
      <c r="B758" s="10">
        <v>45752</v>
      </c>
      <c r="C758" s="12" t="s">
        <v>791</v>
      </c>
      <c r="D758" s="12" t="s">
        <v>1568</v>
      </c>
      <c r="E758" s="12" t="s">
        <v>1769</v>
      </c>
      <c r="F758" s="11">
        <v>1</v>
      </c>
      <c r="G758" s="12">
        <v>768.25</v>
      </c>
      <c r="H758" s="9">
        <v>0.18</v>
      </c>
      <c r="I758" s="12" t="s">
        <v>1824</v>
      </c>
      <c r="J758" s="9">
        <v>629.96500000000003</v>
      </c>
    </row>
    <row r="759" spans="1:10" x14ac:dyDescent="0.3">
      <c r="A759" s="22" t="s">
        <v>2568</v>
      </c>
      <c r="B759" s="10">
        <v>45254</v>
      </c>
      <c r="C759" s="12" t="s">
        <v>1098</v>
      </c>
      <c r="D759" s="12" t="s">
        <v>1732</v>
      </c>
      <c r="E759" s="12" t="s">
        <v>1813</v>
      </c>
      <c r="F759" s="11">
        <v>2</v>
      </c>
      <c r="G759" s="12">
        <v>318.62</v>
      </c>
      <c r="H759" s="9">
        <v>0.02</v>
      </c>
      <c r="I759" s="12" t="s">
        <v>1829</v>
      </c>
      <c r="J759" s="9">
        <v>624.49519999999995</v>
      </c>
    </row>
    <row r="760" spans="1:10" x14ac:dyDescent="0.3">
      <c r="A760" s="22" t="s">
        <v>2569</v>
      </c>
      <c r="B760" s="10">
        <v>45683</v>
      </c>
      <c r="C760" s="12" t="s">
        <v>188</v>
      </c>
      <c r="D760" s="12" t="s">
        <v>1700</v>
      </c>
      <c r="E760" s="12" t="s">
        <v>1761</v>
      </c>
      <c r="F760" s="11">
        <v>4</v>
      </c>
      <c r="G760" s="12">
        <v>402.11</v>
      </c>
      <c r="H760" s="9">
        <v>0.14000000000000001</v>
      </c>
      <c r="I760" s="12" t="s">
        <v>1826</v>
      </c>
      <c r="J760" s="9">
        <v>1383.2583999999999</v>
      </c>
    </row>
    <row r="761" spans="1:10" x14ac:dyDescent="0.3">
      <c r="A761" s="22" t="s">
        <v>2570</v>
      </c>
      <c r="B761" s="10">
        <v>45804</v>
      </c>
      <c r="C761" s="12" t="s">
        <v>1269</v>
      </c>
      <c r="D761" s="12" t="s">
        <v>1716</v>
      </c>
      <c r="E761" s="12" t="s">
        <v>1807</v>
      </c>
      <c r="F761" s="11">
        <v>3</v>
      </c>
      <c r="G761" s="12">
        <v>846.31</v>
      </c>
      <c r="H761" s="9">
        <v>0.18</v>
      </c>
      <c r="I761" s="12" t="s">
        <v>1829</v>
      </c>
      <c r="J761" s="9">
        <v>2081.9225999999999</v>
      </c>
    </row>
    <row r="762" spans="1:10" x14ac:dyDescent="0.3">
      <c r="A762" s="22" t="s">
        <v>2571</v>
      </c>
      <c r="B762" s="10">
        <v>45821</v>
      </c>
      <c r="C762" s="12" t="s">
        <v>559</v>
      </c>
      <c r="D762" s="12" t="s">
        <v>1736</v>
      </c>
      <c r="E762" s="12" t="s">
        <v>1799</v>
      </c>
      <c r="F762" s="11">
        <v>1</v>
      </c>
      <c r="G762" s="12">
        <v>269.94</v>
      </c>
      <c r="H762" s="9">
        <v>7.0000000000000007E-2</v>
      </c>
      <c r="I762" s="12" t="s">
        <v>1829</v>
      </c>
      <c r="J762" s="9">
        <v>251.04419999999999</v>
      </c>
    </row>
    <row r="763" spans="1:10" x14ac:dyDescent="0.3">
      <c r="A763" s="22" t="s">
        <v>2572</v>
      </c>
      <c r="B763" s="10">
        <v>45472</v>
      </c>
      <c r="C763" s="12" t="s">
        <v>773</v>
      </c>
      <c r="D763" s="12" t="s">
        <v>1588</v>
      </c>
      <c r="E763" s="12" t="s">
        <v>1769</v>
      </c>
      <c r="F763" s="11">
        <v>3</v>
      </c>
      <c r="G763" s="12">
        <v>909.25</v>
      </c>
      <c r="H763" s="9">
        <v>0.28999999999999998</v>
      </c>
      <c r="I763" s="12" t="s">
        <v>1829</v>
      </c>
      <c r="J763" s="9">
        <v>1936.7025000000001</v>
      </c>
    </row>
    <row r="764" spans="1:10" x14ac:dyDescent="0.3">
      <c r="A764" s="22" t="s">
        <v>2573</v>
      </c>
      <c r="B764" s="10">
        <v>45331</v>
      </c>
      <c r="C764" s="12" t="s">
        <v>1136</v>
      </c>
      <c r="D764" s="12" t="s">
        <v>1730</v>
      </c>
      <c r="E764" s="12" t="s">
        <v>1794</v>
      </c>
      <c r="F764" s="11">
        <v>2</v>
      </c>
      <c r="G764" s="12">
        <v>229.81</v>
      </c>
      <c r="H764" s="9">
        <v>0.21</v>
      </c>
      <c r="I764" s="12" t="s">
        <v>1829</v>
      </c>
      <c r="J764" s="9">
        <v>363.09980000000002</v>
      </c>
    </row>
    <row r="765" spans="1:10" x14ac:dyDescent="0.3">
      <c r="A765" s="22" t="s">
        <v>2574</v>
      </c>
      <c r="B765" s="10">
        <v>45451</v>
      </c>
      <c r="C765" s="12" t="s">
        <v>147</v>
      </c>
      <c r="D765" s="12" t="s">
        <v>1704</v>
      </c>
      <c r="E765" s="12" t="s">
        <v>1801</v>
      </c>
      <c r="F765" s="11">
        <v>3</v>
      </c>
      <c r="G765" s="12">
        <v>442.36</v>
      </c>
      <c r="H765" s="9">
        <v>0.06</v>
      </c>
      <c r="I765" s="12" t="s">
        <v>1826</v>
      </c>
      <c r="J765" s="9">
        <v>1247.4552000000001</v>
      </c>
    </row>
    <row r="766" spans="1:10" x14ac:dyDescent="0.3">
      <c r="A766" s="22" t="s">
        <v>2575</v>
      </c>
      <c r="B766" s="10">
        <v>45386</v>
      </c>
      <c r="C766" s="12" t="s">
        <v>767</v>
      </c>
      <c r="D766" s="12" t="s">
        <v>1720</v>
      </c>
      <c r="E766" s="12" t="s">
        <v>1766</v>
      </c>
      <c r="F766" s="11">
        <v>3</v>
      </c>
      <c r="G766" s="12">
        <v>413.74</v>
      </c>
      <c r="H766" s="9">
        <v>0.01</v>
      </c>
      <c r="I766" s="12" t="s">
        <v>1824</v>
      </c>
      <c r="J766" s="9">
        <v>1228.8078</v>
      </c>
    </row>
    <row r="767" spans="1:10" x14ac:dyDescent="0.3">
      <c r="A767" s="22" t="s">
        <v>2576</v>
      </c>
      <c r="B767" s="10">
        <v>45477</v>
      </c>
      <c r="C767" s="12" t="s">
        <v>1524</v>
      </c>
      <c r="D767" s="12" t="s">
        <v>1726</v>
      </c>
      <c r="E767" s="12" t="s">
        <v>1799</v>
      </c>
      <c r="F767" s="11">
        <v>4</v>
      </c>
      <c r="G767" s="12">
        <v>79.75</v>
      </c>
      <c r="H767" s="9">
        <v>0.18</v>
      </c>
      <c r="I767" s="12" t="s">
        <v>1826</v>
      </c>
      <c r="J767" s="9">
        <v>261.58</v>
      </c>
    </row>
    <row r="768" spans="1:10" x14ac:dyDescent="0.3">
      <c r="A768" s="22" t="s">
        <v>2577</v>
      </c>
      <c r="B768" s="10">
        <v>45433</v>
      </c>
      <c r="C768" s="12" t="s">
        <v>1521</v>
      </c>
      <c r="D768" s="12" t="s">
        <v>1628</v>
      </c>
      <c r="E768" s="12" t="s">
        <v>1794</v>
      </c>
      <c r="F768" s="11">
        <v>4</v>
      </c>
      <c r="G768" s="12">
        <v>95.06</v>
      </c>
      <c r="H768" s="9">
        <v>0.03</v>
      </c>
      <c r="I768" s="12" t="s">
        <v>1824</v>
      </c>
      <c r="J768" s="9">
        <v>368.83280000000002</v>
      </c>
    </row>
    <row r="769" spans="1:10" x14ac:dyDescent="0.3">
      <c r="A769" s="22" t="s">
        <v>2578</v>
      </c>
      <c r="B769" s="10">
        <v>45759</v>
      </c>
      <c r="C769" s="12" t="s">
        <v>1292</v>
      </c>
      <c r="D769" s="12" t="s">
        <v>1744</v>
      </c>
      <c r="E769" s="12" t="s">
        <v>1779</v>
      </c>
      <c r="F769" s="11">
        <v>4</v>
      </c>
      <c r="G769" s="12">
        <v>107.08</v>
      </c>
      <c r="H769" s="9">
        <v>0.27</v>
      </c>
      <c r="I769" s="12" t="s">
        <v>1829</v>
      </c>
      <c r="J769" s="9">
        <v>312.67360000000002</v>
      </c>
    </row>
    <row r="770" spans="1:10" x14ac:dyDescent="0.3">
      <c r="A770" s="22" t="s">
        <v>2579</v>
      </c>
      <c r="B770" s="10">
        <v>45794</v>
      </c>
      <c r="C770" s="12" t="s">
        <v>1461</v>
      </c>
      <c r="D770" s="12" t="s">
        <v>1746</v>
      </c>
      <c r="E770" s="12" t="s">
        <v>1810</v>
      </c>
      <c r="F770" s="11">
        <v>1</v>
      </c>
      <c r="G770" s="12">
        <v>873.18</v>
      </c>
      <c r="H770" s="9">
        <v>0.03</v>
      </c>
      <c r="I770" s="12" t="s">
        <v>1829</v>
      </c>
      <c r="J770" s="9">
        <v>846.98459999999989</v>
      </c>
    </row>
    <row r="771" spans="1:10" x14ac:dyDescent="0.3">
      <c r="A771" s="22" t="s">
        <v>2580</v>
      </c>
      <c r="B771" s="10">
        <v>45764</v>
      </c>
      <c r="C771" s="12" t="s">
        <v>1178</v>
      </c>
      <c r="D771" s="12" t="s">
        <v>1688</v>
      </c>
      <c r="E771" s="12" t="s">
        <v>1810</v>
      </c>
      <c r="F771" s="11">
        <v>1</v>
      </c>
      <c r="G771" s="12">
        <v>914.75</v>
      </c>
      <c r="H771" s="9">
        <v>0.1</v>
      </c>
      <c r="I771" s="12" t="s">
        <v>1829</v>
      </c>
      <c r="J771" s="9">
        <v>823.27499999999998</v>
      </c>
    </row>
    <row r="772" spans="1:10" x14ac:dyDescent="0.3">
      <c r="A772" s="22" t="s">
        <v>2581</v>
      </c>
      <c r="B772" s="10">
        <v>45279</v>
      </c>
      <c r="C772" s="12" t="s">
        <v>188</v>
      </c>
      <c r="D772" s="12" t="s">
        <v>1694</v>
      </c>
      <c r="E772" s="12" t="s">
        <v>1797</v>
      </c>
      <c r="F772" s="11">
        <v>4</v>
      </c>
      <c r="G772" s="12">
        <v>457.33</v>
      </c>
      <c r="H772" s="9">
        <v>0.1</v>
      </c>
      <c r="I772" s="12" t="s">
        <v>1824</v>
      </c>
      <c r="J772" s="9">
        <v>1646.3879999999999</v>
      </c>
    </row>
    <row r="773" spans="1:10" x14ac:dyDescent="0.3">
      <c r="A773" s="22" t="s">
        <v>2582</v>
      </c>
      <c r="B773" s="10">
        <v>45602</v>
      </c>
      <c r="C773" s="12" t="s">
        <v>926</v>
      </c>
      <c r="D773" s="12" t="s">
        <v>1746</v>
      </c>
      <c r="E773" s="12" t="s">
        <v>1766</v>
      </c>
      <c r="F773" s="11">
        <v>3</v>
      </c>
      <c r="G773" s="12">
        <v>761.88</v>
      </c>
      <c r="H773" s="9">
        <v>0.23</v>
      </c>
      <c r="I773" s="12" t="s">
        <v>1826</v>
      </c>
      <c r="J773" s="9">
        <v>1759.9428</v>
      </c>
    </row>
    <row r="774" spans="1:10" x14ac:dyDescent="0.3">
      <c r="A774" s="22" t="s">
        <v>2583</v>
      </c>
      <c r="B774" s="10">
        <v>45793</v>
      </c>
      <c r="C774" s="12" t="s">
        <v>585</v>
      </c>
      <c r="D774" s="12" t="s">
        <v>1622</v>
      </c>
      <c r="E774" s="12" t="s">
        <v>1813</v>
      </c>
      <c r="F774" s="11">
        <v>4</v>
      </c>
      <c r="G774" s="12">
        <v>122.87</v>
      </c>
      <c r="H774" s="9">
        <v>0.13</v>
      </c>
      <c r="I774" s="12" t="s">
        <v>1824</v>
      </c>
      <c r="J774" s="9">
        <v>427.58760000000001</v>
      </c>
    </row>
    <row r="775" spans="1:10" x14ac:dyDescent="0.3">
      <c r="A775" s="22" t="s">
        <v>2584</v>
      </c>
      <c r="B775" s="10">
        <v>45778</v>
      </c>
      <c r="C775" s="12" t="s">
        <v>1464</v>
      </c>
      <c r="D775" s="12" t="s">
        <v>1694</v>
      </c>
      <c r="E775" s="12" t="s">
        <v>1769</v>
      </c>
      <c r="F775" s="11">
        <v>4</v>
      </c>
      <c r="G775" s="12">
        <v>753</v>
      </c>
      <c r="H775" s="9">
        <v>0.28000000000000003</v>
      </c>
      <c r="I775" s="12" t="s">
        <v>1829</v>
      </c>
      <c r="J775" s="9">
        <v>2168.64</v>
      </c>
    </row>
    <row r="776" spans="1:10" x14ac:dyDescent="0.3">
      <c r="A776" s="22" t="s">
        <v>2585</v>
      </c>
      <c r="B776" s="10">
        <v>45325</v>
      </c>
      <c r="C776" s="12" t="s">
        <v>1157</v>
      </c>
      <c r="D776" s="12" t="s">
        <v>1555</v>
      </c>
      <c r="E776" s="12" t="s">
        <v>1773</v>
      </c>
      <c r="F776" s="11">
        <v>2</v>
      </c>
      <c r="G776" s="12">
        <v>788.05</v>
      </c>
      <c r="H776" s="9">
        <v>0.21</v>
      </c>
      <c r="I776" s="12" t="s">
        <v>1824</v>
      </c>
      <c r="J776" s="9">
        <v>1245.1189999999999</v>
      </c>
    </row>
    <row r="777" spans="1:10" x14ac:dyDescent="0.3">
      <c r="A777" s="22" t="s">
        <v>2586</v>
      </c>
      <c r="B777" s="10">
        <v>45875</v>
      </c>
      <c r="C777" s="12" t="s">
        <v>1425</v>
      </c>
      <c r="D777" s="12" t="s">
        <v>1712</v>
      </c>
      <c r="E777" s="12" t="s">
        <v>1789</v>
      </c>
      <c r="F777" s="11">
        <v>2</v>
      </c>
      <c r="G777" s="12">
        <v>807.1</v>
      </c>
      <c r="H777" s="9">
        <v>0.28999999999999998</v>
      </c>
      <c r="I777" s="12" t="s">
        <v>1824</v>
      </c>
      <c r="J777" s="9">
        <v>1146.0820000000001</v>
      </c>
    </row>
    <row r="778" spans="1:10" x14ac:dyDescent="0.3">
      <c r="A778" s="22" t="s">
        <v>2587</v>
      </c>
      <c r="B778" s="10">
        <v>45320</v>
      </c>
      <c r="C778" s="12" t="s">
        <v>458</v>
      </c>
      <c r="D778" s="12" t="s">
        <v>1562</v>
      </c>
      <c r="E778" s="12" t="s">
        <v>1757</v>
      </c>
      <c r="F778" s="11">
        <v>2</v>
      </c>
      <c r="G778" s="12">
        <v>443.09</v>
      </c>
      <c r="H778" s="9">
        <v>0.02</v>
      </c>
      <c r="I778" s="12" t="s">
        <v>1826</v>
      </c>
      <c r="J778" s="9">
        <v>868.45639999999992</v>
      </c>
    </row>
    <row r="779" spans="1:10" x14ac:dyDescent="0.3">
      <c r="A779" s="22" t="s">
        <v>2588</v>
      </c>
      <c r="B779" s="10">
        <v>45870</v>
      </c>
      <c r="C779" s="12" t="s">
        <v>1443</v>
      </c>
      <c r="D779" s="12" t="s">
        <v>1586</v>
      </c>
      <c r="E779" s="12" t="s">
        <v>1801</v>
      </c>
      <c r="F779" s="11">
        <v>1</v>
      </c>
      <c r="G779" s="12">
        <v>512.16</v>
      </c>
      <c r="H779" s="9">
        <v>0.02</v>
      </c>
      <c r="I779" s="12" t="s">
        <v>1829</v>
      </c>
      <c r="J779" s="9">
        <v>501.91680000000002</v>
      </c>
    </row>
    <row r="780" spans="1:10" x14ac:dyDescent="0.3">
      <c r="A780" s="22" t="s">
        <v>2589</v>
      </c>
      <c r="B780" s="10">
        <v>45577</v>
      </c>
      <c r="C780" s="12" t="s">
        <v>678</v>
      </c>
      <c r="D780" s="12" t="s">
        <v>1630</v>
      </c>
      <c r="E780" s="12" t="s">
        <v>1810</v>
      </c>
      <c r="F780" s="11">
        <v>2</v>
      </c>
      <c r="G780" s="12">
        <v>602.54999999999995</v>
      </c>
      <c r="H780" s="9">
        <v>0.23</v>
      </c>
      <c r="I780" s="12" t="s">
        <v>1829</v>
      </c>
      <c r="J780" s="9">
        <v>927.92699999999991</v>
      </c>
    </row>
    <row r="781" spans="1:10" x14ac:dyDescent="0.3">
      <c r="A781" s="22" t="s">
        <v>2590</v>
      </c>
      <c r="B781" s="10">
        <v>45745</v>
      </c>
      <c r="C781" s="12" t="s">
        <v>547</v>
      </c>
      <c r="D781" s="12" t="s">
        <v>1632</v>
      </c>
      <c r="E781" s="12" t="s">
        <v>1752</v>
      </c>
      <c r="F781" s="11">
        <v>3</v>
      </c>
      <c r="G781" s="12">
        <v>846.19</v>
      </c>
      <c r="H781" s="9">
        <v>0.09</v>
      </c>
      <c r="I781" s="12" t="s">
        <v>1829</v>
      </c>
      <c r="J781" s="9">
        <v>2310.0987</v>
      </c>
    </row>
    <row r="782" spans="1:10" x14ac:dyDescent="0.3">
      <c r="A782" s="22" t="s">
        <v>2591</v>
      </c>
      <c r="B782" s="10">
        <v>45772</v>
      </c>
      <c r="C782" s="12" t="s">
        <v>1026</v>
      </c>
      <c r="D782" s="12" t="s">
        <v>1686</v>
      </c>
      <c r="E782" s="12" t="s">
        <v>1782</v>
      </c>
      <c r="F782" s="11">
        <v>1</v>
      </c>
      <c r="G782" s="12">
        <v>506.73</v>
      </c>
      <c r="H782" s="9">
        <v>0.28999999999999998</v>
      </c>
      <c r="I782" s="12" t="s">
        <v>1824</v>
      </c>
      <c r="J782" s="9">
        <v>359.7783</v>
      </c>
    </row>
    <row r="783" spans="1:10" x14ac:dyDescent="0.3">
      <c r="A783" s="22" t="s">
        <v>2592</v>
      </c>
      <c r="B783" s="10">
        <v>45299</v>
      </c>
      <c r="C783" s="12" t="s">
        <v>198</v>
      </c>
      <c r="D783" s="12" t="s">
        <v>1650</v>
      </c>
      <c r="E783" s="12" t="s">
        <v>1804</v>
      </c>
      <c r="F783" s="11">
        <v>1</v>
      </c>
      <c r="G783" s="12">
        <v>408.66</v>
      </c>
      <c r="H783" s="9">
        <v>0.13</v>
      </c>
      <c r="I783" s="12" t="s">
        <v>1829</v>
      </c>
      <c r="J783" s="9">
        <v>355.5342</v>
      </c>
    </row>
    <row r="784" spans="1:10" x14ac:dyDescent="0.3">
      <c r="A784" s="22" t="s">
        <v>2593</v>
      </c>
      <c r="B784" s="10">
        <v>45447</v>
      </c>
      <c r="C784" s="12" t="s">
        <v>387</v>
      </c>
      <c r="D784" s="12" t="s">
        <v>1562</v>
      </c>
      <c r="E784" s="12" t="s">
        <v>1807</v>
      </c>
      <c r="F784" s="11">
        <v>3</v>
      </c>
      <c r="G784" s="12">
        <v>170.48</v>
      </c>
      <c r="H784" s="9">
        <v>0.06</v>
      </c>
      <c r="I784" s="12" t="s">
        <v>1829</v>
      </c>
      <c r="J784" s="9">
        <v>480.75359999999989</v>
      </c>
    </row>
    <row r="785" spans="1:10" x14ac:dyDescent="0.3">
      <c r="A785" s="22" t="s">
        <v>2594</v>
      </c>
      <c r="B785" s="10">
        <v>45717</v>
      </c>
      <c r="C785" s="12" t="s">
        <v>347</v>
      </c>
      <c r="D785" s="12" t="s">
        <v>1584</v>
      </c>
      <c r="E785" s="12" t="s">
        <v>1786</v>
      </c>
      <c r="F785" s="11">
        <v>1</v>
      </c>
      <c r="G785" s="12">
        <v>423.48</v>
      </c>
      <c r="H785" s="9">
        <v>0.18</v>
      </c>
      <c r="I785" s="12" t="s">
        <v>1826</v>
      </c>
      <c r="J785" s="9">
        <v>347.25360000000012</v>
      </c>
    </row>
    <row r="786" spans="1:10" x14ac:dyDescent="0.3">
      <c r="A786" s="22" t="s">
        <v>2595</v>
      </c>
      <c r="B786" s="10">
        <v>45213</v>
      </c>
      <c r="C786" s="12" t="s">
        <v>755</v>
      </c>
      <c r="D786" s="12" t="s">
        <v>1732</v>
      </c>
      <c r="E786" s="12" t="s">
        <v>1792</v>
      </c>
      <c r="F786" s="11">
        <v>4</v>
      </c>
      <c r="G786" s="12">
        <v>23.57</v>
      </c>
      <c r="H786" s="9">
        <v>0.1</v>
      </c>
      <c r="I786" s="12" t="s">
        <v>1824</v>
      </c>
      <c r="J786" s="9">
        <v>84.852000000000004</v>
      </c>
    </row>
    <row r="787" spans="1:10" x14ac:dyDescent="0.3">
      <c r="A787" s="22" t="s">
        <v>2596</v>
      </c>
      <c r="B787" s="10">
        <v>45837</v>
      </c>
      <c r="C787" s="12" t="s">
        <v>1190</v>
      </c>
      <c r="D787" s="12" t="s">
        <v>1632</v>
      </c>
      <c r="E787" s="12" t="s">
        <v>1810</v>
      </c>
      <c r="F787" s="11">
        <v>2</v>
      </c>
      <c r="G787" s="12">
        <v>953.26</v>
      </c>
      <c r="H787" s="9">
        <v>0.1</v>
      </c>
      <c r="I787" s="12" t="s">
        <v>1829</v>
      </c>
      <c r="J787" s="9">
        <v>1715.8679999999999</v>
      </c>
    </row>
    <row r="788" spans="1:10" x14ac:dyDescent="0.3">
      <c r="A788" s="22" t="s">
        <v>2597</v>
      </c>
      <c r="B788" s="10">
        <v>45277</v>
      </c>
      <c r="C788" s="12" t="s">
        <v>1089</v>
      </c>
      <c r="D788" s="12" t="s">
        <v>1694</v>
      </c>
      <c r="E788" s="12" t="s">
        <v>1779</v>
      </c>
      <c r="F788" s="11">
        <v>3</v>
      </c>
      <c r="G788" s="12">
        <v>405.13</v>
      </c>
      <c r="H788" s="9">
        <v>0.14000000000000001</v>
      </c>
      <c r="I788" s="12" t="s">
        <v>1829</v>
      </c>
      <c r="J788" s="9">
        <v>1045.2354</v>
      </c>
    </row>
    <row r="789" spans="1:10" x14ac:dyDescent="0.3">
      <c r="A789" s="22" t="s">
        <v>2598</v>
      </c>
      <c r="B789" s="10">
        <v>45248</v>
      </c>
      <c r="C789" s="12" t="s">
        <v>1065</v>
      </c>
      <c r="D789" s="12" t="s">
        <v>1549</v>
      </c>
      <c r="E789" s="12" t="s">
        <v>1769</v>
      </c>
      <c r="F789" s="11">
        <v>2</v>
      </c>
      <c r="G789" s="12">
        <v>333.83</v>
      </c>
      <c r="H789" s="9">
        <v>0.26</v>
      </c>
      <c r="I789" s="12" t="s">
        <v>1826</v>
      </c>
      <c r="J789" s="9">
        <v>494.0684</v>
      </c>
    </row>
    <row r="790" spans="1:10" x14ac:dyDescent="0.3">
      <c r="A790" s="22" t="s">
        <v>2599</v>
      </c>
      <c r="B790" s="10">
        <v>45741</v>
      </c>
      <c r="C790" s="12" t="s">
        <v>1047</v>
      </c>
      <c r="D790" s="12" t="s">
        <v>1730</v>
      </c>
      <c r="E790" s="12" t="s">
        <v>1766</v>
      </c>
      <c r="F790" s="11">
        <v>2</v>
      </c>
      <c r="G790" s="12">
        <v>727.18</v>
      </c>
      <c r="H790" s="9">
        <v>0.22</v>
      </c>
      <c r="I790" s="12" t="s">
        <v>1826</v>
      </c>
      <c r="J790" s="9">
        <v>1134.4007999999999</v>
      </c>
    </row>
    <row r="791" spans="1:10" x14ac:dyDescent="0.3">
      <c r="A791" s="22" t="s">
        <v>2600</v>
      </c>
      <c r="B791" s="10">
        <v>45778</v>
      </c>
      <c r="C791" s="12" t="s">
        <v>966</v>
      </c>
      <c r="D791" s="12" t="s">
        <v>1555</v>
      </c>
      <c r="E791" s="12" t="s">
        <v>1789</v>
      </c>
      <c r="F791" s="11">
        <v>2</v>
      </c>
      <c r="G791" s="12">
        <v>516.02</v>
      </c>
      <c r="H791" s="9">
        <v>0.19</v>
      </c>
      <c r="I791" s="12" t="s">
        <v>1829</v>
      </c>
      <c r="J791" s="9">
        <v>835.95240000000001</v>
      </c>
    </row>
    <row r="792" spans="1:10" x14ac:dyDescent="0.3">
      <c r="A792" s="22" t="s">
        <v>2601</v>
      </c>
      <c r="B792" s="10">
        <v>45361</v>
      </c>
      <c r="C792" s="12" t="s">
        <v>932</v>
      </c>
      <c r="D792" s="12" t="s">
        <v>1632</v>
      </c>
      <c r="E792" s="12" t="s">
        <v>1792</v>
      </c>
      <c r="F792" s="11">
        <v>2</v>
      </c>
      <c r="G792" s="12">
        <v>705.61</v>
      </c>
      <c r="H792" s="9">
        <v>0.28000000000000003</v>
      </c>
      <c r="I792" s="12" t="s">
        <v>1824</v>
      </c>
      <c r="J792" s="9">
        <v>1016.0784</v>
      </c>
    </row>
    <row r="793" spans="1:10" x14ac:dyDescent="0.3">
      <c r="A793" s="22" t="s">
        <v>2602</v>
      </c>
      <c r="B793" s="10">
        <v>45414</v>
      </c>
      <c r="C793" s="12" t="s">
        <v>875</v>
      </c>
      <c r="D793" s="12" t="s">
        <v>1716</v>
      </c>
      <c r="E793" s="12" t="s">
        <v>1782</v>
      </c>
      <c r="F793" s="11">
        <v>3</v>
      </c>
      <c r="G793" s="12">
        <v>654.47</v>
      </c>
      <c r="H793" s="9">
        <v>0.18</v>
      </c>
      <c r="I793" s="12" t="s">
        <v>1829</v>
      </c>
      <c r="J793" s="9">
        <v>1609.9962</v>
      </c>
    </row>
    <row r="794" spans="1:10" x14ac:dyDescent="0.3">
      <c r="A794" s="22" t="s">
        <v>2603</v>
      </c>
      <c r="B794" s="10">
        <v>45734</v>
      </c>
      <c r="C794" s="12" t="s">
        <v>568</v>
      </c>
      <c r="D794" s="12" t="s">
        <v>1724</v>
      </c>
      <c r="E794" s="12" t="s">
        <v>1801</v>
      </c>
      <c r="F794" s="11">
        <v>2</v>
      </c>
      <c r="G794" s="12">
        <v>315.27</v>
      </c>
      <c r="H794" s="9">
        <v>0.23</v>
      </c>
      <c r="I794" s="12" t="s">
        <v>1824</v>
      </c>
      <c r="J794" s="9">
        <v>485.51580000000001</v>
      </c>
    </row>
    <row r="795" spans="1:10" x14ac:dyDescent="0.3">
      <c r="A795" s="22" t="s">
        <v>2604</v>
      </c>
      <c r="B795" s="10">
        <v>45623</v>
      </c>
      <c r="C795" s="12" t="s">
        <v>719</v>
      </c>
      <c r="D795" s="12" t="s">
        <v>1604</v>
      </c>
      <c r="E795" s="12" t="s">
        <v>1761</v>
      </c>
      <c r="F795" s="11">
        <v>1</v>
      </c>
      <c r="G795" s="12">
        <v>974.47</v>
      </c>
      <c r="H795" s="9">
        <v>0.05</v>
      </c>
      <c r="I795" s="12" t="s">
        <v>1824</v>
      </c>
      <c r="J795" s="9">
        <v>925.74649999999997</v>
      </c>
    </row>
    <row r="796" spans="1:10" x14ac:dyDescent="0.3">
      <c r="A796" s="22" t="s">
        <v>2605</v>
      </c>
      <c r="B796" s="10">
        <v>45340</v>
      </c>
      <c r="C796" s="12" t="s">
        <v>247</v>
      </c>
      <c r="D796" s="12" t="s">
        <v>1549</v>
      </c>
      <c r="E796" s="12" t="s">
        <v>1769</v>
      </c>
      <c r="F796" s="11">
        <v>2</v>
      </c>
      <c r="G796" s="12">
        <v>803.3</v>
      </c>
      <c r="H796" s="9">
        <v>0.17</v>
      </c>
      <c r="I796" s="12" t="s">
        <v>1824</v>
      </c>
      <c r="J796" s="9">
        <v>1333.4780000000001</v>
      </c>
    </row>
    <row r="797" spans="1:10" x14ac:dyDescent="0.3">
      <c r="A797" s="22" t="s">
        <v>2606</v>
      </c>
      <c r="B797" s="10">
        <v>45447</v>
      </c>
      <c r="C797" s="12" t="s">
        <v>63</v>
      </c>
      <c r="D797" s="12" t="s">
        <v>1549</v>
      </c>
      <c r="E797" s="12" t="s">
        <v>1789</v>
      </c>
      <c r="F797" s="11">
        <v>4</v>
      </c>
      <c r="G797" s="12">
        <v>863.87</v>
      </c>
      <c r="H797" s="9">
        <v>0.21</v>
      </c>
      <c r="I797" s="12" t="s">
        <v>1829</v>
      </c>
      <c r="J797" s="9">
        <v>2729.8292000000001</v>
      </c>
    </row>
    <row r="798" spans="1:10" x14ac:dyDescent="0.3">
      <c r="A798" s="22" t="s">
        <v>2607</v>
      </c>
      <c r="B798" s="10">
        <v>45513</v>
      </c>
      <c r="C798" s="12" t="s">
        <v>1446</v>
      </c>
      <c r="D798" s="12" t="s">
        <v>1708</v>
      </c>
      <c r="E798" s="12" t="s">
        <v>1810</v>
      </c>
      <c r="F798" s="11">
        <v>1</v>
      </c>
      <c r="G798" s="12">
        <v>450.11</v>
      </c>
      <c r="H798" s="9">
        <v>0.17</v>
      </c>
      <c r="I798" s="12" t="s">
        <v>1824</v>
      </c>
      <c r="J798" s="9">
        <v>373.59129999999999</v>
      </c>
    </row>
    <row r="799" spans="1:10" x14ac:dyDescent="0.3">
      <c r="A799" s="22" t="s">
        <v>2608</v>
      </c>
      <c r="B799" s="10">
        <v>45486</v>
      </c>
      <c r="C799" s="12" t="s">
        <v>740</v>
      </c>
      <c r="D799" s="12" t="s">
        <v>1684</v>
      </c>
      <c r="E799" s="12" t="s">
        <v>1797</v>
      </c>
      <c r="F799" s="11">
        <v>1</v>
      </c>
      <c r="G799" s="12">
        <v>289.82</v>
      </c>
      <c r="H799" s="9">
        <v>0.18</v>
      </c>
      <c r="I799" s="12" t="s">
        <v>1829</v>
      </c>
      <c r="J799" s="9">
        <v>237.6524</v>
      </c>
    </row>
    <row r="800" spans="1:10" x14ac:dyDescent="0.3">
      <c r="A800" s="22" t="s">
        <v>2609</v>
      </c>
      <c r="B800" s="10">
        <v>45890</v>
      </c>
      <c r="C800" s="12" t="s">
        <v>1050</v>
      </c>
      <c r="D800" s="12" t="s">
        <v>1656</v>
      </c>
      <c r="E800" s="12" t="s">
        <v>1789</v>
      </c>
      <c r="F800" s="11">
        <v>4</v>
      </c>
      <c r="G800" s="12">
        <v>250.64</v>
      </c>
      <c r="H800" s="9">
        <v>0.1</v>
      </c>
      <c r="I800" s="12" t="s">
        <v>1826</v>
      </c>
      <c r="J800" s="9">
        <v>902.30399999999997</v>
      </c>
    </row>
    <row r="801" spans="1:10" x14ac:dyDescent="0.3">
      <c r="A801" s="22" t="s">
        <v>2610</v>
      </c>
      <c r="B801" s="10">
        <v>45876</v>
      </c>
      <c r="C801" s="12" t="s">
        <v>911</v>
      </c>
      <c r="D801" s="12" t="s">
        <v>1686</v>
      </c>
      <c r="E801" s="12" t="s">
        <v>1813</v>
      </c>
      <c r="F801" s="11">
        <v>4</v>
      </c>
      <c r="G801" s="12">
        <v>373.49</v>
      </c>
      <c r="H801" s="9">
        <v>0.16</v>
      </c>
      <c r="I801" s="12" t="s">
        <v>1829</v>
      </c>
      <c r="J801" s="9">
        <v>1254.9264000000001</v>
      </c>
    </row>
    <row r="802" spans="1:10" x14ac:dyDescent="0.3">
      <c r="A802" s="22" t="s">
        <v>2611</v>
      </c>
      <c r="B802" s="10">
        <v>45398</v>
      </c>
      <c r="C802" s="12" t="s">
        <v>244</v>
      </c>
      <c r="D802" s="12" t="s">
        <v>1551</v>
      </c>
      <c r="E802" s="12" t="s">
        <v>1786</v>
      </c>
      <c r="F802" s="11">
        <v>4</v>
      </c>
      <c r="G802" s="12">
        <v>348.91</v>
      </c>
      <c r="H802" s="9">
        <v>0.18</v>
      </c>
      <c r="I802" s="12" t="s">
        <v>1826</v>
      </c>
      <c r="J802" s="9">
        <v>1144.4248</v>
      </c>
    </row>
    <row r="803" spans="1:10" x14ac:dyDescent="0.3">
      <c r="A803" s="22" t="s">
        <v>2612</v>
      </c>
      <c r="B803" s="10">
        <v>45390</v>
      </c>
      <c r="C803" s="12" t="s">
        <v>387</v>
      </c>
      <c r="D803" s="12" t="s">
        <v>1736</v>
      </c>
      <c r="E803" s="12" t="s">
        <v>1807</v>
      </c>
      <c r="F803" s="11">
        <v>4</v>
      </c>
      <c r="G803" s="12">
        <v>212.96</v>
      </c>
      <c r="H803" s="9">
        <v>0.17</v>
      </c>
      <c r="I803" s="12" t="s">
        <v>1824</v>
      </c>
      <c r="J803" s="9">
        <v>707.02719999999999</v>
      </c>
    </row>
    <row r="804" spans="1:10" x14ac:dyDescent="0.3">
      <c r="A804" s="22" t="s">
        <v>2613</v>
      </c>
      <c r="B804" s="10">
        <v>45406</v>
      </c>
      <c r="C804" s="12" t="s">
        <v>625</v>
      </c>
      <c r="D804" s="12" t="s">
        <v>1602</v>
      </c>
      <c r="E804" s="12" t="s">
        <v>1813</v>
      </c>
      <c r="F804" s="11">
        <v>3</v>
      </c>
      <c r="G804" s="12">
        <v>871.34</v>
      </c>
      <c r="H804" s="9">
        <v>0.11</v>
      </c>
      <c r="I804" s="12" t="s">
        <v>1829</v>
      </c>
      <c r="J804" s="9">
        <v>2326.4778000000001</v>
      </c>
    </row>
    <row r="805" spans="1:10" x14ac:dyDescent="0.3">
      <c r="A805" s="22" t="s">
        <v>2614</v>
      </c>
      <c r="B805" s="10">
        <v>45844</v>
      </c>
      <c r="C805" s="12" t="s">
        <v>356</v>
      </c>
      <c r="D805" s="12" t="s">
        <v>1736</v>
      </c>
      <c r="E805" s="12" t="s">
        <v>1752</v>
      </c>
      <c r="F805" s="11">
        <v>2</v>
      </c>
      <c r="G805" s="12">
        <v>698.94</v>
      </c>
      <c r="H805" s="9">
        <v>0.06</v>
      </c>
      <c r="I805" s="12" t="s">
        <v>1824</v>
      </c>
      <c r="J805" s="9">
        <v>1314.0072</v>
      </c>
    </row>
    <row r="806" spans="1:10" x14ac:dyDescent="0.3">
      <c r="A806" s="22" t="s">
        <v>2615</v>
      </c>
      <c r="B806" s="10">
        <v>45697</v>
      </c>
      <c r="C806" s="12" t="s">
        <v>996</v>
      </c>
      <c r="D806" s="12" t="s">
        <v>1696</v>
      </c>
      <c r="E806" s="12" t="s">
        <v>1752</v>
      </c>
      <c r="F806" s="11">
        <v>1</v>
      </c>
      <c r="G806" s="12">
        <v>719.94</v>
      </c>
      <c r="H806" s="9">
        <v>0.23</v>
      </c>
      <c r="I806" s="12" t="s">
        <v>1829</v>
      </c>
      <c r="J806" s="9">
        <v>554.35380000000009</v>
      </c>
    </row>
    <row r="807" spans="1:10" x14ac:dyDescent="0.3">
      <c r="A807" s="22" t="s">
        <v>2616</v>
      </c>
      <c r="B807" s="10">
        <v>45607</v>
      </c>
      <c r="C807" s="12" t="s">
        <v>36</v>
      </c>
      <c r="D807" s="12" t="s">
        <v>1604</v>
      </c>
      <c r="E807" s="12" t="s">
        <v>1769</v>
      </c>
      <c r="F807" s="11">
        <v>2</v>
      </c>
      <c r="G807" s="12">
        <v>278.16000000000003</v>
      </c>
      <c r="H807" s="9">
        <v>0.22</v>
      </c>
      <c r="I807" s="12" t="s">
        <v>1826</v>
      </c>
      <c r="J807" s="9">
        <v>433.92960000000011</v>
      </c>
    </row>
    <row r="808" spans="1:10" x14ac:dyDescent="0.3">
      <c r="A808" s="22" t="s">
        <v>2617</v>
      </c>
      <c r="B808" s="10">
        <v>45307</v>
      </c>
      <c r="C808" s="12" t="s">
        <v>202</v>
      </c>
      <c r="D808" s="12" t="s">
        <v>1646</v>
      </c>
      <c r="E808" s="12" t="s">
        <v>1773</v>
      </c>
      <c r="F808" s="11">
        <v>1</v>
      </c>
      <c r="G808" s="12">
        <v>678.9</v>
      </c>
      <c r="H808" s="9">
        <v>0.17</v>
      </c>
      <c r="I808" s="12" t="s">
        <v>1824</v>
      </c>
      <c r="J808" s="9">
        <v>563.48699999999997</v>
      </c>
    </row>
    <row r="809" spans="1:10" x14ac:dyDescent="0.3">
      <c r="A809" s="22" t="s">
        <v>2618</v>
      </c>
      <c r="B809" s="10">
        <v>45520</v>
      </c>
      <c r="C809" s="12" t="s">
        <v>71</v>
      </c>
      <c r="D809" s="12" t="s">
        <v>1598</v>
      </c>
      <c r="E809" s="12" t="s">
        <v>1801</v>
      </c>
      <c r="F809" s="11">
        <v>4</v>
      </c>
      <c r="G809" s="12">
        <v>94.13</v>
      </c>
      <c r="H809" s="9">
        <v>0.15</v>
      </c>
      <c r="I809" s="12" t="s">
        <v>1824</v>
      </c>
      <c r="J809" s="9">
        <v>320.04199999999997</v>
      </c>
    </row>
    <row r="810" spans="1:10" x14ac:dyDescent="0.3">
      <c r="A810" s="22" t="s">
        <v>2619</v>
      </c>
      <c r="B810" s="10">
        <v>45933</v>
      </c>
      <c r="C810" s="12" t="s">
        <v>1365</v>
      </c>
      <c r="D810" s="12" t="s">
        <v>1636</v>
      </c>
      <c r="E810" s="12" t="s">
        <v>1757</v>
      </c>
      <c r="F810" s="11">
        <v>4</v>
      </c>
      <c r="G810" s="12">
        <v>415.02</v>
      </c>
      <c r="H810" s="9">
        <v>0.01</v>
      </c>
      <c r="I810" s="12" t="s">
        <v>1826</v>
      </c>
      <c r="J810" s="9">
        <v>1643.4792</v>
      </c>
    </row>
    <row r="811" spans="1:10" x14ac:dyDescent="0.3">
      <c r="A811" s="22" t="s">
        <v>2620</v>
      </c>
      <c r="B811" s="10">
        <v>45841</v>
      </c>
      <c r="C811" s="12" t="s">
        <v>195</v>
      </c>
      <c r="D811" s="12" t="s">
        <v>1570</v>
      </c>
      <c r="E811" s="12" t="s">
        <v>1769</v>
      </c>
      <c r="F811" s="11">
        <v>4</v>
      </c>
      <c r="G811" s="12">
        <v>780.07</v>
      </c>
      <c r="H811" s="9">
        <v>0.03</v>
      </c>
      <c r="I811" s="12" t="s">
        <v>1824</v>
      </c>
      <c r="J811" s="9">
        <v>3026.6716000000001</v>
      </c>
    </row>
    <row r="812" spans="1:10" x14ac:dyDescent="0.3">
      <c r="A812" s="22" t="s">
        <v>2621</v>
      </c>
      <c r="B812" s="10">
        <v>45877</v>
      </c>
      <c r="C812" s="12" t="s">
        <v>1328</v>
      </c>
      <c r="D812" s="12" t="s">
        <v>1622</v>
      </c>
      <c r="E812" s="12" t="s">
        <v>1801</v>
      </c>
      <c r="F812" s="11">
        <v>4</v>
      </c>
      <c r="G812" s="12">
        <v>184.57</v>
      </c>
      <c r="H812" s="9">
        <v>0.28000000000000003</v>
      </c>
      <c r="I812" s="12" t="s">
        <v>1824</v>
      </c>
      <c r="J812" s="9">
        <v>531.5616</v>
      </c>
    </row>
    <row r="813" spans="1:10" x14ac:dyDescent="0.3">
      <c r="A813" s="22" t="s">
        <v>2622</v>
      </c>
      <c r="B813" s="10">
        <v>45532</v>
      </c>
      <c r="C813" s="12" t="s">
        <v>911</v>
      </c>
      <c r="D813" s="12" t="s">
        <v>1678</v>
      </c>
      <c r="E813" s="12" t="s">
        <v>1769</v>
      </c>
      <c r="F813" s="11">
        <v>4</v>
      </c>
      <c r="G813" s="12">
        <v>277.58</v>
      </c>
      <c r="H813" s="9">
        <v>0.22</v>
      </c>
      <c r="I813" s="12" t="s">
        <v>1826</v>
      </c>
      <c r="J813" s="9">
        <v>866.04959999999994</v>
      </c>
    </row>
    <row r="814" spans="1:10" x14ac:dyDescent="0.3">
      <c r="A814" s="22" t="s">
        <v>2623</v>
      </c>
      <c r="B814" s="10">
        <v>45734</v>
      </c>
      <c r="C814" s="12" t="s">
        <v>369</v>
      </c>
      <c r="D814" s="12" t="s">
        <v>1610</v>
      </c>
      <c r="E814" s="12" t="s">
        <v>1766</v>
      </c>
      <c r="F814" s="11">
        <v>1</v>
      </c>
      <c r="G814" s="12">
        <v>36.799999999999997</v>
      </c>
      <c r="H814" s="9">
        <v>0.18</v>
      </c>
      <c r="I814" s="12" t="s">
        <v>1824</v>
      </c>
      <c r="J814" s="9">
        <v>30.175999999999998</v>
      </c>
    </row>
    <row r="815" spans="1:10" x14ac:dyDescent="0.3">
      <c r="A815" s="22" t="s">
        <v>2624</v>
      </c>
      <c r="B815" s="10">
        <v>45809</v>
      </c>
      <c r="C815" s="12" t="s">
        <v>1115</v>
      </c>
      <c r="D815" s="12" t="s">
        <v>1724</v>
      </c>
      <c r="E815" s="12" t="s">
        <v>1776</v>
      </c>
      <c r="F815" s="11">
        <v>1</v>
      </c>
      <c r="G815" s="12">
        <v>539.37</v>
      </c>
      <c r="H815" s="9">
        <v>0.14000000000000001</v>
      </c>
      <c r="I815" s="12" t="s">
        <v>1824</v>
      </c>
      <c r="J815" s="9">
        <v>463.85820000000001</v>
      </c>
    </row>
    <row r="816" spans="1:10" x14ac:dyDescent="0.3">
      <c r="A816" s="22" t="s">
        <v>2625</v>
      </c>
      <c r="B816" s="10">
        <v>45760</v>
      </c>
      <c r="C816" s="12" t="s">
        <v>321</v>
      </c>
      <c r="D816" s="12" t="s">
        <v>1588</v>
      </c>
      <c r="E816" s="12" t="s">
        <v>1810</v>
      </c>
      <c r="F816" s="11">
        <v>1</v>
      </c>
      <c r="G816" s="12">
        <v>27.83</v>
      </c>
      <c r="H816" s="9">
        <v>0.3</v>
      </c>
      <c r="I816" s="12" t="s">
        <v>1826</v>
      </c>
      <c r="J816" s="9">
        <v>19.481000000000002</v>
      </c>
    </row>
    <row r="817" spans="1:10" x14ac:dyDescent="0.3">
      <c r="A817" s="22" t="s">
        <v>2626</v>
      </c>
      <c r="B817" s="10">
        <v>45456</v>
      </c>
      <c r="C817" s="12" t="s">
        <v>899</v>
      </c>
      <c r="D817" s="12" t="s">
        <v>1688</v>
      </c>
      <c r="E817" s="12" t="s">
        <v>1769</v>
      </c>
      <c r="F817" s="11">
        <v>3</v>
      </c>
      <c r="G817" s="12">
        <v>698.72</v>
      </c>
      <c r="H817" s="9">
        <v>0.28000000000000003</v>
      </c>
      <c r="I817" s="12" t="s">
        <v>1829</v>
      </c>
      <c r="J817" s="9">
        <v>1509.2352000000001</v>
      </c>
    </row>
    <row r="818" spans="1:10" x14ac:dyDescent="0.3">
      <c r="A818" s="22" t="s">
        <v>2627</v>
      </c>
      <c r="B818" s="10">
        <v>45698</v>
      </c>
      <c r="C818" s="12" t="s">
        <v>59</v>
      </c>
      <c r="D818" s="12" t="s">
        <v>1700</v>
      </c>
      <c r="E818" s="12" t="s">
        <v>1797</v>
      </c>
      <c r="F818" s="11">
        <v>4</v>
      </c>
      <c r="G818" s="12">
        <v>528.23</v>
      </c>
      <c r="H818" s="9">
        <v>0.15</v>
      </c>
      <c r="I818" s="12" t="s">
        <v>1829</v>
      </c>
      <c r="J818" s="9">
        <v>1795.982</v>
      </c>
    </row>
    <row r="819" spans="1:10" x14ac:dyDescent="0.3">
      <c r="A819" s="22" t="s">
        <v>2628</v>
      </c>
      <c r="B819" s="10">
        <v>45548</v>
      </c>
      <c r="C819" s="12" t="s">
        <v>1513</v>
      </c>
      <c r="D819" s="12" t="s">
        <v>1640</v>
      </c>
      <c r="E819" s="12" t="s">
        <v>1804</v>
      </c>
      <c r="F819" s="11">
        <v>2</v>
      </c>
      <c r="G819" s="12">
        <v>780.9</v>
      </c>
      <c r="H819" s="9">
        <v>0.24</v>
      </c>
      <c r="I819" s="12" t="s">
        <v>1826</v>
      </c>
      <c r="J819" s="9">
        <v>1186.9680000000001</v>
      </c>
    </row>
    <row r="820" spans="1:10" x14ac:dyDescent="0.3">
      <c r="A820" s="22" t="s">
        <v>2629</v>
      </c>
      <c r="B820" s="10">
        <v>45236</v>
      </c>
      <c r="C820" s="12" t="s">
        <v>595</v>
      </c>
      <c r="D820" s="12" t="s">
        <v>1590</v>
      </c>
      <c r="E820" s="12" t="s">
        <v>1799</v>
      </c>
      <c r="F820" s="11">
        <v>1</v>
      </c>
      <c r="G820" s="12">
        <v>977.97</v>
      </c>
      <c r="H820" s="9">
        <v>0.06</v>
      </c>
      <c r="I820" s="12" t="s">
        <v>1829</v>
      </c>
      <c r="J820" s="9">
        <v>919.29179999999997</v>
      </c>
    </row>
    <row r="821" spans="1:10" x14ac:dyDescent="0.3">
      <c r="A821" s="22" t="s">
        <v>2630</v>
      </c>
      <c r="B821" s="10">
        <v>45310</v>
      </c>
      <c r="C821" s="12" t="s">
        <v>1154</v>
      </c>
      <c r="D821" s="12" t="s">
        <v>1714</v>
      </c>
      <c r="E821" s="12" t="s">
        <v>1794</v>
      </c>
      <c r="F821" s="11">
        <v>4</v>
      </c>
      <c r="G821" s="12">
        <v>354.65</v>
      </c>
      <c r="H821" s="9">
        <v>0.19</v>
      </c>
      <c r="I821" s="12" t="s">
        <v>1824</v>
      </c>
      <c r="J821" s="9">
        <v>1149.066</v>
      </c>
    </row>
    <row r="822" spans="1:10" x14ac:dyDescent="0.3">
      <c r="A822" s="22" t="s">
        <v>2631</v>
      </c>
      <c r="B822" s="10">
        <v>45376</v>
      </c>
      <c r="C822" s="12" t="s">
        <v>899</v>
      </c>
      <c r="D822" s="12" t="s">
        <v>1684</v>
      </c>
      <c r="E822" s="12" t="s">
        <v>1813</v>
      </c>
      <c r="F822" s="11">
        <v>1</v>
      </c>
      <c r="G822" s="12">
        <v>671.62</v>
      </c>
      <c r="H822" s="9">
        <v>0.09</v>
      </c>
      <c r="I822" s="12" t="s">
        <v>1829</v>
      </c>
      <c r="J822" s="9">
        <v>611.17420000000004</v>
      </c>
    </row>
    <row r="823" spans="1:10" x14ac:dyDescent="0.3">
      <c r="A823" s="22" t="s">
        <v>2632</v>
      </c>
      <c r="B823" s="10">
        <v>45914</v>
      </c>
      <c r="C823" s="12" t="s">
        <v>999</v>
      </c>
      <c r="D823" s="12" t="s">
        <v>1712</v>
      </c>
      <c r="E823" s="12" t="s">
        <v>1766</v>
      </c>
      <c r="F823" s="11">
        <v>1</v>
      </c>
      <c r="G823" s="12">
        <v>867.32</v>
      </c>
      <c r="H823" s="9">
        <v>0.28999999999999998</v>
      </c>
      <c r="I823" s="12" t="s">
        <v>1826</v>
      </c>
      <c r="J823" s="9">
        <v>615.79719999999998</v>
      </c>
    </row>
    <row r="824" spans="1:10" x14ac:dyDescent="0.3">
      <c r="A824" s="22" t="s">
        <v>2633</v>
      </c>
      <c r="B824" s="10">
        <v>45336</v>
      </c>
      <c r="C824" s="12" t="s">
        <v>295</v>
      </c>
      <c r="D824" s="12" t="s">
        <v>1568</v>
      </c>
      <c r="E824" s="12" t="s">
        <v>1794</v>
      </c>
      <c r="F824" s="11">
        <v>3</v>
      </c>
      <c r="G824" s="12">
        <v>240.27</v>
      </c>
      <c r="H824" s="9">
        <v>0.15</v>
      </c>
      <c r="I824" s="12" t="s">
        <v>1826</v>
      </c>
      <c r="J824" s="9">
        <v>612.68850000000009</v>
      </c>
    </row>
    <row r="825" spans="1:10" x14ac:dyDescent="0.3">
      <c r="A825" s="22" t="s">
        <v>2634</v>
      </c>
      <c r="B825" s="10">
        <v>45728</v>
      </c>
      <c r="C825" s="12" t="s">
        <v>275</v>
      </c>
      <c r="D825" s="12" t="s">
        <v>1604</v>
      </c>
      <c r="E825" s="12" t="s">
        <v>1804</v>
      </c>
      <c r="F825" s="11">
        <v>2</v>
      </c>
      <c r="G825" s="12">
        <v>619.12</v>
      </c>
      <c r="H825" s="9">
        <v>0.28000000000000003</v>
      </c>
      <c r="I825" s="12" t="s">
        <v>1829</v>
      </c>
      <c r="J825" s="9">
        <v>891.53279999999995</v>
      </c>
    </row>
    <row r="826" spans="1:10" x14ac:dyDescent="0.3">
      <c r="A826" s="22" t="s">
        <v>2635</v>
      </c>
      <c r="B826" s="10">
        <v>45755</v>
      </c>
      <c r="C826" s="12" t="s">
        <v>693</v>
      </c>
      <c r="D826" s="12" t="s">
        <v>1722</v>
      </c>
      <c r="E826" s="12" t="s">
        <v>1752</v>
      </c>
      <c r="F826" s="11">
        <v>3</v>
      </c>
      <c r="G826" s="12">
        <v>693.42</v>
      </c>
      <c r="H826" s="9">
        <v>0.08</v>
      </c>
      <c r="I826" s="12" t="s">
        <v>1826</v>
      </c>
      <c r="J826" s="9">
        <v>1913.8391999999999</v>
      </c>
    </row>
    <row r="827" spans="1:10" x14ac:dyDescent="0.3">
      <c r="A827" s="22" t="s">
        <v>2636</v>
      </c>
      <c r="B827" s="10">
        <v>45695</v>
      </c>
      <c r="C827" s="12" t="s">
        <v>381</v>
      </c>
      <c r="D827" s="12" t="s">
        <v>1644</v>
      </c>
      <c r="E827" s="12" t="s">
        <v>1789</v>
      </c>
      <c r="F827" s="11">
        <v>4</v>
      </c>
      <c r="G827" s="12">
        <v>751.63</v>
      </c>
      <c r="H827" s="9">
        <v>0.28000000000000003</v>
      </c>
      <c r="I827" s="12" t="s">
        <v>1829</v>
      </c>
      <c r="J827" s="9">
        <v>2164.6943999999999</v>
      </c>
    </row>
    <row r="828" spans="1:10" x14ac:dyDescent="0.3">
      <c r="A828" s="22" t="s">
        <v>2637</v>
      </c>
      <c r="B828" s="10">
        <v>45380</v>
      </c>
      <c r="C828" s="12" t="s">
        <v>387</v>
      </c>
      <c r="D828" s="12" t="s">
        <v>1610</v>
      </c>
      <c r="E828" s="12" t="s">
        <v>1801</v>
      </c>
      <c r="F828" s="11">
        <v>3</v>
      </c>
      <c r="G828" s="12">
        <v>108.14</v>
      </c>
      <c r="H828" s="9">
        <v>0.19</v>
      </c>
      <c r="I828" s="12" t="s">
        <v>1829</v>
      </c>
      <c r="J828" s="9">
        <v>262.78019999999998</v>
      </c>
    </row>
    <row r="829" spans="1:10" x14ac:dyDescent="0.3">
      <c r="A829" s="22" t="s">
        <v>2638</v>
      </c>
      <c r="B829" s="10">
        <v>45446</v>
      </c>
      <c r="C829" s="12" t="s">
        <v>818</v>
      </c>
      <c r="D829" s="12" t="s">
        <v>1602</v>
      </c>
      <c r="E829" s="12" t="s">
        <v>1769</v>
      </c>
      <c r="F829" s="11">
        <v>1</v>
      </c>
      <c r="G829" s="12">
        <v>964.11</v>
      </c>
      <c r="H829" s="9">
        <v>0.17</v>
      </c>
      <c r="I829" s="12" t="s">
        <v>1829</v>
      </c>
      <c r="J829" s="9">
        <v>800.21129999999994</v>
      </c>
    </row>
    <row r="830" spans="1:10" x14ac:dyDescent="0.3">
      <c r="A830" s="22" t="s">
        <v>2639</v>
      </c>
      <c r="B830" s="10">
        <v>45525</v>
      </c>
      <c r="C830" s="12" t="s">
        <v>449</v>
      </c>
      <c r="D830" s="12" t="s">
        <v>1586</v>
      </c>
      <c r="E830" s="12" t="s">
        <v>1752</v>
      </c>
      <c r="F830" s="11">
        <v>1</v>
      </c>
      <c r="G830" s="12">
        <v>346.2</v>
      </c>
      <c r="H830" s="9">
        <v>0.28999999999999998</v>
      </c>
      <c r="I830" s="12" t="s">
        <v>1824</v>
      </c>
      <c r="J830" s="9">
        <v>245.80199999999999</v>
      </c>
    </row>
    <row r="831" spans="1:10" x14ac:dyDescent="0.3">
      <c r="A831" s="22" t="s">
        <v>2640</v>
      </c>
      <c r="B831" s="10">
        <v>45527</v>
      </c>
      <c r="C831" s="12" t="s">
        <v>1411</v>
      </c>
      <c r="D831" s="12" t="s">
        <v>1634</v>
      </c>
      <c r="E831" s="12" t="s">
        <v>1801</v>
      </c>
      <c r="F831" s="11">
        <v>3</v>
      </c>
      <c r="G831" s="12">
        <v>791.75</v>
      </c>
      <c r="H831" s="9">
        <v>0.28999999999999998</v>
      </c>
      <c r="I831" s="12" t="s">
        <v>1824</v>
      </c>
      <c r="J831" s="9">
        <v>1686.4275</v>
      </c>
    </row>
    <row r="832" spans="1:10" x14ac:dyDescent="0.3">
      <c r="A832" s="22" t="s">
        <v>2641</v>
      </c>
      <c r="B832" s="10">
        <v>45265</v>
      </c>
      <c r="C832" s="12" t="s">
        <v>1005</v>
      </c>
      <c r="D832" s="12" t="s">
        <v>1626</v>
      </c>
      <c r="E832" s="12" t="s">
        <v>1797</v>
      </c>
      <c r="F832" s="11">
        <v>1</v>
      </c>
      <c r="G832" s="12">
        <v>529.84</v>
      </c>
      <c r="H832" s="9">
        <v>0.13</v>
      </c>
      <c r="I832" s="12" t="s">
        <v>1826</v>
      </c>
      <c r="J832" s="9">
        <v>460.96080000000001</v>
      </c>
    </row>
    <row r="833" spans="1:10" x14ac:dyDescent="0.3">
      <c r="A833" s="22" t="s">
        <v>2642</v>
      </c>
      <c r="B833" s="10">
        <v>45936</v>
      </c>
      <c r="C833" s="12" t="s">
        <v>1452</v>
      </c>
      <c r="D833" s="12" t="s">
        <v>1656</v>
      </c>
      <c r="E833" s="12" t="s">
        <v>1766</v>
      </c>
      <c r="F833" s="11">
        <v>3</v>
      </c>
      <c r="G833" s="12">
        <v>582.57000000000005</v>
      </c>
      <c r="H833" s="9">
        <v>0.11</v>
      </c>
      <c r="I833" s="12" t="s">
        <v>1826</v>
      </c>
      <c r="J833" s="9">
        <v>1555.4619</v>
      </c>
    </row>
    <row r="834" spans="1:10" x14ac:dyDescent="0.3">
      <c r="A834" s="22" t="s">
        <v>2643</v>
      </c>
      <c r="B834" s="10">
        <v>45242</v>
      </c>
      <c r="C834" s="12" t="s">
        <v>687</v>
      </c>
      <c r="D834" s="12" t="s">
        <v>1738</v>
      </c>
      <c r="E834" s="12" t="s">
        <v>1807</v>
      </c>
      <c r="F834" s="11">
        <v>1</v>
      </c>
      <c r="G834" s="12">
        <v>219.81</v>
      </c>
      <c r="H834" s="9">
        <v>0.22</v>
      </c>
      <c r="I834" s="12" t="s">
        <v>1829</v>
      </c>
      <c r="J834" s="9">
        <v>171.45179999999999</v>
      </c>
    </row>
    <row r="835" spans="1:10" x14ac:dyDescent="0.3">
      <c r="A835" s="22" t="s">
        <v>2644</v>
      </c>
      <c r="B835" s="10">
        <v>45437</v>
      </c>
      <c r="C835" s="12" t="s">
        <v>1527</v>
      </c>
      <c r="D835" s="12" t="s">
        <v>1688</v>
      </c>
      <c r="E835" s="12" t="s">
        <v>1810</v>
      </c>
      <c r="F835" s="11">
        <v>4</v>
      </c>
      <c r="G835" s="12">
        <v>883.31</v>
      </c>
      <c r="H835" s="9">
        <v>0.27</v>
      </c>
      <c r="I835" s="12" t="s">
        <v>1824</v>
      </c>
      <c r="J835" s="9">
        <v>2579.2651999999998</v>
      </c>
    </row>
    <row r="836" spans="1:10" x14ac:dyDescent="0.3">
      <c r="A836" s="22" t="s">
        <v>2645</v>
      </c>
      <c r="B836" s="10">
        <v>45627</v>
      </c>
      <c r="C836" s="12" t="s">
        <v>752</v>
      </c>
      <c r="D836" s="12" t="s">
        <v>1582</v>
      </c>
      <c r="E836" s="12" t="s">
        <v>1799</v>
      </c>
      <c r="F836" s="11">
        <v>4</v>
      </c>
      <c r="G836" s="12">
        <v>329.06</v>
      </c>
      <c r="H836" s="9">
        <v>0.04</v>
      </c>
      <c r="I836" s="12" t="s">
        <v>1829</v>
      </c>
      <c r="J836" s="9">
        <v>1263.5904</v>
      </c>
    </row>
    <row r="837" spans="1:10" x14ac:dyDescent="0.3">
      <c r="A837" s="22" t="s">
        <v>2646</v>
      </c>
      <c r="B837" s="10">
        <v>45678</v>
      </c>
      <c r="C837" s="12" t="s">
        <v>372</v>
      </c>
      <c r="D837" s="12" t="s">
        <v>1684</v>
      </c>
      <c r="E837" s="12" t="s">
        <v>1792</v>
      </c>
      <c r="F837" s="11">
        <v>1</v>
      </c>
      <c r="G837" s="12">
        <v>935.78</v>
      </c>
      <c r="H837" s="9">
        <v>0.03</v>
      </c>
      <c r="I837" s="12" t="s">
        <v>1826</v>
      </c>
      <c r="J837" s="9">
        <v>907.70659999999998</v>
      </c>
    </row>
    <row r="838" spans="1:10" x14ac:dyDescent="0.3">
      <c r="A838" s="22" t="s">
        <v>2647</v>
      </c>
      <c r="B838" s="10">
        <v>45484</v>
      </c>
      <c r="C838" s="12" t="s">
        <v>1008</v>
      </c>
      <c r="D838" s="12" t="s">
        <v>1668</v>
      </c>
      <c r="E838" s="12" t="s">
        <v>1789</v>
      </c>
      <c r="F838" s="11">
        <v>4</v>
      </c>
      <c r="G838" s="12">
        <v>597.79999999999995</v>
      </c>
      <c r="H838" s="9">
        <v>0.2</v>
      </c>
      <c r="I838" s="12" t="s">
        <v>1824</v>
      </c>
      <c r="J838" s="9">
        <v>1912.96</v>
      </c>
    </row>
    <row r="839" spans="1:10" x14ac:dyDescent="0.3">
      <c r="A839" s="22" t="s">
        <v>2648</v>
      </c>
      <c r="B839" s="10">
        <v>45700</v>
      </c>
      <c r="C839" s="12" t="s">
        <v>827</v>
      </c>
      <c r="D839" s="12" t="s">
        <v>1574</v>
      </c>
      <c r="E839" s="12" t="s">
        <v>1810</v>
      </c>
      <c r="F839" s="11">
        <v>4</v>
      </c>
      <c r="G839" s="12">
        <v>266.98</v>
      </c>
      <c r="H839" s="9">
        <v>0.16</v>
      </c>
      <c r="I839" s="12" t="s">
        <v>1824</v>
      </c>
      <c r="J839" s="9">
        <v>897.05280000000005</v>
      </c>
    </row>
    <row r="840" spans="1:10" x14ac:dyDescent="0.3">
      <c r="A840" s="22" t="s">
        <v>2649</v>
      </c>
      <c r="B840" s="10">
        <v>45873</v>
      </c>
      <c r="C840" s="12" t="s">
        <v>1266</v>
      </c>
      <c r="D840" s="12" t="s">
        <v>1688</v>
      </c>
      <c r="E840" s="12" t="s">
        <v>1801</v>
      </c>
      <c r="F840" s="11">
        <v>3</v>
      </c>
      <c r="G840" s="12">
        <v>360.18</v>
      </c>
      <c r="H840" s="9">
        <v>0.03</v>
      </c>
      <c r="I840" s="12" t="s">
        <v>1824</v>
      </c>
      <c r="J840" s="9">
        <v>1048.1238000000001</v>
      </c>
    </row>
    <row r="841" spans="1:10" x14ac:dyDescent="0.3">
      <c r="A841" s="22" t="s">
        <v>2650</v>
      </c>
      <c r="B841" s="10">
        <v>45860</v>
      </c>
      <c r="C841" s="12" t="s">
        <v>1136</v>
      </c>
      <c r="D841" s="12" t="s">
        <v>1660</v>
      </c>
      <c r="E841" s="12" t="s">
        <v>1752</v>
      </c>
      <c r="F841" s="11">
        <v>3</v>
      </c>
      <c r="G841" s="12">
        <v>247.41</v>
      </c>
      <c r="H841" s="9">
        <v>0.05</v>
      </c>
      <c r="I841" s="12" t="s">
        <v>1829</v>
      </c>
      <c r="J841" s="9">
        <v>705.11850000000004</v>
      </c>
    </row>
    <row r="842" spans="1:10" x14ac:dyDescent="0.3">
      <c r="A842" s="22" t="s">
        <v>2651</v>
      </c>
      <c r="B842" s="10">
        <v>45235</v>
      </c>
      <c r="C842" s="12" t="s">
        <v>284</v>
      </c>
      <c r="D842" s="12" t="s">
        <v>1638</v>
      </c>
      <c r="E842" s="12" t="s">
        <v>1801</v>
      </c>
      <c r="F842" s="11">
        <v>3</v>
      </c>
      <c r="G842" s="12">
        <v>674.66</v>
      </c>
      <c r="H842" s="9">
        <v>0.23</v>
      </c>
      <c r="I842" s="12" t="s">
        <v>1824</v>
      </c>
      <c r="J842" s="9">
        <v>1558.4646</v>
      </c>
    </row>
    <row r="843" spans="1:10" x14ac:dyDescent="0.3">
      <c r="A843" s="22" t="s">
        <v>2652</v>
      </c>
      <c r="B843" s="10">
        <v>45874</v>
      </c>
      <c r="C843" s="12" t="s">
        <v>1289</v>
      </c>
      <c r="D843" s="12" t="s">
        <v>1632</v>
      </c>
      <c r="E843" s="12" t="s">
        <v>1769</v>
      </c>
      <c r="F843" s="11">
        <v>1</v>
      </c>
      <c r="G843" s="12">
        <v>913.98</v>
      </c>
      <c r="H843" s="9">
        <v>0.27</v>
      </c>
      <c r="I843" s="12" t="s">
        <v>1826</v>
      </c>
      <c r="J843" s="9">
        <v>667.20539999999994</v>
      </c>
    </row>
    <row r="844" spans="1:10" x14ac:dyDescent="0.3">
      <c r="A844" s="22" t="s">
        <v>2653</v>
      </c>
      <c r="B844" s="10">
        <v>45769</v>
      </c>
      <c r="C844" s="12" t="s">
        <v>990</v>
      </c>
      <c r="D844" s="12" t="s">
        <v>1734</v>
      </c>
      <c r="E844" s="12" t="s">
        <v>1789</v>
      </c>
      <c r="F844" s="11">
        <v>4</v>
      </c>
      <c r="G844" s="12">
        <v>370.5</v>
      </c>
      <c r="H844" s="9">
        <v>0.13</v>
      </c>
      <c r="I844" s="12" t="s">
        <v>1826</v>
      </c>
      <c r="J844" s="9">
        <v>1289.3399999999999</v>
      </c>
    </row>
    <row r="845" spans="1:10" x14ac:dyDescent="0.3">
      <c r="A845" s="22" t="s">
        <v>2654</v>
      </c>
      <c r="B845" s="10">
        <v>45619</v>
      </c>
      <c r="C845" s="12" t="s">
        <v>1121</v>
      </c>
      <c r="D845" s="12" t="s">
        <v>1692</v>
      </c>
      <c r="E845" s="12" t="s">
        <v>1797</v>
      </c>
      <c r="F845" s="11">
        <v>1</v>
      </c>
      <c r="G845" s="12">
        <v>735.1</v>
      </c>
      <c r="H845" s="9">
        <v>0.1</v>
      </c>
      <c r="I845" s="12" t="s">
        <v>1826</v>
      </c>
      <c r="J845" s="9">
        <v>661.59</v>
      </c>
    </row>
    <row r="846" spans="1:10" x14ac:dyDescent="0.3">
      <c r="A846" s="22" t="s">
        <v>2655</v>
      </c>
      <c r="B846" s="10">
        <v>45614</v>
      </c>
      <c r="C846" s="12" t="s">
        <v>461</v>
      </c>
      <c r="D846" s="12" t="s">
        <v>1706</v>
      </c>
      <c r="E846" s="12" t="s">
        <v>1761</v>
      </c>
      <c r="F846" s="11">
        <v>3</v>
      </c>
      <c r="G846" s="12">
        <v>448.55</v>
      </c>
      <c r="H846" s="9">
        <v>0.05</v>
      </c>
      <c r="I846" s="12" t="s">
        <v>1824</v>
      </c>
      <c r="J846" s="9">
        <v>1278.3675000000001</v>
      </c>
    </row>
    <row r="847" spans="1:10" x14ac:dyDescent="0.3">
      <c r="A847" s="22" t="s">
        <v>2656</v>
      </c>
      <c r="B847" s="10">
        <v>45691</v>
      </c>
      <c r="C847" s="12" t="s">
        <v>221</v>
      </c>
      <c r="D847" s="12" t="s">
        <v>1716</v>
      </c>
      <c r="E847" s="12" t="s">
        <v>1797</v>
      </c>
      <c r="F847" s="11">
        <v>3</v>
      </c>
      <c r="G847" s="12">
        <v>904.96</v>
      </c>
      <c r="H847" s="9">
        <v>7.0000000000000007E-2</v>
      </c>
      <c r="I847" s="12" t="s">
        <v>1829</v>
      </c>
      <c r="J847" s="9">
        <v>2524.8384000000001</v>
      </c>
    </row>
    <row r="848" spans="1:10" x14ac:dyDescent="0.3">
      <c r="A848" s="22" t="s">
        <v>2657</v>
      </c>
      <c r="B848" s="10">
        <v>45608</v>
      </c>
      <c r="C848" s="12" t="s">
        <v>1187</v>
      </c>
      <c r="D848" s="12" t="s">
        <v>1684</v>
      </c>
      <c r="E848" s="12" t="s">
        <v>1797</v>
      </c>
      <c r="F848" s="11">
        <v>4</v>
      </c>
      <c r="G848" s="12">
        <v>408.72</v>
      </c>
      <c r="H848" s="9">
        <v>0.16</v>
      </c>
      <c r="I848" s="12" t="s">
        <v>1829</v>
      </c>
      <c r="J848" s="9">
        <v>1373.2991999999999</v>
      </c>
    </row>
    <row r="849" spans="1:10" x14ac:dyDescent="0.3">
      <c r="A849" s="22" t="s">
        <v>2658</v>
      </c>
      <c r="B849" s="10">
        <v>45412</v>
      </c>
      <c r="C849" s="12" t="s">
        <v>896</v>
      </c>
      <c r="D849" s="12" t="s">
        <v>1690</v>
      </c>
      <c r="E849" s="12" t="s">
        <v>1766</v>
      </c>
      <c r="F849" s="11">
        <v>4</v>
      </c>
      <c r="G849" s="12">
        <v>770.65</v>
      </c>
      <c r="H849" s="9">
        <v>0.27</v>
      </c>
      <c r="I849" s="12" t="s">
        <v>1824</v>
      </c>
      <c r="J849" s="9">
        <v>2250.2979999999998</v>
      </c>
    </row>
    <row r="850" spans="1:10" x14ac:dyDescent="0.3">
      <c r="A850" s="22" t="s">
        <v>2659</v>
      </c>
      <c r="B850" s="10">
        <v>45767</v>
      </c>
      <c r="C850" s="12" t="s">
        <v>663</v>
      </c>
      <c r="D850" s="12" t="s">
        <v>1608</v>
      </c>
      <c r="E850" s="12" t="s">
        <v>1776</v>
      </c>
      <c r="F850" s="11">
        <v>1</v>
      </c>
      <c r="G850" s="12">
        <v>649.22</v>
      </c>
      <c r="H850" s="9">
        <v>0.03</v>
      </c>
      <c r="I850" s="12" t="s">
        <v>1829</v>
      </c>
      <c r="J850" s="9">
        <v>629.74340000000007</v>
      </c>
    </row>
    <row r="851" spans="1:10" x14ac:dyDescent="0.3">
      <c r="A851" s="22" t="s">
        <v>2660</v>
      </c>
      <c r="B851" s="10">
        <v>45428</v>
      </c>
      <c r="C851" s="12" t="s">
        <v>1092</v>
      </c>
      <c r="D851" s="12" t="s">
        <v>1614</v>
      </c>
      <c r="E851" s="12" t="s">
        <v>1789</v>
      </c>
      <c r="F851" s="11">
        <v>2</v>
      </c>
      <c r="G851" s="12">
        <v>379.78</v>
      </c>
      <c r="H851" s="9">
        <v>0.2</v>
      </c>
      <c r="I851" s="12" t="s">
        <v>1824</v>
      </c>
      <c r="J851" s="9">
        <v>607.64800000000002</v>
      </c>
    </row>
    <row r="852" spans="1:10" x14ac:dyDescent="0.3">
      <c r="A852" s="22" t="s">
        <v>2661</v>
      </c>
      <c r="B852" s="10">
        <v>45770</v>
      </c>
      <c r="C852" s="12" t="s">
        <v>794</v>
      </c>
      <c r="D852" s="12" t="s">
        <v>1634</v>
      </c>
      <c r="E852" s="12" t="s">
        <v>1782</v>
      </c>
      <c r="F852" s="11">
        <v>3</v>
      </c>
      <c r="G852" s="12">
        <v>924.15</v>
      </c>
      <c r="H852" s="9">
        <v>0.1</v>
      </c>
      <c r="I852" s="12" t="s">
        <v>1826</v>
      </c>
      <c r="J852" s="9">
        <v>2495.2049999999999</v>
      </c>
    </row>
    <row r="853" spans="1:10" x14ac:dyDescent="0.3">
      <c r="A853" s="22" t="s">
        <v>2662</v>
      </c>
      <c r="B853" s="10">
        <v>45571</v>
      </c>
      <c r="C853" s="12" t="s">
        <v>1446</v>
      </c>
      <c r="D853" s="12" t="s">
        <v>1638</v>
      </c>
      <c r="E853" s="12" t="s">
        <v>1807</v>
      </c>
      <c r="F853" s="11">
        <v>3</v>
      </c>
      <c r="G853" s="12">
        <v>144.66999999999999</v>
      </c>
      <c r="H853" s="9">
        <v>0.28999999999999998</v>
      </c>
      <c r="I853" s="12" t="s">
        <v>1829</v>
      </c>
      <c r="J853" s="9">
        <v>308.14710000000002</v>
      </c>
    </row>
    <row r="854" spans="1:10" x14ac:dyDescent="0.3">
      <c r="A854" s="22" t="s">
        <v>2663</v>
      </c>
      <c r="B854" s="10">
        <v>45700</v>
      </c>
      <c r="C854" s="12" t="s">
        <v>419</v>
      </c>
      <c r="D854" s="12" t="s">
        <v>1614</v>
      </c>
      <c r="E854" s="12" t="s">
        <v>1801</v>
      </c>
      <c r="F854" s="11">
        <v>2</v>
      </c>
      <c r="G854" s="12">
        <v>667.17</v>
      </c>
      <c r="H854" s="9">
        <v>0.1</v>
      </c>
      <c r="I854" s="12" t="s">
        <v>1826</v>
      </c>
      <c r="J854" s="9">
        <v>1200.9059999999999</v>
      </c>
    </row>
    <row r="855" spans="1:10" x14ac:dyDescent="0.3">
      <c r="A855" s="22" t="s">
        <v>2664</v>
      </c>
      <c r="B855" s="10">
        <v>45382</v>
      </c>
      <c r="C855" s="12" t="s">
        <v>1252</v>
      </c>
      <c r="D855" s="12" t="s">
        <v>1680</v>
      </c>
      <c r="E855" s="12" t="s">
        <v>1766</v>
      </c>
      <c r="F855" s="11">
        <v>1</v>
      </c>
      <c r="G855" s="12">
        <v>984.6</v>
      </c>
      <c r="H855" s="9">
        <v>0.22</v>
      </c>
      <c r="I855" s="12" t="s">
        <v>1824</v>
      </c>
      <c r="J855" s="9">
        <v>767.98800000000006</v>
      </c>
    </row>
    <row r="856" spans="1:10" x14ac:dyDescent="0.3">
      <c r="A856" s="22" t="s">
        <v>2665</v>
      </c>
      <c r="B856" s="10">
        <v>45260</v>
      </c>
      <c r="C856" s="12" t="s">
        <v>887</v>
      </c>
      <c r="D856" s="12" t="s">
        <v>1574</v>
      </c>
      <c r="E856" s="12" t="s">
        <v>1782</v>
      </c>
      <c r="F856" s="11">
        <v>1</v>
      </c>
      <c r="G856" s="12">
        <v>139.29</v>
      </c>
      <c r="H856" s="9">
        <v>0</v>
      </c>
      <c r="I856" s="12" t="s">
        <v>1824</v>
      </c>
      <c r="J856" s="9">
        <v>139.29</v>
      </c>
    </row>
    <row r="857" spans="1:10" x14ac:dyDescent="0.3">
      <c r="A857" s="22" t="s">
        <v>2666</v>
      </c>
      <c r="B857" s="10">
        <v>45702</v>
      </c>
      <c r="C857" s="12" t="s">
        <v>134</v>
      </c>
      <c r="D857" s="12" t="s">
        <v>1580</v>
      </c>
      <c r="E857" s="12" t="s">
        <v>1782</v>
      </c>
      <c r="F857" s="11">
        <v>3</v>
      </c>
      <c r="G857" s="12">
        <v>459.57</v>
      </c>
      <c r="H857" s="9">
        <v>0.1</v>
      </c>
      <c r="I857" s="12" t="s">
        <v>1829</v>
      </c>
      <c r="J857" s="9">
        <v>1240.8389999999999</v>
      </c>
    </row>
    <row r="858" spans="1:10" x14ac:dyDescent="0.3">
      <c r="A858" s="22" t="s">
        <v>2667</v>
      </c>
      <c r="B858" s="10">
        <v>45302</v>
      </c>
      <c r="C858" s="12" t="s">
        <v>244</v>
      </c>
      <c r="D858" s="12" t="s">
        <v>1628</v>
      </c>
      <c r="E858" s="12" t="s">
        <v>1801</v>
      </c>
      <c r="F858" s="11">
        <v>1</v>
      </c>
      <c r="G858" s="12">
        <v>517.82000000000005</v>
      </c>
      <c r="H858" s="9">
        <v>0.28999999999999998</v>
      </c>
      <c r="I858" s="12" t="s">
        <v>1824</v>
      </c>
      <c r="J858" s="9">
        <v>367.65219999999999</v>
      </c>
    </row>
    <row r="859" spans="1:10" x14ac:dyDescent="0.3">
      <c r="A859" s="22" t="s">
        <v>2668</v>
      </c>
      <c r="B859" s="10">
        <v>45653</v>
      </c>
      <c r="C859" s="12" t="s">
        <v>1184</v>
      </c>
      <c r="D859" s="12" t="s">
        <v>1700</v>
      </c>
      <c r="E859" s="12" t="s">
        <v>1776</v>
      </c>
      <c r="F859" s="11">
        <v>4</v>
      </c>
      <c r="G859" s="12">
        <v>282.45</v>
      </c>
      <c r="H859" s="9">
        <v>0.28999999999999998</v>
      </c>
      <c r="I859" s="12" t="s">
        <v>1829</v>
      </c>
      <c r="J859" s="9">
        <v>802.1579999999999</v>
      </c>
    </row>
    <row r="860" spans="1:10" x14ac:dyDescent="0.3">
      <c r="A860" s="22" t="s">
        <v>2669</v>
      </c>
      <c r="B860" s="10">
        <v>45250</v>
      </c>
      <c r="C860" s="12" t="s">
        <v>1405</v>
      </c>
      <c r="D860" s="12" t="s">
        <v>1722</v>
      </c>
      <c r="E860" s="12" t="s">
        <v>1779</v>
      </c>
      <c r="F860" s="11">
        <v>2</v>
      </c>
      <c r="G860" s="12">
        <v>386.46</v>
      </c>
      <c r="H860" s="9">
        <v>0.23</v>
      </c>
      <c r="I860" s="12" t="s">
        <v>1829</v>
      </c>
      <c r="J860" s="9">
        <v>595.14840000000004</v>
      </c>
    </row>
    <row r="861" spans="1:10" x14ac:dyDescent="0.3">
      <c r="A861" s="22" t="s">
        <v>2670</v>
      </c>
      <c r="B861" s="10">
        <v>45661</v>
      </c>
      <c r="C861" s="12" t="s">
        <v>640</v>
      </c>
      <c r="D861" s="12" t="s">
        <v>1586</v>
      </c>
      <c r="E861" s="12" t="s">
        <v>1766</v>
      </c>
      <c r="F861" s="11">
        <v>1</v>
      </c>
      <c r="G861" s="12">
        <v>270.45</v>
      </c>
      <c r="H861" s="9">
        <v>0.15</v>
      </c>
      <c r="I861" s="12" t="s">
        <v>1829</v>
      </c>
      <c r="J861" s="9">
        <v>229.88249999999999</v>
      </c>
    </row>
    <row r="862" spans="1:10" x14ac:dyDescent="0.3">
      <c r="A862" s="22" t="s">
        <v>2671</v>
      </c>
      <c r="B862" s="10">
        <v>45493</v>
      </c>
      <c r="C862" s="12" t="s">
        <v>160</v>
      </c>
      <c r="D862" s="12" t="s">
        <v>1700</v>
      </c>
      <c r="E862" s="12" t="s">
        <v>1789</v>
      </c>
      <c r="F862" s="11">
        <v>4</v>
      </c>
      <c r="G862" s="12">
        <v>762.94</v>
      </c>
      <c r="H862" s="9">
        <v>0.09</v>
      </c>
      <c r="I862" s="12" t="s">
        <v>1829</v>
      </c>
      <c r="J862" s="9">
        <v>2777.1016</v>
      </c>
    </row>
    <row r="863" spans="1:10" x14ac:dyDescent="0.3">
      <c r="A863" s="22" t="s">
        <v>2672</v>
      </c>
      <c r="B863" s="10">
        <v>45242</v>
      </c>
      <c r="C863" s="12" t="s">
        <v>1518</v>
      </c>
      <c r="D863" s="12" t="s">
        <v>1630</v>
      </c>
      <c r="E863" s="12" t="s">
        <v>1797</v>
      </c>
      <c r="F863" s="11">
        <v>1</v>
      </c>
      <c r="G863" s="12">
        <v>409.03</v>
      </c>
      <c r="H863" s="9">
        <v>0.25</v>
      </c>
      <c r="I863" s="12" t="s">
        <v>1829</v>
      </c>
      <c r="J863" s="9">
        <v>306.77249999999998</v>
      </c>
    </row>
    <row r="864" spans="1:10" x14ac:dyDescent="0.3">
      <c r="A864" s="22" t="s">
        <v>2673</v>
      </c>
      <c r="B864" s="10">
        <v>45411</v>
      </c>
      <c r="C864" s="12" t="s">
        <v>711</v>
      </c>
      <c r="D864" s="12" t="s">
        <v>1740</v>
      </c>
      <c r="E864" s="12" t="s">
        <v>1810</v>
      </c>
      <c r="F864" s="11">
        <v>2</v>
      </c>
      <c r="G864" s="12">
        <v>891.13</v>
      </c>
      <c r="H864" s="9">
        <v>0.13</v>
      </c>
      <c r="I864" s="12" t="s">
        <v>1824</v>
      </c>
      <c r="J864" s="9">
        <v>1550.5662</v>
      </c>
    </row>
    <row r="865" spans="1:10" x14ac:dyDescent="0.3">
      <c r="A865" s="22" t="s">
        <v>2674</v>
      </c>
      <c r="B865" s="10">
        <v>45593</v>
      </c>
      <c r="C865" s="12" t="s">
        <v>130</v>
      </c>
      <c r="D865" s="12" t="s">
        <v>1732</v>
      </c>
      <c r="E865" s="12" t="s">
        <v>1804</v>
      </c>
      <c r="F865" s="11">
        <v>1</v>
      </c>
      <c r="G865" s="12">
        <v>553.38</v>
      </c>
      <c r="H865" s="9">
        <v>0.21</v>
      </c>
      <c r="I865" s="12" t="s">
        <v>1826</v>
      </c>
      <c r="J865" s="9">
        <v>437.17020000000002</v>
      </c>
    </row>
    <row r="866" spans="1:10" x14ac:dyDescent="0.3">
      <c r="A866" s="22" t="s">
        <v>2675</v>
      </c>
      <c r="B866" s="10">
        <v>45281</v>
      </c>
      <c r="C866" s="12" t="s">
        <v>535</v>
      </c>
      <c r="D866" s="12" t="s">
        <v>1718</v>
      </c>
      <c r="E866" s="12" t="s">
        <v>1797</v>
      </c>
      <c r="F866" s="11">
        <v>2</v>
      </c>
      <c r="G866" s="12">
        <v>652.29999999999995</v>
      </c>
      <c r="H866" s="9">
        <v>0.16</v>
      </c>
      <c r="I866" s="12" t="s">
        <v>1829</v>
      </c>
      <c r="J866" s="9">
        <v>1095.864</v>
      </c>
    </row>
    <row r="867" spans="1:10" x14ac:dyDescent="0.3">
      <c r="A867" s="22" t="s">
        <v>2676</v>
      </c>
      <c r="B867" s="10">
        <v>45575</v>
      </c>
      <c r="C867" s="12" t="s">
        <v>422</v>
      </c>
      <c r="D867" s="12" t="s">
        <v>1632</v>
      </c>
      <c r="E867" s="12" t="s">
        <v>1786</v>
      </c>
      <c r="F867" s="11">
        <v>4</v>
      </c>
      <c r="G867" s="12">
        <v>194.36</v>
      </c>
      <c r="H867" s="9">
        <v>0.18</v>
      </c>
      <c r="I867" s="12" t="s">
        <v>1829</v>
      </c>
      <c r="J867" s="9">
        <v>637.50080000000014</v>
      </c>
    </row>
    <row r="868" spans="1:10" x14ac:dyDescent="0.3">
      <c r="A868" s="22" t="s">
        <v>2677</v>
      </c>
      <c r="B868" s="10">
        <v>45660</v>
      </c>
      <c r="C868" s="12" t="s">
        <v>514</v>
      </c>
      <c r="D868" s="12" t="s">
        <v>1732</v>
      </c>
      <c r="E868" s="12" t="s">
        <v>1757</v>
      </c>
      <c r="F868" s="11">
        <v>3</v>
      </c>
      <c r="G868" s="12">
        <v>476.37</v>
      </c>
      <c r="H868" s="9">
        <v>0.21</v>
      </c>
      <c r="I868" s="12" t="s">
        <v>1829</v>
      </c>
      <c r="J868" s="9">
        <v>1128.9969000000001</v>
      </c>
    </row>
    <row r="869" spans="1:10" x14ac:dyDescent="0.3">
      <c r="A869" s="22" t="s">
        <v>2678</v>
      </c>
      <c r="B869" s="10">
        <v>45360</v>
      </c>
      <c r="C869" s="12" t="s">
        <v>1142</v>
      </c>
      <c r="D869" s="12" t="s">
        <v>1628</v>
      </c>
      <c r="E869" s="12" t="s">
        <v>1773</v>
      </c>
      <c r="F869" s="11">
        <v>3</v>
      </c>
      <c r="G869" s="12">
        <v>174.57</v>
      </c>
      <c r="H869" s="9">
        <v>0</v>
      </c>
      <c r="I869" s="12" t="s">
        <v>1826</v>
      </c>
      <c r="J869" s="9">
        <v>523.71</v>
      </c>
    </row>
    <row r="870" spans="1:10" x14ac:dyDescent="0.3">
      <c r="A870" s="22" t="s">
        <v>2679</v>
      </c>
      <c r="B870" s="10">
        <v>45526</v>
      </c>
      <c r="C870" s="12" t="s">
        <v>414</v>
      </c>
      <c r="D870" s="12" t="s">
        <v>1718</v>
      </c>
      <c r="E870" s="12" t="s">
        <v>1752</v>
      </c>
      <c r="F870" s="11">
        <v>3</v>
      </c>
      <c r="G870" s="12">
        <v>762</v>
      </c>
      <c r="H870" s="9">
        <v>0.02</v>
      </c>
      <c r="I870" s="12" t="s">
        <v>1826</v>
      </c>
      <c r="J870" s="9">
        <v>2240.2800000000002</v>
      </c>
    </row>
    <row r="871" spans="1:10" x14ac:dyDescent="0.3">
      <c r="A871" s="22" t="s">
        <v>2680</v>
      </c>
      <c r="B871" s="10">
        <v>45395</v>
      </c>
      <c r="C871" s="12" t="s">
        <v>1319</v>
      </c>
      <c r="D871" s="12" t="s">
        <v>1692</v>
      </c>
      <c r="E871" s="12" t="s">
        <v>1813</v>
      </c>
      <c r="F871" s="11">
        <v>1</v>
      </c>
      <c r="G871" s="12">
        <v>44.08</v>
      </c>
      <c r="H871" s="9">
        <v>0.05</v>
      </c>
      <c r="I871" s="12" t="s">
        <v>1824</v>
      </c>
      <c r="J871" s="9">
        <v>41.875999999999998</v>
      </c>
    </row>
    <row r="872" spans="1:10" x14ac:dyDescent="0.3">
      <c r="A872" s="22" t="s">
        <v>2681</v>
      </c>
      <c r="B872" s="10">
        <v>45466</v>
      </c>
      <c r="C872" s="12" t="s">
        <v>1521</v>
      </c>
      <c r="D872" s="12" t="s">
        <v>1666</v>
      </c>
      <c r="E872" s="12" t="s">
        <v>1797</v>
      </c>
      <c r="F872" s="11">
        <v>1</v>
      </c>
      <c r="G872" s="12">
        <v>992.37</v>
      </c>
      <c r="H872" s="9">
        <v>0.24</v>
      </c>
      <c r="I872" s="12" t="s">
        <v>1829</v>
      </c>
      <c r="J872" s="9">
        <v>754.20119999999997</v>
      </c>
    </row>
    <row r="873" spans="1:10" x14ac:dyDescent="0.3">
      <c r="A873" s="22" t="s">
        <v>2682</v>
      </c>
      <c r="B873" s="10">
        <v>45876</v>
      </c>
      <c r="C873" s="12" t="s">
        <v>657</v>
      </c>
      <c r="D873" s="12" t="s">
        <v>1610</v>
      </c>
      <c r="E873" s="12" t="s">
        <v>1789</v>
      </c>
      <c r="F873" s="11">
        <v>3</v>
      </c>
      <c r="G873" s="12">
        <v>465.4</v>
      </c>
      <c r="H873" s="9">
        <v>0.28999999999999998</v>
      </c>
      <c r="I873" s="12" t="s">
        <v>1829</v>
      </c>
      <c r="J873" s="9">
        <v>991.30199999999979</v>
      </c>
    </row>
    <row r="874" spans="1:10" x14ac:dyDescent="0.3">
      <c r="A874" s="22" t="s">
        <v>2683</v>
      </c>
      <c r="B874" s="10">
        <v>45724</v>
      </c>
      <c r="C874" s="12" t="s">
        <v>1059</v>
      </c>
      <c r="D874" s="12" t="s">
        <v>1580</v>
      </c>
      <c r="E874" s="12" t="s">
        <v>1789</v>
      </c>
      <c r="F874" s="11">
        <v>2</v>
      </c>
      <c r="G874" s="12">
        <v>693.61</v>
      </c>
      <c r="H874" s="9">
        <v>0.15</v>
      </c>
      <c r="I874" s="12" t="s">
        <v>1826</v>
      </c>
      <c r="J874" s="9">
        <v>1179.1369999999999</v>
      </c>
    </row>
    <row r="875" spans="1:10" x14ac:dyDescent="0.3">
      <c r="A875" s="22" t="s">
        <v>2684</v>
      </c>
      <c r="B875" s="10">
        <v>45801</v>
      </c>
      <c r="C875" s="12" t="s">
        <v>1434</v>
      </c>
      <c r="D875" s="12" t="s">
        <v>1682</v>
      </c>
      <c r="E875" s="12" t="s">
        <v>1782</v>
      </c>
      <c r="F875" s="11">
        <v>2</v>
      </c>
      <c r="G875" s="12">
        <v>995.11</v>
      </c>
      <c r="H875" s="9">
        <v>0.13</v>
      </c>
      <c r="I875" s="12" t="s">
        <v>1826</v>
      </c>
      <c r="J875" s="9">
        <v>1731.4914000000001</v>
      </c>
    </row>
    <row r="876" spans="1:10" x14ac:dyDescent="0.3">
      <c r="A876" s="22" t="s">
        <v>2685</v>
      </c>
      <c r="B876" s="10">
        <v>45749</v>
      </c>
      <c r="C876" s="12" t="s">
        <v>1190</v>
      </c>
      <c r="D876" s="12" t="s">
        <v>1594</v>
      </c>
      <c r="E876" s="12" t="s">
        <v>1769</v>
      </c>
      <c r="F876" s="11">
        <v>3</v>
      </c>
      <c r="G876" s="12">
        <v>70.97</v>
      </c>
      <c r="H876" s="9">
        <v>0.06</v>
      </c>
      <c r="I876" s="12" t="s">
        <v>1829</v>
      </c>
      <c r="J876" s="9">
        <v>200.1354</v>
      </c>
    </row>
    <row r="877" spans="1:10" x14ac:dyDescent="0.3">
      <c r="A877" s="22" t="s">
        <v>2686</v>
      </c>
      <c r="B877" s="10">
        <v>45325</v>
      </c>
      <c r="C877" s="12" t="s">
        <v>396</v>
      </c>
      <c r="D877" s="12" t="s">
        <v>1714</v>
      </c>
      <c r="E877" s="12" t="s">
        <v>1786</v>
      </c>
      <c r="F877" s="11">
        <v>3</v>
      </c>
      <c r="G877" s="12">
        <v>470.42</v>
      </c>
      <c r="H877" s="9">
        <v>0.16</v>
      </c>
      <c r="I877" s="12" t="s">
        <v>1824</v>
      </c>
      <c r="J877" s="9">
        <v>1185.4584</v>
      </c>
    </row>
    <row r="878" spans="1:10" x14ac:dyDescent="0.3">
      <c r="A878" s="22" t="s">
        <v>2687</v>
      </c>
      <c r="B878" s="10">
        <v>45932</v>
      </c>
      <c r="C878" s="12" t="s">
        <v>990</v>
      </c>
      <c r="D878" s="12" t="s">
        <v>1720</v>
      </c>
      <c r="E878" s="12" t="s">
        <v>1804</v>
      </c>
      <c r="F878" s="11">
        <v>2</v>
      </c>
      <c r="G878" s="12">
        <v>215.59</v>
      </c>
      <c r="H878" s="9">
        <v>0.18</v>
      </c>
      <c r="I878" s="12" t="s">
        <v>1824</v>
      </c>
      <c r="J878" s="9">
        <v>353.56760000000003</v>
      </c>
    </row>
    <row r="879" spans="1:10" x14ac:dyDescent="0.3">
      <c r="A879" s="22" t="s">
        <v>2688</v>
      </c>
      <c r="B879" s="10">
        <v>45895</v>
      </c>
      <c r="C879" s="12" t="s">
        <v>767</v>
      </c>
      <c r="D879" s="12" t="s">
        <v>1732</v>
      </c>
      <c r="E879" s="12" t="s">
        <v>1752</v>
      </c>
      <c r="F879" s="11">
        <v>1</v>
      </c>
      <c r="G879" s="12">
        <v>533.79999999999995</v>
      </c>
      <c r="H879" s="9">
        <v>0.27</v>
      </c>
      <c r="I879" s="12" t="s">
        <v>1829</v>
      </c>
      <c r="J879" s="9">
        <v>389.67399999999998</v>
      </c>
    </row>
    <row r="880" spans="1:10" x14ac:dyDescent="0.3">
      <c r="A880" s="22" t="s">
        <v>2689</v>
      </c>
      <c r="B880" s="10">
        <v>45614</v>
      </c>
      <c r="C880" s="12" t="s">
        <v>335</v>
      </c>
      <c r="D880" s="12" t="s">
        <v>1612</v>
      </c>
      <c r="E880" s="12" t="s">
        <v>1766</v>
      </c>
      <c r="F880" s="11">
        <v>2</v>
      </c>
      <c r="G880" s="12">
        <v>732.67</v>
      </c>
      <c r="H880" s="9">
        <v>0.24</v>
      </c>
      <c r="I880" s="12" t="s">
        <v>1826</v>
      </c>
      <c r="J880" s="9">
        <v>1113.6584</v>
      </c>
    </row>
    <row r="881" spans="1:10" x14ac:dyDescent="0.3">
      <c r="A881" s="22" t="s">
        <v>2690</v>
      </c>
      <c r="B881" s="10">
        <v>45247</v>
      </c>
      <c r="C881" s="12" t="s">
        <v>1504</v>
      </c>
      <c r="D881" s="12" t="s">
        <v>1668</v>
      </c>
      <c r="E881" s="12" t="s">
        <v>1797</v>
      </c>
      <c r="F881" s="11">
        <v>4</v>
      </c>
      <c r="G881" s="12">
        <v>106.48</v>
      </c>
      <c r="H881" s="9">
        <v>0.1</v>
      </c>
      <c r="I881" s="12" t="s">
        <v>1829</v>
      </c>
      <c r="J881" s="9">
        <v>383.32799999999997</v>
      </c>
    </row>
    <row r="882" spans="1:10" x14ac:dyDescent="0.3">
      <c r="A882" s="22" t="s">
        <v>2691</v>
      </c>
      <c r="B882" s="10">
        <v>45696</v>
      </c>
      <c r="C882" s="12" t="s">
        <v>372</v>
      </c>
      <c r="D882" s="12" t="s">
        <v>1662</v>
      </c>
      <c r="E882" s="12" t="s">
        <v>1766</v>
      </c>
      <c r="F882" s="11">
        <v>1</v>
      </c>
      <c r="G882" s="12">
        <v>38.950000000000003</v>
      </c>
      <c r="H882" s="9">
        <v>0.28000000000000003</v>
      </c>
      <c r="I882" s="12" t="s">
        <v>1824</v>
      </c>
      <c r="J882" s="9">
        <v>28.044</v>
      </c>
    </row>
    <row r="883" spans="1:10" x14ac:dyDescent="0.3">
      <c r="A883" s="22" t="s">
        <v>2692</v>
      </c>
      <c r="B883" s="10">
        <v>45294</v>
      </c>
      <c r="C883" s="12" t="s">
        <v>1337</v>
      </c>
      <c r="D883" s="12" t="s">
        <v>1740</v>
      </c>
      <c r="E883" s="12" t="s">
        <v>1804</v>
      </c>
      <c r="F883" s="11">
        <v>1</v>
      </c>
      <c r="G883" s="12">
        <v>835.17</v>
      </c>
      <c r="H883" s="9">
        <v>0.02</v>
      </c>
      <c r="I883" s="12" t="s">
        <v>1829</v>
      </c>
      <c r="J883" s="9">
        <v>818.46659999999997</v>
      </c>
    </row>
    <row r="884" spans="1:10" x14ac:dyDescent="0.3">
      <c r="A884" s="22" t="s">
        <v>2693</v>
      </c>
      <c r="B884" s="10">
        <v>45389</v>
      </c>
      <c r="C884" s="12" t="s">
        <v>458</v>
      </c>
      <c r="D884" s="12" t="s">
        <v>1714</v>
      </c>
      <c r="E884" s="12" t="s">
        <v>1766</v>
      </c>
      <c r="F884" s="11">
        <v>1</v>
      </c>
      <c r="G884" s="12">
        <v>113.07</v>
      </c>
      <c r="H884" s="9">
        <v>0.24</v>
      </c>
      <c r="I884" s="12" t="s">
        <v>1824</v>
      </c>
      <c r="J884" s="9">
        <v>85.933199999999999</v>
      </c>
    </row>
    <row r="885" spans="1:10" x14ac:dyDescent="0.3">
      <c r="A885" s="22" t="s">
        <v>2694</v>
      </c>
      <c r="B885" s="10">
        <v>45930</v>
      </c>
      <c r="C885" s="12" t="s">
        <v>1437</v>
      </c>
      <c r="D885" s="12" t="s">
        <v>1736</v>
      </c>
      <c r="E885" s="12" t="s">
        <v>1794</v>
      </c>
      <c r="F885" s="11">
        <v>2</v>
      </c>
      <c r="G885" s="12">
        <v>451.33</v>
      </c>
      <c r="H885" s="9">
        <v>0.23</v>
      </c>
      <c r="I885" s="12" t="s">
        <v>1829</v>
      </c>
      <c r="J885" s="9">
        <v>695.04819999999995</v>
      </c>
    </row>
    <row r="886" spans="1:10" x14ac:dyDescent="0.3">
      <c r="A886" s="22" t="s">
        <v>2695</v>
      </c>
      <c r="B886" s="10">
        <v>45456</v>
      </c>
      <c r="C886" s="12" t="s">
        <v>1163</v>
      </c>
      <c r="D886" s="12" t="s">
        <v>1720</v>
      </c>
      <c r="E886" s="12" t="s">
        <v>1776</v>
      </c>
      <c r="F886" s="11">
        <v>3</v>
      </c>
      <c r="G886" s="12">
        <v>619.80999999999995</v>
      </c>
      <c r="H886" s="9">
        <v>0.16</v>
      </c>
      <c r="I886" s="12" t="s">
        <v>1829</v>
      </c>
      <c r="J886" s="9">
        <v>1561.9212</v>
      </c>
    </row>
    <row r="887" spans="1:10" x14ac:dyDescent="0.3">
      <c r="A887" s="22" t="s">
        <v>2696</v>
      </c>
      <c r="B887" s="10">
        <v>45713</v>
      </c>
      <c r="C887" s="12" t="s">
        <v>381</v>
      </c>
      <c r="D887" s="12" t="s">
        <v>1672</v>
      </c>
      <c r="E887" s="12" t="s">
        <v>1779</v>
      </c>
      <c r="F887" s="11">
        <v>4</v>
      </c>
      <c r="G887" s="12">
        <v>46.97</v>
      </c>
      <c r="H887" s="9">
        <v>0.26</v>
      </c>
      <c r="I887" s="12" t="s">
        <v>1826</v>
      </c>
      <c r="J887" s="9">
        <v>139.03120000000001</v>
      </c>
    </row>
    <row r="888" spans="1:10" x14ac:dyDescent="0.3">
      <c r="A888" s="22" t="s">
        <v>2697</v>
      </c>
      <c r="B888" s="10">
        <v>45784</v>
      </c>
      <c r="C888" s="12" t="s">
        <v>607</v>
      </c>
      <c r="D888" s="12" t="s">
        <v>1640</v>
      </c>
      <c r="E888" s="12" t="s">
        <v>1761</v>
      </c>
      <c r="F888" s="11">
        <v>2</v>
      </c>
      <c r="G888" s="12">
        <v>71.48</v>
      </c>
      <c r="H888" s="9">
        <v>0.14000000000000001</v>
      </c>
      <c r="I888" s="12" t="s">
        <v>1829</v>
      </c>
      <c r="J888" s="9">
        <v>122.9456</v>
      </c>
    </row>
    <row r="889" spans="1:10" x14ac:dyDescent="0.3">
      <c r="A889" s="22" t="s">
        <v>2698</v>
      </c>
      <c r="B889" s="10">
        <v>45812</v>
      </c>
      <c r="C889" s="12" t="s">
        <v>8</v>
      </c>
      <c r="D889" s="12" t="s">
        <v>1660</v>
      </c>
      <c r="E889" s="12" t="s">
        <v>1813</v>
      </c>
      <c r="F889" s="11">
        <v>2</v>
      </c>
      <c r="G889" s="12">
        <v>404.08</v>
      </c>
      <c r="H889" s="9">
        <v>7.0000000000000007E-2</v>
      </c>
      <c r="I889" s="12" t="s">
        <v>1824</v>
      </c>
      <c r="J889" s="9">
        <v>751.58879999999988</v>
      </c>
    </row>
    <row r="890" spans="1:10" x14ac:dyDescent="0.3">
      <c r="A890" s="22" t="s">
        <v>2699</v>
      </c>
      <c r="B890" s="10">
        <v>45653</v>
      </c>
      <c r="C890" s="12" t="s">
        <v>842</v>
      </c>
      <c r="D890" s="12" t="s">
        <v>1582</v>
      </c>
      <c r="E890" s="12" t="s">
        <v>1804</v>
      </c>
      <c r="F890" s="11">
        <v>1</v>
      </c>
      <c r="G890" s="12">
        <v>519.91</v>
      </c>
      <c r="H890" s="9">
        <v>0.05</v>
      </c>
      <c r="I890" s="12" t="s">
        <v>1829</v>
      </c>
      <c r="J890" s="9">
        <v>493.91449999999992</v>
      </c>
    </row>
    <row r="891" spans="1:10" x14ac:dyDescent="0.3">
      <c r="A891" s="22" t="s">
        <v>2700</v>
      </c>
      <c r="B891" s="10">
        <v>45672</v>
      </c>
      <c r="C891" s="12" t="s">
        <v>490</v>
      </c>
      <c r="D891" s="12" t="s">
        <v>1644</v>
      </c>
      <c r="E891" s="12" t="s">
        <v>1797</v>
      </c>
      <c r="F891" s="11">
        <v>3</v>
      </c>
      <c r="G891" s="12">
        <v>566.16</v>
      </c>
      <c r="H891" s="9">
        <v>0.05</v>
      </c>
      <c r="I891" s="12" t="s">
        <v>1826</v>
      </c>
      <c r="J891" s="9">
        <v>1613.556</v>
      </c>
    </row>
    <row r="892" spans="1:10" x14ac:dyDescent="0.3">
      <c r="A892" s="22" t="s">
        <v>2701</v>
      </c>
      <c r="B892" s="10">
        <v>45799</v>
      </c>
      <c r="C892" s="12" t="s">
        <v>1223</v>
      </c>
      <c r="D892" s="12" t="s">
        <v>1652</v>
      </c>
      <c r="E892" s="12" t="s">
        <v>1789</v>
      </c>
      <c r="F892" s="11">
        <v>2</v>
      </c>
      <c r="G892" s="12">
        <v>295.12</v>
      </c>
      <c r="H892" s="9">
        <v>0.09</v>
      </c>
      <c r="I892" s="12" t="s">
        <v>1829</v>
      </c>
      <c r="J892" s="9">
        <v>537.11840000000007</v>
      </c>
    </row>
    <row r="893" spans="1:10" x14ac:dyDescent="0.3">
      <c r="A893" s="22" t="s">
        <v>2702</v>
      </c>
      <c r="B893" s="10">
        <v>45848</v>
      </c>
      <c r="C893" s="12" t="s">
        <v>384</v>
      </c>
      <c r="D893" s="12" t="s">
        <v>1616</v>
      </c>
      <c r="E893" s="12" t="s">
        <v>1792</v>
      </c>
      <c r="F893" s="11">
        <v>2</v>
      </c>
      <c r="G893" s="12">
        <v>414.18</v>
      </c>
      <c r="H893" s="9">
        <v>0.25</v>
      </c>
      <c r="I893" s="12" t="s">
        <v>1826</v>
      </c>
      <c r="J893" s="9">
        <v>621.27</v>
      </c>
    </row>
    <row r="894" spans="1:10" x14ac:dyDescent="0.3">
      <c r="A894" s="22" t="s">
        <v>2703</v>
      </c>
      <c r="B894" s="10">
        <v>45918</v>
      </c>
      <c r="C894" s="12" t="s">
        <v>854</v>
      </c>
      <c r="D894" s="12" t="s">
        <v>1664</v>
      </c>
      <c r="E894" s="12" t="s">
        <v>1782</v>
      </c>
      <c r="F894" s="11">
        <v>2</v>
      </c>
      <c r="G894" s="12">
        <v>433.75</v>
      </c>
      <c r="H894" s="9">
        <v>0</v>
      </c>
      <c r="I894" s="12" t="s">
        <v>1824</v>
      </c>
      <c r="J894" s="9">
        <v>867.5</v>
      </c>
    </row>
    <row r="895" spans="1:10" x14ac:dyDescent="0.3">
      <c r="A895" s="22" t="s">
        <v>2704</v>
      </c>
      <c r="B895" s="10">
        <v>45288</v>
      </c>
      <c r="C895" s="12" t="s">
        <v>893</v>
      </c>
      <c r="D895" s="12" t="s">
        <v>1718</v>
      </c>
      <c r="E895" s="12" t="s">
        <v>1813</v>
      </c>
      <c r="F895" s="11">
        <v>3</v>
      </c>
      <c r="G895" s="12">
        <v>104.33</v>
      </c>
      <c r="H895" s="9">
        <v>0.13</v>
      </c>
      <c r="I895" s="12" t="s">
        <v>1829</v>
      </c>
      <c r="J895" s="9">
        <v>272.30130000000003</v>
      </c>
    </row>
    <row r="896" spans="1:10" x14ac:dyDescent="0.3">
      <c r="A896" s="22" t="s">
        <v>2705</v>
      </c>
      <c r="B896" s="10">
        <v>45477</v>
      </c>
      <c r="C896" s="12" t="s">
        <v>1431</v>
      </c>
      <c r="D896" s="12" t="s">
        <v>1553</v>
      </c>
      <c r="E896" s="12" t="s">
        <v>1794</v>
      </c>
      <c r="F896" s="11">
        <v>1</v>
      </c>
      <c r="G896" s="12">
        <v>221.7</v>
      </c>
      <c r="H896" s="9">
        <v>0.04</v>
      </c>
      <c r="I896" s="12" t="s">
        <v>1824</v>
      </c>
      <c r="J896" s="9">
        <v>212.83199999999999</v>
      </c>
    </row>
    <row r="897" spans="1:10" x14ac:dyDescent="0.3">
      <c r="A897" s="22" t="s">
        <v>2706</v>
      </c>
      <c r="B897" s="10">
        <v>45796</v>
      </c>
      <c r="C897" s="12" t="s">
        <v>687</v>
      </c>
      <c r="D897" s="12" t="s">
        <v>1682</v>
      </c>
      <c r="E897" s="12" t="s">
        <v>1773</v>
      </c>
      <c r="F897" s="11">
        <v>2</v>
      </c>
      <c r="G897" s="12">
        <v>491.26</v>
      </c>
      <c r="H897" s="9">
        <v>0.14000000000000001</v>
      </c>
      <c r="I897" s="12" t="s">
        <v>1829</v>
      </c>
      <c r="J897" s="9">
        <v>844.96719999999993</v>
      </c>
    </row>
    <row r="898" spans="1:10" x14ac:dyDescent="0.3">
      <c r="A898" s="22" t="s">
        <v>2707</v>
      </c>
      <c r="B898" s="10">
        <v>45630</v>
      </c>
      <c r="C898" s="12" t="s">
        <v>598</v>
      </c>
      <c r="D898" s="12" t="s">
        <v>1622</v>
      </c>
      <c r="E898" s="12" t="s">
        <v>1782</v>
      </c>
      <c r="F898" s="11">
        <v>4</v>
      </c>
      <c r="G898" s="12">
        <v>923.14</v>
      </c>
      <c r="H898" s="9">
        <v>0.15</v>
      </c>
      <c r="I898" s="12" t="s">
        <v>1824</v>
      </c>
      <c r="J898" s="9">
        <v>3138.6759999999999</v>
      </c>
    </row>
    <row r="899" spans="1:10" x14ac:dyDescent="0.3">
      <c r="A899" s="22" t="s">
        <v>2708</v>
      </c>
      <c r="B899" s="10">
        <v>45625</v>
      </c>
      <c r="C899" s="12" t="s">
        <v>634</v>
      </c>
      <c r="D899" s="12" t="s">
        <v>1676</v>
      </c>
      <c r="E899" s="12" t="s">
        <v>1779</v>
      </c>
      <c r="F899" s="11">
        <v>2</v>
      </c>
      <c r="G899" s="12">
        <v>747.65</v>
      </c>
      <c r="H899" s="9">
        <v>0.08</v>
      </c>
      <c r="I899" s="12" t="s">
        <v>1824</v>
      </c>
      <c r="J899" s="9">
        <v>1375.6759999999999</v>
      </c>
    </row>
    <row r="900" spans="1:10" x14ac:dyDescent="0.3">
      <c r="A900" s="22" t="s">
        <v>2709</v>
      </c>
      <c r="B900" s="10">
        <v>45773</v>
      </c>
      <c r="C900" s="12" t="s">
        <v>384</v>
      </c>
      <c r="D900" s="12" t="s">
        <v>1632</v>
      </c>
      <c r="E900" s="12" t="s">
        <v>1779</v>
      </c>
      <c r="F900" s="11">
        <v>3</v>
      </c>
      <c r="G900" s="12">
        <v>94.55</v>
      </c>
      <c r="H900" s="9">
        <v>0.13</v>
      </c>
      <c r="I900" s="12" t="s">
        <v>1829</v>
      </c>
      <c r="J900" s="9">
        <v>246.77549999999999</v>
      </c>
    </row>
    <row r="901" spans="1:10" x14ac:dyDescent="0.3">
      <c r="A901" s="22" t="s">
        <v>2710</v>
      </c>
      <c r="B901" s="10">
        <v>45308</v>
      </c>
      <c r="C901" s="12" t="s">
        <v>153</v>
      </c>
      <c r="D901" s="12" t="s">
        <v>1578</v>
      </c>
      <c r="E901" s="12" t="s">
        <v>1813</v>
      </c>
      <c r="F901" s="11">
        <v>3</v>
      </c>
      <c r="G901" s="12">
        <v>620.12</v>
      </c>
      <c r="H901" s="9">
        <v>0.06</v>
      </c>
      <c r="I901" s="12" t="s">
        <v>1824</v>
      </c>
      <c r="J901" s="9">
        <v>1748.7384</v>
      </c>
    </row>
    <row r="902" spans="1:10" x14ac:dyDescent="0.3">
      <c r="A902" s="22" t="s">
        <v>2711</v>
      </c>
      <c r="B902" s="10">
        <v>45869</v>
      </c>
      <c r="C902" s="12" t="s">
        <v>1495</v>
      </c>
      <c r="D902" s="12" t="s">
        <v>1686</v>
      </c>
      <c r="E902" s="12" t="s">
        <v>1776</v>
      </c>
      <c r="F902" s="11">
        <v>2</v>
      </c>
      <c r="G902" s="12">
        <v>354.09</v>
      </c>
      <c r="H902" s="9">
        <v>0.12</v>
      </c>
      <c r="I902" s="12" t="s">
        <v>1829</v>
      </c>
      <c r="J902" s="9">
        <v>623.19839999999999</v>
      </c>
    </row>
    <row r="903" spans="1:10" x14ac:dyDescent="0.3">
      <c r="A903" s="22" t="s">
        <v>2712</v>
      </c>
      <c r="B903" s="10">
        <v>45621</v>
      </c>
      <c r="C903" s="12" t="s">
        <v>447</v>
      </c>
      <c r="D903" s="12" t="s">
        <v>1654</v>
      </c>
      <c r="E903" s="12" t="s">
        <v>1773</v>
      </c>
      <c r="F903" s="11">
        <v>3</v>
      </c>
      <c r="G903" s="12">
        <v>214.94</v>
      </c>
      <c r="H903" s="9">
        <v>0.22</v>
      </c>
      <c r="I903" s="12" t="s">
        <v>1829</v>
      </c>
      <c r="J903" s="9">
        <v>502.95960000000002</v>
      </c>
    </row>
    <row r="904" spans="1:10" x14ac:dyDescent="0.3">
      <c r="A904" s="22" t="s">
        <v>2713</v>
      </c>
      <c r="B904" s="10">
        <v>45428</v>
      </c>
      <c r="C904" s="12" t="s">
        <v>651</v>
      </c>
      <c r="D904" s="12" t="s">
        <v>1565</v>
      </c>
      <c r="E904" s="12" t="s">
        <v>1794</v>
      </c>
      <c r="F904" s="11">
        <v>2</v>
      </c>
      <c r="G904" s="12">
        <v>309.77999999999997</v>
      </c>
      <c r="H904" s="9">
        <v>0.16</v>
      </c>
      <c r="I904" s="12" t="s">
        <v>1824</v>
      </c>
      <c r="J904" s="9">
        <v>520.43039999999996</v>
      </c>
    </row>
    <row r="905" spans="1:10" x14ac:dyDescent="0.3">
      <c r="A905" s="22" t="s">
        <v>2714</v>
      </c>
      <c r="B905" s="10">
        <v>45807</v>
      </c>
      <c r="C905" s="12" t="s">
        <v>255</v>
      </c>
      <c r="D905" s="12" t="s">
        <v>1574</v>
      </c>
      <c r="E905" s="12" t="s">
        <v>1766</v>
      </c>
      <c r="F905" s="11">
        <v>2</v>
      </c>
      <c r="G905" s="12">
        <v>183.85</v>
      </c>
      <c r="H905" s="9">
        <v>0.14000000000000001</v>
      </c>
      <c r="I905" s="12" t="s">
        <v>1826</v>
      </c>
      <c r="J905" s="9">
        <v>316.22199999999998</v>
      </c>
    </row>
    <row r="906" spans="1:10" x14ac:dyDescent="0.3">
      <c r="A906" s="22" t="s">
        <v>2715</v>
      </c>
      <c r="B906" s="10">
        <v>45238</v>
      </c>
      <c r="C906" s="12" t="s">
        <v>1272</v>
      </c>
      <c r="D906" s="12" t="s">
        <v>1688</v>
      </c>
      <c r="E906" s="12" t="s">
        <v>1752</v>
      </c>
      <c r="F906" s="11">
        <v>1</v>
      </c>
      <c r="G906" s="12">
        <v>550.05999999999995</v>
      </c>
      <c r="H906" s="9">
        <v>0.01</v>
      </c>
      <c r="I906" s="12" t="s">
        <v>1824</v>
      </c>
      <c r="J906" s="9">
        <v>544.55939999999998</v>
      </c>
    </row>
    <row r="907" spans="1:10" x14ac:dyDescent="0.3">
      <c r="A907" s="22" t="s">
        <v>2716</v>
      </c>
      <c r="B907" s="10">
        <v>45253</v>
      </c>
      <c r="C907" s="12" t="s">
        <v>121</v>
      </c>
      <c r="D907" s="12" t="s">
        <v>1706</v>
      </c>
      <c r="E907" s="12" t="s">
        <v>1769</v>
      </c>
      <c r="F907" s="11">
        <v>2</v>
      </c>
      <c r="G907" s="12">
        <v>32.19</v>
      </c>
      <c r="H907" s="9">
        <v>0.13</v>
      </c>
      <c r="I907" s="12" t="s">
        <v>1829</v>
      </c>
      <c r="J907" s="9">
        <v>56.010599999999997</v>
      </c>
    </row>
    <row r="908" spans="1:10" x14ac:dyDescent="0.3">
      <c r="A908" s="22" t="s">
        <v>2717</v>
      </c>
      <c r="B908" s="10">
        <v>45460</v>
      </c>
      <c r="C908" s="12" t="s">
        <v>470</v>
      </c>
      <c r="D908" s="12" t="s">
        <v>1614</v>
      </c>
      <c r="E908" s="12" t="s">
        <v>1813</v>
      </c>
      <c r="F908" s="11">
        <v>2</v>
      </c>
      <c r="G908" s="12">
        <v>892.06</v>
      </c>
      <c r="H908" s="9">
        <v>0.08</v>
      </c>
      <c r="I908" s="12" t="s">
        <v>1824</v>
      </c>
      <c r="J908" s="9">
        <v>1641.3904</v>
      </c>
    </row>
    <row r="909" spans="1:10" x14ac:dyDescent="0.3">
      <c r="A909" s="22" t="s">
        <v>2718</v>
      </c>
      <c r="B909" s="10">
        <v>45628</v>
      </c>
      <c r="C909" s="12" t="s">
        <v>1455</v>
      </c>
      <c r="D909" s="12" t="s">
        <v>1664</v>
      </c>
      <c r="E909" s="12" t="s">
        <v>1776</v>
      </c>
      <c r="F909" s="11">
        <v>1</v>
      </c>
      <c r="G909" s="12">
        <v>127.47</v>
      </c>
      <c r="H909" s="9">
        <v>0.16</v>
      </c>
      <c r="I909" s="12" t="s">
        <v>1829</v>
      </c>
      <c r="J909" s="9">
        <v>107.0748</v>
      </c>
    </row>
    <row r="910" spans="1:10" x14ac:dyDescent="0.3">
      <c r="A910" s="22" t="s">
        <v>2719</v>
      </c>
      <c r="B910" s="10">
        <v>45778</v>
      </c>
      <c r="C910" s="12" t="s">
        <v>1211</v>
      </c>
      <c r="D910" s="12" t="s">
        <v>1702</v>
      </c>
      <c r="E910" s="12" t="s">
        <v>1799</v>
      </c>
      <c r="F910" s="11">
        <v>3</v>
      </c>
      <c r="G910" s="12">
        <v>212.87</v>
      </c>
      <c r="H910" s="9">
        <v>0.18</v>
      </c>
      <c r="I910" s="12" t="s">
        <v>1824</v>
      </c>
      <c r="J910" s="9">
        <v>523.66020000000003</v>
      </c>
    </row>
    <row r="911" spans="1:10" x14ac:dyDescent="0.3">
      <c r="A911" s="22" t="s">
        <v>2720</v>
      </c>
      <c r="B911" s="10">
        <v>45471</v>
      </c>
      <c r="C911" s="12" t="s">
        <v>598</v>
      </c>
      <c r="D911" s="12" t="s">
        <v>1710</v>
      </c>
      <c r="E911" s="12" t="s">
        <v>1779</v>
      </c>
      <c r="F911" s="11">
        <v>1</v>
      </c>
      <c r="G911" s="12">
        <v>26.37</v>
      </c>
      <c r="H911" s="9">
        <v>0.3</v>
      </c>
      <c r="I911" s="12" t="s">
        <v>1829</v>
      </c>
      <c r="J911" s="9">
        <v>18.459</v>
      </c>
    </row>
    <row r="912" spans="1:10" x14ac:dyDescent="0.3">
      <c r="A912" s="22" t="s">
        <v>2721</v>
      </c>
      <c r="B912" s="10">
        <v>45770</v>
      </c>
      <c r="C912" s="12" t="s">
        <v>1437</v>
      </c>
      <c r="D912" s="12" t="s">
        <v>1616</v>
      </c>
      <c r="E912" s="12" t="s">
        <v>1810</v>
      </c>
      <c r="F912" s="11">
        <v>4</v>
      </c>
      <c r="G912" s="12">
        <v>953.98</v>
      </c>
      <c r="H912" s="9">
        <v>0.16</v>
      </c>
      <c r="I912" s="12" t="s">
        <v>1824</v>
      </c>
      <c r="J912" s="9">
        <v>3205.3728000000001</v>
      </c>
    </row>
    <row r="913" spans="1:10" x14ac:dyDescent="0.3">
      <c r="A913" s="22" t="s">
        <v>2722</v>
      </c>
      <c r="B913" s="10">
        <v>45369</v>
      </c>
      <c r="C913" s="12" t="s">
        <v>699</v>
      </c>
      <c r="D913" s="12" t="s">
        <v>1682</v>
      </c>
      <c r="E913" s="12" t="s">
        <v>1813</v>
      </c>
      <c r="F913" s="11">
        <v>3</v>
      </c>
      <c r="G913" s="12">
        <v>968.88</v>
      </c>
      <c r="H913" s="9">
        <v>0.15</v>
      </c>
      <c r="I913" s="12" t="s">
        <v>1824</v>
      </c>
      <c r="J913" s="9">
        <v>2470.6439999999998</v>
      </c>
    </row>
    <row r="914" spans="1:10" x14ac:dyDescent="0.3">
      <c r="A914" s="22" t="s">
        <v>2723</v>
      </c>
      <c r="B914" s="10">
        <v>45910</v>
      </c>
      <c r="C914" s="12" t="s">
        <v>616</v>
      </c>
      <c r="D914" s="12" t="s">
        <v>1700</v>
      </c>
      <c r="E914" s="12" t="s">
        <v>1810</v>
      </c>
      <c r="F914" s="11">
        <v>1</v>
      </c>
      <c r="G914" s="12">
        <v>533.04999999999995</v>
      </c>
      <c r="H914" s="9">
        <v>0.11</v>
      </c>
      <c r="I914" s="12" t="s">
        <v>1826</v>
      </c>
      <c r="J914" s="9">
        <v>474.41449999999998</v>
      </c>
    </row>
    <row r="915" spans="1:10" x14ac:dyDescent="0.3">
      <c r="A915" s="22" t="s">
        <v>2724</v>
      </c>
      <c r="B915" s="10">
        <v>45637</v>
      </c>
      <c r="C915" s="12" t="s">
        <v>1190</v>
      </c>
      <c r="D915" s="12" t="s">
        <v>1710</v>
      </c>
      <c r="E915" s="12" t="s">
        <v>1757</v>
      </c>
      <c r="F915" s="11">
        <v>3</v>
      </c>
      <c r="G915" s="12">
        <v>138.86000000000001</v>
      </c>
      <c r="H915" s="9">
        <v>0.11</v>
      </c>
      <c r="I915" s="12" t="s">
        <v>1826</v>
      </c>
      <c r="J915" s="9">
        <v>370.75619999999998</v>
      </c>
    </row>
    <row r="916" spans="1:10" x14ac:dyDescent="0.3">
      <c r="A916" s="22" t="s">
        <v>2725</v>
      </c>
      <c r="B916" s="10">
        <v>45706</v>
      </c>
      <c r="C916" s="12" t="s">
        <v>532</v>
      </c>
      <c r="D916" s="12" t="s">
        <v>1592</v>
      </c>
      <c r="E916" s="12" t="s">
        <v>1752</v>
      </c>
      <c r="F916" s="11">
        <v>1</v>
      </c>
      <c r="G916" s="12">
        <v>588.92999999999995</v>
      </c>
      <c r="H916" s="9">
        <v>0.03</v>
      </c>
      <c r="I916" s="12" t="s">
        <v>1829</v>
      </c>
      <c r="J916" s="9">
        <v>571.26209999999992</v>
      </c>
    </row>
    <row r="917" spans="1:10" x14ac:dyDescent="0.3">
      <c r="A917" s="22" t="s">
        <v>2726</v>
      </c>
      <c r="B917" s="10">
        <v>45557</v>
      </c>
      <c r="C917" s="12" t="s">
        <v>1254</v>
      </c>
      <c r="D917" s="12" t="s">
        <v>1652</v>
      </c>
      <c r="E917" s="12" t="s">
        <v>1773</v>
      </c>
      <c r="F917" s="11">
        <v>2</v>
      </c>
      <c r="G917" s="12">
        <v>576.83000000000004</v>
      </c>
      <c r="H917" s="9">
        <v>0.19</v>
      </c>
      <c r="I917" s="12" t="s">
        <v>1826</v>
      </c>
      <c r="J917" s="9">
        <v>934.46460000000013</v>
      </c>
    </row>
    <row r="918" spans="1:10" x14ac:dyDescent="0.3">
      <c r="A918" s="22" t="s">
        <v>2727</v>
      </c>
      <c r="B918" s="10">
        <v>45338</v>
      </c>
      <c r="C918" s="12" t="s">
        <v>1017</v>
      </c>
      <c r="D918" s="12" t="s">
        <v>1678</v>
      </c>
      <c r="E918" s="12" t="s">
        <v>1794</v>
      </c>
      <c r="F918" s="11">
        <v>1</v>
      </c>
      <c r="G918" s="12">
        <v>681.3</v>
      </c>
      <c r="H918" s="9">
        <v>0.05</v>
      </c>
      <c r="I918" s="12" t="s">
        <v>1824</v>
      </c>
      <c r="J918" s="9">
        <v>647.2349999999999</v>
      </c>
    </row>
    <row r="919" spans="1:10" x14ac:dyDescent="0.3">
      <c r="A919" s="22" t="s">
        <v>2728</v>
      </c>
      <c r="B919" s="10">
        <v>45441</v>
      </c>
      <c r="C919" s="12" t="s">
        <v>1411</v>
      </c>
      <c r="D919" s="12" t="s">
        <v>1598</v>
      </c>
      <c r="E919" s="12" t="s">
        <v>1801</v>
      </c>
      <c r="F919" s="11">
        <v>3</v>
      </c>
      <c r="G919" s="12">
        <v>504.97</v>
      </c>
      <c r="H919" s="9">
        <v>0.3</v>
      </c>
      <c r="I919" s="12" t="s">
        <v>1824</v>
      </c>
      <c r="J919" s="9">
        <v>1060.4369999999999</v>
      </c>
    </row>
    <row r="920" spans="1:10" x14ac:dyDescent="0.3">
      <c r="A920" s="22" t="s">
        <v>2729</v>
      </c>
      <c r="B920" s="10">
        <v>45396</v>
      </c>
      <c r="C920" s="12" t="s">
        <v>224</v>
      </c>
      <c r="D920" s="12" t="s">
        <v>1624</v>
      </c>
      <c r="E920" s="12" t="s">
        <v>1792</v>
      </c>
      <c r="F920" s="11">
        <v>3</v>
      </c>
      <c r="G920" s="12">
        <v>649.78</v>
      </c>
      <c r="H920" s="9">
        <v>0.1</v>
      </c>
      <c r="I920" s="12" t="s">
        <v>1826</v>
      </c>
      <c r="J920" s="9">
        <v>1754.4059999999999</v>
      </c>
    </row>
    <row r="921" spans="1:10" x14ac:dyDescent="0.3">
      <c r="A921" s="22" t="s">
        <v>2730</v>
      </c>
      <c r="B921" s="10">
        <v>45317</v>
      </c>
      <c r="C921" s="12" t="s">
        <v>785</v>
      </c>
      <c r="D921" s="12" t="s">
        <v>1626</v>
      </c>
      <c r="E921" s="12" t="s">
        <v>1786</v>
      </c>
      <c r="F921" s="11">
        <v>2</v>
      </c>
      <c r="G921" s="12">
        <v>986.73</v>
      </c>
      <c r="H921" s="9">
        <v>0.05</v>
      </c>
      <c r="I921" s="12" t="s">
        <v>1826</v>
      </c>
      <c r="J921" s="9">
        <v>1874.787</v>
      </c>
    </row>
    <row r="922" spans="1:10" x14ac:dyDescent="0.3">
      <c r="A922" s="22" t="s">
        <v>2731</v>
      </c>
      <c r="B922" s="10">
        <v>45235</v>
      </c>
      <c r="C922" s="12" t="s">
        <v>414</v>
      </c>
      <c r="D922" s="12" t="s">
        <v>1574</v>
      </c>
      <c r="E922" s="12" t="s">
        <v>1801</v>
      </c>
      <c r="F922" s="11">
        <v>2</v>
      </c>
      <c r="G922" s="12">
        <v>65.44</v>
      </c>
      <c r="H922" s="9">
        <v>0.05</v>
      </c>
      <c r="I922" s="12" t="s">
        <v>1826</v>
      </c>
      <c r="J922" s="9">
        <v>124.336</v>
      </c>
    </row>
    <row r="923" spans="1:10" x14ac:dyDescent="0.3">
      <c r="A923" s="22" t="s">
        <v>2732</v>
      </c>
      <c r="B923" s="10">
        <v>45824</v>
      </c>
      <c r="C923" s="12" t="s">
        <v>1196</v>
      </c>
      <c r="D923" s="12" t="s">
        <v>1674</v>
      </c>
      <c r="E923" s="12" t="s">
        <v>1797</v>
      </c>
      <c r="F923" s="11">
        <v>3</v>
      </c>
      <c r="G923" s="12">
        <v>953.74</v>
      </c>
      <c r="H923" s="9">
        <v>0.04</v>
      </c>
      <c r="I923" s="12" t="s">
        <v>1824</v>
      </c>
      <c r="J923" s="9">
        <v>2746.7712000000001</v>
      </c>
    </row>
    <row r="924" spans="1:10" x14ac:dyDescent="0.3">
      <c r="A924" s="22" t="s">
        <v>2733</v>
      </c>
      <c r="B924" s="10">
        <v>45543</v>
      </c>
      <c r="C924" s="12" t="s">
        <v>247</v>
      </c>
      <c r="D924" s="12" t="s">
        <v>1700</v>
      </c>
      <c r="E924" s="12" t="s">
        <v>1789</v>
      </c>
      <c r="F924" s="11">
        <v>3</v>
      </c>
      <c r="G924" s="12">
        <v>904.48</v>
      </c>
      <c r="H924" s="9">
        <v>0.21</v>
      </c>
      <c r="I924" s="12" t="s">
        <v>1826</v>
      </c>
      <c r="J924" s="9">
        <v>2143.6176</v>
      </c>
    </row>
    <row r="925" spans="1:10" x14ac:dyDescent="0.3">
      <c r="A925" s="22" t="s">
        <v>2734</v>
      </c>
      <c r="B925" s="10">
        <v>45595</v>
      </c>
      <c r="C925" s="12" t="s">
        <v>1513</v>
      </c>
      <c r="D925" s="12" t="s">
        <v>1672</v>
      </c>
      <c r="E925" s="12" t="s">
        <v>1801</v>
      </c>
      <c r="F925" s="11">
        <v>3</v>
      </c>
      <c r="G925" s="12">
        <v>920.82</v>
      </c>
      <c r="H925" s="9">
        <v>0.1</v>
      </c>
      <c r="I925" s="12" t="s">
        <v>1826</v>
      </c>
      <c r="J925" s="9">
        <v>2486.2139999999999</v>
      </c>
    </row>
    <row r="926" spans="1:10" x14ac:dyDescent="0.3">
      <c r="A926" s="22" t="s">
        <v>2735</v>
      </c>
      <c r="B926" s="10">
        <v>45803</v>
      </c>
      <c r="C926" s="12" t="s">
        <v>963</v>
      </c>
      <c r="D926" s="12" t="s">
        <v>1604</v>
      </c>
      <c r="E926" s="12" t="s">
        <v>1757</v>
      </c>
      <c r="F926" s="11">
        <v>1</v>
      </c>
      <c r="G926" s="12">
        <v>182.28</v>
      </c>
      <c r="H926" s="9">
        <v>0.15</v>
      </c>
      <c r="I926" s="12" t="s">
        <v>1829</v>
      </c>
      <c r="J926" s="9">
        <v>154.93799999999999</v>
      </c>
    </row>
    <row r="927" spans="1:10" x14ac:dyDescent="0.3">
      <c r="A927" s="22" t="s">
        <v>2736</v>
      </c>
      <c r="B927" s="10">
        <v>45880</v>
      </c>
      <c r="C927" s="12" t="s">
        <v>1377</v>
      </c>
      <c r="D927" s="12" t="s">
        <v>1610</v>
      </c>
      <c r="E927" s="12" t="s">
        <v>1804</v>
      </c>
      <c r="F927" s="11">
        <v>3</v>
      </c>
      <c r="G927" s="12">
        <v>938.68</v>
      </c>
      <c r="H927" s="9">
        <v>0.14000000000000001</v>
      </c>
      <c r="I927" s="12" t="s">
        <v>1824</v>
      </c>
      <c r="J927" s="9">
        <v>2421.7944000000002</v>
      </c>
    </row>
    <row r="928" spans="1:10" x14ac:dyDescent="0.3">
      <c r="A928" s="22" t="s">
        <v>2737</v>
      </c>
      <c r="B928" s="10">
        <v>45690</v>
      </c>
      <c r="C928" s="12" t="s">
        <v>295</v>
      </c>
      <c r="D928" s="12" t="s">
        <v>1730</v>
      </c>
      <c r="E928" s="12" t="s">
        <v>1773</v>
      </c>
      <c r="F928" s="11">
        <v>3</v>
      </c>
      <c r="G928" s="12">
        <v>219.96</v>
      </c>
      <c r="H928" s="9">
        <v>0.18</v>
      </c>
      <c r="I928" s="12" t="s">
        <v>1826</v>
      </c>
      <c r="J928" s="9">
        <v>541.10160000000008</v>
      </c>
    </row>
    <row r="929" spans="1:10" x14ac:dyDescent="0.3">
      <c r="A929" s="22" t="s">
        <v>2738</v>
      </c>
      <c r="B929" s="10">
        <v>45841</v>
      </c>
      <c r="C929" s="12" t="s">
        <v>1458</v>
      </c>
      <c r="D929" s="12" t="s">
        <v>1690</v>
      </c>
      <c r="E929" s="12" t="s">
        <v>1810</v>
      </c>
      <c r="F929" s="11">
        <v>3</v>
      </c>
      <c r="G929" s="12">
        <v>385.74</v>
      </c>
      <c r="H929" s="9">
        <v>0.27</v>
      </c>
      <c r="I929" s="12" t="s">
        <v>1824</v>
      </c>
      <c r="J929" s="9">
        <v>844.77059999999994</v>
      </c>
    </row>
    <row r="930" spans="1:10" x14ac:dyDescent="0.3">
      <c r="A930" s="22" t="s">
        <v>2739</v>
      </c>
      <c r="B930" s="10">
        <v>45380</v>
      </c>
      <c r="C930" s="12" t="s">
        <v>1400</v>
      </c>
      <c r="D930" s="12" t="s">
        <v>1710</v>
      </c>
      <c r="E930" s="12" t="s">
        <v>1810</v>
      </c>
      <c r="F930" s="11">
        <v>2</v>
      </c>
      <c r="G930" s="12">
        <v>830.94</v>
      </c>
      <c r="H930" s="9">
        <v>0.28000000000000003</v>
      </c>
      <c r="I930" s="12" t="s">
        <v>1826</v>
      </c>
      <c r="J930" s="9">
        <v>1196.5536</v>
      </c>
    </row>
    <row r="931" spans="1:10" x14ac:dyDescent="0.3">
      <c r="A931" s="22" t="s">
        <v>2740</v>
      </c>
      <c r="B931" s="10">
        <v>45503</v>
      </c>
      <c r="C931" s="12" t="s">
        <v>1196</v>
      </c>
      <c r="D931" s="12" t="s">
        <v>1551</v>
      </c>
      <c r="E931" s="12" t="s">
        <v>1786</v>
      </c>
      <c r="F931" s="11">
        <v>3</v>
      </c>
      <c r="G931" s="12">
        <v>462.75</v>
      </c>
      <c r="H931" s="9">
        <v>0.22</v>
      </c>
      <c r="I931" s="12" t="s">
        <v>1826</v>
      </c>
      <c r="J931" s="9">
        <v>1082.835</v>
      </c>
    </row>
    <row r="932" spans="1:10" x14ac:dyDescent="0.3">
      <c r="A932" s="22" t="s">
        <v>2741</v>
      </c>
      <c r="B932" s="10">
        <v>45567</v>
      </c>
      <c r="C932" s="12" t="s">
        <v>247</v>
      </c>
      <c r="D932" s="12" t="s">
        <v>1576</v>
      </c>
      <c r="E932" s="12" t="s">
        <v>1801</v>
      </c>
      <c r="F932" s="11">
        <v>4</v>
      </c>
      <c r="G932" s="12">
        <v>973.9</v>
      </c>
      <c r="H932" s="9">
        <v>0.02</v>
      </c>
      <c r="I932" s="12" t="s">
        <v>1829</v>
      </c>
      <c r="J932" s="9">
        <v>3817.6880000000001</v>
      </c>
    </row>
    <row r="933" spans="1:10" x14ac:dyDescent="0.3">
      <c r="A933" s="22" t="s">
        <v>2742</v>
      </c>
      <c r="B933" s="10">
        <v>45600</v>
      </c>
      <c r="C933" s="12" t="s">
        <v>475</v>
      </c>
      <c r="D933" s="12" t="s">
        <v>1618</v>
      </c>
      <c r="E933" s="12" t="s">
        <v>1757</v>
      </c>
      <c r="F933" s="11">
        <v>2</v>
      </c>
      <c r="G933" s="12">
        <v>157.18</v>
      </c>
      <c r="H933" s="9">
        <v>0.15</v>
      </c>
      <c r="I933" s="12" t="s">
        <v>1824</v>
      </c>
      <c r="J933" s="9">
        <v>267.20600000000002</v>
      </c>
    </row>
    <row r="934" spans="1:10" x14ac:dyDescent="0.3">
      <c r="A934" s="22" t="s">
        <v>2743</v>
      </c>
      <c r="B934" s="10">
        <v>45415</v>
      </c>
      <c r="C934" s="12" t="s">
        <v>63</v>
      </c>
      <c r="D934" s="12" t="s">
        <v>1694</v>
      </c>
      <c r="E934" s="12" t="s">
        <v>1797</v>
      </c>
      <c r="F934" s="11">
        <v>3</v>
      </c>
      <c r="G934" s="12">
        <v>239.57</v>
      </c>
      <c r="H934" s="9">
        <v>0.16</v>
      </c>
      <c r="I934" s="12" t="s">
        <v>1824</v>
      </c>
      <c r="J934" s="9">
        <v>603.71640000000002</v>
      </c>
    </row>
    <row r="935" spans="1:10" x14ac:dyDescent="0.3">
      <c r="A935" s="22" t="s">
        <v>2744</v>
      </c>
      <c r="B935" s="10">
        <v>45343</v>
      </c>
      <c r="C935" s="12" t="s">
        <v>1029</v>
      </c>
      <c r="D935" s="12" t="s">
        <v>1565</v>
      </c>
      <c r="E935" s="12" t="s">
        <v>1804</v>
      </c>
      <c r="F935" s="11">
        <v>4</v>
      </c>
      <c r="G935" s="12">
        <v>583.21</v>
      </c>
      <c r="H935" s="9">
        <v>0.2</v>
      </c>
      <c r="I935" s="12" t="s">
        <v>1824</v>
      </c>
      <c r="J935" s="9">
        <v>1866.2719999999999</v>
      </c>
    </row>
    <row r="936" spans="1:10" x14ac:dyDescent="0.3">
      <c r="A936" s="22" t="s">
        <v>2745</v>
      </c>
      <c r="B936" s="10">
        <v>45399</v>
      </c>
      <c r="C936" s="12" t="s">
        <v>1283</v>
      </c>
      <c r="D936" s="12" t="s">
        <v>1710</v>
      </c>
      <c r="E936" s="12" t="s">
        <v>1782</v>
      </c>
      <c r="F936" s="11">
        <v>3</v>
      </c>
      <c r="G936" s="12">
        <v>758.75</v>
      </c>
      <c r="H936" s="9">
        <v>0.27</v>
      </c>
      <c r="I936" s="12" t="s">
        <v>1826</v>
      </c>
      <c r="J936" s="9">
        <v>1661.6624999999999</v>
      </c>
    </row>
    <row r="937" spans="1:10" x14ac:dyDescent="0.3">
      <c r="A937" s="22" t="s">
        <v>2746</v>
      </c>
      <c r="B937" s="10">
        <v>45689</v>
      </c>
      <c r="C937" s="12" t="s">
        <v>975</v>
      </c>
      <c r="D937" s="12" t="s">
        <v>1670</v>
      </c>
      <c r="E937" s="12" t="s">
        <v>1773</v>
      </c>
      <c r="F937" s="11">
        <v>4</v>
      </c>
      <c r="G937" s="12">
        <v>372.42</v>
      </c>
      <c r="H937" s="9">
        <v>0.19</v>
      </c>
      <c r="I937" s="12" t="s">
        <v>1824</v>
      </c>
      <c r="J937" s="9">
        <v>1206.6407999999999</v>
      </c>
    </row>
    <row r="938" spans="1:10" x14ac:dyDescent="0.3">
      <c r="A938" s="22" t="s">
        <v>2747</v>
      </c>
      <c r="B938" s="10">
        <v>45699</v>
      </c>
      <c r="C938" s="12" t="s">
        <v>517</v>
      </c>
      <c r="D938" s="12" t="s">
        <v>1674</v>
      </c>
      <c r="E938" s="12" t="s">
        <v>1813</v>
      </c>
      <c r="F938" s="11">
        <v>4</v>
      </c>
      <c r="G938" s="12">
        <v>286.27999999999997</v>
      </c>
      <c r="H938" s="9">
        <v>0.28000000000000003</v>
      </c>
      <c r="I938" s="12" t="s">
        <v>1826</v>
      </c>
      <c r="J938" s="9">
        <v>824.48639999999989</v>
      </c>
    </row>
    <row r="939" spans="1:10" x14ac:dyDescent="0.3">
      <c r="A939" s="22" t="s">
        <v>2748</v>
      </c>
      <c r="B939" s="10">
        <v>45663</v>
      </c>
      <c r="C939" s="12" t="s">
        <v>887</v>
      </c>
      <c r="D939" s="12" t="s">
        <v>1694</v>
      </c>
      <c r="E939" s="12" t="s">
        <v>1792</v>
      </c>
      <c r="F939" s="11">
        <v>3</v>
      </c>
      <c r="G939" s="12">
        <v>488.37</v>
      </c>
      <c r="H939" s="9">
        <v>0.27</v>
      </c>
      <c r="I939" s="12" t="s">
        <v>1829</v>
      </c>
      <c r="J939" s="9">
        <v>1069.5302999999999</v>
      </c>
    </row>
    <row r="940" spans="1:10" x14ac:dyDescent="0.3">
      <c r="A940" s="22" t="s">
        <v>2749</v>
      </c>
      <c r="B940" s="10">
        <v>45377</v>
      </c>
      <c r="C940" s="12" t="s">
        <v>1446</v>
      </c>
      <c r="D940" s="12" t="s">
        <v>1722</v>
      </c>
      <c r="E940" s="12" t="s">
        <v>1782</v>
      </c>
      <c r="F940" s="11">
        <v>3</v>
      </c>
      <c r="G940" s="12">
        <v>662.82</v>
      </c>
      <c r="H940" s="9">
        <v>0.01</v>
      </c>
      <c r="I940" s="12" t="s">
        <v>1829</v>
      </c>
      <c r="J940" s="9">
        <v>1968.5753999999999</v>
      </c>
    </row>
    <row r="941" spans="1:10" x14ac:dyDescent="0.3">
      <c r="A941" s="22" t="s">
        <v>2750</v>
      </c>
      <c r="B941" s="10">
        <v>45412</v>
      </c>
      <c r="C941" s="12" t="s">
        <v>1527</v>
      </c>
      <c r="D941" s="12" t="s">
        <v>1557</v>
      </c>
      <c r="E941" s="12" t="s">
        <v>1804</v>
      </c>
      <c r="F941" s="11">
        <v>2</v>
      </c>
      <c r="G941" s="12">
        <v>824.34</v>
      </c>
      <c r="H941" s="9">
        <v>0.1</v>
      </c>
      <c r="I941" s="12" t="s">
        <v>1829</v>
      </c>
      <c r="J941" s="9">
        <v>1483.8119999999999</v>
      </c>
    </row>
    <row r="942" spans="1:10" x14ac:dyDescent="0.3">
      <c r="A942" s="22" t="s">
        <v>2751</v>
      </c>
      <c r="B942" s="10">
        <v>45349</v>
      </c>
      <c r="C942" s="12" t="s">
        <v>396</v>
      </c>
      <c r="D942" s="12" t="s">
        <v>1666</v>
      </c>
      <c r="E942" s="12" t="s">
        <v>1782</v>
      </c>
      <c r="F942" s="11">
        <v>1</v>
      </c>
      <c r="G942" s="12">
        <v>437.12</v>
      </c>
      <c r="H942" s="9">
        <v>0.21</v>
      </c>
      <c r="I942" s="12" t="s">
        <v>1824</v>
      </c>
      <c r="J942" s="9">
        <v>345.32479999999998</v>
      </c>
    </row>
    <row r="943" spans="1:10" x14ac:dyDescent="0.3">
      <c r="A943" s="22" t="s">
        <v>2752</v>
      </c>
      <c r="B943" s="10">
        <v>45486</v>
      </c>
      <c r="C943" s="12" t="s">
        <v>1118</v>
      </c>
      <c r="D943" s="12" t="s">
        <v>1724</v>
      </c>
      <c r="E943" s="12" t="s">
        <v>1776</v>
      </c>
      <c r="F943" s="11">
        <v>3</v>
      </c>
      <c r="G943" s="12">
        <v>23.37</v>
      </c>
      <c r="H943" s="9">
        <v>0.15</v>
      </c>
      <c r="I943" s="12" t="s">
        <v>1826</v>
      </c>
      <c r="J943" s="9">
        <v>59.593499999999999</v>
      </c>
    </row>
    <row r="944" spans="1:10" x14ac:dyDescent="0.3">
      <c r="A944" s="22" t="s">
        <v>2753</v>
      </c>
      <c r="B944" s="10">
        <v>45761</v>
      </c>
      <c r="C944" s="12" t="s">
        <v>616</v>
      </c>
      <c r="D944" s="12" t="s">
        <v>1620</v>
      </c>
      <c r="E944" s="12" t="s">
        <v>1782</v>
      </c>
      <c r="F944" s="11">
        <v>1</v>
      </c>
      <c r="G944" s="12">
        <v>579.69000000000005</v>
      </c>
      <c r="H944" s="9">
        <v>0.02</v>
      </c>
      <c r="I944" s="12" t="s">
        <v>1824</v>
      </c>
      <c r="J944" s="9">
        <v>568.09620000000007</v>
      </c>
    </row>
    <row r="945" spans="1:10" x14ac:dyDescent="0.3">
      <c r="A945" s="22" t="s">
        <v>2754</v>
      </c>
      <c r="B945" s="10">
        <v>45639</v>
      </c>
      <c r="C945" s="12" t="s">
        <v>1334</v>
      </c>
      <c r="D945" s="12" t="s">
        <v>1704</v>
      </c>
      <c r="E945" s="12" t="s">
        <v>1799</v>
      </c>
      <c r="F945" s="11">
        <v>3</v>
      </c>
      <c r="G945" s="12">
        <v>240.51</v>
      </c>
      <c r="H945" s="9">
        <v>7.0000000000000007E-2</v>
      </c>
      <c r="I945" s="12" t="s">
        <v>1824</v>
      </c>
      <c r="J945" s="9">
        <v>671.02289999999994</v>
      </c>
    </row>
    <row r="946" spans="1:10" x14ac:dyDescent="0.3">
      <c r="A946" s="22" t="s">
        <v>2755</v>
      </c>
      <c r="B946" s="10">
        <v>45893</v>
      </c>
      <c r="C946" s="12" t="s">
        <v>1193</v>
      </c>
      <c r="D946" s="12" t="s">
        <v>1598</v>
      </c>
      <c r="E946" s="12" t="s">
        <v>1799</v>
      </c>
      <c r="F946" s="11">
        <v>2</v>
      </c>
      <c r="G946" s="12">
        <v>855.4</v>
      </c>
      <c r="H946" s="9">
        <v>0.08</v>
      </c>
      <c r="I946" s="12" t="s">
        <v>1829</v>
      </c>
      <c r="J946" s="9">
        <v>1573.9359999999999</v>
      </c>
    </row>
    <row r="947" spans="1:10" x14ac:dyDescent="0.3">
      <c r="A947" s="22" t="s">
        <v>2756</v>
      </c>
      <c r="B947" s="10">
        <v>45227</v>
      </c>
      <c r="C947" s="12" t="s">
        <v>40</v>
      </c>
      <c r="D947" s="12" t="s">
        <v>1728</v>
      </c>
      <c r="E947" s="12" t="s">
        <v>1779</v>
      </c>
      <c r="F947" s="11">
        <v>1</v>
      </c>
      <c r="G947" s="12">
        <v>537.26</v>
      </c>
      <c r="H947" s="9">
        <v>0.09</v>
      </c>
      <c r="I947" s="12" t="s">
        <v>1824</v>
      </c>
      <c r="J947" s="9">
        <v>488.90660000000003</v>
      </c>
    </row>
    <row r="948" spans="1:10" x14ac:dyDescent="0.3">
      <c r="A948" s="22" t="s">
        <v>2757</v>
      </c>
      <c r="B948" s="10">
        <v>45637</v>
      </c>
      <c r="C948" s="12" t="s">
        <v>1199</v>
      </c>
      <c r="D948" s="12" t="s">
        <v>1650</v>
      </c>
      <c r="E948" s="12" t="s">
        <v>1789</v>
      </c>
      <c r="F948" s="11">
        <v>3</v>
      </c>
      <c r="G948" s="12">
        <v>918.26</v>
      </c>
      <c r="H948" s="9">
        <v>0.17</v>
      </c>
      <c r="I948" s="12" t="s">
        <v>1829</v>
      </c>
      <c r="J948" s="9">
        <v>2286.4674</v>
      </c>
    </row>
    <row r="949" spans="1:10" x14ac:dyDescent="0.3">
      <c r="A949" s="22" t="s">
        <v>2758</v>
      </c>
      <c r="B949" s="10">
        <v>45472</v>
      </c>
      <c r="C949" s="12" t="s">
        <v>341</v>
      </c>
      <c r="D949" s="12" t="s">
        <v>1557</v>
      </c>
      <c r="E949" s="12" t="s">
        <v>1786</v>
      </c>
      <c r="F949" s="11">
        <v>4</v>
      </c>
      <c r="G949" s="12">
        <v>579.70000000000005</v>
      </c>
      <c r="H949" s="9">
        <v>0.18</v>
      </c>
      <c r="I949" s="12" t="s">
        <v>1826</v>
      </c>
      <c r="J949" s="9">
        <v>1901.4159999999999</v>
      </c>
    </row>
    <row r="950" spans="1:10" x14ac:dyDescent="0.3">
      <c r="A950" s="22" t="s">
        <v>2759</v>
      </c>
      <c r="B950" s="10">
        <v>45710</v>
      </c>
      <c r="C950" s="12" t="s">
        <v>490</v>
      </c>
      <c r="D950" s="12" t="s">
        <v>1634</v>
      </c>
      <c r="E950" s="12" t="s">
        <v>1776</v>
      </c>
      <c r="F950" s="11">
        <v>1</v>
      </c>
      <c r="G950" s="12">
        <v>824.32</v>
      </c>
      <c r="H950" s="9">
        <v>0.18</v>
      </c>
      <c r="I950" s="12" t="s">
        <v>1824</v>
      </c>
      <c r="J950" s="9">
        <v>675.94240000000013</v>
      </c>
    </row>
    <row r="951" spans="1:10" x14ac:dyDescent="0.3">
      <c r="A951" s="22" t="s">
        <v>2760</v>
      </c>
      <c r="B951" s="10">
        <v>45682</v>
      </c>
      <c r="C951" s="12" t="s">
        <v>384</v>
      </c>
      <c r="D951" s="12" t="s">
        <v>1640</v>
      </c>
      <c r="E951" s="12" t="s">
        <v>1801</v>
      </c>
      <c r="F951" s="11">
        <v>4</v>
      </c>
      <c r="G951" s="12">
        <v>614.99</v>
      </c>
      <c r="H951" s="9">
        <v>0.16</v>
      </c>
      <c r="I951" s="12" t="s">
        <v>1826</v>
      </c>
      <c r="J951" s="9">
        <v>2066.3663999999999</v>
      </c>
    </row>
    <row r="952" spans="1:10" x14ac:dyDescent="0.3">
      <c r="A952" s="22" t="s">
        <v>2761</v>
      </c>
      <c r="B952" s="10">
        <v>45730</v>
      </c>
      <c r="C952" s="12" t="s">
        <v>441</v>
      </c>
      <c r="D952" s="12" t="s">
        <v>1672</v>
      </c>
      <c r="E952" s="12" t="s">
        <v>1752</v>
      </c>
      <c r="F952" s="11">
        <v>4</v>
      </c>
      <c r="G952" s="12">
        <v>189.21</v>
      </c>
      <c r="H952" s="9">
        <v>0.06</v>
      </c>
      <c r="I952" s="12" t="s">
        <v>1829</v>
      </c>
      <c r="J952" s="9">
        <v>711.42959999999994</v>
      </c>
    </row>
    <row r="953" spans="1:10" x14ac:dyDescent="0.3">
      <c r="A953" s="22" t="s">
        <v>2762</v>
      </c>
      <c r="B953" s="10">
        <v>45629</v>
      </c>
      <c r="C953" s="12" t="s">
        <v>517</v>
      </c>
      <c r="D953" s="12" t="s">
        <v>1672</v>
      </c>
      <c r="E953" s="12" t="s">
        <v>1799</v>
      </c>
      <c r="F953" s="11">
        <v>2</v>
      </c>
      <c r="G953" s="12">
        <v>233.33</v>
      </c>
      <c r="H953" s="9">
        <v>0.05</v>
      </c>
      <c r="I953" s="12" t="s">
        <v>1824</v>
      </c>
      <c r="J953" s="9">
        <v>443.327</v>
      </c>
    </row>
    <row r="954" spans="1:10" x14ac:dyDescent="0.3">
      <c r="A954" s="22" t="s">
        <v>2763</v>
      </c>
      <c r="B954" s="10">
        <v>45783</v>
      </c>
      <c r="C954" s="12" t="s">
        <v>794</v>
      </c>
      <c r="D954" s="12" t="s">
        <v>1626</v>
      </c>
      <c r="E954" s="12" t="s">
        <v>1810</v>
      </c>
      <c r="F954" s="11">
        <v>3</v>
      </c>
      <c r="G954" s="12">
        <v>529.89</v>
      </c>
      <c r="H954" s="9">
        <v>0.21</v>
      </c>
      <c r="I954" s="12" t="s">
        <v>1824</v>
      </c>
      <c r="J954" s="9">
        <v>1255.8393000000001</v>
      </c>
    </row>
    <row r="955" spans="1:10" x14ac:dyDescent="0.3">
      <c r="A955" s="22" t="s">
        <v>2764</v>
      </c>
      <c r="B955" s="10">
        <v>45518</v>
      </c>
      <c r="C955" s="12" t="s">
        <v>1504</v>
      </c>
      <c r="D955" s="12" t="s">
        <v>1732</v>
      </c>
      <c r="E955" s="12" t="s">
        <v>1757</v>
      </c>
      <c r="F955" s="11">
        <v>2</v>
      </c>
      <c r="G955" s="12">
        <v>954.1</v>
      </c>
      <c r="H955" s="9">
        <v>0.17</v>
      </c>
      <c r="I955" s="12" t="s">
        <v>1826</v>
      </c>
      <c r="J955" s="9">
        <v>1583.806</v>
      </c>
    </row>
    <row r="956" spans="1:10" x14ac:dyDescent="0.3">
      <c r="A956" s="22" t="s">
        <v>2765</v>
      </c>
      <c r="B956" s="10">
        <v>45274</v>
      </c>
      <c r="C956" s="12" t="s">
        <v>1017</v>
      </c>
      <c r="D956" s="12" t="s">
        <v>1678</v>
      </c>
      <c r="E956" s="12" t="s">
        <v>1779</v>
      </c>
      <c r="F956" s="11">
        <v>1</v>
      </c>
      <c r="G956" s="12">
        <v>370.04</v>
      </c>
      <c r="H956" s="9">
        <v>0.04</v>
      </c>
      <c r="I956" s="12" t="s">
        <v>1829</v>
      </c>
      <c r="J956" s="9">
        <v>355.23840000000001</v>
      </c>
    </row>
    <row r="957" spans="1:10" x14ac:dyDescent="0.3">
      <c r="A957" s="22" t="s">
        <v>2766</v>
      </c>
      <c r="B957" s="10">
        <v>45297</v>
      </c>
      <c r="C957" s="12" t="s">
        <v>227</v>
      </c>
      <c r="D957" s="12" t="s">
        <v>1740</v>
      </c>
      <c r="E957" s="12" t="s">
        <v>1813</v>
      </c>
      <c r="F957" s="11">
        <v>4</v>
      </c>
      <c r="G957" s="12">
        <v>492.71</v>
      </c>
      <c r="H957" s="9">
        <v>0.08</v>
      </c>
      <c r="I957" s="12" t="s">
        <v>1824</v>
      </c>
      <c r="J957" s="9">
        <v>1813.1728000000001</v>
      </c>
    </row>
    <row r="958" spans="1:10" x14ac:dyDescent="0.3">
      <c r="A958" s="22" t="s">
        <v>2767</v>
      </c>
      <c r="B958" s="10">
        <v>45530</v>
      </c>
      <c r="C958" s="12" t="s">
        <v>890</v>
      </c>
      <c r="D958" s="12" t="s">
        <v>1730</v>
      </c>
      <c r="E958" s="12" t="s">
        <v>1797</v>
      </c>
      <c r="F958" s="11">
        <v>4</v>
      </c>
      <c r="G958" s="12">
        <v>853.26</v>
      </c>
      <c r="H958" s="9">
        <v>0.24</v>
      </c>
      <c r="I958" s="12" t="s">
        <v>1829</v>
      </c>
      <c r="J958" s="9">
        <v>2593.9104000000002</v>
      </c>
    </row>
    <row r="959" spans="1:10" x14ac:dyDescent="0.3">
      <c r="A959" s="22" t="s">
        <v>2768</v>
      </c>
      <c r="B959" s="10">
        <v>45740</v>
      </c>
      <c r="C959" s="12" t="s">
        <v>1263</v>
      </c>
      <c r="D959" s="12" t="s">
        <v>1551</v>
      </c>
      <c r="E959" s="12" t="s">
        <v>1804</v>
      </c>
      <c r="F959" s="11">
        <v>1</v>
      </c>
      <c r="G959" s="12">
        <v>402.47</v>
      </c>
      <c r="H959" s="9">
        <v>0.19</v>
      </c>
      <c r="I959" s="12" t="s">
        <v>1826</v>
      </c>
      <c r="J959" s="9">
        <v>326.00070000000011</v>
      </c>
    </row>
    <row r="960" spans="1:10" x14ac:dyDescent="0.3">
      <c r="A960" s="22" t="s">
        <v>2769</v>
      </c>
      <c r="B960" s="10">
        <v>45311</v>
      </c>
      <c r="C960" s="12" t="s">
        <v>1252</v>
      </c>
      <c r="D960" s="12" t="s">
        <v>1656</v>
      </c>
      <c r="E960" s="12" t="s">
        <v>1810</v>
      </c>
      <c r="F960" s="11">
        <v>2</v>
      </c>
      <c r="G960" s="12">
        <v>528.29999999999995</v>
      </c>
      <c r="H960" s="9">
        <v>0.24</v>
      </c>
      <c r="I960" s="12" t="s">
        <v>1824</v>
      </c>
      <c r="J960" s="9">
        <v>803.01599999999996</v>
      </c>
    </row>
    <row r="961" spans="1:10" x14ac:dyDescent="0.3">
      <c r="A961" s="22" t="s">
        <v>2770</v>
      </c>
      <c r="B961" s="10">
        <v>45667</v>
      </c>
      <c r="C961" s="12" t="s">
        <v>1374</v>
      </c>
      <c r="D961" s="12" t="s">
        <v>1568</v>
      </c>
      <c r="E961" s="12" t="s">
        <v>1776</v>
      </c>
      <c r="F961" s="11">
        <v>4</v>
      </c>
      <c r="G961" s="12">
        <v>599.85</v>
      </c>
      <c r="H961" s="9">
        <v>0.25</v>
      </c>
      <c r="I961" s="12" t="s">
        <v>1824</v>
      </c>
      <c r="J961" s="9">
        <v>1799.55</v>
      </c>
    </row>
    <row r="962" spans="1:10" x14ac:dyDescent="0.3">
      <c r="A962" s="22" t="s">
        <v>2771</v>
      </c>
      <c r="B962" s="10">
        <v>45281</v>
      </c>
      <c r="C962" s="12" t="s">
        <v>957</v>
      </c>
      <c r="D962" s="12" t="s">
        <v>1580</v>
      </c>
      <c r="E962" s="12" t="s">
        <v>1786</v>
      </c>
      <c r="F962" s="11">
        <v>2</v>
      </c>
      <c r="G962" s="12">
        <v>61.42</v>
      </c>
      <c r="H962" s="9">
        <v>0.08</v>
      </c>
      <c r="I962" s="12" t="s">
        <v>1826</v>
      </c>
      <c r="J962" s="9">
        <v>113.0128</v>
      </c>
    </row>
    <row r="963" spans="1:10" x14ac:dyDescent="0.3">
      <c r="A963" s="22" t="s">
        <v>2772</v>
      </c>
      <c r="B963" s="10">
        <v>45693</v>
      </c>
      <c r="C963" s="12" t="s">
        <v>797</v>
      </c>
      <c r="D963" s="12" t="s">
        <v>1586</v>
      </c>
      <c r="E963" s="12" t="s">
        <v>1789</v>
      </c>
      <c r="F963" s="11">
        <v>2</v>
      </c>
      <c r="G963" s="12">
        <v>466.42</v>
      </c>
      <c r="H963" s="9">
        <v>0.12</v>
      </c>
      <c r="I963" s="12" t="s">
        <v>1826</v>
      </c>
      <c r="J963" s="9">
        <v>820.89920000000006</v>
      </c>
    </row>
    <row r="964" spans="1:10" x14ac:dyDescent="0.3">
      <c r="A964" s="22" t="s">
        <v>2773</v>
      </c>
      <c r="B964" s="10">
        <v>45857</v>
      </c>
      <c r="C964" s="12" t="s">
        <v>353</v>
      </c>
      <c r="D964" s="12" t="s">
        <v>1610</v>
      </c>
      <c r="E964" s="12" t="s">
        <v>1773</v>
      </c>
      <c r="F964" s="11">
        <v>4</v>
      </c>
      <c r="G964" s="12">
        <v>540.69000000000005</v>
      </c>
      <c r="H964" s="9">
        <v>0.09</v>
      </c>
      <c r="I964" s="12" t="s">
        <v>1829</v>
      </c>
      <c r="J964" s="9">
        <v>1968.1116</v>
      </c>
    </row>
    <row r="965" spans="1:10" x14ac:dyDescent="0.3">
      <c r="A965" s="22" t="s">
        <v>2774</v>
      </c>
      <c r="B965" s="10">
        <v>45737</v>
      </c>
      <c r="C965" s="12" t="s">
        <v>942</v>
      </c>
      <c r="D965" s="12" t="s">
        <v>1586</v>
      </c>
      <c r="E965" s="12" t="s">
        <v>1797</v>
      </c>
      <c r="F965" s="11">
        <v>3</v>
      </c>
      <c r="G965" s="12">
        <v>677.46</v>
      </c>
      <c r="H965" s="9">
        <v>0.05</v>
      </c>
      <c r="I965" s="12" t="s">
        <v>1824</v>
      </c>
      <c r="J965" s="9">
        <v>1930.761</v>
      </c>
    </row>
    <row r="966" spans="1:10" x14ac:dyDescent="0.3">
      <c r="A966" s="22" t="s">
        <v>2775</v>
      </c>
      <c r="B966" s="10">
        <v>45771</v>
      </c>
      <c r="C966" s="12" t="s">
        <v>1032</v>
      </c>
      <c r="D966" s="12" t="s">
        <v>1590</v>
      </c>
      <c r="E966" s="12" t="s">
        <v>1757</v>
      </c>
      <c r="F966" s="11">
        <v>3</v>
      </c>
      <c r="G966" s="12">
        <v>614.63</v>
      </c>
      <c r="H966" s="9">
        <v>0.06</v>
      </c>
      <c r="I966" s="12" t="s">
        <v>1826</v>
      </c>
      <c r="J966" s="9">
        <v>1733.2565999999999</v>
      </c>
    </row>
    <row r="967" spans="1:10" x14ac:dyDescent="0.3">
      <c r="A967" s="22" t="s">
        <v>2776</v>
      </c>
      <c r="B967" s="10">
        <v>45272</v>
      </c>
      <c r="C967" s="12" t="s">
        <v>746</v>
      </c>
      <c r="D967" s="12" t="s">
        <v>1680</v>
      </c>
      <c r="E967" s="12" t="s">
        <v>1782</v>
      </c>
      <c r="F967" s="11">
        <v>4</v>
      </c>
      <c r="G967" s="12">
        <v>649.52</v>
      </c>
      <c r="H967" s="9">
        <v>0.11</v>
      </c>
      <c r="I967" s="12" t="s">
        <v>1824</v>
      </c>
      <c r="J967" s="9">
        <v>2312.2912000000001</v>
      </c>
    </row>
    <row r="968" spans="1:10" x14ac:dyDescent="0.3">
      <c r="A968" s="22" t="s">
        <v>2777</v>
      </c>
      <c r="B968" s="10">
        <v>45481</v>
      </c>
      <c r="C968" s="12" t="s">
        <v>1377</v>
      </c>
      <c r="D968" s="12" t="s">
        <v>1718</v>
      </c>
      <c r="E968" s="12" t="s">
        <v>1782</v>
      </c>
      <c r="F968" s="11">
        <v>2</v>
      </c>
      <c r="G968" s="12">
        <v>943.93</v>
      </c>
      <c r="H968" s="9">
        <v>0.22</v>
      </c>
      <c r="I968" s="12" t="s">
        <v>1826</v>
      </c>
      <c r="J968" s="9">
        <v>1472.5308</v>
      </c>
    </row>
    <row r="969" spans="1:10" x14ac:dyDescent="0.3">
      <c r="A969" s="22" t="s">
        <v>2778</v>
      </c>
      <c r="B969" s="10">
        <v>45228</v>
      </c>
      <c r="C969" s="12" t="s">
        <v>550</v>
      </c>
      <c r="D969" s="12" t="s">
        <v>1610</v>
      </c>
      <c r="E969" s="12" t="s">
        <v>1782</v>
      </c>
      <c r="F969" s="11">
        <v>4</v>
      </c>
      <c r="G969" s="12">
        <v>538.73</v>
      </c>
      <c r="H969" s="9">
        <v>0.03</v>
      </c>
      <c r="I969" s="12" t="s">
        <v>1824</v>
      </c>
      <c r="J969" s="9">
        <v>2090.2723999999998</v>
      </c>
    </row>
    <row r="970" spans="1:10" x14ac:dyDescent="0.3">
      <c r="A970" s="22" t="s">
        <v>2779</v>
      </c>
      <c r="B970" s="10">
        <v>45432</v>
      </c>
      <c r="C970" s="12" t="s">
        <v>318</v>
      </c>
      <c r="D970" s="12" t="s">
        <v>1680</v>
      </c>
      <c r="E970" s="12" t="s">
        <v>1782</v>
      </c>
      <c r="F970" s="11">
        <v>2</v>
      </c>
      <c r="G970" s="12">
        <v>853.93</v>
      </c>
      <c r="H970" s="9">
        <v>0.01</v>
      </c>
      <c r="I970" s="12" t="s">
        <v>1826</v>
      </c>
      <c r="J970" s="9">
        <v>1690.7814000000001</v>
      </c>
    </row>
    <row r="971" spans="1:10" x14ac:dyDescent="0.3">
      <c r="A971" s="22" t="s">
        <v>2780</v>
      </c>
      <c r="B971" s="10">
        <v>45914</v>
      </c>
      <c r="C971" s="12" t="s">
        <v>1510</v>
      </c>
      <c r="D971" s="12" t="s">
        <v>1606</v>
      </c>
      <c r="E971" s="12" t="s">
        <v>1769</v>
      </c>
      <c r="F971" s="11">
        <v>4</v>
      </c>
      <c r="G971" s="12">
        <v>465.42</v>
      </c>
      <c r="H971" s="9">
        <v>0.26</v>
      </c>
      <c r="I971" s="12" t="s">
        <v>1829</v>
      </c>
      <c r="J971" s="9">
        <v>1377.6432</v>
      </c>
    </row>
    <row r="972" spans="1:10" x14ac:dyDescent="0.3">
      <c r="A972" s="22" t="s">
        <v>2781</v>
      </c>
      <c r="B972" s="10">
        <v>45758</v>
      </c>
      <c r="C972" s="12" t="s">
        <v>208</v>
      </c>
      <c r="D972" s="12" t="s">
        <v>1546</v>
      </c>
      <c r="E972" s="12" t="s">
        <v>1792</v>
      </c>
      <c r="F972" s="11">
        <v>4</v>
      </c>
      <c r="G972" s="12">
        <v>880.26</v>
      </c>
      <c r="H972" s="9">
        <v>0.11</v>
      </c>
      <c r="I972" s="12" t="s">
        <v>1829</v>
      </c>
      <c r="J972" s="9">
        <v>3133.7256000000002</v>
      </c>
    </row>
    <row r="973" spans="1:10" x14ac:dyDescent="0.3">
      <c r="A973" s="22" t="s">
        <v>2782</v>
      </c>
      <c r="B973" s="10">
        <v>45429</v>
      </c>
      <c r="C973" s="12" t="s">
        <v>1487</v>
      </c>
      <c r="D973" s="12" t="s">
        <v>1650</v>
      </c>
      <c r="E973" s="12" t="s">
        <v>1792</v>
      </c>
      <c r="F973" s="11">
        <v>3</v>
      </c>
      <c r="G973" s="12">
        <v>461.02</v>
      </c>
      <c r="H973" s="9">
        <v>0.28999999999999998</v>
      </c>
      <c r="I973" s="12" t="s">
        <v>1826</v>
      </c>
      <c r="J973" s="9">
        <v>981.97259999999994</v>
      </c>
    </row>
    <row r="974" spans="1:10" x14ac:dyDescent="0.3">
      <c r="A974" s="22" t="s">
        <v>2783</v>
      </c>
      <c r="B974" s="10">
        <v>45578</v>
      </c>
      <c r="C974" s="12" t="s">
        <v>110</v>
      </c>
      <c r="D974" s="12" t="s">
        <v>1598</v>
      </c>
      <c r="E974" s="12" t="s">
        <v>1797</v>
      </c>
      <c r="F974" s="11">
        <v>1</v>
      </c>
      <c r="G974" s="12">
        <v>531.99</v>
      </c>
      <c r="H974" s="9">
        <v>0.17</v>
      </c>
      <c r="I974" s="12" t="s">
        <v>1826</v>
      </c>
      <c r="J974" s="9">
        <v>441.55169999999998</v>
      </c>
    </row>
    <row r="975" spans="1:10" x14ac:dyDescent="0.3">
      <c r="A975" s="22" t="s">
        <v>2784</v>
      </c>
      <c r="B975" s="10">
        <v>45486</v>
      </c>
      <c r="C975" s="12" t="s">
        <v>27</v>
      </c>
      <c r="D975" s="12" t="s">
        <v>1642</v>
      </c>
      <c r="E975" s="12" t="s">
        <v>1807</v>
      </c>
      <c r="F975" s="11">
        <v>2</v>
      </c>
      <c r="G975" s="12">
        <v>274.08999999999997</v>
      </c>
      <c r="H975" s="9">
        <v>0.13</v>
      </c>
      <c r="I975" s="12" t="s">
        <v>1826</v>
      </c>
      <c r="J975" s="9">
        <v>476.91660000000002</v>
      </c>
    </row>
    <row r="976" spans="1:10" x14ac:dyDescent="0.3">
      <c r="A976" s="22" t="s">
        <v>2785</v>
      </c>
      <c r="B976" s="10">
        <v>45694</v>
      </c>
      <c r="C976" s="12" t="s">
        <v>1371</v>
      </c>
      <c r="D976" s="12" t="s">
        <v>1724</v>
      </c>
      <c r="E976" s="12" t="s">
        <v>1789</v>
      </c>
      <c r="F976" s="11">
        <v>1</v>
      </c>
      <c r="G976" s="12">
        <v>66.14</v>
      </c>
      <c r="H976" s="9">
        <v>0.14000000000000001</v>
      </c>
      <c r="I976" s="12" t="s">
        <v>1829</v>
      </c>
      <c r="J976" s="9">
        <v>56.880400000000002</v>
      </c>
    </row>
    <row r="977" spans="1:10" x14ac:dyDescent="0.3">
      <c r="A977" s="22" t="s">
        <v>2786</v>
      </c>
      <c r="B977" s="10">
        <v>45875</v>
      </c>
      <c r="C977" s="12" t="s">
        <v>281</v>
      </c>
      <c r="D977" s="12" t="s">
        <v>1588</v>
      </c>
      <c r="E977" s="12" t="s">
        <v>1786</v>
      </c>
      <c r="F977" s="11">
        <v>3</v>
      </c>
      <c r="G977" s="12">
        <v>955.82</v>
      </c>
      <c r="H977" s="9">
        <v>0.16</v>
      </c>
      <c r="I977" s="12" t="s">
        <v>1829</v>
      </c>
      <c r="J977" s="9">
        <v>2408.6664000000001</v>
      </c>
    </row>
    <row r="978" spans="1:10" x14ac:dyDescent="0.3">
      <c r="A978" s="22" t="s">
        <v>2787</v>
      </c>
      <c r="B978" s="10">
        <v>45432</v>
      </c>
      <c r="C978" s="12" t="s">
        <v>1005</v>
      </c>
      <c r="D978" s="12" t="s">
        <v>1592</v>
      </c>
      <c r="E978" s="12" t="s">
        <v>1794</v>
      </c>
      <c r="F978" s="11">
        <v>1</v>
      </c>
      <c r="G978" s="12">
        <v>904.92</v>
      </c>
      <c r="H978" s="9">
        <v>0.13</v>
      </c>
      <c r="I978" s="12" t="s">
        <v>1824</v>
      </c>
      <c r="J978" s="9">
        <v>787.28039999999999</v>
      </c>
    </row>
    <row r="979" spans="1:10" x14ac:dyDescent="0.3">
      <c r="A979" s="22" t="s">
        <v>2788</v>
      </c>
      <c r="B979" s="10">
        <v>45575</v>
      </c>
      <c r="C979" s="12" t="s">
        <v>8</v>
      </c>
      <c r="D979" s="12" t="s">
        <v>1628</v>
      </c>
      <c r="E979" s="12" t="s">
        <v>1779</v>
      </c>
      <c r="F979" s="11">
        <v>3</v>
      </c>
      <c r="G979" s="12">
        <v>490.02</v>
      </c>
      <c r="H979" s="9">
        <v>0.26</v>
      </c>
      <c r="I979" s="12" t="s">
        <v>1824</v>
      </c>
      <c r="J979" s="9">
        <v>1087.8444</v>
      </c>
    </row>
    <row r="980" spans="1:10" x14ac:dyDescent="0.3">
      <c r="A980" s="22" t="s">
        <v>2789</v>
      </c>
      <c r="B980" s="10">
        <v>45340</v>
      </c>
      <c r="C980" s="12" t="s">
        <v>1136</v>
      </c>
      <c r="D980" s="12" t="s">
        <v>1586</v>
      </c>
      <c r="E980" s="12" t="s">
        <v>1776</v>
      </c>
      <c r="F980" s="11">
        <v>2</v>
      </c>
      <c r="G980" s="12">
        <v>957.54</v>
      </c>
      <c r="H980" s="9">
        <v>0.1</v>
      </c>
      <c r="I980" s="12" t="s">
        <v>1829</v>
      </c>
      <c r="J980" s="9">
        <v>1723.5719999999999</v>
      </c>
    </row>
    <row r="981" spans="1:10" x14ac:dyDescent="0.3">
      <c r="A981" s="22" t="s">
        <v>2790</v>
      </c>
      <c r="B981" s="10">
        <v>45926</v>
      </c>
      <c r="C981" s="12" t="s">
        <v>1035</v>
      </c>
      <c r="D981" s="12" t="s">
        <v>1746</v>
      </c>
      <c r="E981" s="12" t="s">
        <v>1797</v>
      </c>
      <c r="F981" s="11">
        <v>2</v>
      </c>
      <c r="G981" s="12">
        <v>314.39999999999998</v>
      </c>
      <c r="H981" s="9">
        <v>7.0000000000000007E-2</v>
      </c>
      <c r="I981" s="12" t="s">
        <v>1826</v>
      </c>
      <c r="J981" s="9">
        <v>584.78399999999988</v>
      </c>
    </row>
    <row r="982" spans="1:10" x14ac:dyDescent="0.3">
      <c r="A982" s="22" t="s">
        <v>2791</v>
      </c>
      <c r="B982" s="10">
        <v>45373</v>
      </c>
      <c r="C982" s="12" t="s">
        <v>1229</v>
      </c>
      <c r="D982" s="12" t="s">
        <v>1596</v>
      </c>
      <c r="E982" s="12" t="s">
        <v>1776</v>
      </c>
      <c r="F982" s="11">
        <v>3</v>
      </c>
      <c r="G982" s="12">
        <v>480.11</v>
      </c>
      <c r="H982" s="9">
        <v>0.11</v>
      </c>
      <c r="I982" s="12" t="s">
        <v>1826</v>
      </c>
      <c r="J982" s="9">
        <v>1281.8937000000001</v>
      </c>
    </row>
    <row r="983" spans="1:10" x14ac:dyDescent="0.3">
      <c r="A983" s="22" t="s">
        <v>2792</v>
      </c>
      <c r="B983" s="10">
        <v>45579</v>
      </c>
      <c r="C983" s="12" t="s">
        <v>1211</v>
      </c>
      <c r="D983" s="12" t="s">
        <v>1644</v>
      </c>
      <c r="E983" s="12" t="s">
        <v>1776</v>
      </c>
      <c r="F983" s="11">
        <v>4</v>
      </c>
      <c r="G983" s="12">
        <v>826.55</v>
      </c>
      <c r="H983" s="9">
        <v>0.28000000000000003</v>
      </c>
      <c r="I983" s="12" t="s">
        <v>1824</v>
      </c>
      <c r="J983" s="9">
        <v>2380.4639999999999</v>
      </c>
    </row>
    <row r="984" spans="1:10" x14ac:dyDescent="0.3">
      <c r="A984" s="22" t="s">
        <v>2793</v>
      </c>
      <c r="B984" s="10">
        <v>45805</v>
      </c>
      <c r="C984" s="12" t="s">
        <v>625</v>
      </c>
      <c r="D984" s="12" t="s">
        <v>1602</v>
      </c>
      <c r="E984" s="12" t="s">
        <v>1766</v>
      </c>
      <c r="F984" s="11">
        <v>3</v>
      </c>
      <c r="G984" s="12">
        <v>530.16999999999996</v>
      </c>
      <c r="H984" s="9">
        <v>0.18</v>
      </c>
      <c r="I984" s="12" t="s">
        <v>1826</v>
      </c>
      <c r="J984" s="9">
        <v>1304.2182</v>
      </c>
    </row>
    <row r="985" spans="1:10" x14ac:dyDescent="0.3">
      <c r="A985" s="22" t="s">
        <v>2794</v>
      </c>
      <c r="B985" s="10">
        <v>45522</v>
      </c>
      <c r="C985" s="12" t="s">
        <v>1266</v>
      </c>
      <c r="D985" s="12" t="s">
        <v>1616</v>
      </c>
      <c r="E985" s="12" t="s">
        <v>1807</v>
      </c>
      <c r="F985" s="11">
        <v>3</v>
      </c>
      <c r="G985" s="12">
        <v>336.17</v>
      </c>
      <c r="H985" s="9">
        <v>0.04</v>
      </c>
      <c r="I985" s="12" t="s">
        <v>1829</v>
      </c>
      <c r="J985" s="9">
        <v>968.16959999999995</v>
      </c>
    </row>
    <row r="986" spans="1:10" x14ac:dyDescent="0.3">
      <c r="A986" s="22" t="s">
        <v>2795</v>
      </c>
      <c r="B986" s="10">
        <v>45304</v>
      </c>
      <c r="C986" s="12" t="s">
        <v>1307</v>
      </c>
      <c r="D986" s="12" t="s">
        <v>1710</v>
      </c>
      <c r="E986" s="12" t="s">
        <v>1782</v>
      </c>
      <c r="F986" s="11">
        <v>4</v>
      </c>
      <c r="G986" s="12">
        <v>22.51</v>
      </c>
      <c r="H986" s="9">
        <v>0.27</v>
      </c>
      <c r="I986" s="12" t="s">
        <v>1826</v>
      </c>
      <c r="J986" s="9">
        <v>65.729200000000006</v>
      </c>
    </row>
    <row r="987" spans="1:10" x14ac:dyDescent="0.3">
      <c r="A987" s="22" t="s">
        <v>2796</v>
      </c>
      <c r="B987" s="10">
        <v>45456</v>
      </c>
      <c r="C987" s="12" t="s">
        <v>625</v>
      </c>
      <c r="D987" s="12" t="s">
        <v>1666</v>
      </c>
      <c r="E987" s="12" t="s">
        <v>1761</v>
      </c>
      <c r="F987" s="11">
        <v>2</v>
      </c>
      <c r="G987" s="12">
        <v>909.51</v>
      </c>
      <c r="H987" s="9">
        <v>0.27</v>
      </c>
      <c r="I987" s="12" t="s">
        <v>1824</v>
      </c>
      <c r="J987" s="9">
        <v>1327.8846000000001</v>
      </c>
    </row>
    <row r="988" spans="1:10" x14ac:dyDescent="0.3">
      <c r="A988" s="22" t="s">
        <v>2797</v>
      </c>
      <c r="B988" s="10">
        <v>45776</v>
      </c>
      <c r="C988" s="12" t="s">
        <v>198</v>
      </c>
      <c r="D988" s="12" t="s">
        <v>1686</v>
      </c>
      <c r="E988" s="12" t="s">
        <v>1799</v>
      </c>
      <c r="F988" s="11">
        <v>4</v>
      </c>
      <c r="G988" s="12">
        <v>593.84</v>
      </c>
      <c r="H988" s="9">
        <v>0.24</v>
      </c>
      <c r="I988" s="12" t="s">
        <v>1826</v>
      </c>
      <c r="J988" s="9">
        <v>1805.2736</v>
      </c>
    </row>
    <row r="989" spans="1:10" x14ac:dyDescent="0.3">
      <c r="A989" s="22" t="s">
        <v>2798</v>
      </c>
      <c r="B989" s="10">
        <v>45566</v>
      </c>
      <c r="C989" s="12" t="s">
        <v>384</v>
      </c>
      <c r="D989" s="12" t="s">
        <v>1694</v>
      </c>
      <c r="E989" s="12" t="s">
        <v>1789</v>
      </c>
      <c r="F989" s="11">
        <v>3</v>
      </c>
      <c r="G989" s="12">
        <v>909.11</v>
      </c>
      <c r="H989" s="9">
        <v>0.23</v>
      </c>
      <c r="I989" s="12" t="s">
        <v>1829</v>
      </c>
      <c r="J989" s="9">
        <v>2100.0441000000001</v>
      </c>
    </row>
    <row r="990" spans="1:10" x14ac:dyDescent="0.3">
      <c r="A990" s="22" t="s">
        <v>2799</v>
      </c>
      <c r="B990" s="10">
        <v>45542</v>
      </c>
      <c r="C990" s="12" t="s">
        <v>1243</v>
      </c>
      <c r="D990" s="12" t="s">
        <v>1596</v>
      </c>
      <c r="E990" s="12" t="s">
        <v>1757</v>
      </c>
      <c r="F990" s="11">
        <v>4</v>
      </c>
      <c r="G990" s="12">
        <v>996.85</v>
      </c>
      <c r="H990" s="9">
        <v>0.24</v>
      </c>
      <c r="I990" s="12" t="s">
        <v>1826</v>
      </c>
      <c r="J990" s="9">
        <v>3030.424</v>
      </c>
    </row>
    <row r="991" spans="1:10" x14ac:dyDescent="0.3">
      <c r="A991" s="22" t="s">
        <v>2800</v>
      </c>
      <c r="B991" s="10">
        <v>45834</v>
      </c>
      <c r="C991" s="12" t="s">
        <v>948</v>
      </c>
      <c r="D991" s="12" t="s">
        <v>1543</v>
      </c>
      <c r="E991" s="12" t="s">
        <v>1807</v>
      </c>
      <c r="F991" s="11">
        <v>1</v>
      </c>
      <c r="G991" s="12">
        <v>522.69000000000005</v>
      </c>
      <c r="H991" s="9">
        <v>0.06</v>
      </c>
      <c r="I991" s="12" t="s">
        <v>1829</v>
      </c>
      <c r="J991" s="9">
        <v>491.32860000000011</v>
      </c>
    </row>
    <row r="992" spans="1:10" x14ac:dyDescent="0.3">
      <c r="A992" s="22" t="s">
        <v>2801</v>
      </c>
      <c r="B992" s="10">
        <v>45405</v>
      </c>
      <c r="C992" s="12" t="s">
        <v>637</v>
      </c>
      <c r="D992" s="12" t="s">
        <v>1656</v>
      </c>
      <c r="E992" s="12" t="s">
        <v>1766</v>
      </c>
      <c r="F992" s="11">
        <v>3</v>
      </c>
      <c r="G992" s="12">
        <v>261.05</v>
      </c>
      <c r="H992" s="9">
        <v>0.12</v>
      </c>
      <c r="I992" s="12" t="s">
        <v>1826</v>
      </c>
      <c r="J992" s="9">
        <v>689.17200000000014</v>
      </c>
    </row>
    <row r="993" spans="1:10" x14ac:dyDescent="0.3">
      <c r="A993" s="22" t="s">
        <v>2802</v>
      </c>
      <c r="B993" s="10">
        <v>45918</v>
      </c>
      <c r="C993" s="12" t="s">
        <v>314</v>
      </c>
      <c r="D993" s="12" t="s">
        <v>1594</v>
      </c>
      <c r="E993" s="12" t="s">
        <v>1807</v>
      </c>
      <c r="F993" s="11">
        <v>3</v>
      </c>
      <c r="G993" s="12">
        <v>644.73</v>
      </c>
      <c r="H993" s="9">
        <v>0.01</v>
      </c>
      <c r="I993" s="12" t="s">
        <v>1829</v>
      </c>
      <c r="J993" s="9">
        <v>1914.8480999999999</v>
      </c>
    </row>
    <row r="994" spans="1:10" x14ac:dyDescent="0.3">
      <c r="A994" s="22" t="s">
        <v>2803</v>
      </c>
      <c r="B994" s="10">
        <v>45217</v>
      </c>
      <c r="C994" s="12" t="s">
        <v>648</v>
      </c>
      <c r="D994" s="12" t="s">
        <v>1698</v>
      </c>
      <c r="E994" s="12" t="s">
        <v>1761</v>
      </c>
      <c r="F994" s="11">
        <v>2</v>
      </c>
      <c r="G994" s="12">
        <v>541.52</v>
      </c>
      <c r="H994" s="9">
        <v>0.26</v>
      </c>
      <c r="I994" s="12" t="s">
        <v>1826</v>
      </c>
      <c r="J994" s="9">
        <v>801.44959999999992</v>
      </c>
    </row>
    <row r="995" spans="1:10" x14ac:dyDescent="0.3">
      <c r="A995" s="22" t="s">
        <v>2804</v>
      </c>
      <c r="B995" s="10">
        <v>45259</v>
      </c>
      <c r="C995" s="12" t="s">
        <v>1322</v>
      </c>
      <c r="D995" s="12" t="s">
        <v>1674</v>
      </c>
      <c r="E995" s="12" t="s">
        <v>1789</v>
      </c>
      <c r="F995" s="11">
        <v>1</v>
      </c>
      <c r="G995" s="12">
        <v>395.18</v>
      </c>
      <c r="H995" s="9">
        <v>0.09</v>
      </c>
      <c r="I995" s="12" t="s">
        <v>1826</v>
      </c>
      <c r="J995" s="9">
        <v>359.61380000000003</v>
      </c>
    </row>
    <row r="996" spans="1:10" x14ac:dyDescent="0.3">
      <c r="A996" s="22" t="s">
        <v>2805</v>
      </c>
      <c r="B996" s="10">
        <v>45740</v>
      </c>
      <c r="C996" s="12" t="s">
        <v>356</v>
      </c>
      <c r="D996" s="12" t="s">
        <v>1562</v>
      </c>
      <c r="E996" s="12" t="s">
        <v>1782</v>
      </c>
      <c r="F996" s="11">
        <v>4</v>
      </c>
      <c r="G996" s="12">
        <v>56.37</v>
      </c>
      <c r="H996" s="9">
        <v>0.17</v>
      </c>
      <c r="I996" s="12" t="s">
        <v>1824</v>
      </c>
      <c r="J996" s="9">
        <v>187.14840000000001</v>
      </c>
    </row>
    <row r="997" spans="1:10" x14ac:dyDescent="0.3">
      <c r="A997" s="22" t="s">
        <v>2806</v>
      </c>
      <c r="B997" s="10">
        <v>45908</v>
      </c>
      <c r="C997" s="12" t="s">
        <v>681</v>
      </c>
      <c r="D997" s="12" t="s">
        <v>1706</v>
      </c>
      <c r="E997" s="12" t="s">
        <v>1786</v>
      </c>
      <c r="F997" s="11">
        <v>4</v>
      </c>
      <c r="G997" s="12">
        <v>202.59</v>
      </c>
      <c r="H997" s="9">
        <v>0.06</v>
      </c>
      <c r="I997" s="12" t="s">
        <v>1829</v>
      </c>
      <c r="J997" s="9">
        <v>761.73839999999996</v>
      </c>
    </row>
    <row r="998" spans="1:10" x14ac:dyDescent="0.3">
      <c r="A998" s="22" t="s">
        <v>2807</v>
      </c>
      <c r="B998" s="10">
        <v>45601</v>
      </c>
      <c r="C998" s="12" t="s">
        <v>27</v>
      </c>
      <c r="D998" s="12" t="s">
        <v>1710</v>
      </c>
      <c r="E998" s="12" t="s">
        <v>1773</v>
      </c>
      <c r="F998" s="11">
        <v>2</v>
      </c>
      <c r="G998" s="12">
        <v>358.36</v>
      </c>
      <c r="H998" s="9">
        <v>0.05</v>
      </c>
      <c r="I998" s="12" t="s">
        <v>1826</v>
      </c>
      <c r="J998" s="9">
        <v>680.88400000000001</v>
      </c>
    </row>
    <row r="999" spans="1:10" x14ac:dyDescent="0.3">
      <c r="A999" s="22" t="s">
        <v>2808</v>
      </c>
      <c r="B999" s="10">
        <v>45535</v>
      </c>
      <c r="C999" s="12" t="s">
        <v>264</v>
      </c>
      <c r="D999" s="12" t="s">
        <v>1622</v>
      </c>
      <c r="E999" s="12" t="s">
        <v>1810</v>
      </c>
      <c r="F999" s="11">
        <v>4</v>
      </c>
      <c r="G999" s="12">
        <v>85.62</v>
      </c>
      <c r="H999" s="9">
        <v>0.28000000000000003</v>
      </c>
      <c r="I999" s="12" t="s">
        <v>1829</v>
      </c>
      <c r="J999" s="9">
        <v>246.5856</v>
      </c>
    </row>
    <row r="1000" spans="1:10" x14ac:dyDescent="0.3">
      <c r="A1000" s="22" t="s">
        <v>2809</v>
      </c>
      <c r="B1000" s="10">
        <v>45459</v>
      </c>
      <c r="C1000" s="12" t="s">
        <v>610</v>
      </c>
      <c r="D1000" s="12" t="s">
        <v>1560</v>
      </c>
      <c r="E1000" s="12" t="s">
        <v>1807</v>
      </c>
      <c r="F1000" s="11">
        <v>4</v>
      </c>
      <c r="G1000" s="12">
        <v>929.26</v>
      </c>
      <c r="H1000" s="9">
        <v>0.23</v>
      </c>
      <c r="I1000" s="12" t="s">
        <v>1826</v>
      </c>
      <c r="J1000" s="9">
        <v>2862.1208000000001</v>
      </c>
    </row>
    <row r="1001" spans="1:10" x14ac:dyDescent="0.3">
      <c r="A1001" s="22" t="s">
        <v>2810</v>
      </c>
      <c r="B1001" s="10">
        <v>45681</v>
      </c>
      <c r="C1001" s="12" t="s">
        <v>975</v>
      </c>
      <c r="D1001" s="12" t="s">
        <v>1668</v>
      </c>
      <c r="E1001" s="12" t="s">
        <v>1797</v>
      </c>
      <c r="F1001" s="11">
        <v>2</v>
      </c>
      <c r="G1001" s="12">
        <v>92.64</v>
      </c>
      <c r="H1001" s="9">
        <v>0.14000000000000001</v>
      </c>
      <c r="I1001" s="12" t="s">
        <v>1829</v>
      </c>
      <c r="J1001" s="9">
        <v>159.3408</v>
      </c>
    </row>
    <row r="1002" spans="1:10" x14ac:dyDescent="0.3">
      <c r="A1002" s="22" t="s">
        <v>2811</v>
      </c>
      <c r="B1002" s="10">
        <v>45725</v>
      </c>
      <c r="C1002" s="12" t="s">
        <v>794</v>
      </c>
      <c r="D1002" s="12" t="s">
        <v>1672</v>
      </c>
      <c r="E1002" s="12" t="s">
        <v>1769</v>
      </c>
      <c r="F1002" s="11">
        <v>4</v>
      </c>
      <c r="G1002" s="12">
        <v>139.05000000000001</v>
      </c>
      <c r="H1002" s="9">
        <v>0.28999999999999998</v>
      </c>
      <c r="I1002" s="12" t="s">
        <v>1829</v>
      </c>
      <c r="J1002" s="9">
        <v>394.90199999999999</v>
      </c>
    </row>
    <row r="1003" spans="1:10" x14ac:dyDescent="0.3">
      <c r="A1003" s="22" t="s">
        <v>2812</v>
      </c>
      <c r="B1003" s="10">
        <v>45461</v>
      </c>
      <c r="C1003" s="12" t="s">
        <v>475</v>
      </c>
      <c r="D1003" s="12" t="s">
        <v>1654</v>
      </c>
      <c r="E1003" s="12" t="s">
        <v>1769</v>
      </c>
      <c r="F1003" s="11">
        <v>3</v>
      </c>
      <c r="G1003" s="12">
        <v>155.87</v>
      </c>
      <c r="H1003" s="9">
        <v>0.03</v>
      </c>
      <c r="I1003" s="12" t="s">
        <v>1829</v>
      </c>
      <c r="J1003" s="9">
        <v>453.58170000000001</v>
      </c>
    </row>
    <row r="1004" spans="1:10" x14ac:dyDescent="0.3">
      <c r="A1004" s="22" t="s">
        <v>2813</v>
      </c>
      <c r="B1004" s="10">
        <v>45837</v>
      </c>
      <c r="C1004" s="12" t="s">
        <v>1368</v>
      </c>
      <c r="D1004" s="12" t="s">
        <v>1616</v>
      </c>
      <c r="E1004" s="12" t="s">
        <v>1804</v>
      </c>
      <c r="F1004" s="11">
        <v>4</v>
      </c>
      <c r="G1004" s="12">
        <v>115.42</v>
      </c>
      <c r="H1004" s="9">
        <v>0.03</v>
      </c>
      <c r="I1004" s="12" t="s">
        <v>1829</v>
      </c>
      <c r="J1004" s="9">
        <v>447.82960000000003</v>
      </c>
    </row>
    <row r="1005" spans="1:10" x14ac:dyDescent="0.3">
      <c r="A1005" s="22" t="s">
        <v>2814</v>
      </c>
      <c r="B1005" s="10">
        <v>45823</v>
      </c>
      <c r="C1005" s="12" t="s">
        <v>422</v>
      </c>
      <c r="D1005" s="12" t="s">
        <v>1652</v>
      </c>
      <c r="E1005" s="12" t="s">
        <v>1776</v>
      </c>
      <c r="F1005" s="11">
        <v>3</v>
      </c>
      <c r="G1005" s="12">
        <v>593.62</v>
      </c>
      <c r="H1005" s="9">
        <v>0.08</v>
      </c>
      <c r="I1005" s="12" t="s">
        <v>1824</v>
      </c>
      <c r="J1005" s="9">
        <v>1638.3912</v>
      </c>
    </row>
    <row r="1006" spans="1:10" x14ac:dyDescent="0.3">
      <c r="A1006" s="22" t="s">
        <v>2815</v>
      </c>
      <c r="B1006" s="10">
        <v>45733</v>
      </c>
      <c r="C1006" s="12" t="s">
        <v>1107</v>
      </c>
      <c r="D1006" s="12" t="s">
        <v>1638</v>
      </c>
      <c r="E1006" s="12" t="s">
        <v>1769</v>
      </c>
      <c r="F1006" s="11">
        <v>2</v>
      </c>
      <c r="G1006" s="12">
        <v>825.04</v>
      </c>
      <c r="H1006" s="9">
        <v>0.2</v>
      </c>
      <c r="I1006" s="12" t="s">
        <v>1824</v>
      </c>
      <c r="J1006" s="9">
        <v>1320.0640000000001</v>
      </c>
    </row>
    <row r="1007" spans="1:10" x14ac:dyDescent="0.3">
      <c r="A1007" s="22" t="s">
        <v>2816</v>
      </c>
      <c r="B1007" s="10">
        <v>45322</v>
      </c>
      <c r="C1007" s="12" t="s">
        <v>1431</v>
      </c>
      <c r="D1007" s="12" t="s">
        <v>1598</v>
      </c>
      <c r="E1007" s="12" t="s">
        <v>1797</v>
      </c>
      <c r="F1007" s="11">
        <v>1</v>
      </c>
      <c r="G1007" s="12">
        <v>963.76</v>
      </c>
      <c r="H1007" s="9">
        <v>0.14000000000000001</v>
      </c>
      <c r="I1007" s="12" t="s">
        <v>1826</v>
      </c>
      <c r="J1007" s="9">
        <v>828.83359999999993</v>
      </c>
    </row>
    <row r="1008" spans="1:10" x14ac:dyDescent="0.3">
      <c r="A1008" s="22" t="s">
        <v>2817</v>
      </c>
      <c r="B1008" s="10">
        <v>45415</v>
      </c>
      <c r="C1008" s="12" t="s">
        <v>926</v>
      </c>
      <c r="D1008" s="12" t="s">
        <v>1658</v>
      </c>
      <c r="E1008" s="12" t="s">
        <v>1776</v>
      </c>
      <c r="F1008" s="11">
        <v>1</v>
      </c>
      <c r="G1008" s="12">
        <v>238.24</v>
      </c>
      <c r="H1008" s="9">
        <v>0.12</v>
      </c>
      <c r="I1008" s="12" t="s">
        <v>1826</v>
      </c>
      <c r="J1008" s="9">
        <v>209.65119999999999</v>
      </c>
    </row>
    <row r="1009" spans="1:10" x14ac:dyDescent="0.3">
      <c r="A1009" s="22" t="s">
        <v>2818</v>
      </c>
      <c r="B1009" s="10">
        <v>45644</v>
      </c>
      <c r="C1009" s="12" t="s">
        <v>1411</v>
      </c>
      <c r="D1009" s="12" t="s">
        <v>1712</v>
      </c>
      <c r="E1009" s="12" t="s">
        <v>1804</v>
      </c>
      <c r="F1009" s="11">
        <v>1</v>
      </c>
      <c r="G1009" s="12">
        <v>756.63</v>
      </c>
      <c r="H1009" s="9">
        <v>0.04</v>
      </c>
      <c r="I1009" s="12" t="s">
        <v>1826</v>
      </c>
      <c r="J1009" s="9">
        <v>726.36479999999995</v>
      </c>
    </row>
    <row r="1010" spans="1:10" x14ac:dyDescent="0.3">
      <c r="A1010" s="22" t="s">
        <v>2819</v>
      </c>
      <c r="B1010" s="10">
        <v>45845</v>
      </c>
      <c r="C1010" s="12" t="s">
        <v>85</v>
      </c>
      <c r="D1010" s="12" t="s">
        <v>1734</v>
      </c>
      <c r="E1010" s="12" t="s">
        <v>1779</v>
      </c>
      <c r="F1010" s="11">
        <v>3</v>
      </c>
      <c r="G1010" s="12">
        <v>159.76</v>
      </c>
      <c r="H1010" s="9">
        <v>0.22</v>
      </c>
      <c r="I1010" s="12" t="s">
        <v>1824</v>
      </c>
      <c r="J1010" s="9">
        <v>373.83839999999998</v>
      </c>
    </row>
    <row r="1011" spans="1:10" x14ac:dyDescent="0.3">
      <c r="A1011" s="22" t="s">
        <v>2820</v>
      </c>
      <c r="B1011" s="10">
        <v>45354</v>
      </c>
      <c r="C1011" s="12" t="s">
        <v>1151</v>
      </c>
      <c r="D1011" s="12" t="s">
        <v>1738</v>
      </c>
      <c r="E1011" s="12" t="s">
        <v>1782</v>
      </c>
      <c r="F1011" s="11">
        <v>1</v>
      </c>
      <c r="G1011" s="12">
        <v>329.94</v>
      </c>
      <c r="H1011" s="9">
        <v>0.14000000000000001</v>
      </c>
      <c r="I1011" s="12" t="s">
        <v>1829</v>
      </c>
      <c r="J1011" s="9">
        <v>283.7484</v>
      </c>
    </row>
    <row r="1012" spans="1:10" x14ac:dyDescent="0.3">
      <c r="A1012" s="22" t="s">
        <v>2821</v>
      </c>
      <c r="B1012" s="10">
        <v>45720</v>
      </c>
      <c r="C1012" s="12" t="s">
        <v>224</v>
      </c>
      <c r="D1012" s="12" t="s">
        <v>1582</v>
      </c>
      <c r="E1012" s="12" t="s">
        <v>1782</v>
      </c>
      <c r="F1012" s="11">
        <v>1</v>
      </c>
      <c r="G1012" s="12">
        <v>234.06</v>
      </c>
      <c r="H1012" s="9">
        <v>0.11</v>
      </c>
      <c r="I1012" s="12" t="s">
        <v>1826</v>
      </c>
      <c r="J1012" s="9">
        <v>208.3134</v>
      </c>
    </row>
    <row r="1013" spans="1:10" x14ac:dyDescent="0.3">
      <c r="A1013" s="22" t="s">
        <v>2822</v>
      </c>
      <c r="B1013" s="10">
        <v>45278</v>
      </c>
      <c r="C1013" s="12" t="s">
        <v>999</v>
      </c>
      <c r="D1013" s="12" t="s">
        <v>1710</v>
      </c>
      <c r="E1013" s="12" t="s">
        <v>1752</v>
      </c>
      <c r="F1013" s="11">
        <v>2</v>
      </c>
      <c r="G1013" s="12">
        <v>773.75</v>
      </c>
      <c r="H1013" s="9">
        <v>0.16</v>
      </c>
      <c r="I1013" s="12" t="s">
        <v>1826</v>
      </c>
      <c r="J1013" s="9">
        <v>1299.9000000000001</v>
      </c>
    </row>
    <row r="1014" spans="1:10" x14ac:dyDescent="0.3">
      <c r="A1014" s="22" t="s">
        <v>2823</v>
      </c>
      <c r="B1014" s="10">
        <v>45422</v>
      </c>
      <c r="C1014" s="12" t="s">
        <v>1352</v>
      </c>
      <c r="D1014" s="12" t="s">
        <v>1652</v>
      </c>
      <c r="E1014" s="12" t="s">
        <v>1810</v>
      </c>
      <c r="F1014" s="11">
        <v>1</v>
      </c>
      <c r="G1014" s="12">
        <v>73.88</v>
      </c>
      <c r="H1014" s="9">
        <v>0.04</v>
      </c>
      <c r="I1014" s="12" t="s">
        <v>1824</v>
      </c>
      <c r="J1014" s="9">
        <v>70.924799999999991</v>
      </c>
    </row>
    <row r="1015" spans="1:10" x14ac:dyDescent="0.3">
      <c r="A1015" s="22" t="s">
        <v>2824</v>
      </c>
      <c r="B1015" s="10">
        <v>45337</v>
      </c>
      <c r="C1015" s="12" t="s">
        <v>32</v>
      </c>
      <c r="D1015" s="12" t="s">
        <v>1720</v>
      </c>
      <c r="E1015" s="12" t="s">
        <v>1810</v>
      </c>
      <c r="F1015" s="11">
        <v>1</v>
      </c>
      <c r="G1015" s="12">
        <v>859.3</v>
      </c>
      <c r="H1015" s="9">
        <v>0.16</v>
      </c>
      <c r="I1015" s="12" t="s">
        <v>1826</v>
      </c>
      <c r="J1015" s="9">
        <v>721.8119999999999</v>
      </c>
    </row>
    <row r="1016" spans="1:10" x14ac:dyDescent="0.3">
      <c r="A1016" s="22" t="s">
        <v>2825</v>
      </c>
      <c r="B1016" s="10">
        <v>45564</v>
      </c>
      <c r="C1016" s="12" t="s">
        <v>444</v>
      </c>
      <c r="D1016" s="12" t="s">
        <v>1710</v>
      </c>
      <c r="E1016" s="12" t="s">
        <v>1776</v>
      </c>
      <c r="F1016" s="11">
        <v>4</v>
      </c>
      <c r="G1016" s="12">
        <v>762.43</v>
      </c>
      <c r="H1016" s="9">
        <v>0.05</v>
      </c>
      <c r="I1016" s="12" t="s">
        <v>1824</v>
      </c>
      <c r="J1016" s="9">
        <v>2897.233999999999</v>
      </c>
    </row>
    <row r="1017" spans="1:10" x14ac:dyDescent="0.3">
      <c r="A1017" s="22" t="s">
        <v>2826</v>
      </c>
      <c r="B1017" s="10">
        <v>45424</v>
      </c>
      <c r="C1017" s="12" t="s">
        <v>428</v>
      </c>
      <c r="D1017" s="12" t="s">
        <v>1694</v>
      </c>
      <c r="E1017" s="12" t="s">
        <v>1752</v>
      </c>
      <c r="F1017" s="11">
        <v>1</v>
      </c>
      <c r="G1017" s="12">
        <v>328.51</v>
      </c>
      <c r="H1017" s="9">
        <v>0.2</v>
      </c>
      <c r="I1017" s="12" t="s">
        <v>1829</v>
      </c>
      <c r="J1017" s="9">
        <v>262.80799999999999</v>
      </c>
    </row>
    <row r="1018" spans="1:10" x14ac:dyDescent="0.3">
      <c r="A1018" s="22" t="s">
        <v>2827</v>
      </c>
      <c r="B1018" s="10">
        <v>45719</v>
      </c>
      <c r="C1018" s="12" t="s">
        <v>872</v>
      </c>
      <c r="D1018" s="12" t="s">
        <v>1636</v>
      </c>
      <c r="E1018" s="12" t="s">
        <v>1769</v>
      </c>
      <c r="F1018" s="11">
        <v>1</v>
      </c>
      <c r="G1018" s="12">
        <v>34.51</v>
      </c>
      <c r="H1018" s="9">
        <v>0.04</v>
      </c>
      <c r="I1018" s="12" t="s">
        <v>1829</v>
      </c>
      <c r="J1018" s="9">
        <v>33.129600000000003</v>
      </c>
    </row>
    <row r="1019" spans="1:10" x14ac:dyDescent="0.3">
      <c r="A1019" s="22" t="s">
        <v>2828</v>
      </c>
      <c r="B1019" s="10">
        <v>45250</v>
      </c>
      <c r="C1019" s="12" t="s">
        <v>372</v>
      </c>
      <c r="D1019" s="12" t="s">
        <v>1586</v>
      </c>
      <c r="E1019" s="12" t="s">
        <v>1792</v>
      </c>
      <c r="F1019" s="11">
        <v>3</v>
      </c>
      <c r="G1019" s="12">
        <v>663.73</v>
      </c>
      <c r="H1019" s="9">
        <v>0.06</v>
      </c>
      <c r="I1019" s="12" t="s">
        <v>1829</v>
      </c>
      <c r="J1019" s="9">
        <v>1871.7185999999999</v>
      </c>
    </row>
    <row r="1020" spans="1:10" x14ac:dyDescent="0.3">
      <c r="A1020" s="22" t="s">
        <v>2829</v>
      </c>
      <c r="B1020" s="10">
        <v>45479</v>
      </c>
      <c r="C1020" s="12" t="s">
        <v>788</v>
      </c>
      <c r="D1020" s="12" t="s">
        <v>1614</v>
      </c>
      <c r="E1020" s="12" t="s">
        <v>1786</v>
      </c>
      <c r="F1020" s="11">
        <v>1</v>
      </c>
      <c r="G1020" s="12">
        <v>409.41</v>
      </c>
      <c r="H1020" s="9">
        <v>0.13</v>
      </c>
      <c r="I1020" s="12" t="s">
        <v>1826</v>
      </c>
      <c r="J1020" s="9">
        <v>356.18669999999997</v>
      </c>
    </row>
    <row r="1021" spans="1:10" x14ac:dyDescent="0.3">
      <c r="A1021" s="22" t="s">
        <v>2830</v>
      </c>
      <c r="B1021" s="10">
        <v>45727</v>
      </c>
      <c r="C1021" s="12" t="s">
        <v>332</v>
      </c>
      <c r="D1021" s="12" t="s">
        <v>1704</v>
      </c>
      <c r="E1021" s="12" t="s">
        <v>1766</v>
      </c>
      <c r="F1021" s="11">
        <v>3</v>
      </c>
      <c r="G1021" s="12">
        <v>461.03</v>
      </c>
      <c r="H1021" s="9">
        <v>0.11</v>
      </c>
      <c r="I1021" s="12" t="s">
        <v>1826</v>
      </c>
      <c r="J1021" s="9">
        <v>1230.9501</v>
      </c>
    </row>
    <row r="1022" spans="1:10" x14ac:dyDescent="0.3">
      <c r="A1022" s="22" t="s">
        <v>2831</v>
      </c>
      <c r="B1022" s="10">
        <v>45394</v>
      </c>
      <c r="C1022" s="12" t="s">
        <v>1151</v>
      </c>
      <c r="D1022" s="12" t="s">
        <v>1586</v>
      </c>
      <c r="E1022" s="12" t="s">
        <v>1799</v>
      </c>
      <c r="F1022" s="11">
        <v>2</v>
      </c>
      <c r="G1022" s="12">
        <v>760.14</v>
      </c>
      <c r="H1022" s="9">
        <v>0.02</v>
      </c>
      <c r="I1022" s="12" t="s">
        <v>1829</v>
      </c>
      <c r="J1022" s="9">
        <v>1489.8743999999999</v>
      </c>
    </row>
    <row r="1023" spans="1:10" x14ac:dyDescent="0.3">
      <c r="A1023" s="22" t="s">
        <v>2832</v>
      </c>
      <c r="B1023" s="10">
        <v>45773</v>
      </c>
      <c r="C1023" s="12" t="s">
        <v>884</v>
      </c>
      <c r="D1023" s="12" t="s">
        <v>1594</v>
      </c>
      <c r="E1023" s="12" t="s">
        <v>1757</v>
      </c>
      <c r="F1023" s="11">
        <v>3</v>
      </c>
      <c r="G1023" s="12">
        <v>688.76</v>
      </c>
      <c r="H1023" s="9">
        <v>0.12</v>
      </c>
      <c r="I1023" s="12" t="s">
        <v>1826</v>
      </c>
      <c r="J1023" s="9">
        <v>1818.3263999999999</v>
      </c>
    </row>
    <row r="1024" spans="1:10" x14ac:dyDescent="0.3">
      <c r="A1024" s="22" t="s">
        <v>2833</v>
      </c>
      <c r="B1024" s="10">
        <v>45779</v>
      </c>
      <c r="C1024" s="12" t="s">
        <v>532</v>
      </c>
      <c r="D1024" s="12" t="s">
        <v>1634</v>
      </c>
      <c r="E1024" s="12" t="s">
        <v>1786</v>
      </c>
      <c r="F1024" s="11">
        <v>2</v>
      </c>
      <c r="G1024" s="12">
        <v>257.77999999999997</v>
      </c>
      <c r="H1024" s="9">
        <v>0.05</v>
      </c>
      <c r="I1024" s="12" t="s">
        <v>1824</v>
      </c>
      <c r="J1024" s="9">
        <v>489.78199999999993</v>
      </c>
    </row>
    <row r="1025" spans="1:10" x14ac:dyDescent="0.3">
      <c r="A1025" s="22" t="s">
        <v>2834</v>
      </c>
      <c r="B1025" s="10">
        <v>45400</v>
      </c>
      <c r="C1025" s="12" t="s">
        <v>198</v>
      </c>
      <c r="D1025" s="12" t="s">
        <v>1654</v>
      </c>
      <c r="E1025" s="12" t="s">
        <v>1779</v>
      </c>
      <c r="F1025" s="11">
        <v>2</v>
      </c>
      <c r="G1025" s="12">
        <v>314.29000000000002</v>
      </c>
      <c r="H1025" s="9">
        <v>0.19</v>
      </c>
      <c r="I1025" s="12" t="s">
        <v>1829</v>
      </c>
      <c r="J1025" s="9">
        <v>509.14980000000008</v>
      </c>
    </row>
    <row r="1026" spans="1:10" x14ac:dyDescent="0.3">
      <c r="A1026" s="22" t="s">
        <v>2835</v>
      </c>
      <c r="B1026" s="10">
        <v>45520</v>
      </c>
      <c r="C1026" s="12" t="s">
        <v>520</v>
      </c>
      <c r="D1026" s="12" t="s">
        <v>1692</v>
      </c>
      <c r="E1026" s="12" t="s">
        <v>1799</v>
      </c>
      <c r="F1026" s="11">
        <v>3</v>
      </c>
      <c r="G1026" s="12">
        <v>336.09</v>
      </c>
      <c r="H1026" s="9">
        <v>0.01</v>
      </c>
      <c r="I1026" s="12" t="s">
        <v>1826</v>
      </c>
      <c r="J1026" s="9">
        <v>998.18729999999994</v>
      </c>
    </row>
    <row r="1027" spans="1:10" x14ac:dyDescent="0.3">
      <c r="A1027" s="22" t="s">
        <v>2836</v>
      </c>
      <c r="B1027" s="10">
        <v>45861</v>
      </c>
      <c r="C1027" s="12" t="s">
        <v>20</v>
      </c>
      <c r="D1027" s="12" t="s">
        <v>1698</v>
      </c>
      <c r="E1027" s="12" t="s">
        <v>1807</v>
      </c>
      <c r="F1027" s="11">
        <v>3</v>
      </c>
      <c r="G1027" s="12">
        <v>202.07</v>
      </c>
      <c r="H1027" s="9">
        <v>0.23</v>
      </c>
      <c r="I1027" s="12" t="s">
        <v>1826</v>
      </c>
      <c r="J1027" s="9">
        <v>466.78170000000011</v>
      </c>
    </row>
    <row r="1028" spans="1:10" x14ac:dyDescent="0.3">
      <c r="A1028" s="22" t="s">
        <v>2837</v>
      </c>
      <c r="B1028" s="10">
        <v>45781</v>
      </c>
      <c r="C1028" s="12" t="s">
        <v>978</v>
      </c>
      <c r="D1028" s="12" t="s">
        <v>1582</v>
      </c>
      <c r="E1028" s="12" t="s">
        <v>1782</v>
      </c>
      <c r="F1028" s="11">
        <v>2</v>
      </c>
      <c r="G1028" s="12">
        <v>485.25</v>
      </c>
      <c r="H1028" s="9">
        <v>0.28000000000000003</v>
      </c>
      <c r="I1028" s="12" t="s">
        <v>1824</v>
      </c>
      <c r="J1028" s="9">
        <v>698.76</v>
      </c>
    </row>
    <row r="1029" spans="1:10" x14ac:dyDescent="0.3">
      <c r="A1029" s="22" t="s">
        <v>2838</v>
      </c>
      <c r="B1029" s="10">
        <v>45906</v>
      </c>
      <c r="C1029" s="12" t="s">
        <v>568</v>
      </c>
      <c r="D1029" s="12" t="s">
        <v>1698</v>
      </c>
      <c r="E1029" s="12" t="s">
        <v>1789</v>
      </c>
      <c r="F1029" s="11">
        <v>4</v>
      </c>
      <c r="G1029" s="12">
        <v>552.38</v>
      </c>
      <c r="H1029" s="9">
        <v>0.1</v>
      </c>
      <c r="I1029" s="12" t="s">
        <v>1826</v>
      </c>
      <c r="J1029" s="9">
        <v>1988.568</v>
      </c>
    </row>
    <row r="1030" spans="1:10" x14ac:dyDescent="0.3">
      <c r="A1030" s="22" t="s">
        <v>2839</v>
      </c>
      <c r="B1030" s="10">
        <v>45251</v>
      </c>
      <c r="C1030" s="12" t="s">
        <v>378</v>
      </c>
      <c r="D1030" s="12" t="s">
        <v>1664</v>
      </c>
      <c r="E1030" s="12" t="s">
        <v>1807</v>
      </c>
      <c r="F1030" s="11">
        <v>4</v>
      </c>
      <c r="G1030" s="12">
        <v>377.26</v>
      </c>
      <c r="H1030" s="9">
        <v>0.22</v>
      </c>
      <c r="I1030" s="12" t="s">
        <v>1829</v>
      </c>
      <c r="J1030" s="9">
        <v>1177.0512000000001</v>
      </c>
    </row>
    <row r="1031" spans="1:10" x14ac:dyDescent="0.3">
      <c r="A1031" s="22" t="s">
        <v>2840</v>
      </c>
      <c r="B1031" s="10">
        <v>45257</v>
      </c>
      <c r="C1031" s="12" t="s">
        <v>202</v>
      </c>
      <c r="D1031" s="12" t="s">
        <v>1642</v>
      </c>
      <c r="E1031" s="12" t="s">
        <v>1813</v>
      </c>
      <c r="F1031" s="11">
        <v>4</v>
      </c>
      <c r="G1031" s="12">
        <v>189.07</v>
      </c>
      <c r="H1031" s="9">
        <v>0.1</v>
      </c>
      <c r="I1031" s="12" t="s">
        <v>1829</v>
      </c>
      <c r="J1031" s="9">
        <v>680.65200000000004</v>
      </c>
    </row>
    <row r="1032" spans="1:10" x14ac:dyDescent="0.3">
      <c r="A1032" s="22" t="s">
        <v>2841</v>
      </c>
      <c r="B1032" s="10">
        <v>45818</v>
      </c>
      <c r="C1032" s="12" t="s">
        <v>1533</v>
      </c>
      <c r="D1032" s="12" t="s">
        <v>1608</v>
      </c>
      <c r="E1032" s="12" t="s">
        <v>1769</v>
      </c>
      <c r="F1032" s="11">
        <v>3</v>
      </c>
      <c r="G1032" s="12">
        <v>272.27</v>
      </c>
      <c r="H1032" s="9">
        <v>0.01</v>
      </c>
      <c r="I1032" s="12" t="s">
        <v>1824</v>
      </c>
      <c r="J1032" s="9">
        <v>808.64189999999996</v>
      </c>
    </row>
    <row r="1033" spans="1:10" x14ac:dyDescent="0.3">
      <c r="A1033" s="22" t="s">
        <v>2842</v>
      </c>
      <c r="B1033" s="10">
        <v>45806</v>
      </c>
      <c r="C1033" s="12" t="s">
        <v>842</v>
      </c>
      <c r="D1033" s="12" t="s">
        <v>1732</v>
      </c>
      <c r="E1033" s="12" t="s">
        <v>1792</v>
      </c>
      <c r="F1033" s="11">
        <v>1</v>
      </c>
      <c r="G1033" s="12">
        <v>209.39</v>
      </c>
      <c r="H1033" s="9">
        <v>0.28000000000000003</v>
      </c>
      <c r="I1033" s="12" t="s">
        <v>1826</v>
      </c>
      <c r="J1033" s="9">
        <v>150.76079999999999</v>
      </c>
    </row>
    <row r="1034" spans="1:10" x14ac:dyDescent="0.3">
      <c r="A1034" s="22" t="s">
        <v>2843</v>
      </c>
      <c r="B1034" s="10">
        <v>45288</v>
      </c>
      <c r="C1034" s="12" t="s">
        <v>202</v>
      </c>
      <c r="D1034" s="12" t="s">
        <v>1708</v>
      </c>
      <c r="E1034" s="12" t="s">
        <v>1786</v>
      </c>
      <c r="F1034" s="11">
        <v>1</v>
      </c>
      <c r="G1034" s="12">
        <v>813.87</v>
      </c>
      <c r="H1034" s="9">
        <v>0.23</v>
      </c>
      <c r="I1034" s="12" t="s">
        <v>1824</v>
      </c>
      <c r="J1034" s="9">
        <v>626.67989999999998</v>
      </c>
    </row>
    <row r="1035" spans="1:10" x14ac:dyDescent="0.3">
      <c r="A1035" s="22" t="s">
        <v>2844</v>
      </c>
      <c r="B1035" s="10">
        <v>45783</v>
      </c>
      <c r="C1035" s="12" t="s">
        <v>821</v>
      </c>
      <c r="D1035" s="12" t="s">
        <v>1604</v>
      </c>
      <c r="E1035" s="12" t="s">
        <v>1752</v>
      </c>
      <c r="F1035" s="11">
        <v>1</v>
      </c>
      <c r="G1035" s="12">
        <v>143.69999999999999</v>
      </c>
      <c r="H1035" s="9">
        <v>0.19</v>
      </c>
      <c r="I1035" s="12" t="s">
        <v>1826</v>
      </c>
      <c r="J1035" s="9">
        <v>116.39700000000001</v>
      </c>
    </row>
    <row r="1036" spans="1:10" x14ac:dyDescent="0.3">
      <c r="A1036" s="22" t="s">
        <v>2845</v>
      </c>
      <c r="B1036" s="10">
        <v>45385</v>
      </c>
      <c r="C1036" s="12" t="s">
        <v>1449</v>
      </c>
      <c r="D1036" s="12" t="s">
        <v>1640</v>
      </c>
      <c r="E1036" s="12" t="s">
        <v>1757</v>
      </c>
      <c r="F1036" s="11">
        <v>4</v>
      </c>
      <c r="G1036" s="12">
        <v>837.34</v>
      </c>
      <c r="H1036" s="9">
        <v>0.05</v>
      </c>
      <c r="I1036" s="12" t="s">
        <v>1826</v>
      </c>
      <c r="J1036" s="9">
        <v>3181.8919999999998</v>
      </c>
    </row>
    <row r="1037" spans="1:10" x14ac:dyDescent="0.3">
      <c r="A1037" s="22" t="s">
        <v>2846</v>
      </c>
      <c r="B1037" s="10">
        <v>45878</v>
      </c>
      <c r="C1037" s="12" t="s">
        <v>417</v>
      </c>
      <c r="D1037" s="12" t="s">
        <v>1578</v>
      </c>
      <c r="E1037" s="12" t="s">
        <v>1813</v>
      </c>
      <c r="F1037" s="11">
        <v>1</v>
      </c>
      <c r="G1037" s="12">
        <v>151.66</v>
      </c>
      <c r="H1037" s="9">
        <v>0.16</v>
      </c>
      <c r="I1037" s="12" t="s">
        <v>1829</v>
      </c>
      <c r="J1037" s="9">
        <v>127.3944</v>
      </c>
    </row>
    <row r="1038" spans="1:10" x14ac:dyDescent="0.3">
      <c r="A1038" s="22" t="s">
        <v>2847</v>
      </c>
      <c r="B1038" s="10">
        <v>45720</v>
      </c>
      <c r="C1038" s="12" t="s">
        <v>1533</v>
      </c>
      <c r="D1038" s="12" t="s">
        <v>1636</v>
      </c>
      <c r="E1038" s="12" t="s">
        <v>1782</v>
      </c>
      <c r="F1038" s="11">
        <v>3</v>
      </c>
      <c r="G1038" s="12">
        <v>961.4</v>
      </c>
      <c r="H1038" s="9">
        <v>0.02</v>
      </c>
      <c r="I1038" s="12" t="s">
        <v>1826</v>
      </c>
      <c r="J1038" s="9">
        <v>2826.5160000000001</v>
      </c>
    </row>
    <row r="1039" spans="1:10" x14ac:dyDescent="0.3">
      <c r="A1039" s="22" t="s">
        <v>2848</v>
      </c>
      <c r="B1039" s="10">
        <v>45503</v>
      </c>
      <c r="C1039" s="12" t="s">
        <v>1157</v>
      </c>
      <c r="D1039" s="12" t="s">
        <v>1696</v>
      </c>
      <c r="E1039" s="12" t="s">
        <v>1810</v>
      </c>
      <c r="F1039" s="11">
        <v>4</v>
      </c>
      <c r="G1039" s="12">
        <v>475.98</v>
      </c>
      <c r="H1039" s="9">
        <v>0.19</v>
      </c>
      <c r="I1039" s="12" t="s">
        <v>1826</v>
      </c>
      <c r="J1039" s="9">
        <v>1542.1751999999999</v>
      </c>
    </row>
    <row r="1040" spans="1:10" x14ac:dyDescent="0.3">
      <c r="A1040" s="22" t="s">
        <v>2849</v>
      </c>
      <c r="B1040" s="10">
        <v>45551</v>
      </c>
      <c r="C1040" s="12" t="s">
        <v>1187</v>
      </c>
      <c r="D1040" s="12" t="s">
        <v>1624</v>
      </c>
      <c r="E1040" s="12" t="s">
        <v>1801</v>
      </c>
      <c r="F1040" s="11">
        <v>4</v>
      </c>
      <c r="G1040" s="12">
        <v>132.88999999999999</v>
      </c>
      <c r="H1040" s="9">
        <v>0.12</v>
      </c>
      <c r="I1040" s="12" t="s">
        <v>1824</v>
      </c>
      <c r="J1040" s="9">
        <v>467.77280000000002</v>
      </c>
    </row>
    <row r="1041" spans="1:10" x14ac:dyDescent="0.3">
      <c r="A1041" s="22" t="s">
        <v>2850</v>
      </c>
      <c r="B1041" s="10">
        <v>45850</v>
      </c>
      <c r="C1041" s="12" t="s">
        <v>1355</v>
      </c>
      <c r="D1041" s="12" t="s">
        <v>1618</v>
      </c>
      <c r="E1041" s="12" t="s">
        <v>1794</v>
      </c>
      <c r="F1041" s="11">
        <v>3</v>
      </c>
      <c r="G1041" s="12">
        <v>471.31</v>
      </c>
      <c r="H1041" s="9">
        <v>0</v>
      </c>
      <c r="I1041" s="12" t="s">
        <v>1826</v>
      </c>
      <c r="J1041" s="9">
        <v>1413.93</v>
      </c>
    </row>
    <row r="1042" spans="1:10" x14ac:dyDescent="0.3">
      <c r="A1042" s="22" t="s">
        <v>2851</v>
      </c>
      <c r="B1042" s="10">
        <v>45441</v>
      </c>
      <c r="C1042" s="12" t="s">
        <v>1431</v>
      </c>
      <c r="D1042" s="12" t="s">
        <v>1700</v>
      </c>
      <c r="E1042" s="12" t="s">
        <v>1799</v>
      </c>
      <c r="F1042" s="11">
        <v>2</v>
      </c>
      <c r="G1042" s="12">
        <v>720.32</v>
      </c>
      <c r="H1042" s="9">
        <v>0.26</v>
      </c>
      <c r="I1042" s="12" t="s">
        <v>1824</v>
      </c>
      <c r="J1042" s="9">
        <v>1066.0735999999999</v>
      </c>
    </row>
    <row r="1043" spans="1:10" x14ac:dyDescent="0.3">
      <c r="A1043" s="22" t="s">
        <v>2852</v>
      </c>
      <c r="B1043" s="10">
        <v>45431</v>
      </c>
      <c r="C1043" s="12" t="s">
        <v>275</v>
      </c>
      <c r="D1043" s="12" t="s">
        <v>1680</v>
      </c>
      <c r="E1043" s="12" t="s">
        <v>1810</v>
      </c>
      <c r="F1043" s="11">
        <v>4</v>
      </c>
      <c r="G1043" s="12">
        <v>99.92</v>
      </c>
      <c r="H1043" s="9">
        <v>0.11</v>
      </c>
      <c r="I1043" s="12" t="s">
        <v>1829</v>
      </c>
      <c r="J1043" s="9">
        <v>355.71519999999998</v>
      </c>
    </row>
    <row r="1044" spans="1:10" x14ac:dyDescent="0.3">
      <c r="A1044" s="22" t="s">
        <v>2853</v>
      </c>
      <c r="B1044" s="10">
        <v>45873</v>
      </c>
      <c r="C1044" s="12" t="s">
        <v>247</v>
      </c>
      <c r="D1044" s="12" t="s">
        <v>1568</v>
      </c>
      <c r="E1044" s="12" t="s">
        <v>1766</v>
      </c>
      <c r="F1044" s="11">
        <v>3</v>
      </c>
      <c r="G1044" s="12">
        <v>900.63</v>
      </c>
      <c r="H1044" s="9">
        <v>0.11</v>
      </c>
      <c r="I1044" s="12" t="s">
        <v>1829</v>
      </c>
      <c r="J1044" s="9">
        <v>2404.6821</v>
      </c>
    </row>
    <row r="1045" spans="1:10" x14ac:dyDescent="0.3">
      <c r="A1045" s="22" t="s">
        <v>2854</v>
      </c>
      <c r="B1045" s="10">
        <v>45629</v>
      </c>
      <c r="C1045" s="12" t="s">
        <v>1368</v>
      </c>
      <c r="D1045" s="12" t="s">
        <v>1640</v>
      </c>
      <c r="E1045" s="12" t="s">
        <v>1782</v>
      </c>
      <c r="F1045" s="11">
        <v>1</v>
      </c>
      <c r="G1045" s="12">
        <v>681.72</v>
      </c>
      <c r="H1045" s="9">
        <v>0.11</v>
      </c>
      <c r="I1045" s="12" t="s">
        <v>1826</v>
      </c>
      <c r="J1045" s="9">
        <v>606.73080000000004</v>
      </c>
    </row>
    <row r="1046" spans="1:10" x14ac:dyDescent="0.3">
      <c r="A1046" s="22" t="s">
        <v>2855</v>
      </c>
      <c r="B1046" s="10">
        <v>45222</v>
      </c>
      <c r="C1046" s="12" t="s">
        <v>48</v>
      </c>
      <c r="D1046" s="12" t="s">
        <v>1704</v>
      </c>
      <c r="E1046" s="12" t="s">
        <v>1797</v>
      </c>
      <c r="F1046" s="11">
        <v>2</v>
      </c>
      <c r="G1046" s="12">
        <v>838.22</v>
      </c>
      <c r="H1046" s="9">
        <v>0.3</v>
      </c>
      <c r="I1046" s="12" t="s">
        <v>1824</v>
      </c>
      <c r="J1046" s="9">
        <v>1173.508</v>
      </c>
    </row>
    <row r="1047" spans="1:10" x14ac:dyDescent="0.3">
      <c r="A1047" s="22" t="s">
        <v>2856</v>
      </c>
      <c r="B1047" s="10">
        <v>45797</v>
      </c>
      <c r="C1047" s="12" t="s">
        <v>637</v>
      </c>
      <c r="D1047" s="12" t="s">
        <v>1722</v>
      </c>
      <c r="E1047" s="12" t="s">
        <v>1794</v>
      </c>
      <c r="F1047" s="11">
        <v>2</v>
      </c>
      <c r="G1047" s="12">
        <v>816.22</v>
      </c>
      <c r="H1047" s="9">
        <v>0.27</v>
      </c>
      <c r="I1047" s="12" t="s">
        <v>1824</v>
      </c>
      <c r="J1047" s="9">
        <v>1191.6812</v>
      </c>
    </row>
    <row r="1048" spans="1:10" x14ac:dyDescent="0.3">
      <c r="A1048" s="22" t="s">
        <v>2857</v>
      </c>
      <c r="B1048" s="10">
        <v>45554</v>
      </c>
      <c r="C1048" s="12" t="s">
        <v>1187</v>
      </c>
      <c r="D1048" s="12" t="s">
        <v>1670</v>
      </c>
      <c r="E1048" s="12" t="s">
        <v>1779</v>
      </c>
      <c r="F1048" s="11">
        <v>2</v>
      </c>
      <c r="G1048" s="12">
        <v>654.12</v>
      </c>
      <c r="H1048" s="9">
        <v>0.27</v>
      </c>
      <c r="I1048" s="12" t="s">
        <v>1826</v>
      </c>
      <c r="J1048" s="9">
        <v>955.01519999999994</v>
      </c>
    </row>
    <row r="1049" spans="1:10" x14ac:dyDescent="0.3">
      <c r="A1049" s="22" t="s">
        <v>2858</v>
      </c>
      <c r="B1049" s="10">
        <v>45385</v>
      </c>
      <c r="C1049" s="12" t="s">
        <v>372</v>
      </c>
      <c r="D1049" s="12" t="s">
        <v>1694</v>
      </c>
      <c r="E1049" s="12" t="s">
        <v>1797</v>
      </c>
      <c r="F1049" s="11">
        <v>4</v>
      </c>
      <c r="G1049" s="12">
        <v>528.22</v>
      </c>
      <c r="H1049" s="9">
        <v>0.2</v>
      </c>
      <c r="I1049" s="12" t="s">
        <v>1826</v>
      </c>
      <c r="J1049" s="9">
        <v>1690.3040000000001</v>
      </c>
    </row>
    <row r="1050" spans="1:10" x14ac:dyDescent="0.3">
      <c r="A1050" s="22" t="s">
        <v>2859</v>
      </c>
      <c r="B1050" s="10">
        <v>45704</v>
      </c>
      <c r="C1050" s="12" t="s">
        <v>716</v>
      </c>
      <c r="D1050" s="12" t="s">
        <v>1616</v>
      </c>
      <c r="E1050" s="12" t="s">
        <v>1779</v>
      </c>
      <c r="F1050" s="11">
        <v>4</v>
      </c>
      <c r="G1050" s="12">
        <v>36.72</v>
      </c>
      <c r="H1050" s="9">
        <v>7.0000000000000007E-2</v>
      </c>
      <c r="I1050" s="12" t="s">
        <v>1829</v>
      </c>
      <c r="J1050" s="9">
        <v>136.5984</v>
      </c>
    </row>
    <row r="1051" spans="1:10" x14ac:dyDescent="0.3">
      <c r="A1051" s="22" t="s">
        <v>2860</v>
      </c>
      <c r="B1051" s="10">
        <v>45545</v>
      </c>
      <c r="C1051" s="12" t="s">
        <v>1157</v>
      </c>
      <c r="D1051" s="12" t="s">
        <v>1704</v>
      </c>
      <c r="E1051" s="12" t="s">
        <v>1813</v>
      </c>
      <c r="F1051" s="11">
        <v>2</v>
      </c>
      <c r="G1051" s="12">
        <v>705.97</v>
      </c>
      <c r="H1051" s="9">
        <v>0.1</v>
      </c>
      <c r="I1051" s="12" t="s">
        <v>1826</v>
      </c>
      <c r="J1051" s="9">
        <v>1270.7460000000001</v>
      </c>
    </row>
    <row r="1052" spans="1:10" x14ac:dyDescent="0.3">
      <c r="A1052" s="22" t="s">
        <v>2861</v>
      </c>
      <c r="B1052" s="10">
        <v>45736</v>
      </c>
      <c r="C1052" s="12" t="s">
        <v>100</v>
      </c>
      <c r="D1052" s="12" t="s">
        <v>1628</v>
      </c>
      <c r="E1052" s="12" t="s">
        <v>1757</v>
      </c>
      <c r="F1052" s="11">
        <v>2</v>
      </c>
      <c r="G1052" s="12">
        <v>994.29</v>
      </c>
      <c r="H1052" s="9">
        <v>0.01</v>
      </c>
      <c r="I1052" s="12" t="s">
        <v>1826</v>
      </c>
      <c r="J1052" s="9">
        <v>1968.6941999999999</v>
      </c>
    </row>
    <row r="1053" spans="1:10" x14ac:dyDescent="0.3">
      <c r="A1053" s="22" t="s">
        <v>2862</v>
      </c>
      <c r="B1053" s="10">
        <v>45608</v>
      </c>
      <c r="C1053" s="12" t="s">
        <v>1307</v>
      </c>
      <c r="D1053" s="12" t="s">
        <v>1732</v>
      </c>
      <c r="E1053" s="12" t="s">
        <v>1810</v>
      </c>
      <c r="F1053" s="11">
        <v>1</v>
      </c>
      <c r="G1053" s="12">
        <v>909.04</v>
      </c>
      <c r="H1053" s="9">
        <v>0.11</v>
      </c>
      <c r="I1053" s="12" t="s">
        <v>1824</v>
      </c>
      <c r="J1053" s="9">
        <v>809.04560000000004</v>
      </c>
    </row>
    <row r="1054" spans="1:10" x14ac:dyDescent="0.3">
      <c r="A1054" s="22" t="s">
        <v>2863</v>
      </c>
      <c r="B1054" s="10">
        <v>45334</v>
      </c>
      <c r="C1054" s="12" t="s">
        <v>1095</v>
      </c>
      <c r="D1054" s="12" t="s">
        <v>1616</v>
      </c>
      <c r="E1054" s="12" t="s">
        <v>1792</v>
      </c>
      <c r="F1054" s="11">
        <v>1</v>
      </c>
      <c r="G1054" s="12">
        <v>164.73</v>
      </c>
      <c r="H1054" s="9">
        <v>0.12</v>
      </c>
      <c r="I1054" s="12" t="s">
        <v>1826</v>
      </c>
      <c r="J1054" s="9">
        <v>144.9624</v>
      </c>
    </row>
    <row r="1055" spans="1:10" x14ac:dyDescent="0.3">
      <c r="A1055" s="22" t="s">
        <v>2864</v>
      </c>
      <c r="B1055" s="10">
        <v>45690</v>
      </c>
      <c r="C1055" s="12" t="s">
        <v>230</v>
      </c>
      <c r="D1055" s="12" t="s">
        <v>1622</v>
      </c>
      <c r="E1055" s="12" t="s">
        <v>1779</v>
      </c>
      <c r="F1055" s="11">
        <v>2</v>
      </c>
      <c r="G1055" s="12">
        <v>606.35</v>
      </c>
      <c r="H1055" s="9">
        <v>0.16</v>
      </c>
      <c r="I1055" s="12" t="s">
        <v>1829</v>
      </c>
      <c r="J1055" s="9">
        <v>1018.668</v>
      </c>
    </row>
    <row r="1056" spans="1:10" x14ac:dyDescent="0.3">
      <c r="A1056" s="22" t="s">
        <v>2865</v>
      </c>
      <c r="B1056" s="10">
        <v>45481</v>
      </c>
      <c r="C1056" s="12" t="s">
        <v>544</v>
      </c>
      <c r="D1056" s="12" t="s">
        <v>1744</v>
      </c>
      <c r="E1056" s="12" t="s">
        <v>1769</v>
      </c>
      <c r="F1056" s="11">
        <v>3</v>
      </c>
      <c r="G1056" s="12">
        <v>904.19</v>
      </c>
      <c r="H1056" s="9">
        <v>0.09</v>
      </c>
      <c r="I1056" s="12" t="s">
        <v>1824</v>
      </c>
      <c r="J1056" s="9">
        <v>2468.4387000000002</v>
      </c>
    </row>
    <row r="1057" spans="1:10" x14ac:dyDescent="0.3">
      <c r="A1057" s="22" t="s">
        <v>2866</v>
      </c>
      <c r="B1057" s="10">
        <v>45576</v>
      </c>
      <c r="C1057" s="12" t="s">
        <v>508</v>
      </c>
      <c r="D1057" s="12" t="s">
        <v>1648</v>
      </c>
      <c r="E1057" s="12" t="s">
        <v>1761</v>
      </c>
      <c r="F1057" s="11">
        <v>4</v>
      </c>
      <c r="G1057" s="12">
        <v>694.61</v>
      </c>
      <c r="H1057" s="9">
        <v>0.18</v>
      </c>
      <c r="I1057" s="12" t="s">
        <v>1829</v>
      </c>
      <c r="J1057" s="9">
        <v>2278.3208</v>
      </c>
    </row>
    <row r="1058" spans="1:10" x14ac:dyDescent="0.3">
      <c r="A1058" s="22" t="s">
        <v>2867</v>
      </c>
      <c r="B1058" s="10">
        <v>45215</v>
      </c>
      <c r="C1058" s="12" t="s">
        <v>727</v>
      </c>
      <c r="D1058" s="12" t="s">
        <v>1726</v>
      </c>
      <c r="E1058" s="12" t="s">
        <v>1761</v>
      </c>
      <c r="F1058" s="11">
        <v>4</v>
      </c>
      <c r="G1058" s="12">
        <v>753.83</v>
      </c>
      <c r="H1058" s="9">
        <v>0.24</v>
      </c>
      <c r="I1058" s="12" t="s">
        <v>1824</v>
      </c>
      <c r="J1058" s="9">
        <v>2291.6432</v>
      </c>
    </row>
    <row r="1059" spans="1:10" x14ac:dyDescent="0.3">
      <c r="A1059" s="22" t="s">
        <v>2868</v>
      </c>
      <c r="B1059" s="10">
        <v>45653</v>
      </c>
      <c r="C1059" s="12" t="s">
        <v>646</v>
      </c>
      <c r="D1059" s="12" t="s">
        <v>1590</v>
      </c>
      <c r="E1059" s="12" t="s">
        <v>1782</v>
      </c>
      <c r="F1059" s="11">
        <v>1</v>
      </c>
      <c r="G1059" s="12">
        <v>66.22</v>
      </c>
      <c r="H1059" s="9">
        <v>0.02</v>
      </c>
      <c r="I1059" s="12" t="s">
        <v>1824</v>
      </c>
      <c r="J1059" s="9">
        <v>64.895600000000002</v>
      </c>
    </row>
    <row r="1060" spans="1:10" x14ac:dyDescent="0.3">
      <c r="A1060" s="22" t="s">
        <v>2869</v>
      </c>
      <c r="B1060" s="10">
        <v>45241</v>
      </c>
      <c r="C1060" s="12" t="s">
        <v>1059</v>
      </c>
      <c r="D1060" s="12" t="s">
        <v>1676</v>
      </c>
      <c r="E1060" s="12" t="s">
        <v>1799</v>
      </c>
      <c r="F1060" s="11">
        <v>2</v>
      </c>
      <c r="G1060" s="12">
        <v>891.8</v>
      </c>
      <c r="H1060" s="9">
        <v>0.28999999999999998</v>
      </c>
      <c r="I1060" s="12" t="s">
        <v>1829</v>
      </c>
      <c r="J1060" s="9">
        <v>1266.356</v>
      </c>
    </row>
    <row r="1061" spans="1:10" x14ac:dyDescent="0.3">
      <c r="A1061" s="22" t="s">
        <v>2870</v>
      </c>
      <c r="B1061" s="10">
        <v>45428</v>
      </c>
      <c r="C1061" s="12" t="s">
        <v>1136</v>
      </c>
      <c r="D1061" s="12" t="s">
        <v>1698</v>
      </c>
      <c r="E1061" s="12" t="s">
        <v>1786</v>
      </c>
      <c r="F1061" s="11">
        <v>4</v>
      </c>
      <c r="G1061" s="12">
        <v>255.48</v>
      </c>
      <c r="H1061" s="9">
        <v>0.03</v>
      </c>
      <c r="I1061" s="12" t="s">
        <v>1829</v>
      </c>
      <c r="J1061" s="9">
        <v>991.26239999999996</v>
      </c>
    </row>
    <row r="1062" spans="1:10" x14ac:dyDescent="0.3">
      <c r="A1062" s="22" t="s">
        <v>2871</v>
      </c>
      <c r="B1062" s="10">
        <v>45593</v>
      </c>
      <c r="C1062" s="12" t="s">
        <v>951</v>
      </c>
      <c r="D1062" s="12" t="s">
        <v>1716</v>
      </c>
      <c r="E1062" s="12" t="s">
        <v>1807</v>
      </c>
      <c r="F1062" s="11">
        <v>4</v>
      </c>
      <c r="G1062" s="12">
        <v>604.87</v>
      </c>
      <c r="H1062" s="9">
        <v>0.28000000000000003</v>
      </c>
      <c r="I1062" s="12" t="s">
        <v>1826</v>
      </c>
      <c r="J1062" s="9">
        <v>1742.0255999999999</v>
      </c>
    </row>
    <row r="1063" spans="1:10" x14ac:dyDescent="0.3">
      <c r="A1063" s="22" t="s">
        <v>2872</v>
      </c>
      <c r="B1063" s="10">
        <v>45370</v>
      </c>
      <c r="C1063" s="12" t="s">
        <v>175</v>
      </c>
      <c r="D1063" s="12" t="s">
        <v>1614</v>
      </c>
      <c r="E1063" s="12" t="s">
        <v>1807</v>
      </c>
      <c r="F1063" s="11">
        <v>3</v>
      </c>
      <c r="G1063" s="12">
        <v>623.82000000000005</v>
      </c>
      <c r="H1063" s="9">
        <v>0.13</v>
      </c>
      <c r="I1063" s="12" t="s">
        <v>1829</v>
      </c>
      <c r="J1063" s="9">
        <v>1628.1702</v>
      </c>
    </row>
    <row r="1064" spans="1:10" x14ac:dyDescent="0.3">
      <c r="A1064" s="22" t="s">
        <v>2873</v>
      </c>
      <c r="B1064" s="10">
        <v>45882</v>
      </c>
      <c r="C1064" s="12" t="s">
        <v>470</v>
      </c>
      <c r="D1064" s="12" t="s">
        <v>1690</v>
      </c>
      <c r="E1064" s="12" t="s">
        <v>1804</v>
      </c>
      <c r="F1064" s="11">
        <v>3</v>
      </c>
      <c r="G1064" s="12">
        <v>575.24</v>
      </c>
      <c r="H1064" s="9">
        <v>0.12</v>
      </c>
      <c r="I1064" s="12" t="s">
        <v>1829</v>
      </c>
      <c r="J1064" s="9">
        <v>1518.6335999999999</v>
      </c>
    </row>
    <row r="1065" spans="1:10" x14ac:dyDescent="0.3">
      <c r="A1065" s="22" t="s">
        <v>2874</v>
      </c>
      <c r="B1065" s="10">
        <v>45878</v>
      </c>
      <c r="C1065" s="12" t="s">
        <v>1286</v>
      </c>
      <c r="D1065" s="12" t="s">
        <v>1553</v>
      </c>
      <c r="E1065" s="12" t="s">
        <v>1792</v>
      </c>
      <c r="F1065" s="11">
        <v>1</v>
      </c>
      <c r="G1065" s="12">
        <v>769.4</v>
      </c>
      <c r="H1065" s="9">
        <v>0.16</v>
      </c>
      <c r="I1065" s="12" t="s">
        <v>1824</v>
      </c>
      <c r="J1065" s="9">
        <v>646.29599999999994</v>
      </c>
    </row>
    <row r="1066" spans="1:10" x14ac:dyDescent="0.3">
      <c r="A1066" s="22" t="s">
        <v>2875</v>
      </c>
      <c r="B1066" s="10">
        <v>45420</v>
      </c>
      <c r="C1066" s="12" t="s">
        <v>1035</v>
      </c>
      <c r="D1066" s="12" t="s">
        <v>1553</v>
      </c>
      <c r="E1066" s="12" t="s">
        <v>1807</v>
      </c>
      <c r="F1066" s="11">
        <v>1</v>
      </c>
      <c r="G1066" s="12">
        <v>227.28</v>
      </c>
      <c r="H1066" s="9">
        <v>0.13</v>
      </c>
      <c r="I1066" s="12" t="s">
        <v>1829</v>
      </c>
      <c r="J1066" s="9">
        <v>197.7336</v>
      </c>
    </row>
    <row r="1067" spans="1:10" x14ac:dyDescent="0.3">
      <c r="A1067" s="22" t="s">
        <v>2876</v>
      </c>
      <c r="B1067" s="10">
        <v>45361</v>
      </c>
      <c r="C1067" s="12" t="s">
        <v>195</v>
      </c>
      <c r="D1067" s="12" t="s">
        <v>1549</v>
      </c>
      <c r="E1067" s="12" t="s">
        <v>1807</v>
      </c>
      <c r="F1067" s="11">
        <v>4</v>
      </c>
      <c r="G1067" s="12">
        <v>127.58</v>
      </c>
      <c r="H1067" s="9">
        <v>0.15</v>
      </c>
      <c r="I1067" s="12" t="s">
        <v>1824</v>
      </c>
      <c r="J1067" s="9">
        <v>433.77199999999999</v>
      </c>
    </row>
    <row r="1068" spans="1:10" x14ac:dyDescent="0.3">
      <c r="A1068" s="22" t="s">
        <v>2877</v>
      </c>
      <c r="B1068" s="10">
        <v>45702</v>
      </c>
      <c r="C1068" s="12" t="s">
        <v>1298</v>
      </c>
      <c r="D1068" s="12" t="s">
        <v>1636</v>
      </c>
      <c r="E1068" s="12" t="s">
        <v>1766</v>
      </c>
      <c r="F1068" s="11">
        <v>1</v>
      </c>
      <c r="G1068" s="12">
        <v>793.21</v>
      </c>
      <c r="H1068" s="9">
        <v>0.09</v>
      </c>
      <c r="I1068" s="12" t="s">
        <v>1824</v>
      </c>
      <c r="J1068" s="9">
        <v>721.8211</v>
      </c>
    </row>
    <row r="1069" spans="1:10" x14ac:dyDescent="0.3">
      <c r="A1069" s="22" t="s">
        <v>2878</v>
      </c>
      <c r="B1069" s="10">
        <v>45871</v>
      </c>
      <c r="C1069" s="12" t="s">
        <v>951</v>
      </c>
      <c r="D1069" s="12" t="s">
        <v>1714</v>
      </c>
      <c r="E1069" s="12" t="s">
        <v>1794</v>
      </c>
      <c r="F1069" s="11">
        <v>3</v>
      </c>
      <c r="G1069" s="12">
        <v>435.61</v>
      </c>
      <c r="H1069" s="9">
        <v>0.03</v>
      </c>
      <c r="I1069" s="12" t="s">
        <v>1826</v>
      </c>
      <c r="J1069" s="9">
        <v>1267.6251</v>
      </c>
    </row>
    <row r="1070" spans="1:10" x14ac:dyDescent="0.3">
      <c r="A1070" s="22" t="s">
        <v>2879</v>
      </c>
      <c r="B1070" s="10">
        <v>45531</v>
      </c>
      <c r="C1070" s="12" t="s">
        <v>1202</v>
      </c>
      <c r="D1070" s="12" t="s">
        <v>1606</v>
      </c>
      <c r="E1070" s="12" t="s">
        <v>1804</v>
      </c>
      <c r="F1070" s="11">
        <v>1</v>
      </c>
      <c r="G1070" s="12">
        <v>850.06</v>
      </c>
      <c r="H1070" s="9">
        <v>0.28999999999999998</v>
      </c>
      <c r="I1070" s="12" t="s">
        <v>1826</v>
      </c>
      <c r="J1070" s="9">
        <v>603.54259999999988</v>
      </c>
    </row>
    <row r="1071" spans="1:10" x14ac:dyDescent="0.3">
      <c r="A1071" s="22" t="s">
        <v>2880</v>
      </c>
      <c r="B1071" s="10">
        <v>45330</v>
      </c>
      <c r="C1071" s="12" t="s">
        <v>1089</v>
      </c>
      <c r="D1071" s="12" t="s">
        <v>1580</v>
      </c>
      <c r="E1071" s="12" t="s">
        <v>1804</v>
      </c>
      <c r="F1071" s="11">
        <v>2</v>
      </c>
      <c r="G1071" s="12">
        <v>753.92</v>
      </c>
      <c r="H1071" s="9">
        <v>0.17</v>
      </c>
      <c r="I1071" s="12" t="s">
        <v>1826</v>
      </c>
      <c r="J1071" s="9">
        <v>1251.5072</v>
      </c>
    </row>
    <row r="1072" spans="1:10" x14ac:dyDescent="0.3">
      <c r="A1072" s="22" t="s">
        <v>2881</v>
      </c>
      <c r="B1072" s="10">
        <v>45311</v>
      </c>
      <c r="C1072" s="12" t="s">
        <v>1501</v>
      </c>
      <c r="D1072" s="12" t="s">
        <v>1553</v>
      </c>
      <c r="E1072" s="12" t="s">
        <v>1797</v>
      </c>
      <c r="F1072" s="11">
        <v>3</v>
      </c>
      <c r="G1072" s="12">
        <v>408.99</v>
      </c>
      <c r="H1072" s="9">
        <v>0.27</v>
      </c>
      <c r="I1072" s="12" t="s">
        <v>1826</v>
      </c>
      <c r="J1072" s="9">
        <v>895.68809999999996</v>
      </c>
    </row>
    <row r="1073" spans="1:10" x14ac:dyDescent="0.3">
      <c r="A1073" s="22" t="s">
        <v>2882</v>
      </c>
      <c r="B1073" s="10">
        <v>45567</v>
      </c>
      <c r="C1073" s="12" t="s">
        <v>905</v>
      </c>
      <c r="D1073" s="12" t="s">
        <v>1662</v>
      </c>
      <c r="E1073" s="12" t="s">
        <v>1773</v>
      </c>
      <c r="F1073" s="11">
        <v>3</v>
      </c>
      <c r="G1073" s="12">
        <v>404.5</v>
      </c>
      <c r="H1073" s="9">
        <v>0.22</v>
      </c>
      <c r="I1073" s="12" t="s">
        <v>1826</v>
      </c>
      <c r="J1073" s="9">
        <v>946.53000000000009</v>
      </c>
    </row>
    <row r="1074" spans="1:10" x14ac:dyDescent="0.3">
      <c r="A1074" s="22" t="s">
        <v>2883</v>
      </c>
      <c r="B1074" s="10">
        <v>45239</v>
      </c>
      <c r="C1074" s="12" t="s">
        <v>1187</v>
      </c>
      <c r="D1074" s="12" t="s">
        <v>1626</v>
      </c>
      <c r="E1074" s="12" t="s">
        <v>1766</v>
      </c>
      <c r="F1074" s="11">
        <v>3</v>
      </c>
      <c r="G1074" s="12">
        <v>717.81</v>
      </c>
      <c r="H1074" s="9">
        <v>0.17</v>
      </c>
      <c r="I1074" s="12" t="s">
        <v>1829</v>
      </c>
      <c r="J1074" s="9">
        <v>1787.3469</v>
      </c>
    </row>
    <row r="1075" spans="1:10" x14ac:dyDescent="0.3">
      <c r="A1075" s="22" t="s">
        <v>2884</v>
      </c>
      <c r="B1075" s="10">
        <v>45284</v>
      </c>
      <c r="C1075" s="12" t="s">
        <v>803</v>
      </c>
      <c r="D1075" s="12" t="s">
        <v>1716</v>
      </c>
      <c r="E1075" s="12" t="s">
        <v>1757</v>
      </c>
      <c r="F1075" s="11">
        <v>3</v>
      </c>
      <c r="G1075" s="12">
        <v>204.77</v>
      </c>
      <c r="H1075" s="9">
        <v>0.14000000000000001</v>
      </c>
      <c r="I1075" s="12" t="s">
        <v>1824</v>
      </c>
      <c r="J1075" s="9">
        <v>528.3066</v>
      </c>
    </row>
    <row r="1076" spans="1:10" x14ac:dyDescent="0.3">
      <c r="A1076" s="22" t="s">
        <v>2885</v>
      </c>
      <c r="B1076" s="10">
        <v>45686</v>
      </c>
      <c r="C1076" s="12" t="s">
        <v>153</v>
      </c>
      <c r="D1076" s="12" t="s">
        <v>1644</v>
      </c>
      <c r="E1076" s="12" t="s">
        <v>1810</v>
      </c>
      <c r="F1076" s="11">
        <v>4</v>
      </c>
      <c r="G1076" s="12">
        <v>106.23</v>
      </c>
      <c r="H1076" s="9">
        <v>0.28000000000000003</v>
      </c>
      <c r="I1076" s="12" t="s">
        <v>1829</v>
      </c>
      <c r="J1076" s="9">
        <v>305.94240000000002</v>
      </c>
    </row>
    <row r="1077" spans="1:10" x14ac:dyDescent="0.3">
      <c r="A1077" s="22" t="s">
        <v>2886</v>
      </c>
      <c r="B1077" s="10">
        <v>45824</v>
      </c>
      <c r="C1077" s="12" t="s">
        <v>1023</v>
      </c>
      <c r="D1077" s="12" t="s">
        <v>1680</v>
      </c>
      <c r="E1077" s="12" t="s">
        <v>1773</v>
      </c>
      <c r="F1077" s="11">
        <v>2</v>
      </c>
      <c r="G1077" s="12">
        <v>769.48</v>
      </c>
      <c r="H1077" s="9">
        <v>0.11</v>
      </c>
      <c r="I1077" s="12" t="s">
        <v>1826</v>
      </c>
      <c r="J1077" s="9">
        <v>1369.6744000000001</v>
      </c>
    </row>
    <row r="1078" spans="1:10" x14ac:dyDescent="0.3">
      <c r="A1078" s="22" t="s">
        <v>2887</v>
      </c>
      <c r="B1078" s="10">
        <v>45867</v>
      </c>
      <c r="C1078" s="12" t="s">
        <v>815</v>
      </c>
      <c r="D1078" s="12" t="s">
        <v>1662</v>
      </c>
      <c r="E1078" s="12" t="s">
        <v>1797</v>
      </c>
      <c r="F1078" s="11">
        <v>2</v>
      </c>
      <c r="G1078" s="12">
        <v>714.21</v>
      </c>
      <c r="H1078" s="9">
        <v>0.14000000000000001</v>
      </c>
      <c r="I1078" s="12" t="s">
        <v>1824</v>
      </c>
      <c r="J1078" s="9">
        <v>1228.4412</v>
      </c>
    </row>
    <row r="1079" spans="1:10" x14ac:dyDescent="0.3">
      <c r="A1079" s="22" t="s">
        <v>2888</v>
      </c>
      <c r="B1079" s="10">
        <v>45578</v>
      </c>
      <c r="C1079" s="12" t="s">
        <v>863</v>
      </c>
      <c r="D1079" s="12" t="s">
        <v>1570</v>
      </c>
      <c r="E1079" s="12" t="s">
        <v>1801</v>
      </c>
      <c r="F1079" s="11">
        <v>4</v>
      </c>
      <c r="G1079" s="12">
        <v>632.24</v>
      </c>
      <c r="H1079" s="9">
        <v>0.25</v>
      </c>
      <c r="I1079" s="12" t="s">
        <v>1826</v>
      </c>
      <c r="J1079" s="9">
        <v>1896.72</v>
      </c>
    </row>
    <row r="1080" spans="1:10" x14ac:dyDescent="0.3">
      <c r="A1080" s="22" t="s">
        <v>2889</v>
      </c>
      <c r="B1080" s="10">
        <v>45575</v>
      </c>
      <c r="C1080" s="12" t="s">
        <v>538</v>
      </c>
      <c r="D1080" s="12" t="s">
        <v>1704</v>
      </c>
      <c r="E1080" s="12" t="s">
        <v>1766</v>
      </c>
      <c r="F1080" s="11">
        <v>2</v>
      </c>
      <c r="G1080" s="12">
        <v>845.27</v>
      </c>
      <c r="H1080" s="9">
        <v>0.18</v>
      </c>
      <c r="I1080" s="12" t="s">
        <v>1826</v>
      </c>
      <c r="J1080" s="9">
        <v>1386.2428</v>
      </c>
    </row>
    <row r="1081" spans="1:10" x14ac:dyDescent="0.3">
      <c r="A1081" s="22" t="s">
        <v>2890</v>
      </c>
      <c r="B1081" s="10">
        <v>45816</v>
      </c>
      <c r="C1081" s="12" t="s">
        <v>1527</v>
      </c>
      <c r="D1081" s="12" t="s">
        <v>1722</v>
      </c>
      <c r="E1081" s="12" t="s">
        <v>1797</v>
      </c>
      <c r="F1081" s="11">
        <v>1</v>
      </c>
      <c r="G1081" s="12">
        <v>575.94000000000005</v>
      </c>
      <c r="H1081" s="9">
        <v>0.17</v>
      </c>
      <c r="I1081" s="12" t="s">
        <v>1824</v>
      </c>
      <c r="J1081" s="9">
        <v>478.03019999999998</v>
      </c>
    </row>
    <row r="1082" spans="1:10" x14ac:dyDescent="0.3">
      <c r="A1082" s="22" t="s">
        <v>2891</v>
      </c>
      <c r="B1082" s="10">
        <v>45620</v>
      </c>
      <c r="C1082" s="12" t="s">
        <v>803</v>
      </c>
      <c r="D1082" s="12" t="s">
        <v>1716</v>
      </c>
      <c r="E1082" s="12" t="s">
        <v>1801</v>
      </c>
      <c r="F1082" s="11">
        <v>1</v>
      </c>
      <c r="G1082" s="12">
        <v>907.97</v>
      </c>
      <c r="H1082" s="9">
        <v>0.26</v>
      </c>
      <c r="I1082" s="12" t="s">
        <v>1829</v>
      </c>
      <c r="J1082" s="9">
        <v>671.89779999999996</v>
      </c>
    </row>
    <row r="1083" spans="1:10" x14ac:dyDescent="0.3">
      <c r="A1083" s="22" t="s">
        <v>2892</v>
      </c>
      <c r="B1083" s="10">
        <v>45695</v>
      </c>
      <c r="C1083" s="12" t="s">
        <v>849</v>
      </c>
      <c r="D1083" s="12" t="s">
        <v>1588</v>
      </c>
      <c r="E1083" s="12" t="s">
        <v>1794</v>
      </c>
      <c r="F1083" s="11">
        <v>1</v>
      </c>
      <c r="G1083" s="12">
        <v>99.35</v>
      </c>
      <c r="H1083" s="9">
        <v>0.08</v>
      </c>
      <c r="I1083" s="12" t="s">
        <v>1829</v>
      </c>
      <c r="J1083" s="9">
        <v>91.402000000000001</v>
      </c>
    </row>
    <row r="1084" spans="1:10" x14ac:dyDescent="0.3">
      <c r="A1084" s="22" t="s">
        <v>2893</v>
      </c>
      <c r="B1084" s="10">
        <v>45596</v>
      </c>
      <c r="C1084" s="12" t="s">
        <v>261</v>
      </c>
      <c r="D1084" s="12" t="s">
        <v>1543</v>
      </c>
      <c r="E1084" s="12" t="s">
        <v>1766</v>
      </c>
      <c r="F1084" s="11">
        <v>2</v>
      </c>
      <c r="G1084" s="12">
        <v>374.42</v>
      </c>
      <c r="H1084" s="9">
        <v>0.21</v>
      </c>
      <c r="I1084" s="12" t="s">
        <v>1829</v>
      </c>
      <c r="J1084" s="9">
        <v>591.58360000000005</v>
      </c>
    </row>
    <row r="1085" spans="1:10" x14ac:dyDescent="0.3">
      <c r="A1085" s="22" t="s">
        <v>2894</v>
      </c>
      <c r="B1085" s="10">
        <v>45869</v>
      </c>
      <c r="C1085" s="12" t="s">
        <v>1481</v>
      </c>
      <c r="D1085" s="12" t="s">
        <v>1578</v>
      </c>
      <c r="E1085" s="12" t="s">
        <v>1801</v>
      </c>
      <c r="F1085" s="11">
        <v>3</v>
      </c>
      <c r="G1085" s="12">
        <v>248.43</v>
      </c>
      <c r="H1085" s="9">
        <v>0.24</v>
      </c>
      <c r="I1085" s="12" t="s">
        <v>1829</v>
      </c>
      <c r="J1085" s="9">
        <v>566.42039999999997</v>
      </c>
    </row>
    <row r="1086" spans="1:10" x14ac:dyDescent="0.3">
      <c r="A1086" s="22" t="s">
        <v>2895</v>
      </c>
      <c r="B1086" s="10">
        <v>45631</v>
      </c>
      <c r="C1086" s="12" t="s">
        <v>1443</v>
      </c>
      <c r="D1086" s="12" t="s">
        <v>1718</v>
      </c>
      <c r="E1086" s="12" t="s">
        <v>1757</v>
      </c>
      <c r="F1086" s="11">
        <v>1</v>
      </c>
      <c r="G1086" s="12">
        <v>784.46</v>
      </c>
      <c r="H1086" s="9">
        <v>0.14000000000000001</v>
      </c>
      <c r="I1086" s="12" t="s">
        <v>1829</v>
      </c>
      <c r="J1086" s="9">
        <v>674.63560000000007</v>
      </c>
    </row>
    <row r="1087" spans="1:10" x14ac:dyDescent="0.3">
      <c r="A1087" s="22" t="s">
        <v>2896</v>
      </c>
      <c r="B1087" s="10">
        <v>45379</v>
      </c>
      <c r="C1087" s="12" t="s">
        <v>827</v>
      </c>
      <c r="D1087" s="12" t="s">
        <v>1652</v>
      </c>
      <c r="E1087" s="12" t="s">
        <v>1789</v>
      </c>
      <c r="F1087" s="11">
        <v>3</v>
      </c>
      <c r="G1087" s="12">
        <v>70.88</v>
      </c>
      <c r="H1087" s="9">
        <v>0.27</v>
      </c>
      <c r="I1087" s="12" t="s">
        <v>1829</v>
      </c>
      <c r="J1087" s="9">
        <v>155.22720000000001</v>
      </c>
    </row>
    <row r="1088" spans="1:10" x14ac:dyDescent="0.3">
      <c r="A1088" s="22" t="s">
        <v>2897</v>
      </c>
      <c r="B1088" s="10">
        <v>45641</v>
      </c>
      <c r="C1088" s="12" t="s">
        <v>387</v>
      </c>
      <c r="D1088" s="12" t="s">
        <v>1562</v>
      </c>
      <c r="E1088" s="12" t="s">
        <v>1757</v>
      </c>
      <c r="F1088" s="11">
        <v>3</v>
      </c>
      <c r="G1088" s="12">
        <v>324.29000000000002</v>
      </c>
      <c r="H1088" s="9">
        <v>0.16</v>
      </c>
      <c r="I1088" s="12" t="s">
        <v>1829</v>
      </c>
      <c r="J1088" s="9">
        <v>817.21080000000006</v>
      </c>
    </row>
    <row r="1089" spans="1:10" x14ac:dyDescent="0.3">
      <c r="A1089" s="22" t="s">
        <v>2898</v>
      </c>
      <c r="B1089" s="10">
        <v>45842</v>
      </c>
      <c r="C1089" s="12" t="s">
        <v>478</v>
      </c>
      <c r="D1089" s="12" t="s">
        <v>1578</v>
      </c>
      <c r="E1089" s="12" t="s">
        <v>1766</v>
      </c>
      <c r="F1089" s="11">
        <v>4</v>
      </c>
      <c r="G1089" s="12">
        <v>243.92</v>
      </c>
      <c r="H1089" s="9">
        <v>0.02</v>
      </c>
      <c r="I1089" s="12" t="s">
        <v>1826</v>
      </c>
      <c r="J1089" s="9">
        <v>956.16639999999995</v>
      </c>
    </row>
    <row r="1090" spans="1:10" x14ac:dyDescent="0.3">
      <c r="A1090" s="22" t="s">
        <v>2899</v>
      </c>
      <c r="B1090" s="10">
        <v>45257</v>
      </c>
      <c r="C1090" s="12" t="s">
        <v>1172</v>
      </c>
      <c r="D1090" s="12" t="s">
        <v>1604</v>
      </c>
      <c r="E1090" s="12" t="s">
        <v>1797</v>
      </c>
      <c r="F1090" s="11">
        <v>1</v>
      </c>
      <c r="G1090" s="12">
        <v>664.35</v>
      </c>
      <c r="H1090" s="9">
        <v>0</v>
      </c>
      <c r="I1090" s="12" t="s">
        <v>1824</v>
      </c>
      <c r="J1090" s="9">
        <v>664.35</v>
      </c>
    </row>
    <row r="1091" spans="1:10" x14ac:dyDescent="0.3">
      <c r="A1091" s="22" t="s">
        <v>2900</v>
      </c>
      <c r="B1091" s="10">
        <v>45468</v>
      </c>
      <c r="C1091" s="12" t="s">
        <v>1199</v>
      </c>
      <c r="D1091" s="12" t="s">
        <v>1590</v>
      </c>
      <c r="E1091" s="12" t="s">
        <v>1789</v>
      </c>
      <c r="F1091" s="11">
        <v>2</v>
      </c>
      <c r="G1091" s="12">
        <v>218.07</v>
      </c>
      <c r="H1091" s="9">
        <v>0.19</v>
      </c>
      <c r="I1091" s="12" t="s">
        <v>1826</v>
      </c>
      <c r="J1091" s="9">
        <v>353.27339999999998</v>
      </c>
    </row>
    <row r="1092" spans="1:10" x14ac:dyDescent="0.3">
      <c r="A1092" s="22" t="s">
        <v>2901</v>
      </c>
      <c r="B1092" s="10">
        <v>45228</v>
      </c>
      <c r="C1092" s="12" t="s">
        <v>1196</v>
      </c>
      <c r="D1092" s="12" t="s">
        <v>1578</v>
      </c>
      <c r="E1092" s="12" t="s">
        <v>1766</v>
      </c>
      <c r="F1092" s="11">
        <v>4</v>
      </c>
      <c r="G1092" s="12">
        <v>921.83</v>
      </c>
      <c r="H1092" s="9">
        <v>0.27</v>
      </c>
      <c r="I1092" s="12" t="s">
        <v>1824</v>
      </c>
      <c r="J1092" s="9">
        <v>2691.7435999999998</v>
      </c>
    </row>
    <row r="1093" spans="1:10" x14ac:dyDescent="0.3">
      <c r="A1093" s="22" t="s">
        <v>2902</v>
      </c>
      <c r="B1093" s="10">
        <v>45661</v>
      </c>
      <c r="C1093" s="12" t="s">
        <v>559</v>
      </c>
      <c r="D1093" s="12" t="s">
        <v>1648</v>
      </c>
      <c r="E1093" s="12" t="s">
        <v>1757</v>
      </c>
      <c r="F1093" s="11">
        <v>3</v>
      </c>
      <c r="G1093" s="12">
        <v>326.2</v>
      </c>
      <c r="H1093" s="9">
        <v>0.22</v>
      </c>
      <c r="I1093" s="12" t="s">
        <v>1829</v>
      </c>
      <c r="J1093" s="9">
        <v>763.30799999999999</v>
      </c>
    </row>
    <row r="1094" spans="1:10" x14ac:dyDescent="0.3">
      <c r="A1094" s="22" t="s">
        <v>2903</v>
      </c>
      <c r="B1094" s="10">
        <v>45701</v>
      </c>
      <c r="C1094" s="12" t="s">
        <v>1414</v>
      </c>
      <c r="D1094" s="12" t="s">
        <v>1582</v>
      </c>
      <c r="E1094" s="12" t="s">
        <v>1813</v>
      </c>
      <c r="F1094" s="11">
        <v>1</v>
      </c>
      <c r="G1094" s="12">
        <v>244.25</v>
      </c>
      <c r="H1094" s="9">
        <v>0.09</v>
      </c>
      <c r="I1094" s="12" t="s">
        <v>1826</v>
      </c>
      <c r="J1094" s="9">
        <v>222.26750000000001</v>
      </c>
    </row>
    <row r="1095" spans="1:10" x14ac:dyDescent="0.3">
      <c r="A1095" s="22" t="s">
        <v>2904</v>
      </c>
      <c r="B1095" s="10">
        <v>45448</v>
      </c>
      <c r="C1095" s="12" t="s">
        <v>1154</v>
      </c>
      <c r="D1095" s="12" t="s">
        <v>1670</v>
      </c>
      <c r="E1095" s="12" t="s">
        <v>1789</v>
      </c>
      <c r="F1095" s="11">
        <v>3</v>
      </c>
      <c r="G1095" s="12">
        <v>808.87</v>
      </c>
      <c r="H1095" s="9">
        <v>0.12</v>
      </c>
      <c r="I1095" s="12" t="s">
        <v>1829</v>
      </c>
      <c r="J1095" s="9">
        <v>2135.4168</v>
      </c>
    </row>
    <row r="1096" spans="1:10" x14ac:dyDescent="0.3">
      <c r="A1096" s="22" t="s">
        <v>2905</v>
      </c>
      <c r="B1096" s="10">
        <v>45387</v>
      </c>
      <c r="C1096" s="12" t="s">
        <v>1062</v>
      </c>
      <c r="D1096" s="12" t="s">
        <v>1610</v>
      </c>
      <c r="E1096" s="12" t="s">
        <v>1761</v>
      </c>
      <c r="F1096" s="11">
        <v>3</v>
      </c>
      <c r="G1096" s="12">
        <v>826.15</v>
      </c>
      <c r="H1096" s="9">
        <v>0</v>
      </c>
      <c r="I1096" s="12" t="s">
        <v>1826</v>
      </c>
      <c r="J1096" s="9">
        <v>2478.4499999999998</v>
      </c>
    </row>
    <row r="1097" spans="1:10" x14ac:dyDescent="0.3">
      <c r="A1097" s="22" t="s">
        <v>2906</v>
      </c>
      <c r="B1097" s="10">
        <v>45652</v>
      </c>
      <c r="C1097" s="12" t="s">
        <v>616</v>
      </c>
      <c r="D1097" s="12" t="s">
        <v>1596</v>
      </c>
      <c r="E1097" s="12" t="s">
        <v>1813</v>
      </c>
      <c r="F1097" s="11">
        <v>3</v>
      </c>
      <c r="G1097" s="12">
        <v>631.20000000000005</v>
      </c>
      <c r="H1097" s="9">
        <v>0.24</v>
      </c>
      <c r="I1097" s="12" t="s">
        <v>1824</v>
      </c>
      <c r="J1097" s="9">
        <v>1439.136</v>
      </c>
    </row>
    <row r="1098" spans="1:10" x14ac:dyDescent="0.3">
      <c r="A1098" s="22" t="s">
        <v>2907</v>
      </c>
      <c r="B1098" s="10">
        <v>45316</v>
      </c>
      <c r="C1098" s="12" t="s">
        <v>872</v>
      </c>
      <c r="D1098" s="12" t="s">
        <v>1664</v>
      </c>
      <c r="E1098" s="12" t="s">
        <v>1789</v>
      </c>
      <c r="F1098" s="11">
        <v>1</v>
      </c>
      <c r="G1098" s="12">
        <v>937.01</v>
      </c>
      <c r="H1098" s="9">
        <v>7.0000000000000007E-2</v>
      </c>
      <c r="I1098" s="12" t="s">
        <v>1824</v>
      </c>
      <c r="J1098" s="9">
        <v>871.41929999999991</v>
      </c>
    </row>
    <row r="1099" spans="1:10" x14ac:dyDescent="0.3">
      <c r="A1099" s="22" t="s">
        <v>2908</v>
      </c>
      <c r="B1099" s="10">
        <v>45316</v>
      </c>
      <c r="C1099" s="12" t="s">
        <v>508</v>
      </c>
      <c r="D1099" s="12" t="s">
        <v>1694</v>
      </c>
      <c r="E1099" s="12" t="s">
        <v>1773</v>
      </c>
      <c r="F1099" s="11">
        <v>2</v>
      </c>
      <c r="G1099" s="12">
        <v>644</v>
      </c>
      <c r="H1099" s="9">
        <v>0.04</v>
      </c>
      <c r="I1099" s="12" t="s">
        <v>1826</v>
      </c>
      <c r="J1099" s="9">
        <v>1236.48</v>
      </c>
    </row>
    <row r="1100" spans="1:10" x14ac:dyDescent="0.3">
      <c r="A1100" s="22" t="s">
        <v>2909</v>
      </c>
      <c r="B1100" s="10">
        <v>45888</v>
      </c>
      <c r="C1100" s="12" t="s">
        <v>338</v>
      </c>
      <c r="D1100" s="12" t="s">
        <v>1730</v>
      </c>
      <c r="E1100" s="12" t="s">
        <v>1773</v>
      </c>
      <c r="F1100" s="11">
        <v>3</v>
      </c>
      <c r="G1100" s="12">
        <v>629.58000000000004</v>
      </c>
      <c r="H1100" s="9">
        <v>0.05</v>
      </c>
      <c r="I1100" s="12" t="s">
        <v>1824</v>
      </c>
      <c r="J1100" s="9">
        <v>1794.3030000000001</v>
      </c>
    </row>
    <row r="1101" spans="1:10" x14ac:dyDescent="0.3">
      <c r="A1101" s="22" t="s">
        <v>2910</v>
      </c>
      <c r="B1101" s="10">
        <v>45791</v>
      </c>
      <c r="C1101" s="12" t="s">
        <v>1437</v>
      </c>
      <c r="D1101" s="12" t="s">
        <v>1722</v>
      </c>
      <c r="E1101" s="12" t="s">
        <v>1761</v>
      </c>
      <c r="F1101" s="11">
        <v>2</v>
      </c>
      <c r="G1101" s="12">
        <v>121.52</v>
      </c>
      <c r="H1101" s="9">
        <v>0.18</v>
      </c>
      <c r="I1101" s="12" t="s">
        <v>1829</v>
      </c>
      <c r="J1101" s="9">
        <v>199.2928</v>
      </c>
    </row>
    <row r="1102" spans="1:10" x14ac:dyDescent="0.3">
      <c r="A1102" s="22" t="s">
        <v>2911</v>
      </c>
      <c r="B1102" s="10">
        <v>45420</v>
      </c>
      <c r="C1102" s="12" t="s">
        <v>1249</v>
      </c>
      <c r="D1102" s="12" t="s">
        <v>1678</v>
      </c>
      <c r="E1102" s="12" t="s">
        <v>1813</v>
      </c>
      <c r="F1102" s="11">
        <v>2</v>
      </c>
      <c r="G1102" s="12">
        <v>549.83000000000004</v>
      </c>
      <c r="H1102" s="9">
        <v>7.0000000000000007E-2</v>
      </c>
      <c r="I1102" s="12" t="s">
        <v>1826</v>
      </c>
      <c r="J1102" s="9">
        <v>1022.6838</v>
      </c>
    </row>
    <row r="1103" spans="1:10" x14ac:dyDescent="0.3">
      <c r="A1103" s="22" t="s">
        <v>2912</v>
      </c>
      <c r="B1103" s="10">
        <v>45219</v>
      </c>
      <c r="C1103" s="12" t="s">
        <v>475</v>
      </c>
      <c r="D1103" s="12" t="s">
        <v>1574</v>
      </c>
      <c r="E1103" s="12" t="s">
        <v>1782</v>
      </c>
      <c r="F1103" s="11">
        <v>3</v>
      </c>
      <c r="G1103" s="12">
        <v>278.38</v>
      </c>
      <c r="H1103" s="9">
        <v>0.03</v>
      </c>
      <c r="I1103" s="12" t="s">
        <v>1824</v>
      </c>
      <c r="J1103" s="9">
        <v>810.08579999999995</v>
      </c>
    </row>
    <row r="1104" spans="1:10" x14ac:dyDescent="0.3">
      <c r="A1104" s="22" t="s">
        <v>2913</v>
      </c>
      <c r="B1104" s="10">
        <v>45510</v>
      </c>
      <c r="C1104" s="12" t="s">
        <v>1355</v>
      </c>
      <c r="D1104" s="12" t="s">
        <v>1740</v>
      </c>
      <c r="E1104" s="12" t="s">
        <v>1766</v>
      </c>
      <c r="F1104" s="11">
        <v>4</v>
      </c>
      <c r="G1104" s="12">
        <v>723.66</v>
      </c>
      <c r="H1104" s="9">
        <v>0.03</v>
      </c>
      <c r="I1104" s="12" t="s">
        <v>1826</v>
      </c>
      <c r="J1104" s="9">
        <v>2807.8008</v>
      </c>
    </row>
    <row r="1105" spans="1:10" x14ac:dyDescent="0.3">
      <c r="A1105" s="22" t="s">
        <v>2914</v>
      </c>
      <c r="B1105" s="10">
        <v>45687</v>
      </c>
      <c r="C1105" s="12" t="s">
        <v>669</v>
      </c>
      <c r="D1105" s="12" t="s">
        <v>1692</v>
      </c>
      <c r="E1105" s="12" t="s">
        <v>1786</v>
      </c>
      <c r="F1105" s="11">
        <v>1</v>
      </c>
      <c r="G1105" s="12">
        <v>724.74</v>
      </c>
      <c r="H1105" s="9">
        <v>0.15</v>
      </c>
      <c r="I1105" s="12" t="s">
        <v>1826</v>
      </c>
      <c r="J1105" s="9">
        <v>616.029</v>
      </c>
    </row>
    <row r="1106" spans="1:10" x14ac:dyDescent="0.3">
      <c r="A1106" s="22" t="s">
        <v>2915</v>
      </c>
      <c r="B1106" s="10">
        <v>45271</v>
      </c>
      <c r="C1106" s="12" t="s">
        <v>1405</v>
      </c>
      <c r="D1106" s="12" t="s">
        <v>1590</v>
      </c>
      <c r="E1106" s="12" t="s">
        <v>1769</v>
      </c>
      <c r="F1106" s="11">
        <v>2</v>
      </c>
      <c r="G1106" s="12">
        <v>961.84</v>
      </c>
      <c r="H1106" s="9">
        <v>0.25</v>
      </c>
      <c r="I1106" s="12" t="s">
        <v>1826</v>
      </c>
      <c r="J1106" s="9">
        <v>1442.76</v>
      </c>
    </row>
    <row r="1107" spans="1:10" x14ac:dyDescent="0.3">
      <c r="A1107" s="22" t="s">
        <v>2916</v>
      </c>
      <c r="B1107" s="10">
        <v>45446</v>
      </c>
      <c r="C1107" s="12" t="s">
        <v>89</v>
      </c>
      <c r="D1107" s="12" t="s">
        <v>1622</v>
      </c>
      <c r="E1107" s="12" t="s">
        <v>1804</v>
      </c>
      <c r="F1107" s="11">
        <v>4</v>
      </c>
      <c r="G1107" s="12">
        <v>21.12</v>
      </c>
      <c r="H1107" s="9">
        <v>0.18</v>
      </c>
      <c r="I1107" s="12" t="s">
        <v>1829</v>
      </c>
      <c r="J1107" s="9">
        <v>69.273600000000002</v>
      </c>
    </row>
    <row r="1108" spans="1:10" x14ac:dyDescent="0.3">
      <c r="A1108" s="22" t="s">
        <v>2917</v>
      </c>
      <c r="B1108" s="10">
        <v>45579</v>
      </c>
      <c r="C1108" s="12" t="s">
        <v>1005</v>
      </c>
      <c r="D1108" s="12" t="s">
        <v>1543</v>
      </c>
      <c r="E1108" s="12" t="s">
        <v>1769</v>
      </c>
      <c r="F1108" s="11">
        <v>3</v>
      </c>
      <c r="G1108" s="12">
        <v>819.93</v>
      </c>
      <c r="H1108" s="9">
        <v>0.08</v>
      </c>
      <c r="I1108" s="12" t="s">
        <v>1826</v>
      </c>
      <c r="J1108" s="9">
        <v>2263.0068000000001</v>
      </c>
    </row>
    <row r="1109" spans="1:10" x14ac:dyDescent="0.3">
      <c r="A1109" s="22" t="s">
        <v>2918</v>
      </c>
      <c r="B1109" s="10">
        <v>45725</v>
      </c>
      <c r="C1109" s="12" t="s">
        <v>932</v>
      </c>
      <c r="D1109" s="12" t="s">
        <v>1632</v>
      </c>
      <c r="E1109" s="12" t="s">
        <v>1752</v>
      </c>
      <c r="F1109" s="11">
        <v>2</v>
      </c>
      <c r="G1109" s="12">
        <v>700.95</v>
      </c>
      <c r="H1109" s="9">
        <v>0.18</v>
      </c>
      <c r="I1109" s="12" t="s">
        <v>1824</v>
      </c>
      <c r="J1109" s="9">
        <v>1149.558</v>
      </c>
    </row>
    <row r="1110" spans="1:10" x14ac:dyDescent="0.3">
      <c r="A1110" s="22" t="s">
        <v>2919</v>
      </c>
      <c r="B1110" s="10">
        <v>45910</v>
      </c>
      <c r="C1110" s="12" t="s">
        <v>478</v>
      </c>
      <c r="D1110" s="12" t="s">
        <v>1582</v>
      </c>
      <c r="E1110" s="12" t="s">
        <v>1799</v>
      </c>
      <c r="F1110" s="11">
        <v>2</v>
      </c>
      <c r="G1110" s="12">
        <v>456.38</v>
      </c>
      <c r="H1110" s="9">
        <v>0.12</v>
      </c>
      <c r="I1110" s="12" t="s">
        <v>1824</v>
      </c>
      <c r="J1110" s="9">
        <v>803.22879999999998</v>
      </c>
    </row>
    <row r="1111" spans="1:10" x14ac:dyDescent="0.3">
      <c r="A1111" s="22" t="s">
        <v>2920</v>
      </c>
      <c r="B1111" s="10">
        <v>45447</v>
      </c>
      <c r="C1111" s="12" t="s">
        <v>1130</v>
      </c>
      <c r="D1111" s="12" t="s">
        <v>1700</v>
      </c>
      <c r="E1111" s="12" t="s">
        <v>1799</v>
      </c>
      <c r="F1111" s="11">
        <v>3</v>
      </c>
      <c r="G1111" s="12">
        <v>291.05</v>
      </c>
      <c r="H1111" s="9">
        <v>0.3</v>
      </c>
      <c r="I1111" s="12" t="s">
        <v>1824</v>
      </c>
      <c r="J1111" s="9">
        <v>611.20500000000004</v>
      </c>
    </row>
    <row r="1112" spans="1:10" x14ac:dyDescent="0.3">
      <c r="A1112" s="22" t="s">
        <v>2921</v>
      </c>
      <c r="B1112" s="10">
        <v>45307</v>
      </c>
      <c r="C1112" s="12" t="s">
        <v>749</v>
      </c>
      <c r="D1112" s="12" t="s">
        <v>1738</v>
      </c>
      <c r="E1112" s="12" t="s">
        <v>1801</v>
      </c>
      <c r="F1112" s="11">
        <v>2</v>
      </c>
      <c r="G1112" s="12">
        <v>463.52</v>
      </c>
      <c r="H1112" s="9">
        <v>0.27</v>
      </c>
      <c r="I1112" s="12" t="s">
        <v>1826</v>
      </c>
      <c r="J1112" s="9">
        <v>676.73919999999998</v>
      </c>
    </row>
    <row r="1113" spans="1:10" x14ac:dyDescent="0.3">
      <c r="A1113" s="22" t="s">
        <v>2922</v>
      </c>
      <c r="B1113" s="10">
        <v>45653</v>
      </c>
      <c r="C1113" s="12" t="s">
        <v>1184</v>
      </c>
      <c r="D1113" s="12" t="s">
        <v>1543</v>
      </c>
      <c r="E1113" s="12" t="s">
        <v>1807</v>
      </c>
      <c r="F1113" s="11">
        <v>3</v>
      </c>
      <c r="G1113" s="12">
        <v>241.64</v>
      </c>
      <c r="H1113" s="9">
        <v>0.28999999999999998</v>
      </c>
      <c r="I1113" s="12" t="s">
        <v>1826</v>
      </c>
      <c r="J1113" s="9">
        <v>514.69319999999993</v>
      </c>
    </row>
    <row r="1114" spans="1:10" x14ac:dyDescent="0.3">
      <c r="A1114" s="22" t="s">
        <v>2923</v>
      </c>
      <c r="B1114" s="10">
        <v>45817</v>
      </c>
      <c r="C1114" s="12" t="s">
        <v>1487</v>
      </c>
      <c r="D1114" s="12" t="s">
        <v>1608</v>
      </c>
      <c r="E1114" s="12" t="s">
        <v>1789</v>
      </c>
      <c r="F1114" s="11">
        <v>2</v>
      </c>
      <c r="G1114" s="12">
        <v>47.86</v>
      </c>
      <c r="H1114" s="9">
        <v>0.03</v>
      </c>
      <c r="I1114" s="12" t="s">
        <v>1826</v>
      </c>
      <c r="J1114" s="9">
        <v>92.848399999999998</v>
      </c>
    </row>
    <row r="1115" spans="1:10" x14ac:dyDescent="0.3">
      <c r="A1115" s="22" t="s">
        <v>2924</v>
      </c>
      <c r="B1115" s="10">
        <v>45509</v>
      </c>
      <c r="C1115" s="12" t="s">
        <v>1080</v>
      </c>
      <c r="D1115" s="12" t="s">
        <v>1732</v>
      </c>
      <c r="E1115" s="12" t="s">
        <v>1766</v>
      </c>
      <c r="F1115" s="11">
        <v>1</v>
      </c>
      <c r="G1115" s="12">
        <v>805.07</v>
      </c>
      <c r="H1115" s="9">
        <v>0.06</v>
      </c>
      <c r="I1115" s="12" t="s">
        <v>1829</v>
      </c>
      <c r="J1115" s="9">
        <v>756.76580000000001</v>
      </c>
    </row>
    <row r="1116" spans="1:10" x14ac:dyDescent="0.3">
      <c r="A1116" s="22" t="s">
        <v>2925</v>
      </c>
      <c r="B1116" s="10">
        <v>45753</v>
      </c>
      <c r="C1116" s="12" t="s">
        <v>1166</v>
      </c>
      <c r="D1116" s="12" t="s">
        <v>1616</v>
      </c>
      <c r="E1116" s="12" t="s">
        <v>1757</v>
      </c>
      <c r="F1116" s="11">
        <v>3</v>
      </c>
      <c r="G1116" s="12">
        <v>848.48</v>
      </c>
      <c r="H1116" s="9">
        <v>0</v>
      </c>
      <c r="I1116" s="12" t="s">
        <v>1829</v>
      </c>
      <c r="J1116" s="9">
        <v>2545.44</v>
      </c>
    </row>
    <row r="1117" spans="1:10" x14ac:dyDescent="0.3">
      <c r="A1117" s="22" t="s">
        <v>2926</v>
      </c>
      <c r="B1117" s="10">
        <v>45512</v>
      </c>
      <c r="C1117" s="12" t="s">
        <v>782</v>
      </c>
      <c r="D1117" s="12" t="s">
        <v>1654</v>
      </c>
      <c r="E1117" s="12" t="s">
        <v>1782</v>
      </c>
      <c r="F1117" s="11">
        <v>2</v>
      </c>
      <c r="G1117" s="12">
        <v>568.95000000000005</v>
      </c>
      <c r="H1117" s="9">
        <v>0.22</v>
      </c>
      <c r="I1117" s="12" t="s">
        <v>1824</v>
      </c>
      <c r="J1117" s="9">
        <v>887.56200000000013</v>
      </c>
    </row>
    <row r="1118" spans="1:10" x14ac:dyDescent="0.3">
      <c r="A1118" s="22" t="s">
        <v>2927</v>
      </c>
      <c r="B1118" s="10">
        <v>45764</v>
      </c>
      <c r="C1118" s="12" t="s">
        <v>541</v>
      </c>
      <c r="D1118" s="12" t="s">
        <v>1654</v>
      </c>
      <c r="E1118" s="12" t="s">
        <v>1792</v>
      </c>
      <c r="F1118" s="11">
        <v>3</v>
      </c>
      <c r="G1118" s="12">
        <v>269.83999999999997</v>
      </c>
      <c r="H1118" s="9">
        <v>0.05</v>
      </c>
      <c r="I1118" s="12" t="s">
        <v>1826</v>
      </c>
      <c r="J1118" s="9">
        <v>769.04399999999998</v>
      </c>
    </row>
    <row r="1119" spans="1:10" x14ac:dyDescent="0.3">
      <c r="A1119" s="22" t="s">
        <v>2928</v>
      </c>
      <c r="B1119" s="10">
        <v>45746</v>
      </c>
      <c r="C1119" s="12" t="s">
        <v>975</v>
      </c>
      <c r="D1119" s="12" t="s">
        <v>1672</v>
      </c>
      <c r="E1119" s="12" t="s">
        <v>1797</v>
      </c>
      <c r="F1119" s="11">
        <v>4</v>
      </c>
      <c r="G1119" s="12">
        <v>267.36</v>
      </c>
      <c r="H1119" s="9">
        <v>0.27</v>
      </c>
      <c r="I1119" s="12" t="s">
        <v>1826</v>
      </c>
      <c r="J1119" s="9">
        <v>780.69119999999998</v>
      </c>
    </row>
    <row r="1120" spans="1:10" x14ac:dyDescent="0.3">
      <c r="A1120" s="22" t="s">
        <v>2929</v>
      </c>
      <c r="B1120" s="10">
        <v>45647</v>
      </c>
      <c r="C1120" s="12" t="s">
        <v>399</v>
      </c>
      <c r="D1120" s="12" t="s">
        <v>1622</v>
      </c>
      <c r="E1120" s="12" t="s">
        <v>1757</v>
      </c>
      <c r="F1120" s="11">
        <v>1</v>
      </c>
      <c r="G1120" s="12">
        <v>438.41</v>
      </c>
      <c r="H1120" s="9">
        <v>0.09</v>
      </c>
      <c r="I1120" s="12" t="s">
        <v>1824</v>
      </c>
      <c r="J1120" s="9">
        <v>398.95310000000012</v>
      </c>
    </row>
    <row r="1121" spans="1:10" x14ac:dyDescent="0.3">
      <c r="A1121" s="22" t="s">
        <v>2930</v>
      </c>
      <c r="B1121" s="10">
        <v>45443</v>
      </c>
      <c r="C1121" s="12" t="s">
        <v>547</v>
      </c>
      <c r="D1121" s="12" t="s">
        <v>1650</v>
      </c>
      <c r="E1121" s="12" t="s">
        <v>1810</v>
      </c>
      <c r="F1121" s="11">
        <v>2</v>
      </c>
      <c r="G1121" s="12">
        <v>86.72</v>
      </c>
      <c r="H1121" s="9">
        <v>0.28000000000000003</v>
      </c>
      <c r="I1121" s="12" t="s">
        <v>1829</v>
      </c>
      <c r="J1121" s="9">
        <v>124.8768</v>
      </c>
    </row>
    <row r="1122" spans="1:10" x14ac:dyDescent="0.3">
      <c r="A1122" s="22" t="s">
        <v>2931</v>
      </c>
      <c r="B1122" s="10">
        <v>45722</v>
      </c>
      <c r="C1122" s="12" t="s">
        <v>1319</v>
      </c>
      <c r="D1122" s="12" t="s">
        <v>1726</v>
      </c>
      <c r="E1122" s="12" t="s">
        <v>1776</v>
      </c>
      <c r="F1122" s="11">
        <v>4</v>
      </c>
      <c r="G1122" s="12">
        <v>630.21</v>
      </c>
      <c r="H1122" s="9">
        <v>0.14000000000000001</v>
      </c>
      <c r="I1122" s="12" t="s">
        <v>1829</v>
      </c>
      <c r="J1122" s="9">
        <v>2167.9223999999999</v>
      </c>
    </row>
    <row r="1123" spans="1:10" x14ac:dyDescent="0.3">
      <c r="A1123" s="22" t="s">
        <v>2932</v>
      </c>
      <c r="B1123" s="10">
        <v>45575</v>
      </c>
      <c r="C1123" s="12" t="s">
        <v>1124</v>
      </c>
      <c r="D1123" s="12" t="s">
        <v>1666</v>
      </c>
      <c r="E1123" s="12" t="s">
        <v>1776</v>
      </c>
      <c r="F1123" s="11">
        <v>3</v>
      </c>
      <c r="G1123" s="12">
        <v>180.84</v>
      </c>
      <c r="H1123" s="9">
        <v>0.03</v>
      </c>
      <c r="I1123" s="12" t="s">
        <v>1826</v>
      </c>
      <c r="J1123" s="9">
        <v>526.24439999999993</v>
      </c>
    </row>
    <row r="1124" spans="1:10" x14ac:dyDescent="0.3">
      <c r="A1124" s="22" t="s">
        <v>2933</v>
      </c>
      <c r="B1124" s="10">
        <v>45441</v>
      </c>
      <c r="C1124" s="12" t="s">
        <v>27</v>
      </c>
      <c r="D1124" s="12" t="s">
        <v>1676</v>
      </c>
      <c r="E1124" s="12" t="s">
        <v>1804</v>
      </c>
      <c r="F1124" s="11">
        <v>1</v>
      </c>
      <c r="G1124" s="12">
        <v>453.41</v>
      </c>
      <c r="H1124" s="9">
        <v>0.04</v>
      </c>
      <c r="I1124" s="12" t="s">
        <v>1829</v>
      </c>
      <c r="J1124" s="9">
        <v>435.27359999999999</v>
      </c>
    </row>
    <row r="1125" spans="1:10" x14ac:dyDescent="0.3">
      <c r="A1125" s="22" t="s">
        <v>2934</v>
      </c>
      <c r="B1125" s="10">
        <v>45940</v>
      </c>
      <c r="C1125" s="12" t="s">
        <v>103</v>
      </c>
      <c r="D1125" s="12" t="s">
        <v>1650</v>
      </c>
      <c r="E1125" s="12" t="s">
        <v>1776</v>
      </c>
      <c r="F1125" s="11">
        <v>1</v>
      </c>
      <c r="G1125" s="12">
        <v>629.09</v>
      </c>
      <c r="H1125" s="9">
        <v>0.02</v>
      </c>
      <c r="I1125" s="12" t="s">
        <v>1824</v>
      </c>
      <c r="J1125" s="9">
        <v>616.50819999999999</v>
      </c>
    </row>
    <row r="1126" spans="1:10" x14ac:dyDescent="0.3">
      <c r="A1126" s="22" t="s">
        <v>2935</v>
      </c>
      <c r="B1126" s="10">
        <v>45518</v>
      </c>
      <c r="C1126" s="12" t="s">
        <v>97</v>
      </c>
      <c r="D1126" s="12" t="s">
        <v>1702</v>
      </c>
      <c r="E1126" s="12" t="s">
        <v>1761</v>
      </c>
      <c r="F1126" s="11">
        <v>2</v>
      </c>
      <c r="G1126" s="12">
        <v>257.45</v>
      </c>
      <c r="H1126" s="9">
        <v>0</v>
      </c>
      <c r="I1126" s="12" t="s">
        <v>1829</v>
      </c>
      <c r="J1126" s="9">
        <v>514.9</v>
      </c>
    </row>
    <row r="1127" spans="1:10" x14ac:dyDescent="0.3">
      <c r="A1127" s="22" t="s">
        <v>2936</v>
      </c>
      <c r="B1127" s="10">
        <v>45861</v>
      </c>
      <c r="C1127" s="12" t="s">
        <v>592</v>
      </c>
      <c r="D1127" s="12" t="s">
        <v>1616</v>
      </c>
      <c r="E1127" s="12" t="s">
        <v>1801</v>
      </c>
      <c r="F1127" s="11">
        <v>2</v>
      </c>
      <c r="G1127" s="12">
        <v>696.61</v>
      </c>
      <c r="H1127" s="9">
        <v>0.17</v>
      </c>
      <c r="I1127" s="12" t="s">
        <v>1826</v>
      </c>
      <c r="J1127" s="9">
        <v>1156.3725999999999</v>
      </c>
    </row>
    <row r="1128" spans="1:10" x14ac:dyDescent="0.3">
      <c r="A1128" s="22" t="s">
        <v>2937</v>
      </c>
      <c r="B1128" s="10">
        <v>45416</v>
      </c>
      <c r="C1128" s="12" t="s">
        <v>1166</v>
      </c>
      <c r="D1128" s="12" t="s">
        <v>1640</v>
      </c>
      <c r="E1128" s="12" t="s">
        <v>1779</v>
      </c>
      <c r="F1128" s="11">
        <v>2</v>
      </c>
      <c r="G1128" s="12">
        <v>143.79</v>
      </c>
      <c r="H1128" s="9">
        <v>0.1</v>
      </c>
      <c r="I1128" s="12" t="s">
        <v>1826</v>
      </c>
      <c r="J1128" s="9">
        <v>258.822</v>
      </c>
    </row>
    <row r="1129" spans="1:10" x14ac:dyDescent="0.3">
      <c r="A1129" s="22" t="s">
        <v>2938</v>
      </c>
      <c r="B1129" s="10">
        <v>45608</v>
      </c>
      <c r="C1129" s="12" t="s">
        <v>937</v>
      </c>
      <c r="D1129" s="12" t="s">
        <v>1714</v>
      </c>
      <c r="E1129" s="12" t="s">
        <v>1757</v>
      </c>
      <c r="F1129" s="11">
        <v>3</v>
      </c>
      <c r="G1129" s="12">
        <v>460.93</v>
      </c>
      <c r="H1129" s="9">
        <v>0.19</v>
      </c>
      <c r="I1129" s="12" t="s">
        <v>1829</v>
      </c>
      <c r="J1129" s="9">
        <v>1120.0599</v>
      </c>
    </row>
    <row r="1130" spans="1:10" x14ac:dyDescent="0.3">
      <c r="A1130" s="22" t="s">
        <v>2939</v>
      </c>
      <c r="B1130" s="10">
        <v>45301</v>
      </c>
      <c r="C1130" s="12" t="s">
        <v>1533</v>
      </c>
      <c r="D1130" s="12" t="s">
        <v>1604</v>
      </c>
      <c r="E1130" s="12" t="s">
        <v>1786</v>
      </c>
      <c r="F1130" s="11">
        <v>2</v>
      </c>
      <c r="G1130" s="12">
        <v>67.55</v>
      </c>
      <c r="H1130" s="9">
        <v>0.03</v>
      </c>
      <c r="I1130" s="12" t="s">
        <v>1824</v>
      </c>
      <c r="J1130" s="9">
        <v>131.047</v>
      </c>
    </row>
    <row r="1131" spans="1:10" x14ac:dyDescent="0.3">
      <c r="A1131" s="22" t="s">
        <v>2940</v>
      </c>
      <c r="B1131" s="10">
        <v>45433</v>
      </c>
      <c r="C1131" s="12" t="s">
        <v>684</v>
      </c>
      <c r="D1131" s="12" t="s">
        <v>1646</v>
      </c>
      <c r="E1131" s="12" t="s">
        <v>1757</v>
      </c>
      <c r="F1131" s="11">
        <v>3</v>
      </c>
      <c r="G1131" s="12">
        <v>803.31</v>
      </c>
      <c r="H1131" s="9">
        <v>0.1</v>
      </c>
      <c r="I1131" s="12" t="s">
        <v>1826</v>
      </c>
      <c r="J1131" s="9">
        <v>2168.9369999999999</v>
      </c>
    </row>
    <row r="1132" spans="1:10" x14ac:dyDescent="0.3">
      <c r="A1132" s="22" t="s">
        <v>2941</v>
      </c>
      <c r="B1132" s="10">
        <v>45821</v>
      </c>
      <c r="C1132" s="12" t="s">
        <v>1340</v>
      </c>
      <c r="D1132" s="12" t="s">
        <v>1580</v>
      </c>
      <c r="E1132" s="12" t="s">
        <v>1797</v>
      </c>
      <c r="F1132" s="11">
        <v>4</v>
      </c>
      <c r="G1132" s="12">
        <v>254.71</v>
      </c>
      <c r="H1132" s="9">
        <v>0.2</v>
      </c>
      <c r="I1132" s="12" t="s">
        <v>1829</v>
      </c>
      <c r="J1132" s="9">
        <v>815.07200000000012</v>
      </c>
    </row>
    <row r="1133" spans="1:10" x14ac:dyDescent="0.3">
      <c r="A1133" s="22" t="s">
        <v>2942</v>
      </c>
      <c r="B1133" s="10">
        <v>45508</v>
      </c>
      <c r="C1133" s="12" t="s">
        <v>195</v>
      </c>
      <c r="D1133" s="12" t="s">
        <v>1648</v>
      </c>
      <c r="E1133" s="12" t="s">
        <v>1769</v>
      </c>
      <c r="F1133" s="11">
        <v>4</v>
      </c>
      <c r="G1133" s="12">
        <v>594.89</v>
      </c>
      <c r="H1133" s="9">
        <v>0.3</v>
      </c>
      <c r="I1133" s="12" t="s">
        <v>1826</v>
      </c>
      <c r="J1133" s="9">
        <v>1665.692</v>
      </c>
    </row>
    <row r="1134" spans="1:10" x14ac:dyDescent="0.3">
      <c r="A1134" s="22" t="s">
        <v>2943</v>
      </c>
      <c r="B1134" s="10">
        <v>45854</v>
      </c>
      <c r="C1134" s="12" t="s">
        <v>711</v>
      </c>
      <c r="D1134" s="12" t="s">
        <v>1730</v>
      </c>
      <c r="E1134" s="12" t="s">
        <v>1752</v>
      </c>
      <c r="F1134" s="11">
        <v>2</v>
      </c>
      <c r="G1134" s="12">
        <v>844.31</v>
      </c>
      <c r="H1134" s="9">
        <v>7.0000000000000007E-2</v>
      </c>
      <c r="I1134" s="12" t="s">
        <v>1826</v>
      </c>
      <c r="J1134" s="9">
        <v>1570.4166</v>
      </c>
    </row>
    <row r="1135" spans="1:10" x14ac:dyDescent="0.3">
      <c r="A1135" s="22" t="s">
        <v>2944</v>
      </c>
      <c r="B1135" s="10">
        <v>45569</v>
      </c>
      <c r="C1135" s="12" t="s">
        <v>458</v>
      </c>
      <c r="D1135" s="12" t="s">
        <v>1578</v>
      </c>
      <c r="E1135" s="12" t="s">
        <v>1776</v>
      </c>
      <c r="F1135" s="11">
        <v>4</v>
      </c>
      <c r="G1135" s="12">
        <v>101.33</v>
      </c>
      <c r="H1135" s="9">
        <v>0</v>
      </c>
      <c r="I1135" s="12" t="s">
        <v>1824</v>
      </c>
      <c r="J1135" s="9">
        <v>405.32</v>
      </c>
    </row>
    <row r="1136" spans="1:10" x14ac:dyDescent="0.3">
      <c r="A1136" s="22" t="s">
        <v>2945</v>
      </c>
      <c r="B1136" s="10">
        <v>45824</v>
      </c>
      <c r="C1136" s="12" t="s">
        <v>449</v>
      </c>
      <c r="D1136" s="12" t="s">
        <v>1600</v>
      </c>
      <c r="E1136" s="12" t="s">
        <v>1782</v>
      </c>
      <c r="F1136" s="11">
        <v>3</v>
      </c>
      <c r="G1136" s="12">
        <v>922.56</v>
      </c>
      <c r="H1136" s="9">
        <v>0.18</v>
      </c>
      <c r="I1136" s="12" t="s">
        <v>1826</v>
      </c>
      <c r="J1136" s="9">
        <v>2269.4976000000001</v>
      </c>
    </row>
    <row r="1137" spans="1:10" x14ac:dyDescent="0.3">
      <c r="A1137" s="22" t="s">
        <v>2946</v>
      </c>
      <c r="B1137" s="10">
        <v>45352</v>
      </c>
      <c r="C1137" s="12" t="s">
        <v>1340</v>
      </c>
      <c r="D1137" s="12" t="s">
        <v>1624</v>
      </c>
      <c r="E1137" s="12" t="s">
        <v>1799</v>
      </c>
      <c r="F1137" s="11">
        <v>4</v>
      </c>
      <c r="G1137" s="12">
        <v>867.19</v>
      </c>
      <c r="H1137" s="9">
        <v>7.0000000000000007E-2</v>
      </c>
      <c r="I1137" s="12" t="s">
        <v>1829</v>
      </c>
      <c r="J1137" s="9">
        <v>3225.9468000000002</v>
      </c>
    </row>
    <row r="1138" spans="1:10" x14ac:dyDescent="0.3">
      <c r="A1138" s="22" t="s">
        <v>2947</v>
      </c>
      <c r="B1138" s="10">
        <v>45454</v>
      </c>
      <c r="C1138" s="12" t="s">
        <v>36</v>
      </c>
      <c r="D1138" s="12" t="s">
        <v>1714</v>
      </c>
      <c r="E1138" s="12" t="s">
        <v>1807</v>
      </c>
      <c r="F1138" s="11">
        <v>3</v>
      </c>
      <c r="G1138" s="12">
        <v>816.87</v>
      </c>
      <c r="H1138" s="9">
        <v>0.14000000000000001</v>
      </c>
      <c r="I1138" s="12" t="s">
        <v>1826</v>
      </c>
      <c r="J1138" s="9">
        <v>2107.5246000000002</v>
      </c>
    </row>
    <row r="1139" spans="1:10" x14ac:dyDescent="0.3">
      <c r="A1139" s="22" t="s">
        <v>2948</v>
      </c>
      <c r="B1139" s="10">
        <v>45924</v>
      </c>
      <c r="C1139" s="12" t="s">
        <v>1478</v>
      </c>
      <c r="D1139" s="12" t="s">
        <v>1678</v>
      </c>
      <c r="E1139" s="12" t="s">
        <v>1766</v>
      </c>
      <c r="F1139" s="11">
        <v>3</v>
      </c>
      <c r="G1139" s="12">
        <v>258.06</v>
      </c>
      <c r="H1139" s="9">
        <v>0</v>
      </c>
      <c r="I1139" s="12" t="s">
        <v>1826</v>
      </c>
      <c r="J1139" s="9">
        <v>774.18000000000006</v>
      </c>
    </row>
    <row r="1140" spans="1:10" x14ac:dyDescent="0.3">
      <c r="A1140" s="22" t="s">
        <v>2949</v>
      </c>
      <c r="B1140" s="10">
        <v>45694</v>
      </c>
      <c r="C1140" s="12" t="s">
        <v>984</v>
      </c>
      <c r="D1140" s="12" t="s">
        <v>1624</v>
      </c>
      <c r="E1140" s="12" t="s">
        <v>1799</v>
      </c>
      <c r="F1140" s="11">
        <v>2</v>
      </c>
      <c r="G1140" s="12">
        <v>574.58000000000004</v>
      </c>
      <c r="H1140" s="9">
        <v>0.06</v>
      </c>
      <c r="I1140" s="12" t="s">
        <v>1824</v>
      </c>
      <c r="J1140" s="9">
        <v>1080.2103999999999</v>
      </c>
    </row>
    <row r="1141" spans="1:10" x14ac:dyDescent="0.3">
      <c r="A1141" s="22" t="s">
        <v>2950</v>
      </c>
      <c r="B1141" s="10">
        <v>45587</v>
      </c>
      <c r="C1141" s="12" t="s">
        <v>97</v>
      </c>
      <c r="D1141" s="12" t="s">
        <v>1714</v>
      </c>
      <c r="E1141" s="12" t="s">
        <v>1776</v>
      </c>
      <c r="F1141" s="11">
        <v>2</v>
      </c>
      <c r="G1141" s="12">
        <v>472.18</v>
      </c>
      <c r="H1141" s="9">
        <v>0.27</v>
      </c>
      <c r="I1141" s="12" t="s">
        <v>1826</v>
      </c>
      <c r="J1141" s="9">
        <v>689.38279999999997</v>
      </c>
    </row>
    <row r="1142" spans="1:10" x14ac:dyDescent="0.3">
      <c r="A1142" s="22" t="s">
        <v>2951</v>
      </c>
      <c r="B1142" s="10">
        <v>45556</v>
      </c>
      <c r="C1142" s="12" t="s">
        <v>1068</v>
      </c>
      <c r="D1142" s="12" t="s">
        <v>1630</v>
      </c>
      <c r="E1142" s="12" t="s">
        <v>1773</v>
      </c>
      <c r="F1142" s="11">
        <v>2</v>
      </c>
      <c r="G1142" s="12">
        <v>20.47</v>
      </c>
      <c r="H1142" s="9">
        <v>0.12</v>
      </c>
      <c r="I1142" s="12" t="s">
        <v>1829</v>
      </c>
      <c r="J1142" s="9">
        <v>36.027200000000001</v>
      </c>
    </row>
    <row r="1143" spans="1:10" x14ac:dyDescent="0.3">
      <c r="A1143" s="22" t="s">
        <v>2952</v>
      </c>
      <c r="B1143" s="10">
        <v>45923</v>
      </c>
      <c r="C1143" s="12" t="s">
        <v>100</v>
      </c>
      <c r="D1143" s="12" t="s">
        <v>1592</v>
      </c>
      <c r="E1143" s="12" t="s">
        <v>1779</v>
      </c>
      <c r="F1143" s="11">
        <v>3</v>
      </c>
      <c r="G1143" s="12">
        <v>235.41</v>
      </c>
      <c r="H1143" s="9">
        <v>0.15</v>
      </c>
      <c r="I1143" s="12" t="s">
        <v>1826</v>
      </c>
      <c r="J1143" s="9">
        <v>600.29549999999995</v>
      </c>
    </row>
    <row r="1144" spans="1:10" x14ac:dyDescent="0.3">
      <c r="A1144" s="22" t="s">
        <v>2953</v>
      </c>
      <c r="B1144" s="10">
        <v>45811</v>
      </c>
      <c r="C1144" s="12" t="s">
        <v>740</v>
      </c>
      <c r="D1144" s="12" t="s">
        <v>1704</v>
      </c>
      <c r="E1144" s="12" t="s">
        <v>1779</v>
      </c>
      <c r="F1144" s="11">
        <v>3</v>
      </c>
      <c r="G1144" s="12">
        <v>744.9</v>
      </c>
      <c r="H1144" s="9">
        <v>0.27</v>
      </c>
      <c r="I1144" s="12" t="s">
        <v>1826</v>
      </c>
      <c r="J1144" s="9">
        <v>1631.3309999999999</v>
      </c>
    </row>
    <row r="1145" spans="1:10" x14ac:dyDescent="0.3">
      <c r="A1145" s="22" t="s">
        <v>2954</v>
      </c>
      <c r="B1145" s="10">
        <v>45559</v>
      </c>
      <c r="C1145" s="12" t="s">
        <v>181</v>
      </c>
      <c r="D1145" s="12" t="s">
        <v>1584</v>
      </c>
      <c r="E1145" s="12" t="s">
        <v>1766</v>
      </c>
      <c r="F1145" s="11">
        <v>2</v>
      </c>
      <c r="G1145" s="12">
        <v>382.2</v>
      </c>
      <c r="H1145" s="9">
        <v>0.15</v>
      </c>
      <c r="I1145" s="12" t="s">
        <v>1824</v>
      </c>
      <c r="J1145" s="9">
        <v>649.74</v>
      </c>
    </row>
    <row r="1146" spans="1:10" x14ac:dyDescent="0.3">
      <c r="A1146" s="22" t="s">
        <v>2955</v>
      </c>
      <c r="B1146" s="10">
        <v>45881</v>
      </c>
      <c r="C1146" s="12" t="s">
        <v>1086</v>
      </c>
      <c r="D1146" s="12" t="s">
        <v>1728</v>
      </c>
      <c r="E1146" s="12" t="s">
        <v>1804</v>
      </c>
      <c r="F1146" s="11">
        <v>1</v>
      </c>
      <c r="G1146" s="12">
        <v>269.25</v>
      </c>
      <c r="H1146" s="9">
        <v>0.14000000000000001</v>
      </c>
      <c r="I1146" s="12" t="s">
        <v>1826</v>
      </c>
      <c r="J1146" s="9">
        <v>231.55500000000001</v>
      </c>
    </row>
    <row r="1147" spans="1:10" x14ac:dyDescent="0.3">
      <c r="A1147" s="22" t="s">
        <v>2956</v>
      </c>
      <c r="B1147" s="10">
        <v>45367</v>
      </c>
      <c r="C1147" s="12" t="s">
        <v>1142</v>
      </c>
      <c r="D1147" s="12" t="s">
        <v>1608</v>
      </c>
      <c r="E1147" s="12" t="s">
        <v>1792</v>
      </c>
      <c r="F1147" s="11">
        <v>2</v>
      </c>
      <c r="G1147" s="12">
        <v>723.75</v>
      </c>
      <c r="H1147" s="9">
        <v>0.03</v>
      </c>
      <c r="I1147" s="12" t="s">
        <v>1826</v>
      </c>
      <c r="J1147" s="9">
        <v>1404.075</v>
      </c>
    </row>
    <row r="1148" spans="1:10" x14ac:dyDescent="0.3">
      <c r="A1148" s="22" t="s">
        <v>2957</v>
      </c>
      <c r="B1148" s="10">
        <v>45832</v>
      </c>
      <c r="C1148" s="12" t="s">
        <v>893</v>
      </c>
      <c r="D1148" s="12" t="s">
        <v>1586</v>
      </c>
      <c r="E1148" s="12" t="s">
        <v>1813</v>
      </c>
      <c r="F1148" s="11">
        <v>4</v>
      </c>
      <c r="G1148" s="12">
        <v>58.92</v>
      </c>
      <c r="H1148" s="9">
        <v>0.18</v>
      </c>
      <c r="I1148" s="12" t="s">
        <v>1824</v>
      </c>
      <c r="J1148" s="9">
        <v>193.2576</v>
      </c>
    </row>
    <row r="1149" spans="1:10" x14ac:dyDescent="0.3">
      <c r="A1149" s="22" t="s">
        <v>2958</v>
      </c>
      <c r="B1149" s="10">
        <v>45438</v>
      </c>
      <c r="C1149" s="12" t="s">
        <v>619</v>
      </c>
      <c r="D1149" s="12" t="s">
        <v>1690</v>
      </c>
      <c r="E1149" s="12" t="s">
        <v>1789</v>
      </c>
      <c r="F1149" s="11">
        <v>2</v>
      </c>
      <c r="G1149" s="12">
        <v>913.08</v>
      </c>
      <c r="H1149" s="9">
        <v>0.26</v>
      </c>
      <c r="I1149" s="12" t="s">
        <v>1824</v>
      </c>
      <c r="J1149" s="9">
        <v>1351.3584000000001</v>
      </c>
    </row>
    <row r="1150" spans="1:10" x14ac:dyDescent="0.3">
      <c r="A1150" s="22" t="s">
        <v>2959</v>
      </c>
      <c r="B1150" s="10">
        <v>45691</v>
      </c>
      <c r="C1150" s="12" t="s">
        <v>776</v>
      </c>
      <c r="D1150" s="12" t="s">
        <v>1710</v>
      </c>
      <c r="E1150" s="12" t="s">
        <v>1757</v>
      </c>
      <c r="F1150" s="11">
        <v>1</v>
      </c>
      <c r="G1150" s="12">
        <v>791.83</v>
      </c>
      <c r="H1150" s="9">
        <v>0.28000000000000003</v>
      </c>
      <c r="I1150" s="12" t="s">
        <v>1826</v>
      </c>
      <c r="J1150" s="9">
        <v>570.11760000000004</v>
      </c>
    </row>
    <row r="1151" spans="1:10" x14ac:dyDescent="0.3">
      <c r="A1151" s="22" t="s">
        <v>2960</v>
      </c>
      <c r="B1151" s="10">
        <v>45506</v>
      </c>
      <c r="C1151" s="12" t="s">
        <v>1452</v>
      </c>
      <c r="D1151" s="12" t="s">
        <v>1551</v>
      </c>
      <c r="E1151" s="12" t="s">
        <v>1801</v>
      </c>
      <c r="F1151" s="11">
        <v>1</v>
      </c>
      <c r="G1151" s="12">
        <v>74.290000000000006</v>
      </c>
      <c r="H1151" s="9">
        <v>0.3</v>
      </c>
      <c r="I1151" s="12" t="s">
        <v>1829</v>
      </c>
      <c r="J1151" s="9">
        <v>52.003</v>
      </c>
    </row>
    <row r="1152" spans="1:10" x14ac:dyDescent="0.3">
      <c r="A1152" s="22" t="s">
        <v>2961</v>
      </c>
      <c r="B1152" s="10">
        <v>45251</v>
      </c>
      <c r="C1152" s="12" t="s">
        <v>779</v>
      </c>
      <c r="D1152" s="12" t="s">
        <v>1618</v>
      </c>
      <c r="E1152" s="12" t="s">
        <v>1752</v>
      </c>
      <c r="F1152" s="11">
        <v>2</v>
      </c>
      <c r="G1152" s="12">
        <v>961.68</v>
      </c>
      <c r="H1152" s="9">
        <v>0.27</v>
      </c>
      <c r="I1152" s="12" t="s">
        <v>1826</v>
      </c>
      <c r="J1152" s="9">
        <v>1404.0527999999999</v>
      </c>
    </row>
    <row r="1153" spans="1:10" x14ac:dyDescent="0.3">
      <c r="A1153" s="22" t="s">
        <v>2962</v>
      </c>
      <c r="B1153" s="10">
        <v>45722</v>
      </c>
      <c r="C1153" s="12" t="s">
        <v>1518</v>
      </c>
      <c r="D1153" s="12" t="s">
        <v>1586</v>
      </c>
      <c r="E1153" s="12" t="s">
        <v>1799</v>
      </c>
      <c r="F1153" s="11">
        <v>1</v>
      </c>
      <c r="G1153" s="12">
        <v>90.72</v>
      </c>
      <c r="H1153" s="9">
        <v>0.1</v>
      </c>
      <c r="I1153" s="12" t="s">
        <v>1826</v>
      </c>
      <c r="J1153" s="9">
        <v>81.647999999999996</v>
      </c>
    </row>
    <row r="1154" spans="1:10" x14ac:dyDescent="0.3">
      <c r="A1154" s="22" t="s">
        <v>2963</v>
      </c>
      <c r="B1154" s="10">
        <v>45689</v>
      </c>
      <c r="C1154" s="12" t="s">
        <v>224</v>
      </c>
      <c r="D1154" s="12" t="s">
        <v>1664</v>
      </c>
      <c r="E1154" s="12" t="s">
        <v>1779</v>
      </c>
      <c r="F1154" s="11">
        <v>1</v>
      </c>
      <c r="G1154" s="12">
        <v>458.69</v>
      </c>
      <c r="H1154" s="9">
        <v>0.16</v>
      </c>
      <c r="I1154" s="12" t="s">
        <v>1826</v>
      </c>
      <c r="J1154" s="9">
        <v>385.2996</v>
      </c>
    </row>
    <row r="1155" spans="1:10" x14ac:dyDescent="0.3">
      <c r="A1155" s="22" t="s">
        <v>2964</v>
      </c>
      <c r="B1155" s="10">
        <v>45346</v>
      </c>
      <c r="C1155" s="12" t="s">
        <v>743</v>
      </c>
      <c r="D1155" s="12" t="s">
        <v>1616</v>
      </c>
      <c r="E1155" s="12" t="s">
        <v>1779</v>
      </c>
      <c r="F1155" s="11">
        <v>1</v>
      </c>
      <c r="G1155" s="12">
        <v>168.29</v>
      </c>
      <c r="H1155" s="9">
        <v>0.05</v>
      </c>
      <c r="I1155" s="12" t="s">
        <v>1826</v>
      </c>
      <c r="J1155" s="9">
        <v>159.87549999999999</v>
      </c>
    </row>
    <row r="1156" spans="1:10" x14ac:dyDescent="0.3">
      <c r="A1156" s="22" t="s">
        <v>2965</v>
      </c>
      <c r="B1156" s="10">
        <v>45549</v>
      </c>
      <c r="C1156" s="12" t="s">
        <v>687</v>
      </c>
      <c r="D1156" s="12" t="s">
        <v>1582</v>
      </c>
      <c r="E1156" s="12" t="s">
        <v>1807</v>
      </c>
      <c r="F1156" s="11">
        <v>1</v>
      </c>
      <c r="G1156" s="12">
        <v>391.77</v>
      </c>
      <c r="H1156" s="9">
        <v>0.1</v>
      </c>
      <c r="I1156" s="12" t="s">
        <v>1826</v>
      </c>
      <c r="J1156" s="9">
        <v>352.59300000000002</v>
      </c>
    </row>
    <row r="1157" spans="1:10" x14ac:dyDescent="0.3">
      <c r="A1157" s="22" t="s">
        <v>2966</v>
      </c>
      <c r="B1157" s="10">
        <v>45900</v>
      </c>
      <c r="C1157" s="12" t="s">
        <v>1077</v>
      </c>
      <c r="D1157" s="12" t="s">
        <v>1572</v>
      </c>
      <c r="E1157" s="12" t="s">
        <v>1799</v>
      </c>
      <c r="F1157" s="11">
        <v>1</v>
      </c>
      <c r="G1157" s="12">
        <v>424.83</v>
      </c>
      <c r="H1157" s="9">
        <v>0.05</v>
      </c>
      <c r="I1157" s="12" t="s">
        <v>1829</v>
      </c>
      <c r="J1157" s="9">
        <v>403.58850000000001</v>
      </c>
    </row>
    <row r="1158" spans="1:10" x14ac:dyDescent="0.3">
      <c r="A1158" s="22" t="s">
        <v>2967</v>
      </c>
      <c r="B1158" s="10">
        <v>45308</v>
      </c>
      <c r="C1158" s="12" t="s">
        <v>202</v>
      </c>
      <c r="D1158" s="12" t="s">
        <v>1570</v>
      </c>
      <c r="E1158" s="12" t="s">
        <v>1766</v>
      </c>
      <c r="F1158" s="11">
        <v>1</v>
      </c>
      <c r="G1158" s="12">
        <v>499.46</v>
      </c>
      <c r="H1158" s="9">
        <v>0.1</v>
      </c>
      <c r="I1158" s="12" t="s">
        <v>1824</v>
      </c>
      <c r="J1158" s="9">
        <v>449.51400000000001</v>
      </c>
    </row>
    <row r="1159" spans="1:10" x14ac:dyDescent="0.3">
      <c r="A1159" s="22" t="s">
        <v>2968</v>
      </c>
      <c r="B1159" s="10">
        <v>45336</v>
      </c>
      <c r="C1159" s="12" t="s">
        <v>85</v>
      </c>
      <c r="D1159" s="12" t="s">
        <v>1746</v>
      </c>
      <c r="E1159" s="12" t="s">
        <v>1757</v>
      </c>
      <c r="F1159" s="11">
        <v>2</v>
      </c>
      <c r="G1159" s="12">
        <v>698.34</v>
      </c>
      <c r="H1159" s="9">
        <v>0.15</v>
      </c>
      <c r="I1159" s="12" t="s">
        <v>1826</v>
      </c>
      <c r="J1159" s="9">
        <v>1187.1780000000001</v>
      </c>
    </row>
    <row r="1160" spans="1:10" x14ac:dyDescent="0.3">
      <c r="A1160" s="22" t="s">
        <v>2969</v>
      </c>
      <c r="B1160" s="10">
        <v>45213</v>
      </c>
      <c r="C1160" s="12" t="s">
        <v>899</v>
      </c>
      <c r="D1160" s="12" t="s">
        <v>1660</v>
      </c>
      <c r="E1160" s="12" t="s">
        <v>1804</v>
      </c>
      <c r="F1160" s="11">
        <v>2</v>
      </c>
      <c r="G1160" s="12">
        <v>805.08</v>
      </c>
      <c r="H1160" s="9">
        <v>0.27</v>
      </c>
      <c r="I1160" s="12" t="s">
        <v>1826</v>
      </c>
      <c r="J1160" s="9">
        <v>1175.4168</v>
      </c>
    </row>
    <row r="1161" spans="1:10" x14ac:dyDescent="0.3">
      <c r="A1161" s="22" t="s">
        <v>2970</v>
      </c>
      <c r="B1161" s="10">
        <v>45742</v>
      </c>
      <c r="C1161" s="12" t="s">
        <v>1437</v>
      </c>
      <c r="D1161" s="12" t="s">
        <v>1700</v>
      </c>
      <c r="E1161" s="12" t="s">
        <v>1761</v>
      </c>
      <c r="F1161" s="11">
        <v>4</v>
      </c>
      <c r="G1161" s="12">
        <v>934.79</v>
      </c>
      <c r="H1161" s="9">
        <v>0.08</v>
      </c>
      <c r="I1161" s="12" t="s">
        <v>1826</v>
      </c>
      <c r="J1161" s="9">
        <v>3440.0272</v>
      </c>
    </row>
    <row r="1162" spans="1:10" x14ac:dyDescent="0.3">
      <c r="A1162" s="22" t="s">
        <v>2971</v>
      </c>
      <c r="B1162" s="10">
        <v>45932</v>
      </c>
      <c r="C1162" s="12" t="s">
        <v>85</v>
      </c>
      <c r="D1162" s="12" t="s">
        <v>1668</v>
      </c>
      <c r="E1162" s="12" t="s">
        <v>1757</v>
      </c>
      <c r="F1162" s="11">
        <v>2</v>
      </c>
      <c r="G1162" s="12">
        <v>424.54</v>
      </c>
      <c r="H1162" s="9">
        <v>0.24</v>
      </c>
      <c r="I1162" s="12" t="s">
        <v>1826</v>
      </c>
      <c r="J1162" s="9">
        <v>645.30080000000009</v>
      </c>
    </row>
    <row r="1163" spans="1:10" x14ac:dyDescent="0.3">
      <c r="A1163" s="22" t="s">
        <v>2972</v>
      </c>
      <c r="B1163" s="10">
        <v>45462</v>
      </c>
      <c r="C1163" s="12" t="s">
        <v>1029</v>
      </c>
      <c r="D1163" s="12" t="s">
        <v>1716</v>
      </c>
      <c r="E1163" s="12" t="s">
        <v>1807</v>
      </c>
      <c r="F1163" s="11">
        <v>1</v>
      </c>
      <c r="G1163" s="12">
        <v>235.44</v>
      </c>
      <c r="H1163" s="9">
        <v>0.19</v>
      </c>
      <c r="I1163" s="12" t="s">
        <v>1829</v>
      </c>
      <c r="J1163" s="9">
        <v>190.7064</v>
      </c>
    </row>
    <row r="1164" spans="1:10" x14ac:dyDescent="0.3">
      <c r="A1164" s="22" t="s">
        <v>2973</v>
      </c>
      <c r="B1164" s="10">
        <v>45568</v>
      </c>
      <c r="C1164" s="12" t="s">
        <v>863</v>
      </c>
      <c r="D1164" s="12" t="s">
        <v>1646</v>
      </c>
      <c r="E1164" s="12" t="s">
        <v>1797</v>
      </c>
      <c r="F1164" s="11">
        <v>2</v>
      </c>
      <c r="G1164" s="12">
        <v>620.71</v>
      </c>
      <c r="H1164" s="9">
        <v>0.27</v>
      </c>
      <c r="I1164" s="12" t="s">
        <v>1824</v>
      </c>
      <c r="J1164" s="9">
        <v>906.23660000000007</v>
      </c>
    </row>
    <row r="1165" spans="1:10" x14ac:dyDescent="0.3">
      <c r="A1165" s="22" t="s">
        <v>2974</v>
      </c>
      <c r="B1165" s="10">
        <v>45397</v>
      </c>
      <c r="C1165" s="12" t="s">
        <v>402</v>
      </c>
      <c r="D1165" s="12" t="s">
        <v>1580</v>
      </c>
      <c r="E1165" s="12" t="s">
        <v>1792</v>
      </c>
      <c r="F1165" s="11">
        <v>2</v>
      </c>
      <c r="G1165" s="12">
        <v>851.77</v>
      </c>
      <c r="H1165" s="9">
        <v>0.13</v>
      </c>
      <c r="I1165" s="12" t="s">
        <v>1826</v>
      </c>
      <c r="J1165" s="9">
        <v>1482.0798</v>
      </c>
    </row>
    <row r="1166" spans="1:10" x14ac:dyDescent="0.3">
      <c r="A1166" s="22" t="s">
        <v>2975</v>
      </c>
      <c r="B1166" s="10">
        <v>45569</v>
      </c>
      <c r="C1166" s="12" t="s">
        <v>559</v>
      </c>
      <c r="D1166" s="12" t="s">
        <v>1638</v>
      </c>
      <c r="E1166" s="12" t="s">
        <v>1757</v>
      </c>
      <c r="F1166" s="11">
        <v>3</v>
      </c>
      <c r="G1166" s="12">
        <v>876.01</v>
      </c>
      <c r="H1166" s="9">
        <v>0.2</v>
      </c>
      <c r="I1166" s="12" t="s">
        <v>1824</v>
      </c>
      <c r="J1166" s="9">
        <v>2102.424</v>
      </c>
    </row>
    <row r="1167" spans="1:10" x14ac:dyDescent="0.3">
      <c r="A1167" s="22" t="s">
        <v>2976</v>
      </c>
      <c r="B1167" s="10">
        <v>45353</v>
      </c>
      <c r="C1167" s="12" t="s">
        <v>878</v>
      </c>
      <c r="D1167" s="12" t="s">
        <v>1602</v>
      </c>
      <c r="E1167" s="12" t="s">
        <v>1786</v>
      </c>
      <c r="F1167" s="11">
        <v>2</v>
      </c>
      <c r="G1167" s="12">
        <v>717.21</v>
      </c>
      <c r="H1167" s="9">
        <v>0.15</v>
      </c>
      <c r="I1167" s="12" t="s">
        <v>1829</v>
      </c>
      <c r="J1167" s="9">
        <v>1219.2570000000001</v>
      </c>
    </row>
    <row r="1168" spans="1:10" x14ac:dyDescent="0.3">
      <c r="A1168" s="22" t="s">
        <v>2977</v>
      </c>
      <c r="B1168" s="10">
        <v>45343</v>
      </c>
      <c r="C1168" s="12" t="s">
        <v>211</v>
      </c>
      <c r="D1168" s="12" t="s">
        <v>1630</v>
      </c>
      <c r="E1168" s="12" t="s">
        <v>1782</v>
      </c>
      <c r="F1168" s="11">
        <v>2</v>
      </c>
      <c r="G1168" s="12">
        <v>871.43</v>
      </c>
      <c r="H1168" s="9">
        <v>0.05</v>
      </c>
      <c r="I1168" s="12" t="s">
        <v>1824</v>
      </c>
      <c r="J1168" s="9">
        <v>1655.7170000000001</v>
      </c>
    </row>
    <row r="1169" spans="1:10" x14ac:dyDescent="0.3">
      <c r="A1169" s="22" t="s">
        <v>2978</v>
      </c>
      <c r="B1169" s="10">
        <v>45321</v>
      </c>
      <c r="C1169" s="12" t="s">
        <v>1400</v>
      </c>
      <c r="D1169" s="12" t="s">
        <v>1620</v>
      </c>
      <c r="E1169" s="12" t="s">
        <v>1779</v>
      </c>
      <c r="F1169" s="11">
        <v>1</v>
      </c>
      <c r="G1169" s="12">
        <v>514.65</v>
      </c>
      <c r="H1169" s="9">
        <v>0.18</v>
      </c>
      <c r="I1169" s="12" t="s">
        <v>1824</v>
      </c>
      <c r="J1169" s="9">
        <v>422.01299999999998</v>
      </c>
    </row>
    <row r="1170" spans="1:10" x14ac:dyDescent="0.3">
      <c r="A1170" s="22" t="s">
        <v>2979</v>
      </c>
      <c r="B1170" s="10">
        <v>45650</v>
      </c>
      <c r="C1170" s="12" t="s">
        <v>1417</v>
      </c>
      <c r="D1170" s="12" t="s">
        <v>1672</v>
      </c>
      <c r="E1170" s="12" t="s">
        <v>1804</v>
      </c>
      <c r="F1170" s="11">
        <v>3</v>
      </c>
      <c r="G1170" s="12">
        <v>198.76</v>
      </c>
      <c r="H1170" s="9">
        <v>0.28000000000000003</v>
      </c>
      <c r="I1170" s="12" t="s">
        <v>1829</v>
      </c>
      <c r="J1170" s="9">
        <v>429.32159999999999</v>
      </c>
    </row>
    <row r="1171" spans="1:10" x14ac:dyDescent="0.3">
      <c r="A1171" s="22" t="s">
        <v>2980</v>
      </c>
      <c r="B1171" s="10">
        <v>45811</v>
      </c>
      <c r="C1171" s="12" t="s">
        <v>727</v>
      </c>
      <c r="D1171" s="12" t="s">
        <v>1674</v>
      </c>
      <c r="E1171" s="12" t="s">
        <v>1766</v>
      </c>
      <c r="F1171" s="11">
        <v>2</v>
      </c>
      <c r="G1171" s="12">
        <v>975.72</v>
      </c>
      <c r="H1171" s="9">
        <v>0.16</v>
      </c>
      <c r="I1171" s="12" t="s">
        <v>1829</v>
      </c>
      <c r="J1171" s="9">
        <v>1639.2095999999999</v>
      </c>
    </row>
    <row r="1172" spans="1:10" x14ac:dyDescent="0.3">
      <c r="A1172" s="22" t="s">
        <v>2981</v>
      </c>
      <c r="B1172" s="10">
        <v>45505</v>
      </c>
      <c r="C1172" s="12" t="s">
        <v>1304</v>
      </c>
      <c r="D1172" s="12" t="s">
        <v>1578</v>
      </c>
      <c r="E1172" s="12" t="s">
        <v>1757</v>
      </c>
      <c r="F1172" s="11">
        <v>1</v>
      </c>
      <c r="G1172" s="12">
        <v>86.03</v>
      </c>
      <c r="H1172" s="9">
        <v>0.01</v>
      </c>
      <c r="I1172" s="12" t="s">
        <v>1824</v>
      </c>
      <c r="J1172" s="9">
        <v>85.169700000000006</v>
      </c>
    </row>
    <row r="1173" spans="1:10" x14ac:dyDescent="0.3">
      <c r="A1173" s="22" t="s">
        <v>2982</v>
      </c>
      <c r="B1173" s="10">
        <v>45897</v>
      </c>
      <c r="C1173" s="12" t="s">
        <v>314</v>
      </c>
      <c r="D1173" s="12" t="s">
        <v>1656</v>
      </c>
      <c r="E1173" s="12" t="s">
        <v>1794</v>
      </c>
      <c r="F1173" s="11">
        <v>4</v>
      </c>
      <c r="G1173" s="12">
        <v>705.12</v>
      </c>
      <c r="H1173" s="9">
        <v>0.15</v>
      </c>
      <c r="I1173" s="12" t="s">
        <v>1826</v>
      </c>
      <c r="J1173" s="9">
        <v>2397.4079999999999</v>
      </c>
    </row>
    <row r="1174" spans="1:10" x14ac:dyDescent="0.3">
      <c r="A1174" s="22" t="s">
        <v>2983</v>
      </c>
      <c r="B1174" s="10">
        <v>45602</v>
      </c>
      <c r="C1174" s="12" t="s">
        <v>1160</v>
      </c>
      <c r="D1174" s="12" t="s">
        <v>1584</v>
      </c>
      <c r="E1174" s="12" t="s">
        <v>1794</v>
      </c>
      <c r="F1174" s="11">
        <v>3</v>
      </c>
      <c r="G1174" s="12">
        <v>99.77</v>
      </c>
      <c r="H1174" s="9">
        <v>0.01</v>
      </c>
      <c r="I1174" s="12" t="s">
        <v>1826</v>
      </c>
      <c r="J1174" s="9">
        <v>296.31689999999998</v>
      </c>
    </row>
    <row r="1175" spans="1:10" x14ac:dyDescent="0.3">
      <c r="A1175" s="22" t="s">
        <v>2984</v>
      </c>
      <c r="B1175" s="10">
        <v>45530</v>
      </c>
      <c r="C1175" s="12" t="s">
        <v>681</v>
      </c>
      <c r="D1175" s="12" t="s">
        <v>1616</v>
      </c>
      <c r="E1175" s="12" t="s">
        <v>1786</v>
      </c>
      <c r="F1175" s="11">
        <v>2</v>
      </c>
      <c r="G1175" s="12">
        <v>166.26</v>
      </c>
      <c r="H1175" s="9">
        <v>0.14000000000000001</v>
      </c>
      <c r="I1175" s="12" t="s">
        <v>1826</v>
      </c>
      <c r="J1175" s="9">
        <v>285.96719999999999</v>
      </c>
    </row>
    <row r="1176" spans="1:10" x14ac:dyDescent="0.3">
      <c r="A1176" s="22" t="s">
        <v>2985</v>
      </c>
      <c r="B1176" s="10">
        <v>45729</v>
      </c>
      <c r="C1176" s="12" t="s">
        <v>1417</v>
      </c>
      <c r="D1176" s="12" t="s">
        <v>1600</v>
      </c>
      <c r="E1176" s="12" t="s">
        <v>1773</v>
      </c>
      <c r="F1176" s="11">
        <v>1</v>
      </c>
      <c r="G1176" s="12">
        <v>429.25</v>
      </c>
      <c r="H1176" s="9">
        <v>0.28999999999999998</v>
      </c>
      <c r="I1176" s="12" t="s">
        <v>1824</v>
      </c>
      <c r="J1176" s="9">
        <v>304.76749999999998</v>
      </c>
    </row>
    <row r="1177" spans="1:10" x14ac:dyDescent="0.3">
      <c r="A1177" s="22" t="s">
        <v>2986</v>
      </c>
      <c r="B1177" s="10">
        <v>45468</v>
      </c>
      <c r="C1177" s="12" t="s">
        <v>1371</v>
      </c>
      <c r="D1177" s="12" t="s">
        <v>1543</v>
      </c>
      <c r="E1177" s="12" t="s">
        <v>1786</v>
      </c>
      <c r="F1177" s="11">
        <v>2</v>
      </c>
      <c r="G1177" s="12">
        <v>540.48</v>
      </c>
      <c r="H1177" s="9">
        <v>0.28999999999999998</v>
      </c>
      <c r="I1177" s="12" t="s">
        <v>1824</v>
      </c>
      <c r="J1177" s="9">
        <v>767.48159999999996</v>
      </c>
    </row>
    <row r="1178" spans="1:10" x14ac:dyDescent="0.3">
      <c r="A1178" s="22" t="s">
        <v>2987</v>
      </c>
      <c r="B1178" s="10">
        <v>45936</v>
      </c>
      <c r="C1178" s="12" t="s">
        <v>857</v>
      </c>
      <c r="D1178" s="12" t="s">
        <v>1666</v>
      </c>
      <c r="E1178" s="12" t="s">
        <v>1799</v>
      </c>
      <c r="F1178" s="11">
        <v>2</v>
      </c>
      <c r="G1178" s="12">
        <v>579.52</v>
      </c>
      <c r="H1178" s="9">
        <v>0.01</v>
      </c>
      <c r="I1178" s="12" t="s">
        <v>1826</v>
      </c>
      <c r="J1178" s="9">
        <v>1147.4495999999999</v>
      </c>
    </row>
    <row r="1179" spans="1:10" x14ac:dyDescent="0.3">
      <c r="A1179" s="22" t="s">
        <v>2988</v>
      </c>
      <c r="B1179" s="10">
        <v>45622</v>
      </c>
      <c r="C1179" s="12" t="s">
        <v>110</v>
      </c>
      <c r="D1179" s="12" t="s">
        <v>1686</v>
      </c>
      <c r="E1179" s="12" t="s">
        <v>1807</v>
      </c>
      <c r="F1179" s="11">
        <v>4</v>
      </c>
      <c r="G1179" s="12">
        <v>477.52</v>
      </c>
      <c r="H1179" s="9">
        <v>7.0000000000000007E-2</v>
      </c>
      <c r="I1179" s="12" t="s">
        <v>1826</v>
      </c>
      <c r="J1179" s="9">
        <v>1776.3743999999999</v>
      </c>
    </row>
    <row r="1180" spans="1:10" x14ac:dyDescent="0.3">
      <c r="A1180" s="22" t="s">
        <v>2989</v>
      </c>
      <c r="B1180" s="10">
        <v>45705</v>
      </c>
      <c r="C1180" s="12" t="s">
        <v>827</v>
      </c>
      <c r="D1180" s="12" t="s">
        <v>1730</v>
      </c>
      <c r="E1180" s="12" t="s">
        <v>1776</v>
      </c>
      <c r="F1180" s="11">
        <v>3</v>
      </c>
      <c r="G1180" s="12">
        <v>242.58</v>
      </c>
      <c r="H1180" s="9">
        <v>0.25</v>
      </c>
      <c r="I1180" s="12" t="s">
        <v>1824</v>
      </c>
      <c r="J1180" s="9">
        <v>545.80500000000006</v>
      </c>
    </row>
    <row r="1181" spans="1:10" x14ac:dyDescent="0.3">
      <c r="A1181" s="22" t="s">
        <v>2990</v>
      </c>
      <c r="B1181" s="10">
        <v>45250</v>
      </c>
      <c r="C1181" s="12" t="s">
        <v>1148</v>
      </c>
      <c r="D1181" s="12" t="s">
        <v>1600</v>
      </c>
      <c r="E1181" s="12" t="s">
        <v>1807</v>
      </c>
      <c r="F1181" s="11">
        <v>2</v>
      </c>
      <c r="G1181" s="12">
        <v>519.29999999999995</v>
      </c>
      <c r="H1181" s="9">
        <v>0.09</v>
      </c>
      <c r="I1181" s="12" t="s">
        <v>1826</v>
      </c>
      <c r="J1181" s="9">
        <v>945.12599999999998</v>
      </c>
    </row>
    <row r="1182" spans="1:10" x14ac:dyDescent="0.3">
      <c r="A1182" s="22" t="s">
        <v>2991</v>
      </c>
      <c r="B1182" s="10">
        <v>45684</v>
      </c>
      <c r="C1182" s="12" t="s">
        <v>1510</v>
      </c>
      <c r="D1182" s="12" t="s">
        <v>1736</v>
      </c>
      <c r="E1182" s="12" t="s">
        <v>1792</v>
      </c>
      <c r="F1182" s="11">
        <v>3</v>
      </c>
      <c r="G1182" s="12">
        <v>845.67</v>
      </c>
      <c r="H1182" s="9">
        <v>0.12</v>
      </c>
      <c r="I1182" s="12" t="s">
        <v>1829</v>
      </c>
      <c r="J1182" s="9">
        <v>2232.5688</v>
      </c>
    </row>
    <row r="1183" spans="1:10" x14ac:dyDescent="0.3">
      <c r="A1183" s="22" t="s">
        <v>2992</v>
      </c>
      <c r="B1183" s="10">
        <v>45395</v>
      </c>
      <c r="C1183" s="12" t="s">
        <v>963</v>
      </c>
      <c r="D1183" s="12" t="s">
        <v>1658</v>
      </c>
      <c r="E1183" s="12" t="s">
        <v>1804</v>
      </c>
      <c r="F1183" s="11">
        <v>4</v>
      </c>
      <c r="G1183" s="12">
        <v>750.26</v>
      </c>
      <c r="H1183" s="9">
        <v>0.01</v>
      </c>
      <c r="I1183" s="12" t="s">
        <v>1826</v>
      </c>
      <c r="J1183" s="9">
        <v>2971.0295999999998</v>
      </c>
    </row>
    <row r="1184" spans="1:10" x14ac:dyDescent="0.3">
      <c r="A1184" s="22" t="s">
        <v>2993</v>
      </c>
      <c r="B1184" s="10">
        <v>45382</v>
      </c>
      <c r="C1184" s="12" t="s">
        <v>1044</v>
      </c>
      <c r="D1184" s="12" t="s">
        <v>1732</v>
      </c>
      <c r="E1184" s="12" t="s">
        <v>1794</v>
      </c>
      <c r="F1184" s="11">
        <v>4</v>
      </c>
      <c r="G1184" s="12">
        <v>294.38</v>
      </c>
      <c r="H1184" s="9">
        <v>0.2</v>
      </c>
      <c r="I1184" s="12" t="s">
        <v>1824</v>
      </c>
      <c r="J1184" s="9">
        <v>942.01600000000008</v>
      </c>
    </row>
    <row r="1185" spans="1:10" x14ac:dyDescent="0.3">
      <c r="A1185" s="22" t="s">
        <v>2994</v>
      </c>
      <c r="B1185" s="10">
        <v>45919</v>
      </c>
      <c r="C1185" s="12" t="s">
        <v>347</v>
      </c>
      <c r="D1185" s="12" t="s">
        <v>1740</v>
      </c>
      <c r="E1185" s="12" t="s">
        <v>1761</v>
      </c>
      <c r="F1185" s="11">
        <v>3</v>
      </c>
      <c r="G1185" s="12">
        <v>583.52</v>
      </c>
      <c r="H1185" s="9">
        <v>7.0000000000000007E-2</v>
      </c>
      <c r="I1185" s="12" t="s">
        <v>1826</v>
      </c>
      <c r="J1185" s="9">
        <v>1628.0208</v>
      </c>
    </row>
    <row r="1186" spans="1:10" x14ac:dyDescent="0.3">
      <c r="A1186" s="22" t="s">
        <v>2995</v>
      </c>
      <c r="B1186" s="10">
        <v>45453</v>
      </c>
      <c r="C1186" s="12" t="s">
        <v>1449</v>
      </c>
      <c r="D1186" s="12" t="s">
        <v>1726</v>
      </c>
      <c r="E1186" s="12" t="s">
        <v>1804</v>
      </c>
      <c r="F1186" s="11">
        <v>2</v>
      </c>
      <c r="G1186" s="12">
        <v>635.22</v>
      </c>
      <c r="H1186" s="9">
        <v>0.3</v>
      </c>
      <c r="I1186" s="12" t="s">
        <v>1829</v>
      </c>
      <c r="J1186" s="9">
        <v>889.30799999999999</v>
      </c>
    </row>
    <row r="1187" spans="1:10" x14ac:dyDescent="0.3">
      <c r="A1187" s="22" t="s">
        <v>2996</v>
      </c>
      <c r="B1187" s="10">
        <v>45313</v>
      </c>
      <c r="C1187" s="12" t="s">
        <v>1328</v>
      </c>
      <c r="D1187" s="12" t="s">
        <v>1680</v>
      </c>
      <c r="E1187" s="12" t="s">
        <v>1761</v>
      </c>
      <c r="F1187" s="11">
        <v>1</v>
      </c>
      <c r="G1187" s="12">
        <v>743.55</v>
      </c>
      <c r="H1187" s="9">
        <v>0.11</v>
      </c>
      <c r="I1187" s="12" t="s">
        <v>1829</v>
      </c>
      <c r="J1187" s="9">
        <v>661.7595</v>
      </c>
    </row>
    <row r="1188" spans="1:10" x14ac:dyDescent="0.3">
      <c r="A1188" s="22" t="s">
        <v>2997</v>
      </c>
      <c r="B1188" s="10">
        <v>45377</v>
      </c>
      <c r="C1188" s="12" t="s">
        <v>360</v>
      </c>
      <c r="D1188" s="12" t="s">
        <v>1636</v>
      </c>
      <c r="E1188" s="12" t="s">
        <v>1766</v>
      </c>
      <c r="F1188" s="11">
        <v>4</v>
      </c>
      <c r="G1188" s="12">
        <v>530.45000000000005</v>
      </c>
      <c r="H1188" s="9">
        <v>0.13</v>
      </c>
      <c r="I1188" s="12" t="s">
        <v>1824</v>
      </c>
      <c r="J1188" s="9">
        <v>1845.9659999999999</v>
      </c>
    </row>
    <row r="1189" spans="1:10" x14ac:dyDescent="0.3">
      <c r="A1189" s="22" t="s">
        <v>2998</v>
      </c>
      <c r="B1189" s="10">
        <v>45371</v>
      </c>
      <c r="C1189" s="12" t="s">
        <v>842</v>
      </c>
      <c r="D1189" s="12" t="s">
        <v>1680</v>
      </c>
      <c r="E1189" s="12" t="s">
        <v>1786</v>
      </c>
      <c r="F1189" s="11">
        <v>2</v>
      </c>
      <c r="G1189" s="12">
        <v>972.4</v>
      </c>
      <c r="H1189" s="9">
        <v>0.06</v>
      </c>
      <c r="I1189" s="12" t="s">
        <v>1829</v>
      </c>
      <c r="J1189" s="9">
        <v>1828.1120000000001</v>
      </c>
    </row>
    <row r="1190" spans="1:10" x14ac:dyDescent="0.3">
      <c r="A1190" s="22" t="s">
        <v>2999</v>
      </c>
      <c r="B1190" s="10">
        <v>45797</v>
      </c>
      <c r="C1190" s="12" t="s">
        <v>1181</v>
      </c>
      <c r="D1190" s="12" t="s">
        <v>1578</v>
      </c>
      <c r="E1190" s="12" t="s">
        <v>1810</v>
      </c>
      <c r="F1190" s="11">
        <v>3</v>
      </c>
      <c r="G1190" s="12">
        <v>197.93</v>
      </c>
      <c r="H1190" s="9">
        <v>0</v>
      </c>
      <c r="I1190" s="12" t="s">
        <v>1829</v>
      </c>
      <c r="J1190" s="9">
        <v>593.79</v>
      </c>
    </row>
    <row r="1191" spans="1:10" x14ac:dyDescent="0.3">
      <c r="A1191" s="22" t="s">
        <v>3000</v>
      </c>
      <c r="B1191" s="10">
        <v>45575</v>
      </c>
      <c r="C1191" s="12" t="s">
        <v>1074</v>
      </c>
      <c r="D1191" s="12" t="s">
        <v>1722</v>
      </c>
      <c r="E1191" s="12" t="s">
        <v>1792</v>
      </c>
      <c r="F1191" s="11">
        <v>4</v>
      </c>
      <c r="G1191" s="12">
        <v>565.51</v>
      </c>
      <c r="H1191" s="9">
        <v>0.16</v>
      </c>
      <c r="I1191" s="12" t="s">
        <v>1826</v>
      </c>
      <c r="J1191" s="9">
        <v>1900.1135999999999</v>
      </c>
    </row>
    <row r="1192" spans="1:10" x14ac:dyDescent="0.3">
      <c r="A1192" s="22" t="s">
        <v>3001</v>
      </c>
      <c r="B1192" s="10">
        <v>45566</v>
      </c>
      <c r="C1192" s="12" t="s">
        <v>1246</v>
      </c>
      <c r="D1192" s="12" t="s">
        <v>1626</v>
      </c>
      <c r="E1192" s="12" t="s">
        <v>1769</v>
      </c>
      <c r="F1192" s="11">
        <v>4</v>
      </c>
      <c r="G1192" s="12">
        <v>983.38</v>
      </c>
      <c r="H1192" s="9">
        <v>0.25</v>
      </c>
      <c r="I1192" s="12" t="s">
        <v>1829</v>
      </c>
      <c r="J1192" s="9">
        <v>2950.14</v>
      </c>
    </row>
    <row r="1193" spans="1:10" x14ac:dyDescent="0.3">
      <c r="A1193" s="22" t="s">
        <v>3002</v>
      </c>
      <c r="B1193" s="10">
        <v>45252</v>
      </c>
      <c r="C1193" s="12" t="s">
        <v>752</v>
      </c>
      <c r="D1193" s="12" t="s">
        <v>1746</v>
      </c>
      <c r="E1193" s="12" t="s">
        <v>1786</v>
      </c>
      <c r="F1193" s="11">
        <v>1</v>
      </c>
      <c r="G1193" s="12">
        <v>955.06</v>
      </c>
      <c r="H1193" s="9">
        <v>0.14000000000000001</v>
      </c>
      <c r="I1193" s="12" t="s">
        <v>1824</v>
      </c>
      <c r="J1193" s="9">
        <v>821.35159999999996</v>
      </c>
    </row>
    <row r="1194" spans="1:10" x14ac:dyDescent="0.3">
      <c r="A1194" s="22" t="s">
        <v>3003</v>
      </c>
      <c r="B1194" s="10">
        <v>45693</v>
      </c>
      <c r="C1194" s="12" t="s">
        <v>1104</v>
      </c>
      <c r="D1194" s="12" t="s">
        <v>1666</v>
      </c>
      <c r="E1194" s="12" t="s">
        <v>1801</v>
      </c>
      <c r="F1194" s="11">
        <v>3</v>
      </c>
      <c r="G1194" s="12">
        <v>597.46</v>
      </c>
      <c r="H1194" s="9">
        <v>0.02</v>
      </c>
      <c r="I1194" s="12" t="s">
        <v>1826</v>
      </c>
      <c r="J1194" s="9">
        <v>1756.5324000000001</v>
      </c>
    </row>
    <row r="1195" spans="1:10" x14ac:dyDescent="0.3">
      <c r="A1195" s="22" t="s">
        <v>3004</v>
      </c>
      <c r="B1195" s="10">
        <v>45446</v>
      </c>
      <c r="C1195" s="12" t="s">
        <v>999</v>
      </c>
      <c r="D1195" s="12" t="s">
        <v>1562</v>
      </c>
      <c r="E1195" s="12" t="s">
        <v>1804</v>
      </c>
      <c r="F1195" s="11">
        <v>3</v>
      </c>
      <c r="G1195" s="12">
        <v>581.09</v>
      </c>
      <c r="H1195" s="9">
        <v>0.1</v>
      </c>
      <c r="I1195" s="12" t="s">
        <v>1829</v>
      </c>
      <c r="J1195" s="9">
        <v>1568.943</v>
      </c>
    </row>
    <row r="1196" spans="1:10" x14ac:dyDescent="0.3">
      <c r="A1196" s="22" t="s">
        <v>3005</v>
      </c>
      <c r="B1196" s="10">
        <v>45862</v>
      </c>
      <c r="C1196" s="12" t="s">
        <v>205</v>
      </c>
      <c r="D1196" s="12" t="s">
        <v>1608</v>
      </c>
      <c r="E1196" s="12" t="s">
        <v>1769</v>
      </c>
      <c r="F1196" s="11">
        <v>4</v>
      </c>
      <c r="G1196" s="12">
        <v>153.94999999999999</v>
      </c>
      <c r="H1196" s="9">
        <v>0.11</v>
      </c>
      <c r="I1196" s="12" t="s">
        <v>1826</v>
      </c>
      <c r="J1196" s="9">
        <v>548.06200000000001</v>
      </c>
    </row>
    <row r="1197" spans="1:10" x14ac:dyDescent="0.3">
      <c r="A1197" s="22" t="s">
        <v>3006</v>
      </c>
      <c r="B1197" s="10">
        <v>45530</v>
      </c>
      <c r="C1197" s="12" t="s">
        <v>295</v>
      </c>
      <c r="D1197" s="12" t="s">
        <v>1620</v>
      </c>
      <c r="E1197" s="12" t="s">
        <v>1782</v>
      </c>
      <c r="F1197" s="11">
        <v>4</v>
      </c>
      <c r="G1197" s="12">
        <v>271.04000000000002</v>
      </c>
      <c r="H1197" s="9">
        <v>0.12</v>
      </c>
      <c r="I1197" s="12" t="s">
        <v>1829</v>
      </c>
      <c r="J1197" s="9">
        <v>954.06080000000009</v>
      </c>
    </row>
    <row r="1198" spans="1:10" x14ac:dyDescent="0.3">
      <c r="A1198" s="22" t="s">
        <v>3007</v>
      </c>
      <c r="B1198" s="10">
        <v>45558</v>
      </c>
      <c r="C1198" s="12" t="s">
        <v>71</v>
      </c>
      <c r="D1198" s="12" t="s">
        <v>1618</v>
      </c>
      <c r="E1198" s="12" t="s">
        <v>1776</v>
      </c>
      <c r="F1198" s="11">
        <v>4</v>
      </c>
      <c r="G1198" s="12">
        <v>328.27</v>
      </c>
      <c r="H1198" s="9">
        <v>0.09</v>
      </c>
      <c r="I1198" s="12" t="s">
        <v>1826</v>
      </c>
      <c r="J1198" s="9">
        <v>1194.9028000000001</v>
      </c>
    </row>
    <row r="1199" spans="1:10" x14ac:dyDescent="0.3">
      <c r="A1199" s="22" t="s">
        <v>3008</v>
      </c>
      <c r="B1199" s="10">
        <v>45472</v>
      </c>
      <c r="C1199" s="12" t="s">
        <v>1518</v>
      </c>
      <c r="D1199" s="12" t="s">
        <v>1582</v>
      </c>
      <c r="E1199" s="12" t="s">
        <v>1799</v>
      </c>
      <c r="F1199" s="11">
        <v>4</v>
      </c>
      <c r="G1199" s="12">
        <v>884.71</v>
      </c>
      <c r="H1199" s="9">
        <v>0.09</v>
      </c>
      <c r="I1199" s="12" t="s">
        <v>1826</v>
      </c>
      <c r="J1199" s="9">
        <v>3220.3444</v>
      </c>
    </row>
    <row r="1200" spans="1:10" x14ac:dyDescent="0.3">
      <c r="A1200" s="22" t="s">
        <v>3009</v>
      </c>
      <c r="B1200" s="10">
        <v>45809</v>
      </c>
      <c r="C1200" s="12" t="s">
        <v>797</v>
      </c>
      <c r="D1200" s="12" t="s">
        <v>1692</v>
      </c>
      <c r="E1200" s="12" t="s">
        <v>1769</v>
      </c>
      <c r="F1200" s="11">
        <v>1</v>
      </c>
      <c r="G1200" s="12">
        <v>41.39</v>
      </c>
      <c r="H1200" s="9">
        <v>0.01</v>
      </c>
      <c r="I1200" s="12" t="s">
        <v>1824</v>
      </c>
      <c r="J1200" s="9">
        <v>40.976100000000002</v>
      </c>
    </row>
    <row r="1201" spans="1:10" x14ac:dyDescent="0.3">
      <c r="A1201" s="22" t="s">
        <v>3010</v>
      </c>
      <c r="B1201" s="10">
        <v>45783</v>
      </c>
      <c r="C1201" s="12" t="s">
        <v>550</v>
      </c>
      <c r="D1201" s="12" t="s">
        <v>1662</v>
      </c>
      <c r="E1201" s="12" t="s">
        <v>1786</v>
      </c>
      <c r="F1201" s="11">
        <v>4</v>
      </c>
      <c r="G1201" s="12">
        <v>64.06</v>
      </c>
      <c r="H1201" s="9">
        <v>0.26</v>
      </c>
      <c r="I1201" s="12" t="s">
        <v>1824</v>
      </c>
      <c r="J1201" s="9">
        <v>189.61760000000001</v>
      </c>
    </row>
    <row r="1202" spans="1:10" x14ac:dyDescent="0.3">
      <c r="A1202" s="22" t="s">
        <v>3011</v>
      </c>
      <c r="B1202" s="10">
        <v>45849</v>
      </c>
      <c r="C1202" s="12" t="s">
        <v>1086</v>
      </c>
      <c r="D1202" s="12" t="s">
        <v>1640</v>
      </c>
      <c r="E1202" s="12" t="s">
        <v>1786</v>
      </c>
      <c r="F1202" s="11">
        <v>2</v>
      </c>
      <c r="G1202" s="12">
        <v>152.25</v>
      </c>
      <c r="H1202" s="9">
        <v>0.13</v>
      </c>
      <c r="I1202" s="12" t="s">
        <v>1824</v>
      </c>
      <c r="J1202" s="9">
        <v>264.91500000000002</v>
      </c>
    </row>
    <row r="1203" spans="1:10" x14ac:dyDescent="0.3">
      <c r="A1203" s="22" t="s">
        <v>3012</v>
      </c>
      <c r="B1203" s="10">
        <v>45281</v>
      </c>
      <c r="C1203" s="12" t="s">
        <v>356</v>
      </c>
      <c r="D1203" s="12" t="s">
        <v>1574</v>
      </c>
      <c r="E1203" s="12" t="s">
        <v>1813</v>
      </c>
      <c r="F1203" s="11">
        <v>2</v>
      </c>
      <c r="G1203" s="12">
        <v>889.04</v>
      </c>
      <c r="H1203" s="9">
        <v>0.23</v>
      </c>
      <c r="I1203" s="12" t="s">
        <v>1824</v>
      </c>
      <c r="J1203" s="9">
        <v>1369.1215999999999</v>
      </c>
    </row>
    <row r="1204" spans="1:10" x14ac:dyDescent="0.3">
      <c r="A1204" s="22" t="s">
        <v>3013</v>
      </c>
      <c r="B1204" s="10">
        <v>45322</v>
      </c>
      <c r="C1204" s="12" t="s">
        <v>538</v>
      </c>
      <c r="D1204" s="12" t="s">
        <v>1622</v>
      </c>
      <c r="E1204" s="12" t="s">
        <v>1789</v>
      </c>
      <c r="F1204" s="11">
        <v>3</v>
      </c>
      <c r="G1204" s="12">
        <v>145.25</v>
      </c>
      <c r="H1204" s="9">
        <v>0.24</v>
      </c>
      <c r="I1204" s="12" t="s">
        <v>1826</v>
      </c>
      <c r="J1204" s="9">
        <v>331.17</v>
      </c>
    </row>
    <row r="1205" spans="1:10" x14ac:dyDescent="0.3">
      <c r="A1205" s="22" t="s">
        <v>3014</v>
      </c>
      <c r="B1205" s="10">
        <v>45560</v>
      </c>
      <c r="C1205" s="12" t="s">
        <v>211</v>
      </c>
      <c r="D1205" s="12" t="s">
        <v>1724</v>
      </c>
      <c r="E1205" s="12" t="s">
        <v>1761</v>
      </c>
      <c r="F1205" s="11">
        <v>2</v>
      </c>
      <c r="G1205" s="12">
        <v>898.45</v>
      </c>
      <c r="H1205" s="9">
        <v>0.28999999999999998</v>
      </c>
      <c r="I1205" s="12" t="s">
        <v>1829</v>
      </c>
      <c r="J1205" s="9">
        <v>1275.799</v>
      </c>
    </row>
    <row r="1206" spans="1:10" x14ac:dyDescent="0.3">
      <c r="A1206" s="22" t="s">
        <v>3015</v>
      </c>
      <c r="B1206" s="10">
        <v>45905</v>
      </c>
      <c r="C1206" s="12" t="s">
        <v>124</v>
      </c>
      <c r="D1206" s="12" t="s">
        <v>1618</v>
      </c>
      <c r="E1206" s="12" t="s">
        <v>1801</v>
      </c>
      <c r="F1206" s="11">
        <v>4</v>
      </c>
      <c r="G1206" s="12">
        <v>642.04999999999995</v>
      </c>
      <c r="H1206" s="9">
        <v>0.25</v>
      </c>
      <c r="I1206" s="12" t="s">
        <v>1824</v>
      </c>
      <c r="J1206" s="9">
        <v>1926.15</v>
      </c>
    </row>
    <row r="1207" spans="1:10" x14ac:dyDescent="0.3">
      <c r="A1207" s="22" t="s">
        <v>3016</v>
      </c>
      <c r="B1207" s="10">
        <v>45531</v>
      </c>
      <c r="C1207" s="12" t="s">
        <v>987</v>
      </c>
      <c r="D1207" s="12" t="s">
        <v>1716</v>
      </c>
      <c r="E1207" s="12" t="s">
        <v>1779</v>
      </c>
      <c r="F1207" s="11">
        <v>4</v>
      </c>
      <c r="G1207" s="12">
        <v>450.83</v>
      </c>
      <c r="H1207" s="9">
        <v>0.24</v>
      </c>
      <c r="I1207" s="12" t="s">
        <v>1824</v>
      </c>
      <c r="J1207" s="9">
        <v>1370.5232000000001</v>
      </c>
    </row>
    <row r="1208" spans="1:10" x14ac:dyDescent="0.3">
      <c r="A1208" s="22" t="s">
        <v>3017</v>
      </c>
      <c r="B1208" s="10">
        <v>45216</v>
      </c>
      <c r="C1208" s="12" t="s">
        <v>52</v>
      </c>
      <c r="D1208" s="12" t="s">
        <v>1652</v>
      </c>
      <c r="E1208" s="12" t="s">
        <v>1813</v>
      </c>
      <c r="F1208" s="11">
        <v>2</v>
      </c>
      <c r="G1208" s="12">
        <v>441.03</v>
      </c>
      <c r="H1208" s="9">
        <v>0.23</v>
      </c>
      <c r="I1208" s="12" t="s">
        <v>1829</v>
      </c>
      <c r="J1208" s="9">
        <v>679.18619999999999</v>
      </c>
    </row>
    <row r="1209" spans="1:10" x14ac:dyDescent="0.3">
      <c r="A1209" s="22" t="s">
        <v>3018</v>
      </c>
      <c r="B1209" s="10">
        <v>45384</v>
      </c>
      <c r="C1209" s="12" t="s">
        <v>298</v>
      </c>
      <c r="D1209" s="12" t="s">
        <v>1598</v>
      </c>
      <c r="E1209" s="12" t="s">
        <v>1761</v>
      </c>
      <c r="F1209" s="11">
        <v>3</v>
      </c>
      <c r="G1209" s="12">
        <v>377.69</v>
      </c>
      <c r="H1209" s="9">
        <v>7.0000000000000007E-2</v>
      </c>
      <c r="I1209" s="12" t="s">
        <v>1826</v>
      </c>
      <c r="J1209" s="9">
        <v>1053.7551000000001</v>
      </c>
    </row>
    <row r="1210" spans="1:10" x14ac:dyDescent="0.3">
      <c r="A1210" s="22" t="s">
        <v>3019</v>
      </c>
      <c r="B1210" s="10">
        <v>45416</v>
      </c>
      <c r="C1210" s="12" t="s">
        <v>535</v>
      </c>
      <c r="D1210" s="12" t="s">
        <v>1568</v>
      </c>
      <c r="E1210" s="12" t="s">
        <v>1779</v>
      </c>
      <c r="F1210" s="11">
        <v>1</v>
      </c>
      <c r="G1210" s="12">
        <v>457.33</v>
      </c>
      <c r="H1210" s="9">
        <v>0.27</v>
      </c>
      <c r="I1210" s="12" t="s">
        <v>1824</v>
      </c>
      <c r="J1210" s="9">
        <v>333.85090000000002</v>
      </c>
    </row>
    <row r="1211" spans="1:10" x14ac:dyDescent="0.3">
      <c r="A1211" s="22" t="s">
        <v>3020</v>
      </c>
      <c r="B1211" s="10">
        <v>45880</v>
      </c>
      <c r="C1211" s="12" t="s">
        <v>782</v>
      </c>
      <c r="D1211" s="12" t="s">
        <v>1700</v>
      </c>
      <c r="E1211" s="12" t="s">
        <v>1776</v>
      </c>
      <c r="F1211" s="11">
        <v>4</v>
      </c>
      <c r="G1211" s="12">
        <v>218.01</v>
      </c>
      <c r="H1211" s="9">
        <v>0.06</v>
      </c>
      <c r="I1211" s="12" t="s">
        <v>1824</v>
      </c>
      <c r="J1211" s="9">
        <v>819.71759999999995</v>
      </c>
    </row>
    <row r="1212" spans="1:10" x14ac:dyDescent="0.3">
      <c r="A1212" s="22" t="s">
        <v>3021</v>
      </c>
      <c r="B1212" s="10">
        <v>45933</v>
      </c>
      <c r="C1212" s="12" t="s">
        <v>708</v>
      </c>
      <c r="D1212" s="12" t="s">
        <v>1732</v>
      </c>
      <c r="E1212" s="12" t="s">
        <v>1810</v>
      </c>
      <c r="F1212" s="11">
        <v>2</v>
      </c>
      <c r="G1212" s="12">
        <v>682.7</v>
      </c>
      <c r="H1212" s="9">
        <v>0.13</v>
      </c>
      <c r="I1212" s="12" t="s">
        <v>1824</v>
      </c>
      <c r="J1212" s="9">
        <v>1187.8979999999999</v>
      </c>
    </row>
    <row r="1213" spans="1:10" x14ac:dyDescent="0.3">
      <c r="A1213" s="22" t="s">
        <v>3022</v>
      </c>
      <c r="B1213" s="10">
        <v>45345</v>
      </c>
      <c r="C1213" s="12" t="s">
        <v>1017</v>
      </c>
      <c r="D1213" s="12" t="s">
        <v>1586</v>
      </c>
      <c r="E1213" s="12" t="s">
        <v>1810</v>
      </c>
      <c r="F1213" s="11">
        <v>3</v>
      </c>
      <c r="G1213" s="12">
        <v>726.97</v>
      </c>
      <c r="H1213" s="9">
        <v>0.04</v>
      </c>
      <c r="I1213" s="12" t="s">
        <v>1826</v>
      </c>
      <c r="J1213" s="9">
        <v>2093.6736000000001</v>
      </c>
    </row>
    <row r="1214" spans="1:10" x14ac:dyDescent="0.3">
      <c r="A1214" s="22" t="s">
        <v>3023</v>
      </c>
      <c r="B1214" s="10">
        <v>45681</v>
      </c>
      <c r="C1214" s="12" t="s">
        <v>1269</v>
      </c>
      <c r="D1214" s="12" t="s">
        <v>1666</v>
      </c>
      <c r="E1214" s="12" t="s">
        <v>1786</v>
      </c>
      <c r="F1214" s="11">
        <v>2</v>
      </c>
      <c r="G1214" s="12">
        <v>107.97</v>
      </c>
      <c r="H1214" s="9">
        <v>0.06</v>
      </c>
      <c r="I1214" s="12" t="s">
        <v>1824</v>
      </c>
      <c r="J1214" s="9">
        <v>202.9836</v>
      </c>
    </row>
    <row r="1215" spans="1:10" x14ac:dyDescent="0.3">
      <c r="A1215" s="22" t="s">
        <v>3024</v>
      </c>
      <c r="B1215" s="10">
        <v>45785</v>
      </c>
      <c r="C1215" s="12" t="s">
        <v>40</v>
      </c>
      <c r="D1215" s="12" t="s">
        <v>1555</v>
      </c>
      <c r="E1215" s="12" t="s">
        <v>1799</v>
      </c>
      <c r="F1215" s="11">
        <v>1</v>
      </c>
      <c r="G1215" s="12">
        <v>38.880000000000003</v>
      </c>
      <c r="H1215" s="9">
        <v>0.16</v>
      </c>
      <c r="I1215" s="12" t="s">
        <v>1829</v>
      </c>
      <c r="J1215" s="9">
        <v>32.659199999999998</v>
      </c>
    </row>
    <row r="1216" spans="1:10" x14ac:dyDescent="0.3">
      <c r="A1216" s="22" t="s">
        <v>3025</v>
      </c>
      <c r="B1216" s="10">
        <v>45823</v>
      </c>
      <c r="C1216" s="12" t="s">
        <v>284</v>
      </c>
      <c r="D1216" s="12" t="s">
        <v>1580</v>
      </c>
      <c r="E1216" s="12" t="s">
        <v>1807</v>
      </c>
      <c r="F1216" s="11">
        <v>3</v>
      </c>
      <c r="G1216" s="12">
        <v>484.39</v>
      </c>
      <c r="H1216" s="9">
        <v>0.28999999999999998</v>
      </c>
      <c r="I1216" s="12" t="s">
        <v>1829</v>
      </c>
      <c r="J1216" s="9">
        <v>1031.7507000000001</v>
      </c>
    </row>
    <row r="1217" spans="1:10" x14ac:dyDescent="0.3">
      <c r="A1217" s="22" t="s">
        <v>3026</v>
      </c>
      <c r="B1217" s="10">
        <v>45572</v>
      </c>
      <c r="C1217" s="12" t="s">
        <v>82</v>
      </c>
      <c r="D1217" s="12" t="s">
        <v>1708</v>
      </c>
      <c r="E1217" s="12" t="s">
        <v>1801</v>
      </c>
      <c r="F1217" s="11">
        <v>2</v>
      </c>
      <c r="G1217" s="12">
        <v>949.3</v>
      </c>
      <c r="H1217" s="9">
        <v>0.08</v>
      </c>
      <c r="I1217" s="12" t="s">
        <v>1829</v>
      </c>
      <c r="J1217" s="9">
        <v>1746.712</v>
      </c>
    </row>
    <row r="1218" spans="1:10" x14ac:dyDescent="0.3">
      <c r="A1218" s="22" t="s">
        <v>3027</v>
      </c>
      <c r="B1218" s="10">
        <v>45259</v>
      </c>
      <c r="C1218" s="12" t="s">
        <v>1343</v>
      </c>
      <c r="D1218" s="12" t="s">
        <v>1690</v>
      </c>
      <c r="E1218" s="12" t="s">
        <v>1776</v>
      </c>
      <c r="F1218" s="11">
        <v>3</v>
      </c>
      <c r="G1218" s="12">
        <v>664.75</v>
      </c>
      <c r="H1218" s="9">
        <v>0.12</v>
      </c>
      <c r="I1218" s="12" t="s">
        <v>1824</v>
      </c>
      <c r="J1218" s="9">
        <v>1754.94</v>
      </c>
    </row>
    <row r="1219" spans="1:10" x14ac:dyDescent="0.3">
      <c r="A1219" s="22" t="s">
        <v>3028</v>
      </c>
      <c r="B1219" s="10">
        <v>45740</v>
      </c>
      <c r="C1219" s="12" t="s">
        <v>896</v>
      </c>
      <c r="D1219" s="12" t="s">
        <v>1688</v>
      </c>
      <c r="E1219" s="12" t="s">
        <v>1807</v>
      </c>
      <c r="F1219" s="11">
        <v>3</v>
      </c>
      <c r="G1219" s="12">
        <v>190.04</v>
      </c>
      <c r="H1219" s="9">
        <v>7.0000000000000007E-2</v>
      </c>
      <c r="I1219" s="12" t="s">
        <v>1826</v>
      </c>
      <c r="J1219" s="9">
        <v>530.21159999999998</v>
      </c>
    </row>
    <row r="1220" spans="1:10" x14ac:dyDescent="0.3">
      <c r="A1220" s="22" t="s">
        <v>3029</v>
      </c>
      <c r="B1220" s="10">
        <v>45869</v>
      </c>
      <c r="C1220" s="12" t="s">
        <v>881</v>
      </c>
      <c r="D1220" s="12" t="s">
        <v>1560</v>
      </c>
      <c r="E1220" s="12" t="s">
        <v>1801</v>
      </c>
      <c r="F1220" s="11">
        <v>3</v>
      </c>
      <c r="G1220" s="12">
        <v>754.02</v>
      </c>
      <c r="H1220" s="9">
        <v>0.1</v>
      </c>
      <c r="I1220" s="12" t="s">
        <v>1829</v>
      </c>
      <c r="J1220" s="9">
        <v>2035.854</v>
      </c>
    </row>
    <row r="1221" spans="1:10" x14ac:dyDescent="0.3">
      <c r="A1221" s="22" t="s">
        <v>3030</v>
      </c>
      <c r="B1221" s="10">
        <v>45526</v>
      </c>
      <c r="C1221" s="12" t="s">
        <v>1199</v>
      </c>
      <c r="D1221" s="12" t="s">
        <v>1616</v>
      </c>
      <c r="E1221" s="12" t="s">
        <v>1794</v>
      </c>
      <c r="F1221" s="11">
        <v>4</v>
      </c>
      <c r="G1221" s="12">
        <v>94.13</v>
      </c>
      <c r="H1221" s="9">
        <v>0.04</v>
      </c>
      <c r="I1221" s="12" t="s">
        <v>1829</v>
      </c>
      <c r="J1221" s="9">
        <v>361.45920000000001</v>
      </c>
    </row>
    <row r="1222" spans="1:10" x14ac:dyDescent="0.3">
      <c r="A1222" s="22" t="s">
        <v>3031</v>
      </c>
      <c r="B1222" s="10">
        <v>45489</v>
      </c>
      <c r="C1222" s="12" t="s">
        <v>1443</v>
      </c>
      <c r="D1222" s="12" t="s">
        <v>1546</v>
      </c>
      <c r="E1222" s="12" t="s">
        <v>1801</v>
      </c>
      <c r="F1222" s="11">
        <v>3</v>
      </c>
      <c r="G1222" s="12">
        <v>402.3</v>
      </c>
      <c r="H1222" s="9">
        <v>0.21</v>
      </c>
      <c r="I1222" s="12" t="s">
        <v>1826</v>
      </c>
      <c r="J1222" s="9">
        <v>953.45100000000014</v>
      </c>
    </row>
    <row r="1223" spans="1:10" x14ac:dyDescent="0.3">
      <c r="A1223" s="22" t="s">
        <v>3032</v>
      </c>
      <c r="B1223" s="10">
        <v>45908</v>
      </c>
      <c r="C1223" s="12" t="s">
        <v>767</v>
      </c>
      <c r="D1223" s="12" t="s">
        <v>1720</v>
      </c>
      <c r="E1223" s="12" t="s">
        <v>1779</v>
      </c>
      <c r="F1223" s="11">
        <v>1</v>
      </c>
      <c r="G1223" s="12">
        <v>729.05</v>
      </c>
      <c r="H1223" s="9">
        <v>0.06</v>
      </c>
      <c r="I1223" s="12" t="s">
        <v>1829</v>
      </c>
      <c r="J1223" s="9">
        <v>685.3069999999999</v>
      </c>
    </row>
    <row r="1224" spans="1:10" x14ac:dyDescent="0.3">
      <c r="A1224" s="22" t="s">
        <v>3033</v>
      </c>
      <c r="B1224" s="10">
        <v>45912</v>
      </c>
      <c r="C1224" s="12" t="s">
        <v>458</v>
      </c>
      <c r="D1224" s="12" t="s">
        <v>1728</v>
      </c>
      <c r="E1224" s="12" t="s">
        <v>1797</v>
      </c>
      <c r="F1224" s="11">
        <v>1</v>
      </c>
      <c r="G1224" s="12">
        <v>822.6</v>
      </c>
      <c r="H1224" s="9">
        <v>0.28999999999999998</v>
      </c>
      <c r="I1224" s="12" t="s">
        <v>1826</v>
      </c>
      <c r="J1224" s="9">
        <v>584.04599999999994</v>
      </c>
    </row>
    <row r="1225" spans="1:10" x14ac:dyDescent="0.3">
      <c r="A1225" s="22" t="s">
        <v>3034</v>
      </c>
      <c r="B1225" s="10">
        <v>45771</v>
      </c>
      <c r="C1225" s="12" t="s">
        <v>634</v>
      </c>
      <c r="D1225" s="12" t="s">
        <v>1714</v>
      </c>
      <c r="E1225" s="12" t="s">
        <v>1782</v>
      </c>
      <c r="F1225" s="11">
        <v>2</v>
      </c>
      <c r="G1225" s="12">
        <v>327.25</v>
      </c>
      <c r="H1225" s="9">
        <v>0.19</v>
      </c>
      <c r="I1225" s="12" t="s">
        <v>1826</v>
      </c>
      <c r="J1225" s="9">
        <v>530.14499999999998</v>
      </c>
    </row>
    <row r="1226" spans="1:10" x14ac:dyDescent="0.3">
      <c r="A1226" s="22" t="s">
        <v>3035</v>
      </c>
      <c r="B1226" s="10">
        <v>45619</v>
      </c>
      <c r="C1226" s="12" t="s">
        <v>304</v>
      </c>
      <c r="D1226" s="12" t="s">
        <v>1688</v>
      </c>
      <c r="E1226" s="12" t="s">
        <v>1786</v>
      </c>
      <c r="F1226" s="11">
        <v>4</v>
      </c>
      <c r="G1226" s="12">
        <v>930.38</v>
      </c>
      <c r="H1226" s="9">
        <v>0</v>
      </c>
      <c r="I1226" s="12" t="s">
        <v>1829</v>
      </c>
      <c r="J1226" s="9">
        <v>3721.52</v>
      </c>
    </row>
    <row r="1227" spans="1:10" x14ac:dyDescent="0.3">
      <c r="A1227" s="22" t="s">
        <v>3036</v>
      </c>
      <c r="B1227" s="10">
        <v>45394</v>
      </c>
      <c r="C1227" s="12" t="s">
        <v>487</v>
      </c>
      <c r="D1227" s="12" t="s">
        <v>1602</v>
      </c>
      <c r="E1227" s="12" t="s">
        <v>1773</v>
      </c>
      <c r="F1227" s="11">
        <v>2</v>
      </c>
      <c r="G1227" s="12">
        <v>437.84</v>
      </c>
      <c r="H1227" s="9">
        <v>0.24</v>
      </c>
      <c r="I1227" s="12" t="s">
        <v>1824</v>
      </c>
      <c r="J1227" s="9">
        <v>665.51679999999999</v>
      </c>
    </row>
    <row r="1228" spans="1:10" x14ac:dyDescent="0.3">
      <c r="A1228" s="22" t="s">
        <v>3037</v>
      </c>
      <c r="B1228" s="10">
        <v>45786</v>
      </c>
      <c r="C1228" s="12" t="s">
        <v>258</v>
      </c>
      <c r="D1228" s="12" t="s">
        <v>1580</v>
      </c>
      <c r="E1228" s="12" t="s">
        <v>1804</v>
      </c>
      <c r="F1228" s="11">
        <v>2</v>
      </c>
      <c r="G1228" s="12">
        <v>126.02</v>
      </c>
      <c r="H1228" s="9">
        <v>0.09</v>
      </c>
      <c r="I1228" s="12" t="s">
        <v>1829</v>
      </c>
      <c r="J1228" s="9">
        <v>229.35640000000001</v>
      </c>
    </row>
    <row r="1229" spans="1:10" x14ac:dyDescent="0.3">
      <c r="A1229" s="22" t="s">
        <v>3038</v>
      </c>
      <c r="B1229" s="10">
        <v>45692</v>
      </c>
      <c r="C1229" s="12" t="s">
        <v>1355</v>
      </c>
      <c r="D1229" s="12" t="s">
        <v>1714</v>
      </c>
      <c r="E1229" s="12" t="s">
        <v>1801</v>
      </c>
      <c r="F1229" s="11">
        <v>1</v>
      </c>
      <c r="G1229" s="12">
        <v>860.84</v>
      </c>
      <c r="H1229" s="9">
        <v>7.0000000000000007E-2</v>
      </c>
      <c r="I1229" s="12" t="s">
        <v>1826</v>
      </c>
      <c r="J1229" s="9">
        <v>800.58119999999997</v>
      </c>
    </row>
    <row r="1230" spans="1:10" x14ac:dyDescent="0.3">
      <c r="A1230" s="22" t="s">
        <v>3039</v>
      </c>
      <c r="B1230" s="10">
        <v>45677</v>
      </c>
      <c r="C1230" s="12" t="s">
        <v>335</v>
      </c>
      <c r="D1230" s="12" t="s">
        <v>1644</v>
      </c>
      <c r="E1230" s="12" t="s">
        <v>1797</v>
      </c>
      <c r="F1230" s="11">
        <v>1</v>
      </c>
      <c r="G1230" s="12">
        <v>161.80000000000001</v>
      </c>
      <c r="H1230" s="9">
        <v>0.24</v>
      </c>
      <c r="I1230" s="12" t="s">
        <v>1826</v>
      </c>
      <c r="J1230" s="9">
        <v>122.968</v>
      </c>
    </row>
    <row r="1231" spans="1:10" x14ac:dyDescent="0.3">
      <c r="A1231" s="22" t="s">
        <v>3040</v>
      </c>
      <c r="B1231" s="10">
        <v>45669</v>
      </c>
      <c r="C1231" s="12" t="s">
        <v>1202</v>
      </c>
      <c r="D1231" s="12" t="s">
        <v>1624</v>
      </c>
      <c r="E1231" s="12" t="s">
        <v>1807</v>
      </c>
      <c r="F1231" s="11">
        <v>4</v>
      </c>
      <c r="G1231" s="12">
        <v>347.82</v>
      </c>
      <c r="H1231" s="9">
        <v>0.02</v>
      </c>
      <c r="I1231" s="12" t="s">
        <v>1829</v>
      </c>
      <c r="J1231" s="9">
        <v>1363.4544000000001</v>
      </c>
    </row>
    <row r="1232" spans="1:10" x14ac:dyDescent="0.3">
      <c r="A1232" s="22" t="s">
        <v>3041</v>
      </c>
      <c r="B1232" s="10">
        <v>45299</v>
      </c>
      <c r="C1232" s="12" t="s">
        <v>1400</v>
      </c>
      <c r="D1232" s="12" t="s">
        <v>1718</v>
      </c>
      <c r="E1232" s="12" t="s">
        <v>1804</v>
      </c>
      <c r="F1232" s="11">
        <v>3</v>
      </c>
      <c r="G1232" s="12">
        <v>416.44</v>
      </c>
      <c r="H1232" s="9">
        <v>0.27</v>
      </c>
      <c r="I1232" s="12" t="s">
        <v>1824</v>
      </c>
      <c r="J1232" s="9">
        <v>912.00359999999989</v>
      </c>
    </row>
    <row r="1233" spans="1:10" x14ac:dyDescent="0.3">
      <c r="A1233" s="22" t="s">
        <v>3042</v>
      </c>
      <c r="B1233" s="10">
        <v>45893</v>
      </c>
      <c r="C1233" s="12" t="s">
        <v>32</v>
      </c>
      <c r="D1233" s="12" t="s">
        <v>1672</v>
      </c>
      <c r="E1233" s="12" t="s">
        <v>1752</v>
      </c>
      <c r="F1233" s="11">
        <v>1</v>
      </c>
      <c r="G1233" s="12">
        <v>147.96</v>
      </c>
      <c r="H1233" s="9">
        <v>0.24</v>
      </c>
      <c r="I1233" s="12" t="s">
        <v>1829</v>
      </c>
      <c r="J1233" s="9">
        <v>112.4496</v>
      </c>
    </row>
    <row r="1234" spans="1:10" x14ac:dyDescent="0.3">
      <c r="A1234" s="22" t="s">
        <v>3043</v>
      </c>
      <c r="B1234" s="10">
        <v>45560</v>
      </c>
      <c r="C1234" s="12" t="s">
        <v>1377</v>
      </c>
      <c r="D1234" s="12" t="s">
        <v>1584</v>
      </c>
      <c r="E1234" s="12" t="s">
        <v>1782</v>
      </c>
      <c r="F1234" s="11">
        <v>3</v>
      </c>
      <c r="G1234" s="12">
        <v>550.26</v>
      </c>
      <c r="H1234" s="9">
        <v>0.22</v>
      </c>
      <c r="I1234" s="12" t="s">
        <v>1824</v>
      </c>
      <c r="J1234" s="9">
        <v>1287.6084000000001</v>
      </c>
    </row>
    <row r="1235" spans="1:10" x14ac:dyDescent="0.3">
      <c r="A1235" s="22" t="s">
        <v>3044</v>
      </c>
      <c r="B1235" s="10">
        <v>45267</v>
      </c>
      <c r="C1235" s="12" t="s">
        <v>1160</v>
      </c>
      <c r="D1235" s="12" t="s">
        <v>1742</v>
      </c>
      <c r="E1235" s="12" t="s">
        <v>1779</v>
      </c>
      <c r="F1235" s="11">
        <v>4</v>
      </c>
      <c r="G1235" s="12">
        <v>938.21</v>
      </c>
      <c r="H1235" s="9">
        <v>0.04</v>
      </c>
      <c r="I1235" s="12" t="s">
        <v>1826</v>
      </c>
      <c r="J1235" s="9">
        <v>3602.7264</v>
      </c>
    </row>
    <row r="1236" spans="1:10" x14ac:dyDescent="0.3">
      <c r="A1236" s="22" t="s">
        <v>3045</v>
      </c>
      <c r="B1236" s="10">
        <v>45467</v>
      </c>
      <c r="C1236" s="12" t="s">
        <v>458</v>
      </c>
      <c r="D1236" s="12" t="s">
        <v>1736</v>
      </c>
      <c r="E1236" s="12" t="s">
        <v>1804</v>
      </c>
      <c r="F1236" s="11">
        <v>3</v>
      </c>
      <c r="G1236" s="12">
        <v>517.98</v>
      </c>
      <c r="H1236" s="9">
        <v>0.01</v>
      </c>
      <c r="I1236" s="12" t="s">
        <v>1826</v>
      </c>
      <c r="J1236" s="9">
        <v>1538.4005999999999</v>
      </c>
    </row>
    <row r="1237" spans="1:10" x14ac:dyDescent="0.3">
      <c r="A1237" s="22" t="s">
        <v>3046</v>
      </c>
      <c r="B1237" s="10">
        <v>45847</v>
      </c>
      <c r="C1237" s="12" t="s">
        <v>144</v>
      </c>
      <c r="D1237" s="12" t="s">
        <v>1557</v>
      </c>
      <c r="E1237" s="12" t="s">
        <v>1782</v>
      </c>
      <c r="F1237" s="11">
        <v>1</v>
      </c>
      <c r="G1237" s="12">
        <v>98.27</v>
      </c>
      <c r="H1237" s="9">
        <v>0.16</v>
      </c>
      <c r="I1237" s="12" t="s">
        <v>1826</v>
      </c>
      <c r="J1237" s="9">
        <v>82.54679999999999</v>
      </c>
    </row>
    <row r="1238" spans="1:10" x14ac:dyDescent="0.3">
      <c r="A1238" s="22" t="s">
        <v>3047</v>
      </c>
      <c r="B1238" s="10">
        <v>45480</v>
      </c>
      <c r="C1238" s="12" t="s">
        <v>803</v>
      </c>
      <c r="D1238" s="12" t="s">
        <v>1644</v>
      </c>
      <c r="E1238" s="12" t="s">
        <v>1792</v>
      </c>
      <c r="F1238" s="11">
        <v>2</v>
      </c>
      <c r="G1238" s="12">
        <v>875.2</v>
      </c>
      <c r="H1238" s="9">
        <v>0.19</v>
      </c>
      <c r="I1238" s="12" t="s">
        <v>1824</v>
      </c>
      <c r="J1238" s="9">
        <v>1417.8240000000001</v>
      </c>
    </row>
    <row r="1239" spans="1:10" x14ac:dyDescent="0.3">
      <c r="A1239" s="22" t="s">
        <v>3048</v>
      </c>
      <c r="B1239" s="10">
        <v>45345</v>
      </c>
      <c r="C1239" s="12" t="s">
        <v>963</v>
      </c>
      <c r="D1239" s="12" t="s">
        <v>1720</v>
      </c>
      <c r="E1239" s="12" t="s">
        <v>1752</v>
      </c>
      <c r="F1239" s="11">
        <v>1</v>
      </c>
      <c r="G1239" s="12">
        <v>227.35</v>
      </c>
      <c r="H1239" s="9">
        <v>0.06</v>
      </c>
      <c r="I1239" s="12" t="s">
        <v>1829</v>
      </c>
      <c r="J1239" s="9">
        <v>213.709</v>
      </c>
    </row>
    <row r="1240" spans="1:10" x14ac:dyDescent="0.3">
      <c r="A1240" s="22" t="s">
        <v>3049</v>
      </c>
      <c r="B1240" s="10">
        <v>45235</v>
      </c>
      <c r="C1240" s="12" t="s">
        <v>684</v>
      </c>
      <c r="D1240" s="12" t="s">
        <v>1696</v>
      </c>
      <c r="E1240" s="12" t="s">
        <v>1757</v>
      </c>
      <c r="F1240" s="11">
        <v>1</v>
      </c>
      <c r="G1240" s="12">
        <v>842.46</v>
      </c>
      <c r="H1240" s="9">
        <v>0.05</v>
      </c>
      <c r="I1240" s="12" t="s">
        <v>1829</v>
      </c>
      <c r="J1240" s="9">
        <v>800.33699999999999</v>
      </c>
    </row>
    <row r="1241" spans="1:10" x14ac:dyDescent="0.3">
      <c r="A1241" s="22" t="s">
        <v>3050</v>
      </c>
      <c r="B1241" s="10">
        <v>45543</v>
      </c>
      <c r="C1241" s="12" t="s">
        <v>690</v>
      </c>
      <c r="D1241" s="12" t="s">
        <v>1620</v>
      </c>
      <c r="E1241" s="12" t="s">
        <v>1792</v>
      </c>
      <c r="F1241" s="11">
        <v>3</v>
      </c>
      <c r="G1241" s="12">
        <v>120.67</v>
      </c>
      <c r="H1241" s="9">
        <v>0.08</v>
      </c>
      <c r="I1241" s="12" t="s">
        <v>1829</v>
      </c>
      <c r="J1241" s="9">
        <v>333.04919999999998</v>
      </c>
    </row>
    <row r="1242" spans="1:10" x14ac:dyDescent="0.3">
      <c r="A1242" s="22" t="s">
        <v>3051</v>
      </c>
      <c r="B1242" s="10">
        <v>45402</v>
      </c>
      <c r="C1242" s="12" t="s">
        <v>1527</v>
      </c>
      <c r="D1242" s="12" t="s">
        <v>1588</v>
      </c>
      <c r="E1242" s="12" t="s">
        <v>1766</v>
      </c>
      <c r="F1242" s="11">
        <v>4</v>
      </c>
      <c r="G1242" s="12">
        <v>176.13</v>
      </c>
      <c r="H1242" s="9">
        <v>0.27</v>
      </c>
      <c r="I1242" s="12" t="s">
        <v>1826</v>
      </c>
      <c r="J1242" s="9">
        <v>514.29959999999994</v>
      </c>
    </row>
    <row r="1243" spans="1:10" x14ac:dyDescent="0.3">
      <c r="A1243" s="22" t="s">
        <v>3052</v>
      </c>
      <c r="B1243" s="10">
        <v>45671</v>
      </c>
      <c r="C1243" s="12" t="s">
        <v>1392</v>
      </c>
      <c r="D1243" s="12" t="s">
        <v>1674</v>
      </c>
      <c r="E1243" s="12" t="s">
        <v>1792</v>
      </c>
      <c r="F1243" s="11">
        <v>4</v>
      </c>
      <c r="G1243" s="12">
        <v>592.67999999999995</v>
      </c>
      <c r="H1243" s="9">
        <v>0.03</v>
      </c>
      <c r="I1243" s="12" t="s">
        <v>1824</v>
      </c>
      <c r="J1243" s="9">
        <v>2299.5983999999999</v>
      </c>
    </row>
    <row r="1244" spans="1:10" x14ac:dyDescent="0.3">
      <c r="A1244" s="22" t="s">
        <v>3053</v>
      </c>
      <c r="B1244" s="10">
        <v>45367</v>
      </c>
      <c r="C1244" s="12" t="s">
        <v>582</v>
      </c>
      <c r="D1244" s="12" t="s">
        <v>1688</v>
      </c>
      <c r="E1244" s="12" t="s">
        <v>1769</v>
      </c>
      <c r="F1244" s="11">
        <v>4</v>
      </c>
      <c r="G1244" s="12">
        <v>662.43</v>
      </c>
      <c r="H1244" s="9">
        <v>0.24</v>
      </c>
      <c r="I1244" s="12" t="s">
        <v>1826</v>
      </c>
      <c r="J1244" s="9">
        <v>2013.7872</v>
      </c>
    </row>
    <row r="1245" spans="1:10" x14ac:dyDescent="0.3">
      <c r="A1245" s="22" t="s">
        <v>3054</v>
      </c>
      <c r="B1245" s="10">
        <v>45488</v>
      </c>
      <c r="C1245" s="12" t="s">
        <v>441</v>
      </c>
      <c r="D1245" s="12" t="s">
        <v>1634</v>
      </c>
      <c r="E1245" s="12" t="s">
        <v>1782</v>
      </c>
      <c r="F1245" s="11">
        <v>3</v>
      </c>
      <c r="G1245" s="12">
        <v>518.35</v>
      </c>
      <c r="H1245" s="9">
        <v>0.21</v>
      </c>
      <c r="I1245" s="12" t="s">
        <v>1829</v>
      </c>
      <c r="J1245" s="9">
        <v>1228.4894999999999</v>
      </c>
    </row>
    <row r="1246" spans="1:10" x14ac:dyDescent="0.3">
      <c r="A1246" s="22" t="s">
        <v>3055</v>
      </c>
      <c r="B1246" s="10">
        <v>45509</v>
      </c>
      <c r="C1246" s="12" t="s">
        <v>978</v>
      </c>
      <c r="D1246" s="12" t="s">
        <v>1670</v>
      </c>
      <c r="E1246" s="12" t="s">
        <v>1773</v>
      </c>
      <c r="F1246" s="11">
        <v>1</v>
      </c>
      <c r="G1246" s="12">
        <v>85.58</v>
      </c>
      <c r="H1246" s="9">
        <v>0.1</v>
      </c>
      <c r="I1246" s="12" t="s">
        <v>1829</v>
      </c>
      <c r="J1246" s="9">
        <v>77.022000000000006</v>
      </c>
    </row>
    <row r="1247" spans="1:10" x14ac:dyDescent="0.3">
      <c r="A1247" s="22" t="s">
        <v>3056</v>
      </c>
      <c r="B1247" s="10">
        <v>45323</v>
      </c>
      <c r="C1247" s="12" t="s">
        <v>1136</v>
      </c>
      <c r="D1247" s="12" t="s">
        <v>1722</v>
      </c>
      <c r="E1247" s="12" t="s">
        <v>1757</v>
      </c>
      <c r="F1247" s="11">
        <v>4</v>
      </c>
      <c r="G1247" s="12">
        <v>800</v>
      </c>
      <c r="H1247" s="9">
        <v>0.2</v>
      </c>
      <c r="I1247" s="12" t="s">
        <v>1824</v>
      </c>
      <c r="J1247" s="9">
        <v>2560</v>
      </c>
    </row>
    <row r="1248" spans="1:10" x14ac:dyDescent="0.3">
      <c r="A1248" s="22" t="s">
        <v>3057</v>
      </c>
      <c r="B1248" s="10">
        <v>45889</v>
      </c>
      <c r="C1248" s="12" t="s">
        <v>520</v>
      </c>
      <c r="D1248" s="12" t="s">
        <v>1668</v>
      </c>
      <c r="E1248" s="12" t="s">
        <v>1789</v>
      </c>
      <c r="F1248" s="11">
        <v>3</v>
      </c>
      <c r="G1248" s="12">
        <v>118.25</v>
      </c>
      <c r="H1248" s="9">
        <v>0.26</v>
      </c>
      <c r="I1248" s="12" t="s">
        <v>1826</v>
      </c>
      <c r="J1248" s="9">
        <v>262.51499999999999</v>
      </c>
    </row>
    <row r="1249" spans="1:10" x14ac:dyDescent="0.3">
      <c r="A1249" s="22" t="s">
        <v>3058</v>
      </c>
      <c r="B1249" s="10">
        <v>45253</v>
      </c>
      <c r="C1249" s="12" t="s">
        <v>1307</v>
      </c>
      <c r="D1249" s="12" t="s">
        <v>1612</v>
      </c>
      <c r="E1249" s="12" t="s">
        <v>1801</v>
      </c>
      <c r="F1249" s="11">
        <v>1</v>
      </c>
      <c r="G1249" s="12">
        <v>223.25</v>
      </c>
      <c r="H1249" s="9">
        <v>0.28999999999999998</v>
      </c>
      <c r="I1249" s="12" t="s">
        <v>1824</v>
      </c>
      <c r="J1249" s="9">
        <v>158.50749999999999</v>
      </c>
    </row>
    <row r="1250" spans="1:10" x14ac:dyDescent="0.3">
      <c r="A1250" s="22" t="s">
        <v>3059</v>
      </c>
      <c r="B1250" s="10">
        <v>45530</v>
      </c>
      <c r="C1250" s="12" t="s">
        <v>1325</v>
      </c>
      <c r="D1250" s="12" t="s">
        <v>1612</v>
      </c>
      <c r="E1250" s="12" t="s">
        <v>1769</v>
      </c>
      <c r="F1250" s="11">
        <v>3</v>
      </c>
      <c r="G1250" s="12">
        <v>918.76</v>
      </c>
      <c r="H1250" s="9">
        <v>0.2</v>
      </c>
      <c r="I1250" s="12" t="s">
        <v>1826</v>
      </c>
      <c r="J1250" s="9">
        <v>2205.0239999999999</v>
      </c>
    </row>
    <row r="1251" spans="1:10" x14ac:dyDescent="0.3">
      <c r="A1251" s="22" t="s">
        <v>3060</v>
      </c>
      <c r="B1251" s="10">
        <v>45491</v>
      </c>
      <c r="C1251" s="12" t="s">
        <v>890</v>
      </c>
      <c r="D1251" s="12" t="s">
        <v>1716</v>
      </c>
      <c r="E1251" s="12" t="s">
        <v>1797</v>
      </c>
      <c r="F1251" s="11">
        <v>2</v>
      </c>
      <c r="G1251" s="12">
        <v>905.26</v>
      </c>
      <c r="H1251" s="9">
        <v>0.15</v>
      </c>
      <c r="I1251" s="12" t="s">
        <v>1829</v>
      </c>
      <c r="J1251" s="9">
        <v>1538.942</v>
      </c>
    </row>
    <row r="1252" spans="1:10" x14ac:dyDescent="0.3">
      <c r="A1252" s="22" t="s">
        <v>3061</v>
      </c>
      <c r="B1252" s="10">
        <v>45628</v>
      </c>
      <c r="C1252" s="12" t="s">
        <v>984</v>
      </c>
      <c r="D1252" s="12" t="s">
        <v>1580</v>
      </c>
      <c r="E1252" s="12" t="s">
        <v>1813</v>
      </c>
      <c r="F1252" s="11">
        <v>4</v>
      </c>
      <c r="G1252" s="12">
        <v>295.39999999999998</v>
      </c>
      <c r="H1252" s="9">
        <v>0.23</v>
      </c>
      <c r="I1252" s="12" t="s">
        <v>1826</v>
      </c>
      <c r="J1252" s="9">
        <v>909.83199999999999</v>
      </c>
    </row>
    <row r="1253" spans="1:10" x14ac:dyDescent="0.3">
      <c r="A1253" s="22" t="s">
        <v>3062</v>
      </c>
      <c r="B1253" s="10">
        <v>45861</v>
      </c>
      <c r="C1253" s="12" t="s">
        <v>314</v>
      </c>
      <c r="D1253" s="12" t="s">
        <v>1736</v>
      </c>
      <c r="E1253" s="12" t="s">
        <v>1773</v>
      </c>
      <c r="F1253" s="11">
        <v>1</v>
      </c>
      <c r="G1253" s="12">
        <v>252.18</v>
      </c>
      <c r="H1253" s="9">
        <v>0.23</v>
      </c>
      <c r="I1253" s="12" t="s">
        <v>1826</v>
      </c>
      <c r="J1253" s="9">
        <v>194.17859999999999</v>
      </c>
    </row>
    <row r="1254" spans="1:10" x14ac:dyDescent="0.3">
      <c r="A1254" s="22" t="s">
        <v>3063</v>
      </c>
      <c r="B1254" s="10">
        <v>45878</v>
      </c>
      <c r="C1254" s="12" t="s">
        <v>511</v>
      </c>
      <c r="D1254" s="12" t="s">
        <v>1742</v>
      </c>
      <c r="E1254" s="12" t="s">
        <v>1794</v>
      </c>
      <c r="F1254" s="11">
        <v>4</v>
      </c>
      <c r="G1254" s="12">
        <v>792.1</v>
      </c>
      <c r="H1254" s="9">
        <v>0.19</v>
      </c>
      <c r="I1254" s="12" t="s">
        <v>1829</v>
      </c>
      <c r="J1254" s="9">
        <v>2566.404</v>
      </c>
    </row>
    <row r="1255" spans="1:10" x14ac:dyDescent="0.3">
      <c r="A1255" s="22" t="s">
        <v>3064</v>
      </c>
      <c r="B1255" s="10">
        <v>45426</v>
      </c>
      <c r="C1255" s="12" t="s">
        <v>278</v>
      </c>
      <c r="D1255" s="12" t="s">
        <v>1724</v>
      </c>
      <c r="E1255" s="12" t="s">
        <v>1799</v>
      </c>
      <c r="F1255" s="11">
        <v>1</v>
      </c>
      <c r="G1255" s="12">
        <v>883.36</v>
      </c>
      <c r="H1255" s="9">
        <v>0.11</v>
      </c>
      <c r="I1255" s="12" t="s">
        <v>1826</v>
      </c>
      <c r="J1255" s="9">
        <v>786.19040000000007</v>
      </c>
    </row>
    <row r="1256" spans="1:10" x14ac:dyDescent="0.3">
      <c r="A1256" s="22" t="s">
        <v>3065</v>
      </c>
      <c r="B1256" s="10">
        <v>45231</v>
      </c>
      <c r="C1256" s="12" t="s">
        <v>878</v>
      </c>
      <c r="D1256" s="12" t="s">
        <v>1686</v>
      </c>
      <c r="E1256" s="12" t="s">
        <v>1752</v>
      </c>
      <c r="F1256" s="11">
        <v>4</v>
      </c>
      <c r="G1256" s="12">
        <v>305.95</v>
      </c>
      <c r="H1256" s="9">
        <v>0.08</v>
      </c>
      <c r="I1256" s="12" t="s">
        <v>1826</v>
      </c>
      <c r="J1256" s="9">
        <v>1125.896</v>
      </c>
    </row>
    <row r="1257" spans="1:10" x14ac:dyDescent="0.3">
      <c r="A1257" s="22" t="s">
        <v>3066</v>
      </c>
      <c r="B1257" s="10">
        <v>45609</v>
      </c>
      <c r="C1257" s="12" t="s">
        <v>1249</v>
      </c>
      <c r="D1257" s="12" t="s">
        <v>1664</v>
      </c>
      <c r="E1257" s="12" t="s">
        <v>1779</v>
      </c>
      <c r="F1257" s="11">
        <v>3</v>
      </c>
      <c r="G1257" s="12">
        <v>742.45</v>
      </c>
      <c r="H1257" s="9">
        <v>0.23</v>
      </c>
      <c r="I1257" s="12" t="s">
        <v>1829</v>
      </c>
      <c r="J1257" s="9">
        <v>1715.0595000000001</v>
      </c>
    </row>
    <row r="1258" spans="1:10" x14ac:dyDescent="0.3">
      <c r="A1258" s="22" t="s">
        <v>3067</v>
      </c>
      <c r="B1258" s="10">
        <v>45392</v>
      </c>
      <c r="C1258" s="12" t="s">
        <v>1112</v>
      </c>
      <c r="D1258" s="12" t="s">
        <v>1598</v>
      </c>
      <c r="E1258" s="12" t="s">
        <v>1810</v>
      </c>
      <c r="F1258" s="11">
        <v>3</v>
      </c>
      <c r="G1258" s="12">
        <v>336.1</v>
      </c>
      <c r="H1258" s="9">
        <v>0.12</v>
      </c>
      <c r="I1258" s="12" t="s">
        <v>1829</v>
      </c>
      <c r="J1258" s="9">
        <v>887.30400000000009</v>
      </c>
    </row>
    <row r="1259" spans="1:10" x14ac:dyDescent="0.3">
      <c r="A1259" s="22" t="s">
        <v>3068</v>
      </c>
      <c r="B1259" s="10">
        <v>45876</v>
      </c>
      <c r="C1259" s="12" t="s">
        <v>1281</v>
      </c>
      <c r="D1259" s="12" t="s">
        <v>1606</v>
      </c>
      <c r="E1259" s="12" t="s">
        <v>1779</v>
      </c>
      <c r="F1259" s="11">
        <v>3</v>
      </c>
      <c r="G1259" s="12">
        <v>310.36</v>
      </c>
      <c r="H1259" s="9">
        <v>0.14000000000000001</v>
      </c>
      <c r="I1259" s="12" t="s">
        <v>1829</v>
      </c>
      <c r="J1259" s="9">
        <v>800.72879999999998</v>
      </c>
    </row>
    <row r="1260" spans="1:10" x14ac:dyDescent="0.3">
      <c r="A1260" s="22" t="s">
        <v>3069</v>
      </c>
      <c r="B1260" s="10">
        <v>45772</v>
      </c>
      <c r="C1260" s="12" t="s">
        <v>887</v>
      </c>
      <c r="D1260" s="12" t="s">
        <v>1744</v>
      </c>
      <c r="E1260" s="12" t="s">
        <v>1782</v>
      </c>
      <c r="F1260" s="11">
        <v>3</v>
      </c>
      <c r="G1260" s="12">
        <v>992.81</v>
      </c>
      <c r="H1260" s="9">
        <v>0.04</v>
      </c>
      <c r="I1260" s="12" t="s">
        <v>1826</v>
      </c>
      <c r="J1260" s="9">
        <v>2859.2928000000002</v>
      </c>
    </row>
    <row r="1261" spans="1:10" x14ac:dyDescent="0.3">
      <c r="A1261" s="22" t="s">
        <v>3070</v>
      </c>
      <c r="B1261" s="10">
        <v>45217</v>
      </c>
      <c r="C1261" s="12" t="s">
        <v>648</v>
      </c>
      <c r="D1261" s="12" t="s">
        <v>1668</v>
      </c>
      <c r="E1261" s="12" t="s">
        <v>1792</v>
      </c>
      <c r="F1261" s="11">
        <v>3</v>
      </c>
      <c r="G1261" s="12">
        <v>257.11</v>
      </c>
      <c r="H1261" s="9">
        <v>0.26</v>
      </c>
      <c r="I1261" s="12" t="s">
        <v>1829</v>
      </c>
      <c r="J1261" s="9">
        <v>570.78420000000006</v>
      </c>
    </row>
    <row r="1262" spans="1:10" x14ac:dyDescent="0.3">
      <c r="A1262" s="22" t="s">
        <v>3071</v>
      </c>
      <c r="B1262" s="10">
        <v>45739</v>
      </c>
      <c r="C1262" s="12" t="s">
        <v>713</v>
      </c>
      <c r="D1262" s="12" t="s">
        <v>1738</v>
      </c>
      <c r="E1262" s="12" t="s">
        <v>1794</v>
      </c>
      <c r="F1262" s="11">
        <v>4</v>
      </c>
      <c r="G1262" s="12">
        <v>816.29</v>
      </c>
      <c r="H1262" s="9">
        <v>0.24</v>
      </c>
      <c r="I1262" s="12" t="s">
        <v>1826</v>
      </c>
      <c r="J1262" s="9">
        <v>2481.5216</v>
      </c>
    </row>
    <row r="1263" spans="1:10" x14ac:dyDescent="0.3">
      <c r="A1263" s="22" t="s">
        <v>3072</v>
      </c>
      <c r="B1263" s="10">
        <v>45272</v>
      </c>
      <c r="C1263" s="12" t="s">
        <v>422</v>
      </c>
      <c r="D1263" s="12" t="s">
        <v>1668</v>
      </c>
      <c r="E1263" s="12" t="s">
        <v>1794</v>
      </c>
      <c r="F1263" s="11">
        <v>4</v>
      </c>
      <c r="G1263" s="12">
        <v>755.82</v>
      </c>
      <c r="H1263" s="9">
        <v>0.22</v>
      </c>
      <c r="I1263" s="12" t="s">
        <v>1829</v>
      </c>
      <c r="J1263" s="9">
        <v>2358.1583999999998</v>
      </c>
    </row>
    <row r="1264" spans="1:10" x14ac:dyDescent="0.3">
      <c r="A1264" s="22" t="s">
        <v>3073</v>
      </c>
      <c r="B1264" s="10">
        <v>45524</v>
      </c>
      <c r="C1264" s="12" t="s">
        <v>23</v>
      </c>
      <c r="D1264" s="12" t="s">
        <v>1543</v>
      </c>
      <c r="E1264" s="12" t="s">
        <v>1799</v>
      </c>
      <c r="F1264" s="11">
        <v>1</v>
      </c>
      <c r="G1264" s="12">
        <v>449.6</v>
      </c>
      <c r="H1264" s="9">
        <v>0.01</v>
      </c>
      <c r="I1264" s="12" t="s">
        <v>1826</v>
      </c>
      <c r="J1264" s="9">
        <v>445.10399999999998</v>
      </c>
    </row>
    <row r="1265" spans="1:10" x14ac:dyDescent="0.3">
      <c r="A1265" s="22" t="s">
        <v>3074</v>
      </c>
      <c r="B1265" s="10">
        <v>45481</v>
      </c>
      <c r="C1265" s="12" t="s">
        <v>1101</v>
      </c>
      <c r="D1265" s="12" t="s">
        <v>1576</v>
      </c>
      <c r="E1265" s="12" t="s">
        <v>1752</v>
      </c>
      <c r="F1265" s="11">
        <v>2</v>
      </c>
      <c r="G1265" s="12">
        <v>779.29</v>
      </c>
      <c r="H1265" s="9">
        <v>0.12</v>
      </c>
      <c r="I1265" s="12" t="s">
        <v>1829</v>
      </c>
      <c r="J1265" s="9">
        <v>1371.5504000000001</v>
      </c>
    </row>
    <row r="1266" spans="1:10" x14ac:dyDescent="0.3">
      <c r="A1266" s="22" t="s">
        <v>3075</v>
      </c>
      <c r="B1266" s="10">
        <v>45267</v>
      </c>
      <c r="C1266" s="12" t="s">
        <v>1431</v>
      </c>
      <c r="D1266" s="12" t="s">
        <v>1702</v>
      </c>
      <c r="E1266" s="12" t="s">
        <v>1807</v>
      </c>
      <c r="F1266" s="11">
        <v>1</v>
      </c>
      <c r="G1266" s="12">
        <v>748.75</v>
      </c>
      <c r="H1266" s="9">
        <v>0.1</v>
      </c>
      <c r="I1266" s="12" t="s">
        <v>1829</v>
      </c>
      <c r="J1266" s="9">
        <v>673.875</v>
      </c>
    </row>
    <row r="1267" spans="1:10" x14ac:dyDescent="0.3">
      <c r="A1267" s="22" t="s">
        <v>3076</v>
      </c>
      <c r="B1267" s="10">
        <v>45328</v>
      </c>
      <c r="C1267" s="12" t="s">
        <v>598</v>
      </c>
      <c r="D1267" s="12" t="s">
        <v>1726</v>
      </c>
      <c r="E1267" s="12" t="s">
        <v>1752</v>
      </c>
      <c r="F1267" s="11">
        <v>2</v>
      </c>
      <c r="G1267" s="12">
        <v>121.67</v>
      </c>
      <c r="H1267" s="9">
        <v>0.08</v>
      </c>
      <c r="I1267" s="12" t="s">
        <v>1829</v>
      </c>
      <c r="J1267" s="9">
        <v>223.87280000000001</v>
      </c>
    </row>
    <row r="1268" spans="1:10" x14ac:dyDescent="0.3">
      <c r="A1268" s="22" t="s">
        <v>3077</v>
      </c>
      <c r="B1268" s="10">
        <v>45787</v>
      </c>
      <c r="C1268" s="12" t="s">
        <v>1513</v>
      </c>
      <c r="D1268" s="12" t="s">
        <v>1646</v>
      </c>
      <c r="E1268" s="12" t="s">
        <v>1801</v>
      </c>
      <c r="F1268" s="11">
        <v>3</v>
      </c>
      <c r="G1268" s="12">
        <v>225.14</v>
      </c>
      <c r="H1268" s="9">
        <v>0.15</v>
      </c>
      <c r="I1268" s="12" t="s">
        <v>1829</v>
      </c>
      <c r="J1268" s="9">
        <v>574.10699999999997</v>
      </c>
    </row>
    <row r="1269" spans="1:10" x14ac:dyDescent="0.3">
      <c r="A1269" s="22" t="s">
        <v>3078</v>
      </c>
      <c r="B1269" s="10">
        <v>45876</v>
      </c>
      <c r="C1269" s="12" t="s">
        <v>1011</v>
      </c>
      <c r="D1269" s="12" t="s">
        <v>1606</v>
      </c>
      <c r="E1269" s="12" t="s">
        <v>1813</v>
      </c>
      <c r="F1269" s="11">
        <v>1</v>
      </c>
      <c r="G1269" s="12">
        <v>654.17999999999995</v>
      </c>
      <c r="H1269" s="9">
        <v>0.19</v>
      </c>
      <c r="I1269" s="12" t="s">
        <v>1826</v>
      </c>
      <c r="J1269" s="9">
        <v>529.88580000000002</v>
      </c>
    </row>
    <row r="1270" spans="1:10" x14ac:dyDescent="0.3">
      <c r="A1270" s="22" t="s">
        <v>3079</v>
      </c>
      <c r="B1270" s="10">
        <v>45552</v>
      </c>
      <c r="C1270" s="12" t="s">
        <v>218</v>
      </c>
      <c r="D1270" s="12" t="s">
        <v>1690</v>
      </c>
      <c r="E1270" s="12" t="s">
        <v>1773</v>
      </c>
      <c r="F1270" s="11">
        <v>2</v>
      </c>
      <c r="G1270" s="12">
        <v>504.98</v>
      </c>
      <c r="H1270" s="9">
        <v>0.08</v>
      </c>
      <c r="I1270" s="12" t="s">
        <v>1829</v>
      </c>
      <c r="J1270" s="9">
        <v>929.16320000000007</v>
      </c>
    </row>
    <row r="1271" spans="1:10" x14ac:dyDescent="0.3">
      <c r="A1271" s="22" t="s">
        <v>3080</v>
      </c>
      <c r="B1271" s="10">
        <v>45823</v>
      </c>
      <c r="C1271" s="12" t="s">
        <v>1181</v>
      </c>
      <c r="D1271" s="12" t="s">
        <v>1656</v>
      </c>
      <c r="E1271" s="12" t="s">
        <v>1782</v>
      </c>
      <c r="F1271" s="11">
        <v>2</v>
      </c>
      <c r="G1271" s="12">
        <v>623.20000000000005</v>
      </c>
      <c r="H1271" s="9">
        <v>0.14000000000000001</v>
      </c>
      <c r="I1271" s="12" t="s">
        <v>1829</v>
      </c>
      <c r="J1271" s="9">
        <v>1071.904</v>
      </c>
    </row>
    <row r="1272" spans="1:10" x14ac:dyDescent="0.3">
      <c r="A1272" s="22" t="s">
        <v>3081</v>
      </c>
      <c r="B1272" s="10">
        <v>45622</v>
      </c>
      <c r="C1272" s="12" t="s">
        <v>1023</v>
      </c>
      <c r="D1272" s="12" t="s">
        <v>1555</v>
      </c>
      <c r="E1272" s="12" t="s">
        <v>1804</v>
      </c>
      <c r="F1272" s="11">
        <v>2</v>
      </c>
      <c r="G1272" s="12">
        <v>530.54</v>
      </c>
      <c r="H1272" s="9">
        <v>0.28000000000000003</v>
      </c>
      <c r="I1272" s="12" t="s">
        <v>1829</v>
      </c>
      <c r="J1272" s="9">
        <v>763.97759999999994</v>
      </c>
    </row>
    <row r="1273" spans="1:10" x14ac:dyDescent="0.3">
      <c r="A1273" s="22" t="s">
        <v>3082</v>
      </c>
      <c r="B1273" s="10">
        <v>45810</v>
      </c>
      <c r="C1273" s="12" t="s">
        <v>1142</v>
      </c>
      <c r="D1273" s="12" t="s">
        <v>1543</v>
      </c>
      <c r="E1273" s="12" t="s">
        <v>1804</v>
      </c>
      <c r="F1273" s="11">
        <v>3</v>
      </c>
      <c r="G1273" s="12">
        <v>279.45</v>
      </c>
      <c r="H1273" s="9">
        <v>0.15</v>
      </c>
      <c r="I1273" s="12" t="s">
        <v>1829</v>
      </c>
      <c r="J1273" s="9">
        <v>712.59749999999985</v>
      </c>
    </row>
    <row r="1274" spans="1:10" x14ac:dyDescent="0.3">
      <c r="A1274" s="22" t="s">
        <v>3083</v>
      </c>
      <c r="B1274" s="10">
        <v>45645</v>
      </c>
      <c r="C1274" s="12" t="s">
        <v>849</v>
      </c>
      <c r="D1274" s="12" t="s">
        <v>1572</v>
      </c>
      <c r="E1274" s="12" t="s">
        <v>1782</v>
      </c>
      <c r="F1274" s="11">
        <v>3</v>
      </c>
      <c r="G1274" s="12">
        <v>906.99</v>
      </c>
      <c r="H1274" s="9">
        <v>0.26</v>
      </c>
      <c r="I1274" s="12" t="s">
        <v>1829</v>
      </c>
      <c r="J1274" s="9">
        <v>2013.5178000000001</v>
      </c>
    </row>
    <row r="1275" spans="1:10" x14ac:dyDescent="0.3">
      <c r="A1275" s="22" t="s">
        <v>3084</v>
      </c>
      <c r="B1275" s="10">
        <v>45749</v>
      </c>
      <c r="C1275" s="12" t="s">
        <v>258</v>
      </c>
      <c r="D1275" s="12" t="s">
        <v>1708</v>
      </c>
      <c r="E1275" s="12" t="s">
        <v>1807</v>
      </c>
      <c r="F1275" s="11">
        <v>4</v>
      </c>
      <c r="G1275" s="12">
        <v>408.76</v>
      </c>
      <c r="H1275" s="9">
        <v>0.12</v>
      </c>
      <c r="I1275" s="12" t="s">
        <v>1829</v>
      </c>
      <c r="J1275" s="9">
        <v>1438.8352</v>
      </c>
    </row>
    <row r="1276" spans="1:10" x14ac:dyDescent="0.3">
      <c r="A1276" s="22" t="s">
        <v>3085</v>
      </c>
      <c r="B1276" s="10">
        <v>45537</v>
      </c>
      <c r="C1276" s="12" t="s">
        <v>585</v>
      </c>
      <c r="D1276" s="12" t="s">
        <v>1620</v>
      </c>
      <c r="E1276" s="12" t="s">
        <v>1786</v>
      </c>
      <c r="F1276" s="11">
        <v>2</v>
      </c>
      <c r="G1276" s="12">
        <v>117.34</v>
      </c>
      <c r="H1276" s="9">
        <v>0.09</v>
      </c>
      <c r="I1276" s="12" t="s">
        <v>1826</v>
      </c>
      <c r="J1276" s="9">
        <v>213.55879999999999</v>
      </c>
    </row>
    <row r="1277" spans="1:10" x14ac:dyDescent="0.3">
      <c r="A1277" s="22" t="s">
        <v>3086</v>
      </c>
      <c r="B1277" s="10">
        <v>45376</v>
      </c>
      <c r="C1277" s="12" t="s">
        <v>559</v>
      </c>
      <c r="D1277" s="12" t="s">
        <v>1730</v>
      </c>
      <c r="E1277" s="12" t="s">
        <v>1799</v>
      </c>
      <c r="F1277" s="11">
        <v>3</v>
      </c>
      <c r="G1277" s="12">
        <v>690.27</v>
      </c>
      <c r="H1277" s="9">
        <v>7.0000000000000007E-2</v>
      </c>
      <c r="I1277" s="12" t="s">
        <v>1826</v>
      </c>
      <c r="J1277" s="9">
        <v>1925.8533</v>
      </c>
    </row>
    <row r="1278" spans="1:10" x14ac:dyDescent="0.3">
      <c r="A1278" s="22" t="s">
        <v>3087</v>
      </c>
      <c r="B1278" s="10">
        <v>45709</v>
      </c>
      <c r="C1278" s="12" t="s">
        <v>381</v>
      </c>
      <c r="D1278" s="12" t="s">
        <v>1604</v>
      </c>
      <c r="E1278" s="12" t="s">
        <v>1807</v>
      </c>
      <c r="F1278" s="11">
        <v>4</v>
      </c>
      <c r="G1278" s="12">
        <v>377.18</v>
      </c>
      <c r="H1278" s="9">
        <v>0.24</v>
      </c>
      <c r="I1278" s="12" t="s">
        <v>1826</v>
      </c>
      <c r="J1278" s="9">
        <v>1146.6271999999999</v>
      </c>
    </row>
    <row r="1279" spans="1:10" x14ac:dyDescent="0.3">
      <c r="A1279" s="22" t="s">
        <v>3088</v>
      </c>
      <c r="B1279" s="10">
        <v>45446</v>
      </c>
      <c r="C1279" s="12" t="s">
        <v>393</v>
      </c>
      <c r="D1279" s="12" t="s">
        <v>1628</v>
      </c>
      <c r="E1279" s="12" t="s">
        <v>1752</v>
      </c>
      <c r="F1279" s="11">
        <v>1</v>
      </c>
      <c r="G1279" s="12">
        <v>70.52</v>
      </c>
      <c r="H1279" s="9">
        <v>0.08</v>
      </c>
      <c r="I1279" s="12" t="s">
        <v>1829</v>
      </c>
      <c r="J1279" s="9">
        <v>64.878399999999999</v>
      </c>
    </row>
    <row r="1280" spans="1:10" x14ac:dyDescent="0.3">
      <c r="A1280" s="22" t="s">
        <v>3089</v>
      </c>
      <c r="B1280" s="10">
        <v>45330</v>
      </c>
      <c r="C1280" s="12" t="s">
        <v>875</v>
      </c>
      <c r="D1280" s="12" t="s">
        <v>1624</v>
      </c>
      <c r="E1280" s="12" t="s">
        <v>1786</v>
      </c>
      <c r="F1280" s="11">
        <v>1</v>
      </c>
      <c r="G1280" s="12">
        <v>40.25</v>
      </c>
      <c r="H1280" s="9">
        <v>0.1</v>
      </c>
      <c r="I1280" s="12" t="s">
        <v>1826</v>
      </c>
      <c r="J1280" s="9">
        <v>36.225000000000001</v>
      </c>
    </row>
    <row r="1281" spans="1:10" x14ac:dyDescent="0.3">
      <c r="A1281" s="22" t="s">
        <v>3090</v>
      </c>
      <c r="B1281" s="10">
        <v>45388</v>
      </c>
      <c r="C1281" s="12" t="s">
        <v>746</v>
      </c>
      <c r="D1281" s="12" t="s">
        <v>1726</v>
      </c>
      <c r="E1281" s="12" t="s">
        <v>1792</v>
      </c>
      <c r="F1281" s="11">
        <v>3</v>
      </c>
      <c r="G1281" s="12">
        <v>539.44000000000005</v>
      </c>
      <c r="H1281" s="9">
        <v>0.05</v>
      </c>
      <c r="I1281" s="12" t="s">
        <v>1829</v>
      </c>
      <c r="J1281" s="9">
        <v>1537.404</v>
      </c>
    </row>
    <row r="1282" spans="1:10" x14ac:dyDescent="0.3">
      <c r="A1282" s="22" t="s">
        <v>3091</v>
      </c>
      <c r="B1282" s="10">
        <v>45313</v>
      </c>
      <c r="C1282" s="12" t="s">
        <v>791</v>
      </c>
      <c r="D1282" s="12" t="s">
        <v>1668</v>
      </c>
      <c r="E1282" s="12" t="s">
        <v>1769</v>
      </c>
      <c r="F1282" s="11">
        <v>3</v>
      </c>
      <c r="G1282" s="12">
        <v>543.49</v>
      </c>
      <c r="H1282" s="9">
        <v>0.05</v>
      </c>
      <c r="I1282" s="12" t="s">
        <v>1826</v>
      </c>
      <c r="J1282" s="9">
        <v>1548.9465</v>
      </c>
    </row>
    <row r="1283" spans="1:10" x14ac:dyDescent="0.3">
      <c r="A1283" s="22" t="s">
        <v>3092</v>
      </c>
      <c r="B1283" s="10">
        <v>45221</v>
      </c>
      <c r="C1283" s="12" t="s">
        <v>1020</v>
      </c>
      <c r="D1283" s="12" t="s">
        <v>1560</v>
      </c>
      <c r="E1283" s="12" t="s">
        <v>1776</v>
      </c>
      <c r="F1283" s="11">
        <v>4</v>
      </c>
      <c r="G1283" s="12">
        <v>547.21</v>
      </c>
      <c r="H1283" s="9">
        <v>0.1</v>
      </c>
      <c r="I1283" s="12" t="s">
        <v>1829</v>
      </c>
      <c r="J1283" s="9">
        <v>1969.9559999999999</v>
      </c>
    </row>
    <row r="1284" spans="1:10" x14ac:dyDescent="0.3">
      <c r="A1284" s="22" t="s">
        <v>3093</v>
      </c>
      <c r="B1284" s="10">
        <v>45619</v>
      </c>
      <c r="C1284" s="12" t="s">
        <v>773</v>
      </c>
      <c r="D1284" s="12" t="s">
        <v>1678</v>
      </c>
      <c r="E1284" s="12" t="s">
        <v>1757</v>
      </c>
      <c r="F1284" s="11">
        <v>2</v>
      </c>
      <c r="G1284" s="12">
        <v>892.46</v>
      </c>
      <c r="H1284" s="9">
        <v>7.0000000000000007E-2</v>
      </c>
      <c r="I1284" s="12" t="s">
        <v>1826</v>
      </c>
      <c r="J1284" s="9">
        <v>1659.9756</v>
      </c>
    </row>
    <row r="1285" spans="1:10" x14ac:dyDescent="0.3">
      <c r="A1285" s="22" t="s">
        <v>3094</v>
      </c>
      <c r="B1285" s="10">
        <v>45286</v>
      </c>
      <c r="C1285" s="12" t="s">
        <v>1208</v>
      </c>
      <c r="D1285" s="12" t="s">
        <v>1600</v>
      </c>
      <c r="E1285" s="12" t="s">
        <v>1782</v>
      </c>
      <c r="F1285" s="11">
        <v>2</v>
      </c>
      <c r="G1285" s="12">
        <v>853.41</v>
      </c>
      <c r="H1285" s="9">
        <v>0.25</v>
      </c>
      <c r="I1285" s="12" t="s">
        <v>1824</v>
      </c>
      <c r="J1285" s="9">
        <v>1280.115</v>
      </c>
    </row>
    <row r="1286" spans="1:10" x14ac:dyDescent="0.3">
      <c r="A1286" s="22" t="s">
        <v>3095</v>
      </c>
      <c r="B1286" s="10">
        <v>45451</v>
      </c>
      <c r="C1286" s="12" t="s">
        <v>387</v>
      </c>
      <c r="D1286" s="12" t="s">
        <v>1712</v>
      </c>
      <c r="E1286" s="12" t="s">
        <v>1779</v>
      </c>
      <c r="F1286" s="11">
        <v>1</v>
      </c>
      <c r="G1286" s="12">
        <v>162.13999999999999</v>
      </c>
      <c r="H1286" s="9">
        <v>7.0000000000000007E-2</v>
      </c>
      <c r="I1286" s="12" t="s">
        <v>1826</v>
      </c>
      <c r="J1286" s="9">
        <v>150.7902</v>
      </c>
    </row>
    <row r="1287" spans="1:10" x14ac:dyDescent="0.3">
      <c r="A1287" s="22" t="s">
        <v>3096</v>
      </c>
      <c r="B1287" s="10">
        <v>45478</v>
      </c>
      <c r="C1287" s="12" t="s">
        <v>496</v>
      </c>
      <c r="D1287" s="12" t="s">
        <v>1740</v>
      </c>
      <c r="E1287" s="12" t="s">
        <v>1804</v>
      </c>
      <c r="F1287" s="11">
        <v>1</v>
      </c>
      <c r="G1287" s="12">
        <v>893.14</v>
      </c>
      <c r="H1287" s="9">
        <v>0.09</v>
      </c>
      <c r="I1287" s="12" t="s">
        <v>1824</v>
      </c>
      <c r="J1287" s="9">
        <v>812.75739999999996</v>
      </c>
    </row>
    <row r="1288" spans="1:10" x14ac:dyDescent="0.3">
      <c r="A1288" s="22" t="s">
        <v>3097</v>
      </c>
      <c r="B1288" s="10">
        <v>45528</v>
      </c>
      <c r="C1288" s="12" t="s">
        <v>366</v>
      </c>
      <c r="D1288" s="12" t="s">
        <v>1616</v>
      </c>
      <c r="E1288" s="12" t="s">
        <v>1782</v>
      </c>
      <c r="F1288" s="11">
        <v>4</v>
      </c>
      <c r="G1288" s="12">
        <v>349.07</v>
      </c>
      <c r="H1288" s="9">
        <v>0.28000000000000003</v>
      </c>
      <c r="I1288" s="12" t="s">
        <v>1824</v>
      </c>
      <c r="J1288" s="9">
        <v>1005.3216</v>
      </c>
    </row>
    <row r="1289" spans="1:10" x14ac:dyDescent="0.3">
      <c r="A1289" s="22" t="s">
        <v>3098</v>
      </c>
      <c r="B1289" s="10">
        <v>45418</v>
      </c>
      <c r="C1289" s="12" t="s">
        <v>899</v>
      </c>
      <c r="D1289" s="12" t="s">
        <v>1710</v>
      </c>
      <c r="E1289" s="12" t="s">
        <v>1797</v>
      </c>
      <c r="F1289" s="11">
        <v>1</v>
      </c>
      <c r="G1289" s="12">
        <v>747.9</v>
      </c>
      <c r="H1289" s="9">
        <v>0.21</v>
      </c>
      <c r="I1289" s="12" t="s">
        <v>1829</v>
      </c>
      <c r="J1289" s="9">
        <v>590.84100000000001</v>
      </c>
    </row>
    <row r="1290" spans="1:10" x14ac:dyDescent="0.3">
      <c r="A1290" s="22" t="s">
        <v>3099</v>
      </c>
      <c r="B1290" s="10">
        <v>45478</v>
      </c>
      <c r="C1290" s="12" t="s">
        <v>127</v>
      </c>
      <c r="D1290" s="12" t="s">
        <v>1710</v>
      </c>
      <c r="E1290" s="12" t="s">
        <v>1776</v>
      </c>
      <c r="F1290" s="11">
        <v>3</v>
      </c>
      <c r="G1290" s="12">
        <v>438.92</v>
      </c>
      <c r="H1290" s="9">
        <v>0.21</v>
      </c>
      <c r="I1290" s="12" t="s">
        <v>1824</v>
      </c>
      <c r="J1290" s="9">
        <v>1040.2403999999999</v>
      </c>
    </row>
    <row r="1291" spans="1:10" x14ac:dyDescent="0.3">
      <c r="A1291" s="22" t="s">
        <v>3100</v>
      </c>
      <c r="B1291" s="10">
        <v>45232</v>
      </c>
      <c r="C1291" s="12" t="s">
        <v>425</v>
      </c>
      <c r="D1291" s="12" t="s">
        <v>1702</v>
      </c>
      <c r="E1291" s="12" t="s">
        <v>1769</v>
      </c>
      <c r="F1291" s="11">
        <v>4</v>
      </c>
      <c r="G1291" s="12">
        <v>665.38</v>
      </c>
      <c r="H1291" s="9">
        <v>0.18</v>
      </c>
      <c r="I1291" s="12" t="s">
        <v>1824</v>
      </c>
      <c r="J1291" s="9">
        <v>2182.4463999999998</v>
      </c>
    </row>
    <row r="1292" spans="1:10" x14ac:dyDescent="0.3">
      <c r="A1292" s="22" t="s">
        <v>3101</v>
      </c>
      <c r="B1292" s="10">
        <v>45616</v>
      </c>
      <c r="C1292" s="12" t="s">
        <v>23</v>
      </c>
      <c r="D1292" s="12" t="s">
        <v>1668</v>
      </c>
      <c r="E1292" s="12" t="s">
        <v>1810</v>
      </c>
      <c r="F1292" s="11">
        <v>1</v>
      </c>
      <c r="G1292" s="12">
        <v>146.49</v>
      </c>
      <c r="H1292" s="9">
        <v>0.28000000000000003</v>
      </c>
      <c r="I1292" s="12" t="s">
        <v>1824</v>
      </c>
      <c r="J1292" s="9">
        <v>105.47280000000001</v>
      </c>
    </row>
    <row r="1293" spans="1:10" x14ac:dyDescent="0.3">
      <c r="A1293" s="22" t="s">
        <v>3102</v>
      </c>
      <c r="B1293" s="10">
        <v>45774</v>
      </c>
      <c r="C1293" s="12" t="s">
        <v>472</v>
      </c>
      <c r="D1293" s="12" t="s">
        <v>1624</v>
      </c>
      <c r="E1293" s="12" t="s">
        <v>1801</v>
      </c>
      <c r="F1293" s="11">
        <v>2</v>
      </c>
      <c r="G1293" s="12">
        <v>235.39</v>
      </c>
      <c r="H1293" s="9">
        <v>0.27</v>
      </c>
      <c r="I1293" s="12" t="s">
        <v>1829</v>
      </c>
      <c r="J1293" s="9">
        <v>343.6694</v>
      </c>
    </row>
    <row r="1294" spans="1:10" x14ac:dyDescent="0.3">
      <c r="A1294" s="22" t="s">
        <v>3103</v>
      </c>
      <c r="B1294" s="10">
        <v>45651</v>
      </c>
      <c r="C1294" s="12" t="s">
        <v>118</v>
      </c>
      <c r="D1294" s="12" t="s">
        <v>1670</v>
      </c>
      <c r="E1294" s="12" t="s">
        <v>1773</v>
      </c>
      <c r="F1294" s="11">
        <v>3</v>
      </c>
      <c r="G1294" s="12">
        <v>38.07</v>
      </c>
      <c r="H1294" s="9">
        <v>0.09</v>
      </c>
      <c r="I1294" s="12" t="s">
        <v>1826</v>
      </c>
      <c r="J1294" s="9">
        <v>103.9311</v>
      </c>
    </row>
    <row r="1295" spans="1:10" x14ac:dyDescent="0.3">
      <c r="A1295" s="22" t="s">
        <v>3104</v>
      </c>
      <c r="B1295" s="10">
        <v>45902</v>
      </c>
      <c r="C1295" s="12" t="s">
        <v>1254</v>
      </c>
      <c r="D1295" s="12" t="s">
        <v>1616</v>
      </c>
      <c r="E1295" s="12" t="s">
        <v>1769</v>
      </c>
      <c r="F1295" s="11">
        <v>2</v>
      </c>
      <c r="G1295" s="12">
        <v>511.7</v>
      </c>
      <c r="H1295" s="9">
        <v>0.12</v>
      </c>
      <c r="I1295" s="12" t="s">
        <v>1829</v>
      </c>
      <c r="J1295" s="9">
        <v>900.59199999999998</v>
      </c>
    </row>
    <row r="1296" spans="1:10" x14ac:dyDescent="0.3">
      <c r="A1296" s="22" t="s">
        <v>3105</v>
      </c>
      <c r="B1296" s="10">
        <v>45401</v>
      </c>
      <c r="C1296" s="12" t="s">
        <v>332</v>
      </c>
      <c r="D1296" s="12" t="s">
        <v>1698</v>
      </c>
      <c r="E1296" s="12" t="s">
        <v>1782</v>
      </c>
      <c r="F1296" s="11">
        <v>4</v>
      </c>
      <c r="G1296" s="12">
        <v>488.72</v>
      </c>
      <c r="H1296" s="9">
        <v>0.23</v>
      </c>
      <c r="I1296" s="12" t="s">
        <v>1826</v>
      </c>
      <c r="J1296" s="9">
        <v>1505.2575999999999</v>
      </c>
    </row>
    <row r="1297" spans="1:10" x14ac:dyDescent="0.3">
      <c r="A1297" s="22" t="s">
        <v>3106</v>
      </c>
      <c r="B1297" s="10">
        <v>45717</v>
      </c>
      <c r="C1297" s="12" t="s">
        <v>1220</v>
      </c>
      <c r="D1297" s="12" t="s">
        <v>1648</v>
      </c>
      <c r="E1297" s="12" t="s">
        <v>1794</v>
      </c>
      <c r="F1297" s="11">
        <v>2</v>
      </c>
      <c r="G1297" s="12">
        <v>520.45000000000005</v>
      </c>
      <c r="H1297" s="9">
        <v>0.11</v>
      </c>
      <c r="I1297" s="12" t="s">
        <v>1829</v>
      </c>
      <c r="J1297" s="9">
        <v>926.40100000000007</v>
      </c>
    </row>
    <row r="1298" spans="1:10" x14ac:dyDescent="0.3">
      <c r="A1298" s="22" t="s">
        <v>3107</v>
      </c>
      <c r="B1298" s="10">
        <v>45376</v>
      </c>
      <c r="C1298" s="12" t="s">
        <v>1340</v>
      </c>
      <c r="D1298" s="12" t="s">
        <v>1644</v>
      </c>
      <c r="E1298" s="12" t="s">
        <v>1773</v>
      </c>
      <c r="F1298" s="11">
        <v>1</v>
      </c>
      <c r="G1298" s="12">
        <v>340.9</v>
      </c>
      <c r="H1298" s="9">
        <v>0.28999999999999998</v>
      </c>
      <c r="I1298" s="12" t="s">
        <v>1824</v>
      </c>
      <c r="J1298" s="9">
        <v>242.03899999999999</v>
      </c>
    </row>
    <row r="1299" spans="1:10" x14ac:dyDescent="0.3">
      <c r="A1299" s="22" t="s">
        <v>3108</v>
      </c>
      <c r="B1299" s="10">
        <v>45576</v>
      </c>
      <c r="C1299" s="12" t="s">
        <v>1086</v>
      </c>
      <c r="D1299" s="12" t="s">
        <v>1610</v>
      </c>
      <c r="E1299" s="12" t="s">
        <v>1782</v>
      </c>
      <c r="F1299" s="11">
        <v>3</v>
      </c>
      <c r="G1299" s="12">
        <v>653.59</v>
      </c>
      <c r="H1299" s="9">
        <v>0.17</v>
      </c>
      <c r="I1299" s="12" t="s">
        <v>1829</v>
      </c>
      <c r="J1299" s="9">
        <v>1627.4391000000001</v>
      </c>
    </row>
    <row r="1300" spans="1:10" x14ac:dyDescent="0.3">
      <c r="A1300" s="22" t="s">
        <v>3109</v>
      </c>
      <c r="B1300" s="10">
        <v>45906</v>
      </c>
      <c r="C1300" s="12" t="s">
        <v>93</v>
      </c>
      <c r="D1300" s="12" t="s">
        <v>1600</v>
      </c>
      <c r="E1300" s="12" t="s">
        <v>1810</v>
      </c>
      <c r="F1300" s="11">
        <v>1</v>
      </c>
      <c r="G1300" s="12">
        <v>179.77</v>
      </c>
      <c r="H1300" s="9">
        <v>0.23</v>
      </c>
      <c r="I1300" s="12" t="s">
        <v>1829</v>
      </c>
      <c r="J1300" s="9">
        <v>138.4229</v>
      </c>
    </row>
    <row r="1301" spans="1:10" x14ac:dyDescent="0.3">
      <c r="A1301" s="22" t="s">
        <v>3110</v>
      </c>
      <c r="B1301" s="10">
        <v>45523</v>
      </c>
      <c r="C1301" s="12" t="s">
        <v>44</v>
      </c>
      <c r="D1301" s="12" t="s">
        <v>1543</v>
      </c>
      <c r="E1301" s="12" t="s">
        <v>1786</v>
      </c>
      <c r="F1301" s="11">
        <v>2</v>
      </c>
      <c r="G1301" s="12">
        <v>943.8</v>
      </c>
      <c r="H1301" s="9">
        <v>0.06</v>
      </c>
      <c r="I1301" s="12" t="s">
        <v>1824</v>
      </c>
      <c r="J1301" s="9">
        <v>1774.3440000000001</v>
      </c>
    </row>
    <row r="1302" spans="1:10" x14ac:dyDescent="0.3">
      <c r="A1302" s="22" t="s">
        <v>3111</v>
      </c>
      <c r="B1302" s="10">
        <v>45234</v>
      </c>
      <c r="C1302" s="12" t="s">
        <v>1272</v>
      </c>
      <c r="D1302" s="12" t="s">
        <v>1690</v>
      </c>
      <c r="E1302" s="12" t="s">
        <v>1801</v>
      </c>
      <c r="F1302" s="11">
        <v>2</v>
      </c>
      <c r="G1302" s="12">
        <v>985</v>
      </c>
      <c r="H1302" s="9">
        <v>0.25</v>
      </c>
      <c r="I1302" s="12" t="s">
        <v>1824</v>
      </c>
      <c r="J1302" s="9">
        <v>1477.5</v>
      </c>
    </row>
    <row r="1303" spans="1:10" x14ac:dyDescent="0.3">
      <c r="A1303" s="22" t="s">
        <v>3112</v>
      </c>
      <c r="B1303" s="10">
        <v>45405</v>
      </c>
      <c r="C1303" s="12" t="s">
        <v>1492</v>
      </c>
      <c r="D1303" s="12" t="s">
        <v>1724</v>
      </c>
      <c r="E1303" s="12" t="s">
        <v>1789</v>
      </c>
      <c r="F1303" s="11">
        <v>4</v>
      </c>
      <c r="G1303" s="12">
        <v>216.81</v>
      </c>
      <c r="H1303" s="9">
        <v>0.28999999999999998</v>
      </c>
      <c r="I1303" s="12" t="s">
        <v>1824</v>
      </c>
      <c r="J1303" s="9">
        <v>615.74040000000002</v>
      </c>
    </row>
    <row r="1304" spans="1:10" x14ac:dyDescent="0.3">
      <c r="A1304" s="22" t="s">
        <v>3113</v>
      </c>
      <c r="B1304" s="10">
        <v>45223</v>
      </c>
      <c r="C1304" s="12" t="s">
        <v>408</v>
      </c>
      <c r="D1304" s="12" t="s">
        <v>1676</v>
      </c>
      <c r="E1304" s="12" t="s">
        <v>1761</v>
      </c>
      <c r="F1304" s="11">
        <v>4</v>
      </c>
      <c r="G1304" s="12">
        <v>950.21</v>
      </c>
      <c r="H1304" s="9">
        <v>0.27</v>
      </c>
      <c r="I1304" s="12" t="s">
        <v>1829</v>
      </c>
      <c r="J1304" s="9">
        <v>2774.6131999999998</v>
      </c>
    </row>
    <row r="1305" spans="1:10" x14ac:dyDescent="0.3">
      <c r="A1305" s="22" t="s">
        <v>3114</v>
      </c>
      <c r="B1305" s="10">
        <v>45838</v>
      </c>
      <c r="C1305" s="12" t="s">
        <v>818</v>
      </c>
      <c r="D1305" s="12" t="s">
        <v>1644</v>
      </c>
      <c r="E1305" s="12" t="s">
        <v>1779</v>
      </c>
      <c r="F1305" s="11">
        <v>2</v>
      </c>
      <c r="G1305" s="12">
        <v>271.39999999999998</v>
      </c>
      <c r="H1305" s="9">
        <v>0.17</v>
      </c>
      <c r="I1305" s="12" t="s">
        <v>1826</v>
      </c>
      <c r="J1305" s="9">
        <v>450.52399999999989</v>
      </c>
    </row>
    <row r="1306" spans="1:10" x14ac:dyDescent="0.3">
      <c r="A1306" s="22" t="s">
        <v>3115</v>
      </c>
      <c r="B1306" s="10">
        <v>45883</v>
      </c>
      <c r="C1306" s="12" t="s">
        <v>559</v>
      </c>
      <c r="D1306" s="12" t="s">
        <v>1626</v>
      </c>
      <c r="E1306" s="12" t="s">
        <v>1782</v>
      </c>
      <c r="F1306" s="11">
        <v>4</v>
      </c>
      <c r="G1306" s="12">
        <v>708.19</v>
      </c>
      <c r="H1306" s="9">
        <v>0.1</v>
      </c>
      <c r="I1306" s="12" t="s">
        <v>1826</v>
      </c>
      <c r="J1306" s="9">
        <v>2549.4839999999999</v>
      </c>
    </row>
    <row r="1307" spans="1:10" x14ac:dyDescent="0.3">
      <c r="A1307" s="22" t="s">
        <v>3116</v>
      </c>
      <c r="B1307" s="10">
        <v>45788</v>
      </c>
      <c r="C1307" s="12" t="s">
        <v>1374</v>
      </c>
      <c r="D1307" s="12" t="s">
        <v>1656</v>
      </c>
      <c r="E1307" s="12" t="s">
        <v>1766</v>
      </c>
      <c r="F1307" s="11">
        <v>3</v>
      </c>
      <c r="G1307" s="12">
        <v>477.05</v>
      </c>
      <c r="H1307" s="9">
        <v>0.05</v>
      </c>
      <c r="I1307" s="12" t="s">
        <v>1826</v>
      </c>
      <c r="J1307" s="9">
        <v>1359.5925</v>
      </c>
    </row>
    <row r="1308" spans="1:10" x14ac:dyDescent="0.3">
      <c r="A1308" s="22" t="s">
        <v>3117</v>
      </c>
      <c r="B1308" s="10">
        <v>45383</v>
      </c>
      <c r="C1308" s="12" t="s">
        <v>969</v>
      </c>
      <c r="D1308" s="12" t="s">
        <v>1696</v>
      </c>
      <c r="E1308" s="12" t="s">
        <v>1786</v>
      </c>
      <c r="F1308" s="11">
        <v>3</v>
      </c>
      <c r="G1308" s="12">
        <v>627.29</v>
      </c>
      <c r="H1308" s="9">
        <v>0.27</v>
      </c>
      <c r="I1308" s="12" t="s">
        <v>1829</v>
      </c>
      <c r="J1308" s="9">
        <v>1373.7651000000001</v>
      </c>
    </row>
    <row r="1309" spans="1:10" x14ac:dyDescent="0.3">
      <c r="A1309" s="22" t="s">
        <v>3118</v>
      </c>
      <c r="B1309" s="10">
        <v>45335</v>
      </c>
      <c r="C1309" s="12" t="s">
        <v>960</v>
      </c>
      <c r="D1309" s="12" t="s">
        <v>1736</v>
      </c>
      <c r="E1309" s="12" t="s">
        <v>1792</v>
      </c>
      <c r="F1309" s="11">
        <v>3</v>
      </c>
      <c r="G1309" s="12">
        <v>206.84</v>
      </c>
      <c r="H1309" s="9">
        <v>0.19</v>
      </c>
      <c r="I1309" s="12" t="s">
        <v>1826</v>
      </c>
      <c r="J1309" s="9">
        <v>502.62119999999999</v>
      </c>
    </row>
    <row r="1310" spans="1:10" x14ac:dyDescent="0.3">
      <c r="A1310" s="22" t="s">
        <v>3119</v>
      </c>
      <c r="B1310" s="10">
        <v>45304</v>
      </c>
      <c r="C1310" s="12" t="s">
        <v>803</v>
      </c>
      <c r="D1310" s="12" t="s">
        <v>1608</v>
      </c>
      <c r="E1310" s="12" t="s">
        <v>1757</v>
      </c>
      <c r="F1310" s="11">
        <v>4</v>
      </c>
      <c r="G1310" s="12">
        <v>629.04999999999995</v>
      </c>
      <c r="H1310" s="9">
        <v>0.26</v>
      </c>
      <c r="I1310" s="12" t="s">
        <v>1824</v>
      </c>
      <c r="J1310" s="9">
        <v>1861.9880000000001</v>
      </c>
    </row>
    <row r="1311" spans="1:10" x14ac:dyDescent="0.3">
      <c r="A1311" s="22" t="s">
        <v>3120</v>
      </c>
      <c r="B1311" s="10">
        <v>45543</v>
      </c>
      <c r="C1311" s="12" t="s">
        <v>1357</v>
      </c>
      <c r="D1311" s="12" t="s">
        <v>1696</v>
      </c>
      <c r="E1311" s="12" t="s">
        <v>1807</v>
      </c>
      <c r="F1311" s="11">
        <v>4</v>
      </c>
      <c r="G1311" s="12">
        <v>529.04</v>
      </c>
      <c r="H1311" s="9">
        <v>0.1</v>
      </c>
      <c r="I1311" s="12" t="s">
        <v>1826</v>
      </c>
      <c r="J1311" s="9">
        <v>1904.5440000000001</v>
      </c>
    </row>
    <row r="1312" spans="1:10" x14ac:dyDescent="0.3">
      <c r="A1312" s="22" t="s">
        <v>3121</v>
      </c>
      <c r="B1312" s="10">
        <v>45326</v>
      </c>
      <c r="C1312" s="12" t="s">
        <v>1095</v>
      </c>
      <c r="D1312" s="12" t="s">
        <v>1608</v>
      </c>
      <c r="E1312" s="12" t="s">
        <v>1807</v>
      </c>
      <c r="F1312" s="11">
        <v>1</v>
      </c>
      <c r="G1312" s="12">
        <v>350.67</v>
      </c>
      <c r="H1312" s="9">
        <v>0.22</v>
      </c>
      <c r="I1312" s="12" t="s">
        <v>1826</v>
      </c>
      <c r="J1312" s="9">
        <v>273.52260000000001</v>
      </c>
    </row>
    <row r="1313" spans="1:10" x14ac:dyDescent="0.3">
      <c r="A1313" s="22" t="s">
        <v>3122</v>
      </c>
      <c r="B1313" s="10">
        <v>45498</v>
      </c>
      <c r="C1313" s="12" t="s">
        <v>1160</v>
      </c>
      <c r="D1313" s="12" t="s">
        <v>1738</v>
      </c>
      <c r="E1313" s="12" t="s">
        <v>1757</v>
      </c>
      <c r="F1313" s="11">
        <v>1</v>
      </c>
      <c r="G1313" s="12">
        <v>128.93</v>
      </c>
      <c r="H1313" s="9">
        <v>0.26</v>
      </c>
      <c r="I1313" s="12" t="s">
        <v>1824</v>
      </c>
      <c r="J1313" s="9">
        <v>95.408200000000008</v>
      </c>
    </row>
    <row r="1314" spans="1:10" x14ac:dyDescent="0.3">
      <c r="A1314" s="22" t="s">
        <v>3123</v>
      </c>
      <c r="B1314" s="10">
        <v>45544</v>
      </c>
      <c r="C1314" s="12" t="s">
        <v>490</v>
      </c>
      <c r="D1314" s="12" t="s">
        <v>1720</v>
      </c>
      <c r="E1314" s="12" t="s">
        <v>1801</v>
      </c>
      <c r="F1314" s="11">
        <v>2</v>
      </c>
      <c r="G1314" s="12">
        <v>384.92</v>
      </c>
      <c r="H1314" s="9">
        <v>0.09</v>
      </c>
      <c r="I1314" s="12" t="s">
        <v>1824</v>
      </c>
      <c r="J1314" s="9">
        <v>700.5544000000001</v>
      </c>
    </row>
    <row r="1315" spans="1:10" x14ac:dyDescent="0.3">
      <c r="A1315" s="22" t="s">
        <v>3124</v>
      </c>
      <c r="B1315" s="10">
        <v>45268</v>
      </c>
      <c r="C1315" s="12" t="s">
        <v>1050</v>
      </c>
      <c r="D1315" s="12" t="s">
        <v>1555</v>
      </c>
      <c r="E1315" s="12" t="s">
        <v>1782</v>
      </c>
      <c r="F1315" s="11">
        <v>3</v>
      </c>
      <c r="G1315" s="12">
        <v>120.77</v>
      </c>
      <c r="H1315" s="9">
        <v>0.28999999999999998</v>
      </c>
      <c r="I1315" s="12" t="s">
        <v>1826</v>
      </c>
      <c r="J1315" s="9">
        <v>257.24009999999998</v>
      </c>
    </row>
    <row r="1316" spans="1:10" x14ac:dyDescent="0.3">
      <c r="A1316" s="22" t="s">
        <v>3125</v>
      </c>
      <c r="B1316" s="10">
        <v>45824</v>
      </c>
      <c r="C1316" s="12" t="s">
        <v>719</v>
      </c>
      <c r="D1316" s="12" t="s">
        <v>1700</v>
      </c>
      <c r="E1316" s="12" t="s">
        <v>1807</v>
      </c>
      <c r="F1316" s="11">
        <v>4</v>
      </c>
      <c r="G1316" s="12">
        <v>661.39</v>
      </c>
      <c r="H1316" s="9">
        <v>7.0000000000000007E-2</v>
      </c>
      <c r="I1316" s="12" t="s">
        <v>1824</v>
      </c>
      <c r="J1316" s="9">
        <v>2460.3708000000001</v>
      </c>
    </row>
    <row r="1317" spans="1:10" x14ac:dyDescent="0.3">
      <c r="A1317" s="22" t="s">
        <v>3126</v>
      </c>
      <c r="B1317" s="10">
        <v>45261</v>
      </c>
      <c r="C1317" s="12" t="s">
        <v>1389</v>
      </c>
      <c r="D1317" s="12" t="s">
        <v>1672</v>
      </c>
      <c r="E1317" s="12" t="s">
        <v>1761</v>
      </c>
      <c r="F1317" s="11">
        <v>1</v>
      </c>
      <c r="G1317" s="12">
        <v>195.24</v>
      </c>
      <c r="H1317" s="9">
        <v>0.27</v>
      </c>
      <c r="I1317" s="12" t="s">
        <v>1826</v>
      </c>
      <c r="J1317" s="9">
        <v>142.52520000000001</v>
      </c>
    </row>
    <row r="1318" spans="1:10" x14ac:dyDescent="0.3">
      <c r="A1318" s="22" t="s">
        <v>3127</v>
      </c>
      <c r="B1318" s="10">
        <v>45233</v>
      </c>
      <c r="C1318" s="12" t="s">
        <v>27</v>
      </c>
      <c r="D1318" s="12" t="s">
        <v>1732</v>
      </c>
      <c r="E1318" s="12" t="s">
        <v>1810</v>
      </c>
      <c r="F1318" s="11">
        <v>2</v>
      </c>
      <c r="G1318" s="12">
        <v>177.4</v>
      </c>
      <c r="H1318" s="9">
        <v>0.19</v>
      </c>
      <c r="I1318" s="12" t="s">
        <v>1826</v>
      </c>
      <c r="J1318" s="9">
        <v>287.38799999999998</v>
      </c>
    </row>
    <row r="1319" spans="1:10" x14ac:dyDescent="0.3">
      <c r="A1319" s="22" t="s">
        <v>3128</v>
      </c>
      <c r="B1319" s="10">
        <v>45673</v>
      </c>
      <c r="C1319" s="12" t="s">
        <v>214</v>
      </c>
      <c r="D1319" s="12" t="s">
        <v>1744</v>
      </c>
      <c r="E1319" s="12" t="s">
        <v>1792</v>
      </c>
      <c r="F1319" s="11">
        <v>4</v>
      </c>
      <c r="G1319" s="12">
        <v>862.67</v>
      </c>
      <c r="H1319" s="9">
        <v>0.2</v>
      </c>
      <c r="I1319" s="12" t="s">
        <v>1826</v>
      </c>
      <c r="J1319" s="9">
        <v>2760.5439999999999</v>
      </c>
    </row>
    <row r="1320" spans="1:10" x14ac:dyDescent="0.3">
      <c r="A1320" s="22" t="s">
        <v>3129</v>
      </c>
      <c r="B1320" s="10">
        <v>45565</v>
      </c>
      <c r="C1320" s="12" t="s">
        <v>1374</v>
      </c>
      <c r="D1320" s="12" t="s">
        <v>1582</v>
      </c>
      <c r="E1320" s="12" t="s">
        <v>1776</v>
      </c>
      <c r="F1320" s="11">
        <v>1</v>
      </c>
      <c r="G1320" s="12">
        <v>55.04</v>
      </c>
      <c r="H1320" s="9">
        <v>0.01</v>
      </c>
      <c r="I1320" s="12" t="s">
        <v>1829</v>
      </c>
      <c r="J1320" s="9">
        <v>54.489600000000003</v>
      </c>
    </row>
    <row r="1321" spans="1:10" x14ac:dyDescent="0.3">
      <c r="A1321" s="22" t="s">
        <v>3130</v>
      </c>
      <c r="B1321" s="10">
        <v>45646</v>
      </c>
      <c r="C1321" s="12" t="s">
        <v>188</v>
      </c>
      <c r="D1321" s="12" t="s">
        <v>1638</v>
      </c>
      <c r="E1321" s="12" t="s">
        <v>1752</v>
      </c>
      <c r="F1321" s="11">
        <v>2</v>
      </c>
      <c r="G1321" s="12">
        <v>905.47</v>
      </c>
      <c r="H1321" s="9">
        <v>0.2</v>
      </c>
      <c r="I1321" s="12" t="s">
        <v>1829</v>
      </c>
      <c r="J1321" s="9">
        <v>1448.752</v>
      </c>
    </row>
    <row r="1322" spans="1:10" x14ac:dyDescent="0.3">
      <c r="A1322" s="22" t="s">
        <v>3131</v>
      </c>
      <c r="B1322" s="10">
        <v>45539</v>
      </c>
      <c r="C1322" s="12" t="s">
        <v>1422</v>
      </c>
      <c r="D1322" s="12" t="s">
        <v>1674</v>
      </c>
      <c r="E1322" s="12" t="s">
        <v>1797</v>
      </c>
      <c r="F1322" s="11">
        <v>3</v>
      </c>
      <c r="G1322" s="12">
        <v>217.13</v>
      </c>
      <c r="H1322" s="9">
        <v>0.28000000000000003</v>
      </c>
      <c r="I1322" s="12" t="s">
        <v>1824</v>
      </c>
      <c r="J1322" s="9">
        <v>469.00080000000003</v>
      </c>
    </row>
    <row r="1323" spans="1:10" x14ac:dyDescent="0.3">
      <c r="A1323" s="22" t="s">
        <v>3132</v>
      </c>
      <c r="B1323" s="10">
        <v>45936</v>
      </c>
      <c r="C1323" s="12" t="s">
        <v>1214</v>
      </c>
      <c r="D1323" s="12" t="s">
        <v>1698</v>
      </c>
      <c r="E1323" s="12" t="s">
        <v>1752</v>
      </c>
      <c r="F1323" s="11">
        <v>3</v>
      </c>
      <c r="G1323" s="12">
        <v>580.45000000000005</v>
      </c>
      <c r="H1323" s="9">
        <v>0</v>
      </c>
      <c r="I1323" s="12" t="s">
        <v>1826</v>
      </c>
      <c r="J1323" s="9">
        <v>1741.35</v>
      </c>
    </row>
    <row r="1324" spans="1:10" x14ac:dyDescent="0.3">
      <c r="A1324" s="22" t="s">
        <v>3133</v>
      </c>
      <c r="B1324" s="10">
        <v>45854</v>
      </c>
      <c r="C1324" s="12" t="s">
        <v>366</v>
      </c>
      <c r="D1324" s="12" t="s">
        <v>1553</v>
      </c>
      <c r="E1324" s="12" t="s">
        <v>1807</v>
      </c>
      <c r="F1324" s="11">
        <v>2</v>
      </c>
      <c r="G1324" s="12">
        <v>892.88</v>
      </c>
      <c r="H1324" s="9">
        <v>0.17</v>
      </c>
      <c r="I1324" s="12" t="s">
        <v>1826</v>
      </c>
      <c r="J1324" s="9">
        <v>1482.1808000000001</v>
      </c>
    </row>
    <row r="1325" spans="1:10" x14ac:dyDescent="0.3">
      <c r="A1325" s="22" t="s">
        <v>3134</v>
      </c>
      <c r="B1325" s="10">
        <v>45936</v>
      </c>
      <c r="C1325" s="12" t="s">
        <v>329</v>
      </c>
      <c r="D1325" s="12" t="s">
        <v>1628</v>
      </c>
      <c r="E1325" s="12" t="s">
        <v>1810</v>
      </c>
      <c r="F1325" s="11">
        <v>2</v>
      </c>
      <c r="G1325" s="12">
        <v>356.28</v>
      </c>
      <c r="H1325" s="9">
        <v>0.11</v>
      </c>
      <c r="I1325" s="12" t="s">
        <v>1829</v>
      </c>
      <c r="J1325" s="9">
        <v>634.17840000000001</v>
      </c>
    </row>
    <row r="1326" spans="1:10" x14ac:dyDescent="0.3">
      <c r="A1326" s="22" t="s">
        <v>3135</v>
      </c>
      <c r="B1326" s="10">
        <v>45921</v>
      </c>
      <c r="C1326" s="12" t="s">
        <v>1199</v>
      </c>
      <c r="D1326" s="12" t="s">
        <v>1708</v>
      </c>
      <c r="E1326" s="12" t="s">
        <v>1761</v>
      </c>
      <c r="F1326" s="11">
        <v>4</v>
      </c>
      <c r="G1326" s="12">
        <v>806.99</v>
      </c>
      <c r="H1326" s="9">
        <v>0.06</v>
      </c>
      <c r="I1326" s="12" t="s">
        <v>1824</v>
      </c>
      <c r="J1326" s="9">
        <v>3034.2824000000001</v>
      </c>
    </row>
    <row r="1327" spans="1:10" x14ac:dyDescent="0.3">
      <c r="A1327" s="22" t="s">
        <v>3136</v>
      </c>
      <c r="B1327" s="10">
        <v>45855</v>
      </c>
      <c r="C1327" s="12" t="s">
        <v>1360</v>
      </c>
      <c r="D1327" s="12" t="s">
        <v>1588</v>
      </c>
      <c r="E1327" s="12" t="s">
        <v>1757</v>
      </c>
      <c r="F1327" s="11">
        <v>3</v>
      </c>
      <c r="G1327" s="12">
        <v>684.22</v>
      </c>
      <c r="H1327" s="9">
        <v>0.09</v>
      </c>
      <c r="I1327" s="12" t="s">
        <v>1824</v>
      </c>
      <c r="J1327" s="9">
        <v>1867.9205999999999</v>
      </c>
    </row>
    <row r="1328" spans="1:10" x14ac:dyDescent="0.3">
      <c r="A1328" s="22" t="s">
        <v>3137</v>
      </c>
      <c r="B1328" s="10">
        <v>45837</v>
      </c>
      <c r="C1328" s="12" t="s">
        <v>1371</v>
      </c>
      <c r="D1328" s="12" t="s">
        <v>1734</v>
      </c>
      <c r="E1328" s="12" t="s">
        <v>1779</v>
      </c>
      <c r="F1328" s="11">
        <v>4</v>
      </c>
      <c r="G1328" s="12">
        <v>763.34</v>
      </c>
      <c r="H1328" s="9">
        <v>7.0000000000000007E-2</v>
      </c>
      <c r="I1328" s="12" t="s">
        <v>1826</v>
      </c>
      <c r="J1328" s="9">
        <v>2839.6248000000001</v>
      </c>
    </row>
    <row r="1329" spans="1:10" x14ac:dyDescent="0.3">
      <c r="A1329" s="22" t="s">
        <v>3138</v>
      </c>
      <c r="B1329" s="10">
        <v>45738</v>
      </c>
      <c r="C1329" s="12" t="s">
        <v>1130</v>
      </c>
      <c r="D1329" s="12" t="s">
        <v>1648</v>
      </c>
      <c r="E1329" s="12" t="s">
        <v>1766</v>
      </c>
      <c r="F1329" s="11">
        <v>3</v>
      </c>
      <c r="G1329" s="12">
        <v>721.94</v>
      </c>
      <c r="H1329" s="9">
        <v>0.26</v>
      </c>
      <c r="I1329" s="12" t="s">
        <v>1824</v>
      </c>
      <c r="J1329" s="9">
        <v>1602.7067999999999</v>
      </c>
    </row>
    <row r="1330" spans="1:10" x14ac:dyDescent="0.3">
      <c r="A1330" s="22" t="s">
        <v>3139</v>
      </c>
      <c r="B1330" s="10">
        <v>45323</v>
      </c>
      <c r="C1330" s="12" t="s">
        <v>1263</v>
      </c>
      <c r="D1330" s="12" t="s">
        <v>1742</v>
      </c>
      <c r="E1330" s="12" t="s">
        <v>1757</v>
      </c>
      <c r="F1330" s="11">
        <v>3</v>
      </c>
      <c r="G1330" s="12">
        <v>760.38</v>
      </c>
      <c r="H1330" s="9">
        <v>0</v>
      </c>
      <c r="I1330" s="12" t="s">
        <v>1829</v>
      </c>
      <c r="J1330" s="9">
        <v>2281.14</v>
      </c>
    </row>
    <row r="1331" spans="1:10" x14ac:dyDescent="0.3">
      <c r="A1331" s="22" t="s">
        <v>3140</v>
      </c>
      <c r="B1331" s="10">
        <v>45362</v>
      </c>
      <c r="C1331" s="12" t="s">
        <v>942</v>
      </c>
      <c r="D1331" s="12" t="s">
        <v>1742</v>
      </c>
      <c r="E1331" s="12" t="s">
        <v>1776</v>
      </c>
      <c r="F1331" s="11">
        <v>3</v>
      </c>
      <c r="G1331" s="12">
        <v>612.53</v>
      </c>
      <c r="H1331" s="9">
        <v>0.21</v>
      </c>
      <c r="I1331" s="12" t="s">
        <v>1829</v>
      </c>
      <c r="J1331" s="9">
        <v>1451.6960999999999</v>
      </c>
    </row>
    <row r="1332" spans="1:10" x14ac:dyDescent="0.3">
      <c r="A1332" s="22" t="s">
        <v>3141</v>
      </c>
      <c r="B1332" s="10">
        <v>45544</v>
      </c>
      <c r="C1332" s="12" t="s">
        <v>160</v>
      </c>
      <c r="D1332" s="12" t="s">
        <v>1674</v>
      </c>
      <c r="E1332" s="12" t="s">
        <v>1804</v>
      </c>
      <c r="F1332" s="11">
        <v>3</v>
      </c>
      <c r="G1332" s="12">
        <v>841.37</v>
      </c>
      <c r="H1332" s="9">
        <v>0.28999999999999998</v>
      </c>
      <c r="I1332" s="12" t="s">
        <v>1826</v>
      </c>
      <c r="J1332" s="9">
        <v>1792.1180999999999</v>
      </c>
    </row>
    <row r="1333" spans="1:10" x14ac:dyDescent="0.3">
      <c r="A1333" s="22" t="s">
        <v>3142</v>
      </c>
      <c r="B1333" s="10">
        <v>45249</v>
      </c>
      <c r="C1333" s="12" t="s">
        <v>833</v>
      </c>
      <c r="D1333" s="12" t="s">
        <v>1644</v>
      </c>
      <c r="E1333" s="12" t="s">
        <v>1786</v>
      </c>
      <c r="F1333" s="11">
        <v>2</v>
      </c>
      <c r="G1333" s="12">
        <v>636.51</v>
      </c>
      <c r="H1333" s="9">
        <v>0.25</v>
      </c>
      <c r="I1333" s="12" t="s">
        <v>1824</v>
      </c>
      <c r="J1333" s="9">
        <v>954.76499999999999</v>
      </c>
    </row>
    <row r="1334" spans="1:10" x14ac:dyDescent="0.3">
      <c r="A1334" s="22" t="s">
        <v>3143</v>
      </c>
      <c r="B1334" s="10">
        <v>45659</v>
      </c>
      <c r="C1334" s="12" t="s">
        <v>329</v>
      </c>
      <c r="D1334" s="12" t="s">
        <v>1638</v>
      </c>
      <c r="E1334" s="12" t="s">
        <v>1782</v>
      </c>
      <c r="F1334" s="11">
        <v>2</v>
      </c>
      <c r="G1334" s="12">
        <v>732.37</v>
      </c>
      <c r="H1334" s="9">
        <v>0.22</v>
      </c>
      <c r="I1334" s="12" t="s">
        <v>1829</v>
      </c>
      <c r="J1334" s="9">
        <v>1142.4972</v>
      </c>
    </row>
    <row r="1335" spans="1:10" x14ac:dyDescent="0.3">
      <c r="A1335" s="22" t="s">
        <v>3144</v>
      </c>
      <c r="B1335" s="10">
        <v>45927</v>
      </c>
      <c r="C1335" s="12" t="s">
        <v>547</v>
      </c>
      <c r="D1335" s="12" t="s">
        <v>1656</v>
      </c>
      <c r="E1335" s="12" t="s">
        <v>1804</v>
      </c>
      <c r="F1335" s="11">
        <v>3</v>
      </c>
      <c r="G1335" s="12">
        <v>183.44</v>
      </c>
      <c r="H1335" s="9">
        <v>0.28000000000000003</v>
      </c>
      <c r="I1335" s="12" t="s">
        <v>1829</v>
      </c>
      <c r="J1335" s="9">
        <v>396.23039999999992</v>
      </c>
    </row>
    <row r="1336" spans="1:10" x14ac:dyDescent="0.3">
      <c r="A1336" s="22" t="s">
        <v>3145</v>
      </c>
      <c r="B1336" s="10">
        <v>45373</v>
      </c>
      <c r="C1336" s="12" t="s">
        <v>241</v>
      </c>
      <c r="D1336" s="12" t="s">
        <v>1570</v>
      </c>
      <c r="E1336" s="12" t="s">
        <v>1797</v>
      </c>
      <c r="F1336" s="11">
        <v>4</v>
      </c>
      <c r="G1336" s="12">
        <v>898.58</v>
      </c>
      <c r="H1336" s="9">
        <v>0.16</v>
      </c>
      <c r="I1336" s="12" t="s">
        <v>1826</v>
      </c>
      <c r="J1336" s="9">
        <v>3019.2287999999999</v>
      </c>
    </row>
    <row r="1337" spans="1:10" x14ac:dyDescent="0.3">
      <c r="A1337" s="22" t="s">
        <v>3146</v>
      </c>
      <c r="B1337" s="10">
        <v>45529</v>
      </c>
      <c r="C1337" s="12" t="s">
        <v>1217</v>
      </c>
      <c r="D1337" s="12" t="s">
        <v>1594</v>
      </c>
      <c r="E1337" s="12" t="s">
        <v>1761</v>
      </c>
      <c r="F1337" s="11">
        <v>3</v>
      </c>
      <c r="G1337" s="12">
        <v>152.41</v>
      </c>
      <c r="H1337" s="9">
        <v>0.25</v>
      </c>
      <c r="I1337" s="12" t="s">
        <v>1824</v>
      </c>
      <c r="J1337" s="9">
        <v>342.92250000000001</v>
      </c>
    </row>
    <row r="1338" spans="1:10" x14ac:dyDescent="0.3">
      <c r="A1338" s="22" t="s">
        <v>3147</v>
      </c>
      <c r="B1338" s="10">
        <v>45872</v>
      </c>
      <c r="C1338" s="12" t="s">
        <v>722</v>
      </c>
      <c r="D1338" s="12" t="s">
        <v>1732</v>
      </c>
      <c r="E1338" s="12" t="s">
        <v>1799</v>
      </c>
      <c r="F1338" s="11">
        <v>3</v>
      </c>
      <c r="G1338" s="12">
        <v>972.58</v>
      </c>
      <c r="H1338" s="9">
        <v>0.28000000000000003</v>
      </c>
      <c r="I1338" s="12" t="s">
        <v>1829</v>
      </c>
      <c r="J1338" s="9">
        <v>2100.7728000000002</v>
      </c>
    </row>
    <row r="1339" spans="1:10" x14ac:dyDescent="0.3">
      <c r="A1339" s="22" t="s">
        <v>3148</v>
      </c>
      <c r="B1339" s="10">
        <v>45267</v>
      </c>
      <c r="C1339" s="12" t="s">
        <v>1437</v>
      </c>
      <c r="D1339" s="12" t="s">
        <v>1686</v>
      </c>
      <c r="E1339" s="12" t="s">
        <v>1792</v>
      </c>
      <c r="F1339" s="11">
        <v>4</v>
      </c>
      <c r="G1339" s="12">
        <v>136.4</v>
      </c>
      <c r="H1339" s="9">
        <v>0.04</v>
      </c>
      <c r="I1339" s="12" t="s">
        <v>1829</v>
      </c>
      <c r="J1339" s="9">
        <v>523.77599999999995</v>
      </c>
    </row>
    <row r="1340" spans="1:10" x14ac:dyDescent="0.3">
      <c r="A1340" s="22" t="s">
        <v>3149</v>
      </c>
      <c r="B1340" s="10">
        <v>45894</v>
      </c>
      <c r="C1340" s="12" t="s">
        <v>1246</v>
      </c>
      <c r="D1340" s="12" t="s">
        <v>1736</v>
      </c>
      <c r="E1340" s="12" t="s">
        <v>1801</v>
      </c>
      <c r="F1340" s="11">
        <v>1</v>
      </c>
      <c r="G1340" s="12">
        <v>509.63</v>
      </c>
      <c r="H1340" s="9">
        <v>0.27</v>
      </c>
      <c r="I1340" s="12" t="s">
        <v>1829</v>
      </c>
      <c r="J1340" s="9">
        <v>372.0299</v>
      </c>
    </row>
    <row r="1341" spans="1:10" x14ac:dyDescent="0.3">
      <c r="A1341" s="22" t="s">
        <v>3150</v>
      </c>
      <c r="B1341" s="10">
        <v>45331</v>
      </c>
      <c r="C1341" s="12" t="s">
        <v>23</v>
      </c>
      <c r="D1341" s="12" t="s">
        <v>1742</v>
      </c>
      <c r="E1341" s="12" t="s">
        <v>1766</v>
      </c>
      <c r="F1341" s="11">
        <v>4</v>
      </c>
      <c r="G1341" s="12">
        <v>360.28</v>
      </c>
      <c r="H1341" s="9">
        <v>0.09</v>
      </c>
      <c r="I1341" s="12" t="s">
        <v>1829</v>
      </c>
      <c r="J1341" s="9">
        <v>1311.4192</v>
      </c>
    </row>
    <row r="1342" spans="1:10" x14ac:dyDescent="0.3">
      <c r="A1342" s="22" t="s">
        <v>3151</v>
      </c>
      <c r="B1342" s="10">
        <v>45910</v>
      </c>
      <c r="C1342" s="12" t="s">
        <v>292</v>
      </c>
      <c r="D1342" s="12" t="s">
        <v>1726</v>
      </c>
      <c r="E1342" s="12" t="s">
        <v>1801</v>
      </c>
      <c r="F1342" s="11">
        <v>3</v>
      </c>
      <c r="G1342" s="12">
        <v>882.05</v>
      </c>
      <c r="H1342" s="9">
        <v>0.06</v>
      </c>
      <c r="I1342" s="12" t="s">
        <v>1826</v>
      </c>
      <c r="J1342" s="9">
        <v>2487.3809999999989</v>
      </c>
    </row>
    <row r="1343" spans="1:10" x14ac:dyDescent="0.3">
      <c r="A1343" s="22" t="s">
        <v>3152</v>
      </c>
      <c r="B1343" s="10">
        <v>45564</v>
      </c>
      <c r="C1343" s="12" t="s">
        <v>640</v>
      </c>
      <c r="D1343" s="12" t="s">
        <v>1706</v>
      </c>
      <c r="E1343" s="12" t="s">
        <v>1782</v>
      </c>
      <c r="F1343" s="11">
        <v>3</v>
      </c>
      <c r="G1343" s="12">
        <v>141.54</v>
      </c>
      <c r="H1343" s="9">
        <v>0.12</v>
      </c>
      <c r="I1343" s="12" t="s">
        <v>1826</v>
      </c>
      <c r="J1343" s="9">
        <v>373.66559999999998</v>
      </c>
    </row>
    <row r="1344" spans="1:10" x14ac:dyDescent="0.3">
      <c r="A1344" s="22" t="s">
        <v>3153</v>
      </c>
      <c r="B1344" s="10">
        <v>45461</v>
      </c>
      <c r="C1344" s="12" t="s">
        <v>168</v>
      </c>
      <c r="D1344" s="12" t="s">
        <v>1578</v>
      </c>
      <c r="E1344" s="12" t="s">
        <v>1769</v>
      </c>
      <c r="F1344" s="11">
        <v>3</v>
      </c>
      <c r="G1344" s="12">
        <v>83.5</v>
      </c>
      <c r="H1344" s="9">
        <v>0.23</v>
      </c>
      <c r="I1344" s="12" t="s">
        <v>1829</v>
      </c>
      <c r="J1344" s="9">
        <v>192.88499999999999</v>
      </c>
    </row>
    <row r="1345" spans="1:10" x14ac:dyDescent="0.3">
      <c r="A1345" s="22" t="s">
        <v>3154</v>
      </c>
      <c r="B1345" s="10">
        <v>45258</v>
      </c>
      <c r="C1345" s="12" t="s">
        <v>425</v>
      </c>
      <c r="D1345" s="12" t="s">
        <v>1576</v>
      </c>
      <c r="E1345" s="12" t="s">
        <v>1776</v>
      </c>
      <c r="F1345" s="11">
        <v>2</v>
      </c>
      <c r="G1345" s="12">
        <v>629.73</v>
      </c>
      <c r="H1345" s="9">
        <v>7.0000000000000007E-2</v>
      </c>
      <c r="I1345" s="12" t="s">
        <v>1826</v>
      </c>
      <c r="J1345" s="9">
        <v>1171.2978000000001</v>
      </c>
    </row>
    <row r="1346" spans="1:10" x14ac:dyDescent="0.3">
      <c r="A1346" s="22" t="s">
        <v>3155</v>
      </c>
      <c r="B1346" s="10">
        <v>45228</v>
      </c>
      <c r="C1346" s="12" t="s">
        <v>59</v>
      </c>
      <c r="D1346" s="12" t="s">
        <v>1614</v>
      </c>
      <c r="E1346" s="12" t="s">
        <v>1776</v>
      </c>
      <c r="F1346" s="11">
        <v>2</v>
      </c>
      <c r="G1346" s="12">
        <v>159.93</v>
      </c>
      <c r="H1346" s="9">
        <v>0.2</v>
      </c>
      <c r="I1346" s="12" t="s">
        <v>1829</v>
      </c>
      <c r="J1346" s="9">
        <v>255.88800000000001</v>
      </c>
    </row>
    <row r="1347" spans="1:10" x14ac:dyDescent="0.3">
      <c r="A1347" s="22" t="s">
        <v>3156</v>
      </c>
      <c r="B1347" s="10">
        <v>45858</v>
      </c>
      <c r="C1347" s="12" t="s">
        <v>59</v>
      </c>
      <c r="D1347" s="12" t="s">
        <v>1638</v>
      </c>
      <c r="E1347" s="12" t="s">
        <v>1810</v>
      </c>
      <c r="F1347" s="11">
        <v>1</v>
      </c>
      <c r="G1347" s="12">
        <v>459.89</v>
      </c>
      <c r="H1347" s="9">
        <v>0.18</v>
      </c>
      <c r="I1347" s="12" t="s">
        <v>1829</v>
      </c>
      <c r="J1347" s="9">
        <v>377.10980000000001</v>
      </c>
    </row>
    <row r="1348" spans="1:10" x14ac:dyDescent="0.3">
      <c r="A1348" s="22" t="s">
        <v>3157</v>
      </c>
      <c r="B1348" s="10">
        <v>45532</v>
      </c>
      <c r="C1348" s="12" t="s">
        <v>619</v>
      </c>
      <c r="D1348" s="12" t="s">
        <v>1614</v>
      </c>
      <c r="E1348" s="12" t="s">
        <v>1813</v>
      </c>
      <c r="F1348" s="11">
        <v>4</v>
      </c>
      <c r="G1348" s="12">
        <v>885.57</v>
      </c>
      <c r="H1348" s="9">
        <v>0.27</v>
      </c>
      <c r="I1348" s="12" t="s">
        <v>1824</v>
      </c>
      <c r="J1348" s="9">
        <v>2585.8643999999999</v>
      </c>
    </row>
    <row r="1349" spans="1:10" x14ac:dyDescent="0.3">
      <c r="A1349" s="22" t="s">
        <v>3158</v>
      </c>
      <c r="B1349" s="10">
        <v>45454</v>
      </c>
      <c r="C1349" s="12" t="s">
        <v>1252</v>
      </c>
      <c r="D1349" s="12" t="s">
        <v>1656</v>
      </c>
      <c r="E1349" s="12" t="s">
        <v>1801</v>
      </c>
      <c r="F1349" s="11">
        <v>3</v>
      </c>
      <c r="G1349" s="12">
        <v>789.05</v>
      </c>
      <c r="H1349" s="9">
        <v>0</v>
      </c>
      <c r="I1349" s="12" t="s">
        <v>1826</v>
      </c>
      <c r="J1349" s="9">
        <v>2367.15</v>
      </c>
    </row>
    <row r="1350" spans="1:10" x14ac:dyDescent="0.3">
      <c r="A1350" s="22" t="s">
        <v>3159</v>
      </c>
      <c r="B1350" s="10">
        <v>45244</v>
      </c>
      <c r="C1350" s="12" t="s">
        <v>517</v>
      </c>
      <c r="D1350" s="12" t="s">
        <v>1680</v>
      </c>
      <c r="E1350" s="12" t="s">
        <v>1752</v>
      </c>
      <c r="F1350" s="11">
        <v>1</v>
      </c>
      <c r="G1350" s="12">
        <v>570.52</v>
      </c>
      <c r="H1350" s="9">
        <v>0</v>
      </c>
      <c r="I1350" s="12" t="s">
        <v>1826</v>
      </c>
      <c r="J1350" s="9">
        <v>570.52</v>
      </c>
    </row>
    <row r="1351" spans="1:10" x14ac:dyDescent="0.3">
      <c r="A1351" s="22" t="s">
        <v>3160</v>
      </c>
      <c r="B1351" s="10">
        <v>45322</v>
      </c>
      <c r="C1351" s="12" t="s">
        <v>592</v>
      </c>
      <c r="D1351" s="12" t="s">
        <v>1602</v>
      </c>
      <c r="E1351" s="12" t="s">
        <v>1804</v>
      </c>
      <c r="F1351" s="11">
        <v>4</v>
      </c>
      <c r="G1351" s="12">
        <v>310.79000000000002</v>
      </c>
      <c r="H1351" s="9">
        <v>0.22</v>
      </c>
      <c r="I1351" s="12" t="s">
        <v>1829</v>
      </c>
      <c r="J1351" s="9">
        <v>969.66480000000013</v>
      </c>
    </row>
    <row r="1352" spans="1:10" x14ac:dyDescent="0.3">
      <c r="A1352" s="22" t="s">
        <v>3161</v>
      </c>
      <c r="B1352" s="10">
        <v>45757</v>
      </c>
      <c r="C1352" s="12" t="s">
        <v>214</v>
      </c>
      <c r="D1352" s="12" t="s">
        <v>1684</v>
      </c>
      <c r="E1352" s="12" t="s">
        <v>1807</v>
      </c>
      <c r="F1352" s="11">
        <v>4</v>
      </c>
      <c r="G1352" s="12">
        <v>255.67</v>
      </c>
      <c r="H1352" s="9">
        <v>0.17</v>
      </c>
      <c r="I1352" s="12" t="s">
        <v>1824</v>
      </c>
      <c r="J1352" s="9">
        <v>848.82439999999997</v>
      </c>
    </row>
    <row r="1353" spans="1:10" x14ac:dyDescent="0.3">
      <c r="A1353" s="22" t="s">
        <v>3162</v>
      </c>
      <c r="B1353" s="10">
        <v>45397</v>
      </c>
      <c r="C1353" s="12" t="s">
        <v>444</v>
      </c>
      <c r="D1353" s="12" t="s">
        <v>1602</v>
      </c>
      <c r="E1353" s="12" t="s">
        <v>1804</v>
      </c>
      <c r="F1353" s="11">
        <v>2</v>
      </c>
      <c r="G1353" s="12">
        <v>270.66000000000003</v>
      </c>
      <c r="H1353" s="9">
        <v>0.1</v>
      </c>
      <c r="I1353" s="12" t="s">
        <v>1829</v>
      </c>
      <c r="J1353" s="9">
        <v>487.18799999999999</v>
      </c>
    </row>
    <row r="1354" spans="1:10" x14ac:dyDescent="0.3">
      <c r="A1354" s="22" t="s">
        <v>3163</v>
      </c>
      <c r="B1354" s="10">
        <v>45914</v>
      </c>
      <c r="C1354" s="12" t="s">
        <v>945</v>
      </c>
      <c r="D1354" s="12" t="s">
        <v>1594</v>
      </c>
      <c r="E1354" s="12" t="s">
        <v>1807</v>
      </c>
      <c r="F1354" s="11">
        <v>3</v>
      </c>
      <c r="G1354" s="12">
        <v>373.35</v>
      </c>
      <c r="H1354" s="9">
        <v>0.2</v>
      </c>
      <c r="I1354" s="12" t="s">
        <v>1829</v>
      </c>
      <c r="J1354" s="9">
        <v>896.04000000000019</v>
      </c>
    </row>
    <row r="1355" spans="1:10" x14ac:dyDescent="0.3">
      <c r="A1355" s="22" t="s">
        <v>3164</v>
      </c>
      <c r="B1355" s="10">
        <v>45432</v>
      </c>
      <c r="C1355" s="12" t="s">
        <v>144</v>
      </c>
      <c r="D1355" s="12" t="s">
        <v>1666</v>
      </c>
      <c r="E1355" s="12" t="s">
        <v>1792</v>
      </c>
      <c r="F1355" s="11">
        <v>2</v>
      </c>
      <c r="G1355" s="12">
        <v>23.58</v>
      </c>
      <c r="H1355" s="9">
        <v>0.02</v>
      </c>
      <c r="I1355" s="12" t="s">
        <v>1826</v>
      </c>
      <c r="J1355" s="9">
        <v>46.216799999999999</v>
      </c>
    </row>
    <row r="1356" spans="1:10" x14ac:dyDescent="0.3">
      <c r="A1356" s="22" t="s">
        <v>3165</v>
      </c>
      <c r="B1356" s="10">
        <v>45798</v>
      </c>
      <c r="C1356" s="12" t="s">
        <v>32</v>
      </c>
      <c r="D1356" s="12" t="s">
        <v>1618</v>
      </c>
      <c r="E1356" s="12" t="s">
        <v>1779</v>
      </c>
      <c r="F1356" s="11">
        <v>4</v>
      </c>
      <c r="G1356" s="12">
        <v>185.67</v>
      </c>
      <c r="H1356" s="9">
        <v>0.21</v>
      </c>
      <c r="I1356" s="12" t="s">
        <v>1826</v>
      </c>
      <c r="J1356" s="9">
        <v>586.71719999999993</v>
      </c>
    </row>
    <row r="1357" spans="1:10" x14ac:dyDescent="0.3">
      <c r="A1357" s="22" t="s">
        <v>3166</v>
      </c>
      <c r="B1357" s="10">
        <v>45396</v>
      </c>
      <c r="C1357" s="12" t="s">
        <v>417</v>
      </c>
      <c r="D1357" s="12" t="s">
        <v>1584</v>
      </c>
      <c r="E1357" s="12" t="s">
        <v>1797</v>
      </c>
      <c r="F1357" s="11">
        <v>3</v>
      </c>
      <c r="G1357" s="12">
        <v>928.74</v>
      </c>
      <c r="H1357" s="9">
        <v>0.27</v>
      </c>
      <c r="I1357" s="12" t="s">
        <v>1826</v>
      </c>
      <c r="J1357" s="9">
        <v>2033.9405999999999</v>
      </c>
    </row>
    <row r="1358" spans="1:10" x14ac:dyDescent="0.3">
      <c r="A1358" s="22" t="s">
        <v>3167</v>
      </c>
      <c r="B1358" s="10">
        <v>45235</v>
      </c>
      <c r="C1358" s="12" t="s">
        <v>121</v>
      </c>
      <c r="D1358" s="12" t="s">
        <v>1716</v>
      </c>
      <c r="E1358" s="12" t="s">
        <v>1773</v>
      </c>
      <c r="F1358" s="11">
        <v>3</v>
      </c>
      <c r="G1358" s="12">
        <v>923.38</v>
      </c>
      <c r="H1358" s="9">
        <v>7.0000000000000007E-2</v>
      </c>
      <c r="I1358" s="12" t="s">
        <v>1829</v>
      </c>
      <c r="J1358" s="9">
        <v>2576.2302</v>
      </c>
    </row>
    <row r="1359" spans="1:10" x14ac:dyDescent="0.3">
      <c r="A1359" s="22" t="s">
        <v>3168</v>
      </c>
      <c r="B1359" s="10">
        <v>45499</v>
      </c>
      <c r="C1359" s="12" t="s">
        <v>1425</v>
      </c>
      <c r="D1359" s="12" t="s">
        <v>1553</v>
      </c>
      <c r="E1359" s="12" t="s">
        <v>1786</v>
      </c>
      <c r="F1359" s="11">
        <v>2</v>
      </c>
      <c r="G1359" s="12">
        <v>409.26</v>
      </c>
      <c r="H1359" s="9">
        <v>0.1</v>
      </c>
      <c r="I1359" s="12" t="s">
        <v>1826</v>
      </c>
      <c r="J1359" s="9">
        <v>736.66800000000001</v>
      </c>
    </row>
    <row r="1360" spans="1:10" x14ac:dyDescent="0.3">
      <c r="A1360" s="22" t="s">
        <v>3169</v>
      </c>
      <c r="B1360" s="10">
        <v>45272</v>
      </c>
      <c r="C1360" s="12" t="s">
        <v>812</v>
      </c>
      <c r="D1360" s="12" t="s">
        <v>1594</v>
      </c>
      <c r="E1360" s="12" t="s">
        <v>1779</v>
      </c>
      <c r="F1360" s="11">
        <v>2</v>
      </c>
      <c r="G1360" s="12">
        <v>608.46</v>
      </c>
      <c r="H1360" s="9">
        <v>0.16</v>
      </c>
      <c r="I1360" s="12" t="s">
        <v>1824</v>
      </c>
      <c r="J1360" s="9">
        <v>1022.2128</v>
      </c>
    </row>
    <row r="1361" spans="1:10" x14ac:dyDescent="0.3">
      <c r="A1361" s="22" t="s">
        <v>3170</v>
      </c>
      <c r="B1361" s="10">
        <v>45785</v>
      </c>
      <c r="C1361" s="12" t="s">
        <v>690</v>
      </c>
      <c r="D1361" s="12" t="s">
        <v>1632</v>
      </c>
      <c r="E1361" s="12" t="s">
        <v>1813</v>
      </c>
      <c r="F1361" s="11">
        <v>4</v>
      </c>
      <c r="G1361" s="12">
        <v>150.47999999999999</v>
      </c>
      <c r="H1361" s="9">
        <v>0.09</v>
      </c>
      <c r="I1361" s="12" t="s">
        <v>1824</v>
      </c>
      <c r="J1361" s="9">
        <v>547.74720000000002</v>
      </c>
    </row>
    <row r="1362" spans="1:10" x14ac:dyDescent="0.3">
      <c r="A1362" s="22" t="s">
        <v>3171</v>
      </c>
      <c r="B1362" s="10">
        <v>45534</v>
      </c>
      <c r="C1362" s="12" t="s">
        <v>785</v>
      </c>
      <c r="D1362" s="12" t="s">
        <v>1684</v>
      </c>
      <c r="E1362" s="12" t="s">
        <v>1799</v>
      </c>
      <c r="F1362" s="11">
        <v>4</v>
      </c>
      <c r="G1362" s="12">
        <v>207.41</v>
      </c>
      <c r="H1362" s="9">
        <v>0.02</v>
      </c>
      <c r="I1362" s="12" t="s">
        <v>1824</v>
      </c>
      <c r="J1362" s="9">
        <v>813.04719999999998</v>
      </c>
    </row>
    <row r="1363" spans="1:10" x14ac:dyDescent="0.3">
      <c r="A1363" s="22" t="s">
        <v>3172</v>
      </c>
      <c r="B1363" s="10">
        <v>45803</v>
      </c>
      <c r="C1363" s="12" t="s">
        <v>571</v>
      </c>
      <c r="D1363" s="12" t="s">
        <v>1570</v>
      </c>
      <c r="E1363" s="12" t="s">
        <v>1776</v>
      </c>
      <c r="F1363" s="11">
        <v>1</v>
      </c>
      <c r="G1363" s="12">
        <v>56.59</v>
      </c>
      <c r="H1363" s="9">
        <v>0.15</v>
      </c>
      <c r="I1363" s="12" t="s">
        <v>1826</v>
      </c>
      <c r="J1363" s="9">
        <v>48.101500000000001</v>
      </c>
    </row>
    <row r="1364" spans="1:10" x14ac:dyDescent="0.3">
      <c r="A1364" s="22" t="s">
        <v>3173</v>
      </c>
      <c r="B1364" s="10">
        <v>45667</v>
      </c>
      <c r="C1364" s="12" t="s">
        <v>1260</v>
      </c>
      <c r="D1364" s="12" t="s">
        <v>1626</v>
      </c>
      <c r="E1364" s="12" t="s">
        <v>1769</v>
      </c>
      <c r="F1364" s="11">
        <v>4</v>
      </c>
      <c r="G1364" s="12">
        <v>995.4</v>
      </c>
      <c r="H1364" s="9">
        <v>0.27</v>
      </c>
      <c r="I1364" s="12" t="s">
        <v>1824</v>
      </c>
      <c r="J1364" s="9">
        <v>2906.5680000000002</v>
      </c>
    </row>
    <row r="1365" spans="1:10" x14ac:dyDescent="0.3">
      <c r="A1365" s="22" t="s">
        <v>3174</v>
      </c>
      <c r="B1365" s="10">
        <v>45656</v>
      </c>
      <c r="C1365" s="12" t="s">
        <v>238</v>
      </c>
      <c r="D1365" s="12" t="s">
        <v>1642</v>
      </c>
      <c r="E1365" s="12" t="s">
        <v>1794</v>
      </c>
      <c r="F1365" s="11">
        <v>2</v>
      </c>
      <c r="G1365" s="12">
        <v>591.33000000000004</v>
      </c>
      <c r="H1365" s="9">
        <v>0.24</v>
      </c>
      <c r="I1365" s="12" t="s">
        <v>1824</v>
      </c>
      <c r="J1365" s="9">
        <v>898.8216000000001</v>
      </c>
    </row>
    <row r="1366" spans="1:10" x14ac:dyDescent="0.3">
      <c r="A1366" s="22" t="s">
        <v>3175</v>
      </c>
      <c r="B1366" s="10">
        <v>45869</v>
      </c>
      <c r="C1366" s="12" t="s">
        <v>1181</v>
      </c>
      <c r="D1366" s="12" t="s">
        <v>1644</v>
      </c>
      <c r="E1366" s="12" t="s">
        <v>1807</v>
      </c>
      <c r="F1366" s="11">
        <v>2</v>
      </c>
      <c r="G1366" s="12">
        <v>204.89</v>
      </c>
      <c r="H1366" s="9">
        <v>0.24</v>
      </c>
      <c r="I1366" s="12" t="s">
        <v>1824</v>
      </c>
      <c r="J1366" s="9">
        <v>311.43279999999999</v>
      </c>
    </row>
    <row r="1367" spans="1:10" x14ac:dyDescent="0.3">
      <c r="A1367" s="22" t="s">
        <v>3176</v>
      </c>
      <c r="B1367" s="10">
        <v>45549</v>
      </c>
      <c r="C1367" s="12" t="s">
        <v>325</v>
      </c>
      <c r="D1367" s="12" t="s">
        <v>1678</v>
      </c>
      <c r="E1367" s="12" t="s">
        <v>1799</v>
      </c>
      <c r="F1367" s="11">
        <v>2</v>
      </c>
      <c r="G1367" s="12">
        <v>546.41</v>
      </c>
      <c r="H1367" s="9">
        <v>0.08</v>
      </c>
      <c r="I1367" s="12" t="s">
        <v>1829</v>
      </c>
      <c r="J1367" s="9">
        <v>1005.3944</v>
      </c>
    </row>
    <row r="1368" spans="1:10" x14ac:dyDescent="0.3">
      <c r="A1368" s="22" t="s">
        <v>3177</v>
      </c>
      <c r="B1368" s="10">
        <v>45409</v>
      </c>
      <c r="C1368" s="12" t="s">
        <v>211</v>
      </c>
      <c r="D1368" s="12" t="s">
        <v>1584</v>
      </c>
      <c r="E1368" s="12" t="s">
        <v>1794</v>
      </c>
      <c r="F1368" s="11">
        <v>4</v>
      </c>
      <c r="G1368" s="12">
        <v>455.49</v>
      </c>
      <c r="H1368" s="9">
        <v>0.17</v>
      </c>
      <c r="I1368" s="12" t="s">
        <v>1824</v>
      </c>
      <c r="J1368" s="9">
        <v>1512.2267999999999</v>
      </c>
    </row>
    <row r="1369" spans="1:10" x14ac:dyDescent="0.3">
      <c r="A1369" s="22" t="s">
        <v>3178</v>
      </c>
      <c r="B1369" s="10">
        <v>45374</v>
      </c>
      <c r="C1369" s="12" t="s">
        <v>1310</v>
      </c>
      <c r="D1369" s="12" t="s">
        <v>1568</v>
      </c>
      <c r="E1369" s="12" t="s">
        <v>1804</v>
      </c>
      <c r="F1369" s="11">
        <v>2</v>
      </c>
      <c r="G1369" s="12">
        <v>700.27</v>
      </c>
      <c r="H1369" s="9">
        <v>0.16</v>
      </c>
      <c r="I1369" s="12" t="s">
        <v>1824</v>
      </c>
      <c r="J1369" s="9">
        <v>1176.4536000000001</v>
      </c>
    </row>
    <row r="1370" spans="1:10" x14ac:dyDescent="0.3">
      <c r="A1370" s="22" t="s">
        <v>3179</v>
      </c>
      <c r="B1370" s="10">
        <v>45282</v>
      </c>
      <c r="C1370" s="12" t="s">
        <v>1083</v>
      </c>
      <c r="D1370" s="12" t="s">
        <v>1712</v>
      </c>
      <c r="E1370" s="12" t="s">
        <v>1807</v>
      </c>
      <c r="F1370" s="11">
        <v>2</v>
      </c>
      <c r="G1370" s="12">
        <v>160.21</v>
      </c>
      <c r="H1370" s="9">
        <v>0.09</v>
      </c>
      <c r="I1370" s="12" t="s">
        <v>1824</v>
      </c>
      <c r="J1370" s="9">
        <v>291.5822</v>
      </c>
    </row>
    <row r="1371" spans="1:10" x14ac:dyDescent="0.3">
      <c r="A1371" s="22" t="s">
        <v>3180</v>
      </c>
      <c r="B1371" s="10">
        <v>45742</v>
      </c>
      <c r="C1371" s="12" t="s">
        <v>127</v>
      </c>
      <c r="D1371" s="12" t="s">
        <v>1642</v>
      </c>
      <c r="E1371" s="12" t="s">
        <v>1792</v>
      </c>
      <c r="F1371" s="11">
        <v>1</v>
      </c>
      <c r="G1371" s="12">
        <v>713.63</v>
      </c>
      <c r="H1371" s="9">
        <v>0.28000000000000003</v>
      </c>
      <c r="I1371" s="12" t="s">
        <v>1829</v>
      </c>
      <c r="J1371" s="9">
        <v>513.81359999999995</v>
      </c>
    </row>
    <row r="1372" spans="1:10" x14ac:dyDescent="0.3">
      <c r="A1372" s="22" t="s">
        <v>3181</v>
      </c>
      <c r="B1372" s="10">
        <v>45447</v>
      </c>
      <c r="C1372" s="12" t="s">
        <v>732</v>
      </c>
      <c r="D1372" s="12" t="s">
        <v>1734</v>
      </c>
      <c r="E1372" s="12" t="s">
        <v>1779</v>
      </c>
      <c r="F1372" s="11">
        <v>2</v>
      </c>
      <c r="G1372" s="12">
        <v>224.69</v>
      </c>
      <c r="H1372" s="9">
        <v>0.2</v>
      </c>
      <c r="I1372" s="12" t="s">
        <v>1829</v>
      </c>
      <c r="J1372" s="9">
        <v>359.50400000000002</v>
      </c>
    </row>
    <row r="1373" spans="1:10" x14ac:dyDescent="0.3">
      <c r="A1373" s="22" t="s">
        <v>3182</v>
      </c>
      <c r="B1373" s="10">
        <v>45733</v>
      </c>
      <c r="C1373" s="12" t="s">
        <v>1400</v>
      </c>
      <c r="D1373" s="12" t="s">
        <v>1588</v>
      </c>
      <c r="E1373" s="12" t="s">
        <v>1799</v>
      </c>
      <c r="F1373" s="11">
        <v>2</v>
      </c>
      <c r="G1373" s="12">
        <v>740.57</v>
      </c>
      <c r="H1373" s="9">
        <v>0.06</v>
      </c>
      <c r="I1373" s="12" t="s">
        <v>1824</v>
      </c>
      <c r="J1373" s="9">
        <v>1392.2716</v>
      </c>
    </row>
    <row r="1374" spans="1:10" x14ac:dyDescent="0.3">
      <c r="A1374" s="22" t="s">
        <v>3183</v>
      </c>
      <c r="B1374" s="10">
        <v>45373</v>
      </c>
      <c r="C1374" s="12" t="s">
        <v>481</v>
      </c>
      <c r="D1374" s="12" t="s">
        <v>1570</v>
      </c>
      <c r="E1374" s="12" t="s">
        <v>1766</v>
      </c>
      <c r="F1374" s="11">
        <v>3</v>
      </c>
      <c r="G1374" s="12">
        <v>250.14</v>
      </c>
      <c r="H1374" s="9">
        <v>0.23</v>
      </c>
      <c r="I1374" s="12" t="s">
        <v>1826</v>
      </c>
      <c r="J1374" s="9">
        <v>577.82339999999999</v>
      </c>
    </row>
    <row r="1375" spans="1:10" x14ac:dyDescent="0.3">
      <c r="A1375" s="22" t="s">
        <v>3184</v>
      </c>
      <c r="B1375" s="10">
        <v>45655</v>
      </c>
      <c r="C1375" s="12" t="s">
        <v>89</v>
      </c>
      <c r="D1375" s="12" t="s">
        <v>1744</v>
      </c>
      <c r="E1375" s="12" t="s">
        <v>1813</v>
      </c>
      <c r="F1375" s="11">
        <v>3</v>
      </c>
      <c r="G1375" s="12">
        <v>34.97</v>
      </c>
      <c r="H1375" s="9">
        <v>0.01</v>
      </c>
      <c r="I1375" s="12" t="s">
        <v>1824</v>
      </c>
      <c r="J1375" s="9">
        <v>103.8609</v>
      </c>
    </row>
    <row r="1376" spans="1:10" x14ac:dyDescent="0.3">
      <c r="A1376" s="22" t="s">
        <v>3185</v>
      </c>
      <c r="B1376" s="10">
        <v>45868</v>
      </c>
      <c r="C1376" s="12" t="s">
        <v>960</v>
      </c>
      <c r="D1376" s="12" t="s">
        <v>1632</v>
      </c>
      <c r="E1376" s="12" t="s">
        <v>1804</v>
      </c>
      <c r="F1376" s="11">
        <v>1</v>
      </c>
      <c r="G1376" s="12">
        <v>653.91</v>
      </c>
      <c r="H1376" s="9">
        <v>0.3</v>
      </c>
      <c r="I1376" s="12" t="s">
        <v>1826</v>
      </c>
      <c r="J1376" s="9">
        <v>457.73700000000002</v>
      </c>
    </row>
    <row r="1377" spans="1:10" x14ac:dyDescent="0.3">
      <c r="A1377" s="22" t="s">
        <v>3186</v>
      </c>
      <c r="B1377" s="10">
        <v>45338</v>
      </c>
      <c r="C1377" s="12" t="s">
        <v>1136</v>
      </c>
      <c r="D1377" s="12" t="s">
        <v>1680</v>
      </c>
      <c r="E1377" s="12" t="s">
        <v>1766</v>
      </c>
      <c r="F1377" s="11">
        <v>1</v>
      </c>
      <c r="G1377" s="12">
        <v>997.87</v>
      </c>
      <c r="H1377" s="9">
        <v>0.24</v>
      </c>
      <c r="I1377" s="12" t="s">
        <v>1824</v>
      </c>
      <c r="J1377" s="9">
        <v>758.38120000000004</v>
      </c>
    </row>
    <row r="1378" spans="1:10" x14ac:dyDescent="0.3">
      <c r="A1378" s="22" t="s">
        <v>3187</v>
      </c>
      <c r="B1378" s="10">
        <v>45349</v>
      </c>
      <c r="C1378" s="12" t="s">
        <v>678</v>
      </c>
      <c r="D1378" s="12" t="s">
        <v>1726</v>
      </c>
      <c r="E1378" s="12" t="s">
        <v>1799</v>
      </c>
      <c r="F1378" s="11">
        <v>1</v>
      </c>
      <c r="G1378" s="12">
        <v>174.27</v>
      </c>
      <c r="H1378" s="9">
        <v>0.27</v>
      </c>
      <c r="I1378" s="12" t="s">
        <v>1829</v>
      </c>
      <c r="J1378" s="9">
        <v>127.2171</v>
      </c>
    </row>
    <row r="1379" spans="1:10" x14ac:dyDescent="0.3">
      <c r="A1379" s="22" t="s">
        <v>3188</v>
      </c>
      <c r="B1379" s="10">
        <v>45368</v>
      </c>
      <c r="C1379" s="12" t="s">
        <v>402</v>
      </c>
      <c r="D1379" s="12" t="s">
        <v>1646</v>
      </c>
      <c r="E1379" s="12" t="s">
        <v>1779</v>
      </c>
      <c r="F1379" s="11">
        <v>3</v>
      </c>
      <c r="G1379" s="12">
        <v>847.44</v>
      </c>
      <c r="H1379" s="9">
        <v>0.17</v>
      </c>
      <c r="I1379" s="12" t="s">
        <v>1824</v>
      </c>
      <c r="J1379" s="9">
        <v>2110.1255999999998</v>
      </c>
    </row>
    <row r="1380" spans="1:10" x14ac:dyDescent="0.3">
      <c r="A1380" s="22" t="s">
        <v>3189</v>
      </c>
      <c r="B1380" s="10">
        <v>45243</v>
      </c>
      <c r="C1380" s="12" t="s">
        <v>1328</v>
      </c>
      <c r="D1380" s="12" t="s">
        <v>1549</v>
      </c>
      <c r="E1380" s="12" t="s">
        <v>1761</v>
      </c>
      <c r="F1380" s="11">
        <v>1</v>
      </c>
      <c r="G1380" s="12">
        <v>493.45</v>
      </c>
      <c r="H1380" s="9">
        <v>0.09</v>
      </c>
      <c r="I1380" s="12" t="s">
        <v>1824</v>
      </c>
      <c r="J1380" s="9">
        <v>449.03949999999998</v>
      </c>
    </row>
    <row r="1381" spans="1:10" x14ac:dyDescent="0.3">
      <c r="A1381" s="22" t="s">
        <v>3190</v>
      </c>
      <c r="B1381" s="10">
        <v>45577</v>
      </c>
      <c r="C1381" s="12" t="s">
        <v>746</v>
      </c>
      <c r="D1381" s="12" t="s">
        <v>1672</v>
      </c>
      <c r="E1381" s="12" t="s">
        <v>1761</v>
      </c>
      <c r="F1381" s="11">
        <v>4</v>
      </c>
      <c r="G1381" s="12">
        <v>111.66</v>
      </c>
      <c r="H1381" s="9">
        <v>0.14000000000000001</v>
      </c>
      <c r="I1381" s="12" t="s">
        <v>1824</v>
      </c>
      <c r="J1381" s="9">
        <v>384.11040000000003</v>
      </c>
    </row>
    <row r="1382" spans="1:10" x14ac:dyDescent="0.3">
      <c r="A1382" s="22" t="s">
        <v>3191</v>
      </c>
      <c r="B1382" s="10">
        <v>45343</v>
      </c>
      <c r="C1382" s="12" t="s">
        <v>884</v>
      </c>
      <c r="D1382" s="12" t="s">
        <v>1728</v>
      </c>
      <c r="E1382" s="12" t="s">
        <v>1792</v>
      </c>
      <c r="F1382" s="11">
        <v>1</v>
      </c>
      <c r="G1382" s="12">
        <v>413.65</v>
      </c>
      <c r="H1382" s="9">
        <v>0.1</v>
      </c>
      <c r="I1382" s="12" t="s">
        <v>1829</v>
      </c>
      <c r="J1382" s="9">
        <v>372.28500000000003</v>
      </c>
    </row>
    <row r="1383" spans="1:10" x14ac:dyDescent="0.3">
      <c r="A1383" s="22" t="s">
        <v>3192</v>
      </c>
      <c r="B1383" s="10">
        <v>45744</v>
      </c>
      <c r="C1383" s="12" t="s">
        <v>1464</v>
      </c>
      <c r="D1383" s="12" t="s">
        <v>1726</v>
      </c>
      <c r="E1383" s="12" t="s">
        <v>1786</v>
      </c>
      <c r="F1383" s="11">
        <v>1</v>
      </c>
      <c r="G1383" s="12">
        <v>317.14999999999998</v>
      </c>
      <c r="H1383" s="9">
        <v>0.24</v>
      </c>
      <c r="I1383" s="12" t="s">
        <v>1829</v>
      </c>
      <c r="J1383" s="9">
        <v>241.03399999999999</v>
      </c>
    </row>
    <row r="1384" spans="1:10" x14ac:dyDescent="0.3">
      <c r="A1384" s="22" t="s">
        <v>3193</v>
      </c>
      <c r="B1384" s="10">
        <v>45873</v>
      </c>
      <c r="C1384" s="12" t="s">
        <v>1124</v>
      </c>
      <c r="D1384" s="12" t="s">
        <v>1724</v>
      </c>
      <c r="E1384" s="12" t="s">
        <v>1757</v>
      </c>
      <c r="F1384" s="11">
        <v>3</v>
      </c>
      <c r="G1384" s="12">
        <v>642.94000000000005</v>
      </c>
      <c r="H1384" s="9">
        <v>0.05</v>
      </c>
      <c r="I1384" s="12" t="s">
        <v>1829</v>
      </c>
      <c r="J1384" s="9">
        <v>1832.3789999999999</v>
      </c>
    </row>
    <row r="1385" spans="1:10" x14ac:dyDescent="0.3">
      <c r="A1385" s="22" t="s">
        <v>3194</v>
      </c>
      <c r="B1385" s="10">
        <v>45601</v>
      </c>
      <c r="C1385" s="12" t="s">
        <v>455</v>
      </c>
      <c r="D1385" s="12" t="s">
        <v>1662</v>
      </c>
      <c r="E1385" s="12" t="s">
        <v>1789</v>
      </c>
      <c r="F1385" s="11">
        <v>4</v>
      </c>
      <c r="G1385" s="12">
        <v>559.59</v>
      </c>
      <c r="H1385" s="9">
        <v>0.19</v>
      </c>
      <c r="I1385" s="12" t="s">
        <v>1829</v>
      </c>
      <c r="J1385" s="9">
        <v>1813.0716</v>
      </c>
    </row>
    <row r="1386" spans="1:10" x14ac:dyDescent="0.3">
      <c r="A1386" s="22" t="s">
        <v>3195</v>
      </c>
      <c r="B1386" s="10">
        <v>45458</v>
      </c>
      <c r="C1386" s="12" t="s">
        <v>399</v>
      </c>
      <c r="D1386" s="12" t="s">
        <v>1606</v>
      </c>
      <c r="E1386" s="12" t="s">
        <v>1810</v>
      </c>
      <c r="F1386" s="11">
        <v>1</v>
      </c>
      <c r="G1386" s="12">
        <v>758.54</v>
      </c>
      <c r="H1386" s="9">
        <v>0.28999999999999998</v>
      </c>
      <c r="I1386" s="12" t="s">
        <v>1826</v>
      </c>
      <c r="J1386" s="9">
        <v>538.5634</v>
      </c>
    </row>
    <row r="1387" spans="1:10" x14ac:dyDescent="0.3">
      <c r="A1387" s="22" t="s">
        <v>3196</v>
      </c>
      <c r="B1387" s="10">
        <v>45649</v>
      </c>
      <c r="C1387" s="12" t="s">
        <v>1425</v>
      </c>
      <c r="D1387" s="12" t="s">
        <v>1708</v>
      </c>
      <c r="E1387" s="12" t="s">
        <v>1801</v>
      </c>
      <c r="F1387" s="11">
        <v>4</v>
      </c>
      <c r="G1387" s="12">
        <v>643.96</v>
      </c>
      <c r="H1387" s="9">
        <v>0.16</v>
      </c>
      <c r="I1387" s="12" t="s">
        <v>1826</v>
      </c>
      <c r="J1387" s="9">
        <v>2163.7055999999998</v>
      </c>
    </row>
    <row r="1388" spans="1:10" x14ac:dyDescent="0.3">
      <c r="A1388" s="22" t="s">
        <v>3197</v>
      </c>
      <c r="B1388" s="10">
        <v>45653</v>
      </c>
      <c r="C1388" s="12" t="s">
        <v>779</v>
      </c>
      <c r="D1388" s="12" t="s">
        <v>1596</v>
      </c>
      <c r="E1388" s="12" t="s">
        <v>1786</v>
      </c>
      <c r="F1388" s="11">
        <v>1</v>
      </c>
      <c r="G1388" s="12">
        <v>882.73</v>
      </c>
      <c r="H1388" s="9">
        <v>0.1</v>
      </c>
      <c r="I1388" s="12" t="s">
        <v>1824</v>
      </c>
      <c r="J1388" s="9">
        <v>794.45699999999999</v>
      </c>
    </row>
    <row r="1389" spans="1:10" x14ac:dyDescent="0.3">
      <c r="A1389" s="22" t="s">
        <v>3198</v>
      </c>
      <c r="B1389" s="10">
        <v>45378</v>
      </c>
      <c r="C1389" s="12" t="s">
        <v>1023</v>
      </c>
      <c r="D1389" s="12" t="s">
        <v>1730</v>
      </c>
      <c r="E1389" s="12" t="s">
        <v>1813</v>
      </c>
      <c r="F1389" s="11">
        <v>2</v>
      </c>
      <c r="G1389" s="12">
        <v>600.03</v>
      </c>
      <c r="H1389" s="9">
        <v>0.26</v>
      </c>
      <c r="I1389" s="12" t="s">
        <v>1826</v>
      </c>
      <c r="J1389" s="9">
        <v>888.0444</v>
      </c>
    </row>
    <row r="1390" spans="1:10" x14ac:dyDescent="0.3">
      <c r="A1390" s="22" t="s">
        <v>3199</v>
      </c>
      <c r="B1390" s="10">
        <v>45638</v>
      </c>
      <c r="C1390" s="12" t="s">
        <v>526</v>
      </c>
      <c r="D1390" s="12" t="s">
        <v>1656</v>
      </c>
      <c r="E1390" s="12" t="s">
        <v>1773</v>
      </c>
      <c r="F1390" s="11">
        <v>2</v>
      </c>
      <c r="G1390" s="12">
        <v>628.83000000000004</v>
      </c>
      <c r="H1390" s="9">
        <v>7.0000000000000007E-2</v>
      </c>
      <c r="I1390" s="12" t="s">
        <v>1826</v>
      </c>
      <c r="J1390" s="9">
        <v>1169.6238000000001</v>
      </c>
    </row>
    <row r="1391" spans="1:10" x14ac:dyDescent="0.3">
      <c r="A1391" s="22" t="s">
        <v>3200</v>
      </c>
      <c r="B1391" s="10">
        <v>45277</v>
      </c>
      <c r="C1391" s="12" t="s">
        <v>579</v>
      </c>
      <c r="D1391" s="12" t="s">
        <v>1710</v>
      </c>
      <c r="E1391" s="12" t="s">
        <v>1786</v>
      </c>
      <c r="F1391" s="11">
        <v>3</v>
      </c>
      <c r="G1391" s="12">
        <v>113.87</v>
      </c>
      <c r="H1391" s="9">
        <v>0.21</v>
      </c>
      <c r="I1391" s="12" t="s">
        <v>1829</v>
      </c>
      <c r="J1391" s="9">
        <v>269.87189999999998</v>
      </c>
    </row>
    <row r="1392" spans="1:10" x14ac:dyDescent="0.3">
      <c r="A1392" s="22" t="s">
        <v>3201</v>
      </c>
      <c r="B1392" s="10">
        <v>45351</v>
      </c>
      <c r="C1392" s="12" t="s">
        <v>1298</v>
      </c>
      <c r="D1392" s="12" t="s">
        <v>1692</v>
      </c>
      <c r="E1392" s="12" t="s">
        <v>1779</v>
      </c>
      <c r="F1392" s="11">
        <v>4</v>
      </c>
      <c r="G1392" s="12">
        <v>282.07</v>
      </c>
      <c r="H1392" s="9">
        <v>0.18</v>
      </c>
      <c r="I1392" s="12" t="s">
        <v>1826</v>
      </c>
      <c r="J1392" s="9">
        <v>925.18960000000004</v>
      </c>
    </row>
    <row r="1393" spans="1:10" x14ac:dyDescent="0.3">
      <c r="A1393" s="22" t="s">
        <v>3202</v>
      </c>
      <c r="B1393" s="10">
        <v>45290</v>
      </c>
      <c r="C1393" s="12" t="s">
        <v>523</v>
      </c>
      <c r="D1393" s="12" t="s">
        <v>1656</v>
      </c>
      <c r="E1393" s="12" t="s">
        <v>1776</v>
      </c>
      <c r="F1393" s="11">
        <v>3</v>
      </c>
      <c r="G1393" s="12">
        <v>676.77</v>
      </c>
      <c r="H1393" s="9">
        <v>0.17</v>
      </c>
      <c r="I1393" s="12" t="s">
        <v>1826</v>
      </c>
      <c r="J1393" s="9">
        <v>1685.1573000000001</v>
      </c>
    </row>
    <row r="1394" spans="1:10" x14ac:dyDescent="0.3">
      <c r="A1394" s="22" t="s">
        <v>3203</v>
      </c>
      <c r="B1394" s="10">
        <v>45638</v>
      </c>
      <c r="C1394" s="12" t="s">
        <v>713</v>
      </c>
      <c r="D1394" s="12" t="s">
        <v>1560</v>
      </c>
      <c r="E1394" s="12" t="s">
        <v>1804</v>
      </c>
      <c r="F1394" s="11">
        <v>2</v>
      </c>
      <c r="G1394" s="12">
        <v>362.7</v>
      </c>
      <c r="H1394" s="9">
        <v>0.09</v>
      </c>
      <c r="I1394" s="12" t="s">
        <v>1824</v>
      </c>
      <c r="J1394" s="9">
        <v>660.11400000000003</v>
      </c>
    </row>
    <row r="1395" spans="1:10" x14ac:dyDescent="0.3">
      <c r="A1395" s="22" t="s">
        <v>3204</v>
      </c>
      <c r="B1395" s="10">
        <v>45679</v>
      </c>
      <c r="C1395" s="12" t="s">
        <v>461</v>
      </c>
      <c r="D1395" s="12" t="s">
        <v>1574</v>
      </c>
      <c r="E1395" s="12" t="s">
        <v>1761</v>
      </c>
      <c r="F1395" s="11">
        <v>1</v>
      </c>
      <c r="G1395" s="12">
        <v>908.5</v>
      </c>
      <c r="H1395" s="9">
        <v>0.2</v>
      </c>
      <c r="I1395" s="12" t="s">
        <v>1829</v>
      </c>
      <c r="J1395" s="9">
        <v>726.80000000000007</v>
      </c>
    </row>
    <row r="1396" spans="1:10" x14ac:dyDescent="0.3">
      <c r="A1396" s="22" t="s">
        <v>3205</v>
      </c>
      <c r="B1396" s="10">
        <v>45296</v>
      </c>
      <c r="C1396" s="12" t="s">
        <v>247</v>
      </c>
      <c r="D1396" s="12" t="s">
        <v>1598</v>
      </c>
      <c r="E1396" s="12" t="s">
        <v>1801</v>
      </c>
      <c r="F1396" s="11">
        <v>2</v>
      </c>
      <c r="G1396" s="12">
        <v>795.37</v>
      </c>
      <c r="H1396" s="9">
        <v>0.2</v>
      </c>
      <c r="I1396" s="12" t="s">
        <v>1829</v>
      </c>
      <c r="J1396" s="9">
        <v>1272.5920000000001</v>
      </c>
    </row>
    <row r="1397" spans="1:10" x14ac:dyDescent="0.3">
      <c r="A1397" s="22" t="s">
        <v>3206</v>
      </c>
      <c r="B1397" s="10">
        <v>45760</v>
      </c>
      <c r="C1397" s="12" t="s">
        <v>487</v>
      </c>
      <c r="D1397" s="12" t="s">
        <v>1618</v>
      </c>
      <c r="E1397" s="12" t="s">
        <v>1769</v>
      </c>
      <c r="F1397" s="11">
        <v>2</v>
      </c>
      <c r="G1397" s="12">
        <v>326.85000000000002</v>
      </c>
      <c r="H1397" s="9">
        <v>0.17</v>
      </c>
      <c r="I1397" s="12" t="s">
        <v>1829</v>
      </c>
      <c r="J1397" s="9">
        <v>542.57100000000003</v>
      </c>
    </row>
    <row r="1398" spans="1:10" x14ac:dyDescent="0.3">
      <c r="A1398" s="22" t="s">
        <v>3207</v>
      </c>
      <c r="B1398" s="10">
        <v>45603</v>
      </c>
      <c r="C1398" s="12" t="s">
        <v>1098</v>
      </c>
      <c r="D1398" s="12" t="s">
        <v>1660</v>
      </c>
      <c r="E1398" s="12" t="s">
        <v>1799</v>
      </c>
      <c r="F1398" s="11">
        <v>3</v>
      </c>
      <c r="G1398" s="12">
        <v>169.43</v>
      </c>
      <c r="H1398" s="9">
        <v>0.19</v>
      </c>
      <c r="I1398" s="12" t="s">
        <v>1824</v>
      </c>
      <c r="J1398" s="9">
        <v>411.71490000000011</v>
      </c>
    </row>
    <row r="1399" spans="1:10" x14ac:dyDescent="0.3">
      <c r="A1399" s="22" t="s">
        <v>3208</v>
      </c>
      <c r="B1399" s="10">
        <v>45413</v>
      </c>
      <c r="C1399" s="12" t="s">
        <v>544</v>
      </c>
      <c r="D1399" s="12" t="s">
        <v>1714</v>
      </c>
      <c r="E1399" s="12" t="s">
        <v>1776</v>
      </c>
      <c r="F1399" s="11">
        <v>1</v>
      </c>
      <c r="G1399" s="12">
        <v>254.47</v>
      </c>
      <c r="H1399" s="9">
        <v>0.1</v>
      </c>
      <c r="I1399" s="12" t="s">
        <v>1824</v>
      </c>
      <c r="J1399" s="9">
        <v>229.023</v>
      </c>
    </row>
    <row r="1400" spans="1:10" x14ac:dyDescent="0.3">
      <c r="A1400" s="22" t="s">
        <v>3209</v>
      </c>
      <c r="B1400" s="10">
        <v>45506</v>
      </c>
      <c r="C1400" s="12" t="s">
        <v>1298</v>
      </c>
      <c r="D1400" s="12" t="s">
        <v>1598</v>
      </c>
      <c r="E1400" s="12" t="s">
        <v>1804</v>
      </c>
      <c r="F1400" s="11">
        <v>4</v>
      </c>
      <c r="G1400" s="12">
        <v>627.73</v>
      </c>
      <c r="H1400" s="9">
        <v>0.11</v>
      </c>
      <c r="I1400" s="12" t="s">
        <v>1829</v>
      </c>
      <c r="J1400" s="9">
        <v>2234.7188000000001</v>
      </c>
    </row>
    <row r="1401" spans="1:10" x14ac:dyDescent="0.3">
      <c r="A1401" s="22" t="s">
        <v>3210</v>
      </c>
      <c r="B1401" s="10">
        <v>45394</v>
      </c>
      <c r="C1401" s="12" t="s">
        <v>1160</v>
      </c>
      <c r="D1401" s="12" t="s">
        <v>1610</v>
      </c>
      <c r="E1401" s="12" t="s">
        <v>1813</v>
      </c>
      <c r="F1401" s="11">
        <v>4</v>
      </c>
      <c r="G1401" s="12">
        <v>327.25</v>
      </c>
      <c r="H1401" s="9">
        <v>0.13</v>
      </c>
      <c r="I1401" s="12" t="s">
        <v>1829</v>
      </c>
      <c r="J1401" s="9">
        <v>1138.83</v>
      </c>
    </row>
    <row r="1402" spans="1:10" x14ac:dyDescent="0.3">
      <c r="A1402" s="22" t="s">
        <v>3211</v>
      </c>
      <c r="B1402" s="10">
        <v>45755</v>
      </c>
      <c r="C1402" s="12" t="s">
        <v>490</v>
      </c>
      <c r="D1402" s="12" t="s">
        <v>1666</v>
      </c>
      <c r="E1402" s="12" t="s">
        <v>1792</v>
      </c>
      <c r="F1402" s="11">
        <v>4</v>
      </c>
      <c r="G1402" s="12">
        <v>511.43</v>
      </c>
      <c r="H1402" s="9">
        <v>0.18</v>
      </c>
      <c r="I1402" s="12" t="s">
        <v>1829</v>
      </c>
      <c r="J1402" s="9">
        <v>1677.4903999999999</v>
      </c>
    </row>
    <row r="1403" spans="1:10" x14ac:dyDescent="0.3">
      <c r="A1403" s="22" t="s">
        <v>3212</v>
      </c>
      <c r="B1403" s="10">
        <v>45473</v>
      </c>
      <c r="C1403" s="12" t="s">
        <v>550</v>
      </c>
      <c r="D1403" s="12" t="s">
        <v>1674</v>
      </c>
      <c r="E1403" s="12" t="s">
        <v>1807</v>
      </c>
      <c r="F1403" s="11">
        <v>4</v>
      </c>
      <c r="G1403" s="12">
        <v>194.67</v>
      </c>
      <c r="H1403" s="9">
        <v>0.23</v>
      </c>
      <c r="I1403" s="12" t="s">
        <v>1826</v>
      </c>
      <c r="J1403" s="9">
        <v>599.58359999999993</v>
      </c>
    </row>
    <row r="1404" spans="1:10" x14ac:dyDescent="0.3">
      <c r="A1404" s="22" t="s">
        <v>3213</v>
      </c>
      <c r="B1404" s="10">
        <v>45304</v>
      </c>
      <c r="C1404" s="12" t="s">
        <v>221</v>
      </c>
      <c r="D1404" s="12" t="s">
        <v>1594</v>
      </c>
      <c r="E1404" s="12" t="s">
        <v>1757</v>
      </c>
      <c r="F1404" s="11">
        <v>2</v>
      </c>
      <c r="G1404" s="12">
        <v>54.51</v>
      </c>
      <c r="H1404" s="9">
        <v>7.0000000000000007E-2</v>
      </c>
      <c r="I1404" s="12" t="s">
        <v>1824</v>
      </c>
      <c r="J1404" s="9">
        <v>101.3886</v>
      </c>
    </row>
    <row r="1405" spans="1:10" x14ac:dyDescent="0.3">
      <c r="A1405" s="22" t="s">
        <v>3214</v>
      </c>
      <c r="B1405" s="10">
        <v>45557</v>
      </c>
      <c r="C1405" s="12" t="s">
        <v>278</v>
      </c>
      <c r="D1405" s="12" t="s">
        <v>1672</v>
      </c>
      <c r="E1405" s="12" t="s">
        <v>1792</v>
      </c>
      <c r="F1405" s="11">
        <v>4</v>
      </c>
      <c r="G1405" s="12">
        <v>964</v>
      </c>
      <c r="H1405" s="9">
        <v>0.14000000000000001</v>
      </c>
      <c r="I1405" s="12" t="s">
        <v>1826</v>
      </c>
      <c r="J1405" s="9">
        <v>3316.16</v>
      </c>
    </row>
    <row r="1406" spans="1:10" x14ac:dyDescent="0.3">
      <c r="A1406" s="22" t="s">
        <v>3215</v>
      </c>
      <c r="B1406" s="10">
        <v>45527</v>
      </c>
      <c r="C1406" s="12" t="s">
        <v>157</v>
      </c>
      <c r="D1406" s="12" t="s">
        <v>1726</v>
      </c>
      <c r="E1406" s="12" t="s">
        <v>1769</v>
      </c>
      <c r="F1406" s="11">
        <v>1</v>
      </c>
      <c r="G1406" s="12">
        <v>170.12</v>
      </c>
      <c r="H1406" s="9">
        <v>0.26</v>
      </c>
      <c r="I1406" s="12" t="s">
        <v>1826</v>
      </c>
      <c r="J1406" s="9">
        <v>125.8888</v>
      </c>
    </row>
    <row r="1407" spans="1:10" x14ac:dyDescent="0.3">
      <c r="A1407" s="22" t="s">
        <v>3216</v>
      </c>
      <c r="B1407" s="10">
        <v>45875</v>
      </c>
      <c r="C1407" s="12" t="s">
        <v>511</v>
      </c>
      <c r="D1407" s="12" t="s">
        <v>1654</v>
      </c>
      <c r="E1407" s="12" t="s">
        <v>1813</v>
      </c>
      <c r="F1407" s="11">
        <v>2</v>
      </c>
      <c r="G1407" s="12">
        <v>664.5</v>
      </c>
      <c r="H1407" s="9">
        <v>0.23</v>
      </c>
      <c r="I1407" s="12" t="s">
        <v>1824</v>
      </c>
      <c r="J1407" s="9">
        <v>1023.33</v>
      </c>
    </row>
    <row r="1408" spans="1:10" x14ac:dyDescent="0.3">
      <c r="A1408" s="22" t="s">
        <v>3217</v>
      </c>
      <c r="B1408" s="10">
        <v>45936</v>
      </c>
      <c r="C1408" s="12" t="s">
        <v>1160</v>
      </c>
      <c r="D1408" s="12" t="s">
        <v>1638</v>
      </c>
      <c r="E1408" s="12" t="s">
        <v>1789</v>
      </c>
      <c r="F1408" s="11">
        <v>4</v>
      </c>
      <c r="G1408" s="12">
        <v>557.51</v>
      </c>
      <c r="H1408" s="9">
        <v>0.11</v>
      </c>
      <c r="I1408" s="12" t="s">
        <v>1824</v>
      </c>
      <c r="J1408" s="9">
        <v>1984.7356</v>
      </c>
    </row>
    <row r="1409" spans="1:10" x14ac:dyDescent="0.3">
      <c r="A1409" s="22" t="s">
        <v>3218</v>
      </c>
      <c r="B1409" s="10">
        <v>45807</v>
      </c>
      <c r="C1409" s="12" t="s">
        <v>1238</v>
      </c>
      <c r="D1409" s="12" t="s">
        <v>1728</v>
      </c>
      <c r="E1409" s="12" t="s">
        <v>1757</v>
      </c>
      <c r="F1409" s="11">
        <v>2</v>
      </c>
      <c r="G1409" s="12">
        <v>410</v>
      </c>
      <c r="H1409" s="9">
        <v>0.13</v>
      </c>
      <c r="I1409" s="12" t="s">
        <v>1829</v>
      </c>
      <c r="J1409" s="9">
        <v>713.4</v>
      </c>
    </row>
    <row r="1410" spans="1:10" x14ac:dyDescent="0.3">
      <c r="A1410" s="22" t="s">
        <v>3219</v>
      </c>
      <c r="B1410" s="10">
        <v>45473</v>
      </c>
      <c r="C1410" s="12" t="s">
        <v>966</v>
      </c>
      <c r="D1410" s="12" t="s">
        <v>1714</v>
      </c>
      <c r="E1410" s="12" t="s">
        <v>1773</v>
      </c>
      <c r="F1410" s="11">
        <v>2</v>
      </c>
      <c r="G1410" s="12">
        <v>879.93</v>
      </c>
      <c r="H1410" s="9">
        <v>0.28999999999999998</v>
      </c>
      <c r="I1410" s="12" t="s">
        <v>1829</v>
      </c>
      <c r="J1410" s="9">
        <v>1249.5006000000001</v>
      </c>
    </row>
    <row r="1411" spans="1:10" x14ac:dyDescent="0.3">
      <c r="A1411" s="22" t="s">
        <v>3220</v>
      </c>
      <c r="B1411" s="10">
        <v>45664</v>
      </c>
      <c r="C1411" s="12" t="s">
        <v>40</v>
      </c>
      <c r="D1411" s="12" t="s">
        <v>1574</v>
      </c>
      <c r="E1411" s="12" t="s">
        <v>1810</v>
      </c>
      <c r="F1411" s="11">
        <v>1</v>
      </c>
      <c r="G1411" s="12">
        <v>350.58</v>
      </c>
      <c r="H1411" s="9">
        <v>0.03</v>
      </c>
      <c r="I1411" s="12" t="s">
        <v>1829</v>
      </c>
      <c r="J1411" s="9">
        <v>340.06259999999997</v>
      </c>
    </row>
    <row r="1412" spans="1:10" x14ac:dyDescent="0.3">
      <c r="A1412" s="22" t="s">
        <v>3221</v>
      </c>
      <c r="B1412" s="10">
        <v>45633</v>
      </c>
      <c r="C1412" s="12" t="s">
        <v>1098</v>
      </c>
      <c r="D1412" s="12" t="s">
        <v>1664</v>
      </c>
      <c r="E1412" s="12" t="s">
        <v>1766</v>
      </c>
      <c r="F1412" s="11">
        <v>4</v>
      </c>
      <c r="G1412" s="12">
        <v>348.58</v>
      </c>
      <c r="H1412" s="9">
        <v>0.16</v>
      </c>
      <c r="I1412" s="12" t="s">
        <v>1824</v>
      </c>
      <c r="J1412" s="9">
        <v>1171.2288000000001</v>
      </c>
    </row>
    <row r="1413" spans="1:10" x14ac:dyDescent="0.3">
      <c r="A1413" s="22" t="s">
        <v>3222</v>
      </c>
      <c r="B1413" s="10">
        <v>45548</v>
      </c>
      <c r="C1413" s="12" t="s">
        <v>1417</v>
      </c>
      <c r="D1413" s="12" t="s">
        <v>1598</v>
      </c>
      <c r="E1413" s="12" t="s">
        <v>1766</v>
      </c>
      <c r="F1413" s="11">
        <v>3</v>
      </c>
      <c r="G1413" s="12">
        <v>247.66</v>
      </c>
      <c r="H1413" s="9">
        <v>0.02</v>
      </c>
      <c r="I1413" s="12" t="s">
        <v>1829</v>
      </c>
      <c r="J1413" s="9">
        <v>728.12040000000002</v>
      </c>
    </row>
    <row r="1414" spans="1:10" x14ac:dyDescent="0.3">
      <c r="A1414" s="22" t="s">
        <v>3223</v>
      </c>
      <c r="B1414" s="10">
        <v>45244</v>
      </c>
      <c r="C1414" s="12" t="s">
        <v>1211</v>
      </c>
      <c r="D1414" s="12" t="s">
        <v>1626</v>
      </c>
      <c r="E1414" s="12" t="s">
        <v>1801</v>
      </c>
      <c r="F1414" s="11">
        <v>3</v>
      </c>
      <c r="G1414" s="12">
        <v>836.27</v>
      </c>
      <c r="H1414" s="9">
        <v>0.16</v>
      </c>
      <c r="I1414" s="12" t="s">
        <v>1824</v>
      </c>
      <c r="J1414" s="9">
        <v>2107.4004</v>
      </c>
    </row>
    <row r="1415" spans="1:10" x14ac:dyDescent="0.3">
      <c r="A1415" s="22" t="s">
        <v>3224</v>
      </c>
      <c r="B1415" s="10">
        <v>45753</v>
      </c>
      <c r="C1415" s="12" t="s">
        <v>640</v>
      </c>
      <c r="D1415" s="12" t="s">
        <v>1576</v>
      </c>
      <c r="E1415" s="12" t="s">
        <v>1789</v>
      </c>
      <c r="F1415" s="11">
        <v>3</v>
      </c>
      <c r="G1415" s="12">
        <v>696.74</v>
      </c>
      <c r="H1415" s="9">
        <v>0.13</v>
      </c>
      <c r="I1415" s="12" t="s">
        <v>1829</v>
      </c>
      <c r="J1415" s="9">
        <v>1818.4914000000001</v>
      </c>
    </row>
    <row r="1416" spans="1:10" x14ac:dyDescent="0.3">
      <c r="A1416" s="22" t="s">
        <v>3225</v>
      </c>
      <c r="B1416" s="10">
        <v>45804</v>
      </c>
      <c r="C1416" s="12" t="s">
        <v>785</v>
      </c>
      <c r="D1416" s="12" t="s">
        <v>1736</v>
      </c>
      <c r="E1416" s="12" t="s">
        <v>1797</v>
      </c>
      <c r="F1416" s="11">
        <v>2</v>
      </c>
      <c r="G1416" s="12">
        <v>822.59</v>
      </c>
      <c r="H1416" s="9">
        <v>0.22</v>
      </c>
      <c r="I1416" s="12" t="s">
        <v>1826</v>
      </c>
      <c r="J1416" s="9">
        <v>1283.2403999999999</v>
      </c>
    </row>
    <row r="1417" spans="1:10" x14ac:dyDescent="0.3">
      <c r="A1417" s="22" t="s">
        <v>3226</v>
      </c>
      <c r="B1417" s="10">
        <v>45263</v>
      </c>
      <c r="C1417" s="12" t="s">
        <v>719</v>
      </c>
      <c r="D1417" s="12" t="s">
        <v>1706</v>
      </c>
      <c r="E1417" s="12" t="s">
        <v>1761</v>
      </c>
      <c r="F1417" s="11">
        <v>1</v>
      </c>
      <c r="G1417" s="12">
        <v>462.23</v>
      </c>
      <c r="H1417" s="9">
        <v>0.3</v>
      </c>
      <c r="I1417" s="12" t="s">
        <v>1826</v>
      </c>
      <c r="J1417" s="9">
        <v>323.56099999999998</v>
      </c>
    </row>
    <row r="1418" spans="1:10" x14ac:dyDescent="0.3">
      <c r="A1418" s="22" t="s">
        <v>3227</v>
      </c>
      <c r="B1418" s="10">
        <v>45906</v>
      </c>
      <c r="C1418" s="12" t="s">
        <v>1383</v>
      </c>
      <c r="D1418" s="12" t="s">
        <v>1632</v>
      </c>
      <c r="E1418" s="12" t="s">
        <v>1807</v>
      </c>
      <c r="F1418" s="11">
        <v>1</v>
      </c>
      <c r="G1418" s="12">
        <v>361.09</v>
      </c>
      <c r="H1418" s="9">
        <v>0.06</v>
      </c>
      <c r="I1418" s="12" t="s">
        <v>1826</v>
      </c>
      <c r="J1418" s="9">
        <v>339.42459999999988</v>
      </c>
    </row>
    <row r="1419" spans="1:10" x14ac:dyDescent="0.3">
      <c r="A1419" s="22" t="s">
        <v>3228</v>
      </c>
      <c r="B1419" s="10">
        <v>45243</v>
      </c>
      <c r="C1419" s="12" t="s">
        <v>1196</v>
      </c>
      <c r="D1419" s="12" t="s">
        <v>1694</v>
      </c>
      <c r="E1419" s="12" t="s">
        <v>1813</v>
      </c>
      <c r="F1419" s="11">
        <v>3</v>
      </c>
      <c r="G1419" s="12">
        <v>59.37</v>
      </c>
      <c r="H1419" s="9">
        <v>0.03</v>
      </c>
      <c r="I1419" s="12" t="s">
        <v>1826</v>
      </c>
      <c r="J1419" s="9">
        <v>172.76669999999999</v>
      </c>
    </row>
    <row r="1420" spans="1:10" x14ac:dyDescent="0.3">
      <c r="A1420" s="22" t="s">
        <v>3229</v>
      </c>
      <c r="B1420" s="10">
        <v>45686</v>
      </c>
      <c r="C1420" s="12" t="s">
        <v>144</v>
      </c>
      <c r="D1420" s="12" t="s">
        <v>1628</v>
      </c>
      <c r="E1420" s="12" t="s">
        <v>1757</v>
      </c>
      <c r="F1420" s="11">
        <v>3</v>
      </c>
      <c r="G1420" s="12">
        <v>765.21</v>
      </c>
      <c r="H1420" s="9">
        <v>0.14000000000000001</v>
      </c>
      <c r="I1420" s="12" t="s">
        <v>1829</v>
      </c>
      <c r="J1420" s="9">
        <v>1974.2418</v>
      </c>
    </row>
    <row r="1421" spans="1:10" x14ac:dyDescent="0.3">
      <c r="A1421" s="22" t="s">
        <v>3230</v>
      </c>
      <c r="B1421" s="10">
        <v>45472</v>
      </c>
      <c r="C1421" s="12" t="s">
        <v>779</v>
      </c>
      <c r="D1421" s="12" t="s">
        <v>1612</v>
      </c>
      <c r="E1421" s="12" t="s">
        <v>1794</v>
      </c>
      <c r="F1421" s="11">
        <v>4</v>
      </c>
      <c r="G1421" s="12">
        <v>303.56</v>
      </c>
      <c r="H1421" s="9">
        <v>0.2</v>
      </c>
      <c r="I1421" s="12" t="s">
        <v>1829</v>
      </c>
      <c r="J1421" s="9">
        <v>971.39200000000005</v>
      </c>
    </row>
    <row r="1422" spans="1:10" x14ac:dyDescent="0.3">
      <c r="A1422" s="22" t="s">
        <v>3231</v>
      </c>
      <c r="B1422" s="10">
        <v>45779</v>
      </c>
      <c r="C1422" s="12" t="s">
        <v>1371</v>
      </c>
      <c r="D1422" s="12" t="s">
        <v>1602</v>
      </c>
      <c r="E1422" s="12" t="s">
        <v>1752</v>
      </c>
      <c r="F1422" s="11">
        <v>1</v>
      </c>
      <c r="G1422" s="12">
        <v>640.92999999999995</v>
      </c>
      <c r="H1422" s="9">
        <v>0.19</v>
      </c>
      <c r="I1422" s="12" t="s">
        <v>1826</v>
      </c>
      <c r="J1422" s="9">
        <v>519.15329999999994</v>
      </c>
    </row>
    <row r="1423" spans="1:10" x14ac:dyDescent="0.3">
      <c r="A1423" s="22" t="s">
        <v>3232</v>
      </c>
      <c r="B1423" s="10">
        <v>45830</v>
      </c>
      <c r="C1423" s="12" t="s">
        <v>576</v>
      </c>
      <c r="D1423" s="12" t="s">
        <v>1720</v>
      </c>
      <c r="E1423" s="12" t="s">
        <v>1789</v>
      </c>
      <c r="F1423" s="11">
        <v>2</v>
      </c>
      <c r="G1423" s="12">
        <v>611.25</v>
      </c>
      <c r="H1423" s="9">
        <v>0.22</v>
      </c>
      <c r="I1423" s="12" t="s">
        <v>1824</v>
      </c>
      <c r="J1423" s="9">
        <v>953.55000000000007</v>
      </c>
    </row>
    <row r="1424" spans="1:10" x14ac:dyDescent="0.3">
      <c r="A1424" s="22" t="s">
        <v>3233</v>
      </c>
      <c r="B1424" s="10">
        <v>45756</v>
      </c>
      <c r="C1424" s="12" t="s">
        <v>1422</v>
      </c>
      <c r="D1424" s="12" t="s">
        <v>1680</v>
      </c>
      <c r="E1424" s="12" t="s">
        <v>1757</v>
      </c>
      <c r="F1424" s="11">
        <v>1</v>
      </c>
      <c r="G1424" s="12">
        <v>209.93</v>
      </c>
      <c r="H1424" s="9">
        <v>0.21</v>
      </c>
      <c r="I1424" s="12" t="s">
        <v>1824</v>
      </c>
      <c r="J1424" s="9">
        <v>165.84469999999999</v>
      </c>
    </row>
    <row r="1425" spans="1:10" x14ac:dyDescent="0.3">
      <c r="A1425" s="22" t="s">
        <v>3234</v>
      </c>
      <c r="B1425" s="10">
        <v>45847</v>
      </c>
      <c r="C1425" s="12" t="s">
        <v>387</v>
      </c>
      <c r="D1425" s="12" t="s">
        <v>1746</v>
      </c>
      <c r="E1425" s="12" t="s">
        <v>1789</v>
      </c>
      <c r="F1425" s="11">
        <v>3</v>
      </c>
      <c r="G1425" s="12">
        <v>130.38999999999999</v>
      </c>
      <c r="H1425" s="9">
        <v>0.24</v>
      </c>
      <c r="I1425" s="12" t="s">
        <v>1826</v>
      </c>
      <c r="J1425" s="9">
        <v>297.28919999999999</v>
      </c>
    </row>
    <row r="1426" spans="1:10" x14ac:dyDescent="0.3">
      <c r="A1426" s="22" t="s">
        <v>3235</v>
      </c>
      <c r="B1426" s="10">
        <v>45322</v>
      </c>
      <c r="C1426" s="12" t="s">
        <v>923</v>
      </c>
      <c r="D1426" s="12" t="s">
        <v>1734</v>
      </c>
      <c r="E1426" s="12" t="s">
        <v>1779</v>
      </c>
      <c r="F1426" s="11">
        <v>2</v>
      </c>
      <c r="G1426" s="12">
        <v>846.18</v>
      </c>
      <c r="H1426" s="9">
        <v>0.1</v>
      </c>
      <c r="I1426" s="12" t="s">
        <v>1829</v>
      </c>
      <c r="J1426" s="9">
        <v>1523.124</v>
      </c>
    </row>
    <row r="1427" spans="1:10" x14ac:dyDescent="0.3">
      <c r="A1427" s="22" t="s">
        <v>3236</v>
      </c>
      <c r="B1427" s="10">
        <v>45829</v>
      </c>
      <c r="C1427" s="12" t="s">
        <v>1109</v>
      </c>
      <c r="D1427" s="12" t="s">
        <v>1688</v>
      </c>
      <c r="E1427" s="12" t="s">
        <v>1799</v>
      </c>
      <c r="F1427" s="11">
        <v>2</v>
      </c>
      <c r="G1427" s="12">
        <v>424.53</v>
      </c>
      <c r="H1427" s="9">
        <v>0.14000000000000001</v>
      </c>
      <c r="I1427" s="12" t="s">
        <v>1829</v>
      </c>
      <c r="J1427" s="9">
        <v>730.19159999999999</v>
      </c>
    </row>
    <row r="1428" spans="1:10" x14ac:dyDescent="0.3">
      <c r="A1428" s="22" t="s">
        <v>3237</v>
      </c>
      <c r="B1428" s="10">
        <v>45539</v>
      </c>
      <c r="C1428" s="12" t="s">
        <v>824</v>
      </c>
      <c r="D1428" s="12" t="s">
        <v>1724</v>
      </c>
      <c r="E1428" s="12" t="s">
        <v>1799</v>
      </c>
      <c r="F1428" s="11">
        <v>4</v>
      </c>
      <c r="G1428" s="12">
        <v>450.42</v>
      </c>
      <c r="H1428" s="9">
        <v>0.08</v>
      </c>
      <c r="I1428" s="12" t="s">
        <v>1829</v>
      </c>
      <c r="J1428" s="9">
        <v>1657.5455999999999</v>
      </c>
    </row>
    <row r="1429" spans="1:10" x14ac:dyDescent="0.3">
      <c r="A1429" s="22" t="s">
        <v>3238</v>
      </c>
      <c r="B1429" s="10">
        <v>45893</v>
      </c>
      <c r="C1429" s="12" t="s">
        <v>523</v>
      </c>
      <c r="D1429" s="12" t="s">
        <v>1600</v>
      </c>
      <c r="E1429" s="12" t="s">
        <v>1786</v>
      </c>
      <c r="F1429" s="11">
        <v>4</v>
      </c>
      <c r="G1429" s="12">
        <v>896.91</v>
      </c>
      <c r="H1429" s="9">
        <v>0.1</v>
      </c>
      <c r="I1429" s="12" t="s">
        <v>1824</v>
      </c>
      <c r="J1429" s="9">
        <v>3228.8760000000002</v>
      </c>
    </row>
    <row r="1430" spans="1:10" x14ac:dyDescent="0.3">
      <c r="A1430" s="22" t="s">
        <v>3239</v>
      </c>
      <c r="B1430" s="10">
        <v>45814</v>
      </c>
      <c r="C1430" s="12" t="s">
        <v>1492</v>
      </c>
      <c r="D1430" s="12" t="s">
        <v>1742</v>
      </c>
      <c r="E1430" s="12" t="s">
        <v>1789</v>
      </c>
      <c r="F1430" s="11">
        <v>3</v>
      </c>
      <c r="G1430" s="12">
        <v>679.38</v>
      </c>
      <c r="H1430" s="9">
        <v>0.3</v>
      </c>
      <c r="I1430" s="12" t="s">
        <v>1829</v>
      </c>
      <c r="J1430" s="9">
        <v>1426.6980000000001</v>
      </c>
    </row>
    <row r="1431" spans="1:10" x14ac:dyDescent="0.3">
      <c r="A1431" s="22" t="s">
        <v>3240</v>
      </c>
      <c r="B1431" s="10">
        <v>45571</v>
      </c>
      <c r="C1431" s="12" t="s">
        <v>75</v>
      </c>
      <c r="D1431" s="12" t="s">
        <v>1708</v>
      </c>
      <c r="E1431" s="12" t="s">
        <v>1804</v>
      </c>
      <c r="F1431" s="11">
        <v>3</v>
      </c>
      <c r="G1431" s="12">
        <v>483.63</v>
      </c>
      <c r="H1431" s="9">
        <v>0</v>
      </c>
      <c r="I1431" s="12" t="s">
        <v>1824</v>
      </c>
      <c r="J1431" s="9">
        <v>1450.89</v>
      </c>
    </row>
    <row r="1432" spans="1:10" x14ac:dyDescent="0.3">
      <c r="A1432" s="22" t="s">
        <v>3241</v>
      </c>
      <c r="B1432" s="10">
        <v>45542</v>
      </c>
      <c r="C1432" s="12" t="s">
        <v>124</v>
      </c>
      <c r="D1432" s="12" t="s">
        <v>1626</v>
      </c>
      <c r="E1432" s="12" t="s">
        <v>1752</v>
      </c>
      <c r="F1432" s="11">
        <v>3</v>
      </c>
      <c r="G1432" s="12">
        <v>158.27000000000001</v>
      </c>
      <c r="H1432" s="9">
        <v>0.24</v>
      </c>
      <c r="I1432" s="12" t="s">
        <v>1829</v>
      </c>
      <c r="J1432" s="9">
        <v>360.85559999999998</v>
      </c>
    </row>
    <row r="1433" spans="1:10" x14ac:dyDescent="0.3">
      <c r="A1433" s="22" t="s">
        <v>3242</v>
      </c>
      <c r="B1433" s="10">
        <v>45758</v>
      </c>
      <c r="C1433" s="12" t="s">
        <v>402</v>
      </c>
      <c r="D1433" s="12" t="s">
        <v>1549</v>
      </c>
      <c r="E1433" s="12" t="s">
        <v>1801</v>
      </c>
      <c r="F1433" s="11">
        <v>4</v>
      </c>
      <c r="G1433" s="12">
        <v>601.5</v>
      </c>
      <c r="H1433" s="9">
        <v>0.18</v>
      </c>
      <c r="I1433" s="12" t="s">
        <v>1824</v>
      </c>
      <c r="J1433" s="9">
        <v>1972.92</v>
      </c>
    </row>
    <row r="1434" spans="1:10" x14ac:dyDescent="0.3">
      <c r="A1434" s="22" t="s">
        <v>3243</v>
      </c>
      <c r="B1434" s="10">
        <v>45709</v>
      </c>
      <c r="C1434" s="12" t="s">
        <v>255</v>
      </c>
      <c r="D1434" s="12" t="s">
        <v>1610</v>
      </c>
      <c r="E1434" s="12" t="s">
        <v>1810</v>
      </c>
      <c r="F1434" s="11">
        <v>2</v>
      </c>
      <c r="G1434" s="12">
        <v>46.39</v>
      </c>
      <c r="H1434" s="9">
        <v>7.0000000000000007E-2</v>
      </c>
      <c r="I1434" s="12" t="s">
        <v>1824</v>
      </c>
      <c r="J1434" s="9">
        <v>86.285399999999996</v>
      </c>
    </row>
    <row r="1435" spans="1:10" x14ac:dyDescent="0.3">
      <c r="A1435" s="22" t="s">
        <v>3244</v>
      </c>
      <c r="B1435" s="10">
        <v>45587</v>
      </c>
      <c r="C1435" s="12" t="s">
        <v>414</v>
      </c>
      <c r="D1435" s="12" t="s">
        <v>1712</v>
      </c>
      <c r="E1435" s="12" t="s">
        <v>1782</v>
      </c>
      <c r="F1435" s="11">
        <v>4</v>
      </c>
      <c r="G1435" s="12">
        <v>892.28</v>
      </c>
      <c r="H1435" s="9">
        <v>0.23</v>
      </c>
      <c r="I1435" s="12" t="s">
        <v>1824</v>
      </c>
      <c r="J1435" s="9">
        <v>2748.2224000000001</v>
      </c>
    </row>
    <row r="1436" spans="1:10" x14ac:dyDescent="0.3">
      <c r="A1436" s="22" t="s">
        <v>3245</v>
      </c>
      <c r="B1436" s="10">
        <v>45494</v>
      </c>
      <c r="C1436" s="12" t="s">
        <v>716</v>
      </c>
      <c r="D1436" s="12" t="s">
        <v>1568</v>
      </c>
      <c r="E1436" s="12" t="s">
        <v>1779</v>
      </c>
      <c r="F1436" s="11">
        <v>2</v>
      </c>
      <c r="G1436" s="12">
        <v>164.23</v>
      </c>
      <c r="H1436" s="9">
        <v>0.17</v>
      </c>
      <c r="I1436" s="12" t="s">
        <v>1824</v>
      </c>
      <c r="J1436" s="9">
        <v>272.62180000000001</v>
      </c>
    </row>
    <row r="1437" spans="1:10" x14ac:dyDescent="0.3">
      <c r="A1437" s="22" t="s">
        <v>3246</v>
      </c>
      <c r="B1437" s="10">
        <v>45305</v>
      </c>
      <c r="C1437" s="12" t="s">
        <v>1397</v>
      </c>
      <c r="D1437" s="12" t="s">
        <v>1565</v>
      </c>
      <c r="E1437" s="12" t="s">
        <v>1779</v>
      </c>
      <c r="F1437" s="11">
        <v>1</v>
      </c>
      <c r="G1437" s="12">
        <v>484.23</v>
      </c>
      <c r="H1437" s="9">
        <v>0.12</v>
      </c>
      <c r="I1437" s="12" t="s">
        <v>1829</v>
      </c>
      <c r="J1437" s="9">
        <v>426.12240000000003</v>
      </c>
    </row>
    <row r="1438" spans="1:10" x14ac:dyDescent="0.3">
      <c r="A1438" s="22" t="s">
        <v>3247</v>
      </c>
      <c r="B1438" s="10">
        <v>45383</v>
      </c>
      <c r="C1438" s="12" t="s">
        <v>32</v>
      </c>
      <c r="D1438" s="12" t="s">
        <v>1618</v>
      </c>
      <c r="E1438" s="12" t="s">
        <v>1810</v>
      </c>
      <c r="F1438" s="11">
        <v>3</v>
      </c>
      <c r="G1438" s="12">
        <v>341.51</v>
      </c>
      <c r="H1438" s="9">
        <v>0.22</v>
      </c>
      <c r="I1438" s="12" t="s">
        <v>1829</v>
      </c>
      <c r="J1438" s="9">
        <v>799.13340000000005</v>
      </c>
    </row>
    <row r="1439" spans="1:10" x14ac:dyDescent="0.3">
      <c r="A1439" s="22" t="s">
        <v>3248</v>
      </c>
      <c r="B1439" s="10">
        <v>45788</v>
      </c>
      <c r="C1439" s="12" t="s">
        <v>384</v>
      </c>
      <c r="D1439" s="12" t="s">
        <v>1744</v>
      </c>
      <c r="E1439" s="12" t="s">
        <v>1797</v>
      </c>
      <c r="F1439" s="11">
        <v>3</v>
      </c>
      <c r="G1439" s="12">
        <v>758.87</v>
      </c>
      <c r="H1439" s="9">
        <v>0.11</v>
      </c>
      <c r="I1439" s="12" t="s">
        <v>1826</v>
      </c>
      <c r="J1439" s="9">
        <v>2026.1829</v>
      </c>
    </row>
    <row r="1440" spans="1:10" x14ac:dyDescent="0.3">
      <c r="A1440" s="22" t="s">
        <v>3249</v>
      </c>
      <c r="B1440" s="10">
        <v>45855</v>
      </c>
      <c r="C1440" s="12" t="s">
        <v>1449</v>
      </c>
      <c r="D1440" s="12" t="s">
        <v>1660</v>
      </c>
      <c r="E1440" s="12" t="s">
        <v>1794</v>
      </c>
      <c r="F1440" s="11">
        <v>3</v>
      </c>
      <c r="G1440" s="12">
        <v>560.52</v>
      </c>
      <c r="H1440" s="9">
        <v>0.17</v>
      </c>
      <c r="I1440" s="12" t="s">
        <v>1824</v>
      </c>
      <c r="J1440" s="9">
        <v>1395.6948</v>
      </c>
    </row>
    <row r="1441" spans="1:10" x14ac:dyDescent="0.3">
      <c r="A1441" s="22" t="s">
        <v>3250</v>
      </c>
      <c r="B1441" s="10">
        <v>45533</v>
      </c>
      <c r="C1441" s="12" t="s">
        <v>1101</v>
      </c>
      <c r="D1441" s="12" t="s">
        <v>1740</v>
      </c>
      <c r="E1441" s="12" t="s">
        <v>1807</v>
      </c>
      <c r="F1441" s="11">
        <v>2</v>
      </c>
      <c r="G1441" s="12">
        <v>977.18</v>
      </c>
      <c r="H1441" s="9">
        <v>0.19</v>
      </c>
      <c r="I1441" s="12" t="s">
        <v>1824</v>
      </c>
      <c r="J1441" s="9">
        <v>1583.0316</v>
      </c>
    </row>
    <row r="1442" spans="1:10" x14ac:dyDescent="0.3">
      <c r="A1442" s="22" t="s">
        <v>3251</v>
      </c>
      <c r="B1442" s="10">
        <v>45763</v>
      </c>
      <c r="C1442" s="12" t="s">
        <v>758</v>
      </c>
      <c r="D1442" s="12" t="s">
        <v>1580</v>
      </c>
      <c r="E1442" s="12" t="s">
        <v>1799</v>
      </c>
      <c r="F1442" s="11">
        <v>4</v>
      </c>
      <c r="G1442" s="12">
        <v>761.35</v>
      </c>
      <c r="H1442" s="9">
        <v>0.08</v>
      </c>
      <c r="I1442" s="12" t="s">
        <v>1824</v>
      </c>
      <c r="J1442" s="9">
        <v>2801.768</v>
      </c>
    </row>
    <row r="1443" spans="1:10" x14ac:dyDescent="0.3">
      <c r="A1443" s="22" t="s">
        <v>3252</v>
      </c>
      <c r="B1443" s="10">
        <v>45900</v>
      </c>
      <c r="C1443" s="12" t="s">
        <v>592</v>
      </c>
      <c r="D1443" s="12" t="s">
        <v>1682</v>
      </c>
      <c r="E1443" s="12" t="s">
        <v>1810</v>
      </c>
      <c r="F1443" s="11">
        <v>2</v>
      </c>
      <c r="G1443" s="12">
        <v>947.56</v>
      </c>
      <c r="H1443" s="9">
        <v>0.02</v>
      </c>
      <c r="I1443" s="12" t="s">
        <v>1829</v>
      </c>
      <c r="J1443" s="9">
        <v>1857.2175999999999</v>
      </c>
    </row>
    <row r="1444" spans="1:10" x14ac:dyDescent="0.3">
      <c r="A1444" s="22" t="s">
        <v>3253</v>
      </c>
      <c r="B1444" s="10">
        <v>45943</v>
      </c>
      <c r="C1444" s="12" t="s">
        <v>764</v>
      </c>
      <c r="D1444" s="12" t="s">
        <v>1634</v>
      </c>
      <c r="E1444" s="12" t="s">
        <v>1810</v>
      </c>
      <c r="F1444" s="11">
        <v>4</v>
      </c>
      <c r="G1444" s="12">
        <v>975.47</v>
      </c>
      <c r="H1444" s="9">
        <v>0.04</v>
      </c>
      <c r="I1444" s="12" t="s">
        <v>1824</v>
      </c>
      <c r="J1444" s="9">
        <v>3745.8047999999999</v>
      </c>
    </row>
    <row r="1445" spans="1:10" x14ac:dyDescent="0.3">
      <c r="A1445" s="22" t="s">
        <v>3254</v>
      </c>
      <c r="B1445" s="10">
        <v>45448</v>
      </c>
      <c r="C1445" s="12" t="s">
        <v>1469</v>
      </c>
      <c r="D1445" s="12" t="s">
        <v>1574</v>
      </c>
      <c r="E1445" s="12" t="s">
        <v>1786</v>
      </c>
      <c r="F1445" s="11">
        <v>3</v>
      </c>
      <c r="G1445" s="12">
        <v>769.06</v>
      </c>
      <c r="H1445" s="9">
        <v>0.23</v>
      </c>
      <c r="I1445" s="12" t="s">
        <v>1829</v>
      </c>
      <c r="J1445" s="9">
        <v>1776.5286000000001</v>
      </c>
    </row>
    <row r="1446" spans="1:10" x14ac:dyDescent="0.3">
      <c r="A1446" s="22" t="s">
        <v>3255</v>
      </c>
      <c r="B1446" s="10">
        <v>45929</v>
      </c>
      <c r="C1446" s="12" t="s">
        <v>1495</v>
      </c>
      <c r="D1446" s="12" t="s">
        <v>1626</v>
      </c>
      <c r="E1446" s="12" t="s">
        <v>1761</v>
      </c>
      <c r="F1446" s="11">
        <v>3</v>
      </c>
      <c r="G1446" s="12">
        <v>824.75</v>
      </c>
      <c r="H1446" s="9">
        <v>0.23</v>
      </c>
      <c r="I1446" s="12" t="s">
        <v>1824</v>
      </c>
      <c r="J1446" s="9">
        <v>1905.1724999999999</v>
      </c>
    </row>
    <row r="1447" spans="1:10" x14ac:dyDescent="0.3">
      <c r="A1447" s="22" t="s">
        <v>3256</v>
      </c>
      <c r="B1447" s="10">
        <v>45478</v>
      </c>
      <c r="C1447" s="12" t="s">
        <v>1249</v>
      </c>
      <c r="D1447" s="12" t="s">
        <v>1684</v>
      </c>
      <c r="E1447" s="12" t="s">
        <v>1769</v>
      </c>
      <c r="F1447" s="11">
        <v>2</v>
      </c>
      <c r="G1447" s="12">
        <v>821.35</v>
      </c>
      <c r="H1447" s="9">
        <v>0.11</v>
      </c>
      <c r="I1447" s="12" t="s">
        <v>1826</v>
      </c>
      <c r="J1447" s="9">
        <v>1462.0029999999999</v>
      </c>
    </row>
    <row r="1448" spans="1:10" x14ac:dyDescent="0.3">
      <c r="A1448" s="22" t="s">
        <v>3257</v>
      </c>
      <c r="B1448" s="10">
        <v>45723</v>
      </c>
      <c r="C1448" s="12" t="s">
        <v>1260</v>
      </c>
      <c r="D1448" s="12" t="s">
        <v>1574</v>
      </c>
      <c r="E1448" s="12" t="s">
        <v>1789</v>
      </c>
      <c r="F1448" s="11">
        <v>1</v>
      </c>
      <c r="G1448" s="12">
        <v>120.57</v>
      </c>
      <c r="H1448" s="9">
        <v>0.06</v>
      </c>
      <c r="I1448" s="12" t="s">
        <v>1826</v>
      </c>
      <c r="J1448" s="9">
        <v>113.33580000000001</v>
      </c>
    </row>
    <row r="1449" spans="1:10" x14ac:dyDescent="0.3">
      <c r="A1449" s="22" t="s">
        <v>3258</v>
      </c>
      <c r="B1449" s="10">
        <v>45240</v>
      </c>
      <c r="C1449" s="12" t="s">
        <v>1053</v>
      </c>
      <c r="D1449" s="12" t="s">
        <v>1726</v>
      </c>
      <c r="E1449" s="12" t="s">
        <v>1757</v>
      </c>
      <c r="F1449" s="11">
        <v>1</v>
      </c>
      <c r="G1449" s="12">
        <v>122.27</v>
      </c>
      <c r="H1449" s="9">
        <v>0.26</v>
      </c>
      <c r="I1449" s="12" t="s">
        <v>1826</v>
      </c>
      <c r="J1449" s="9">
        <v>90.479799999999997</v>
      </c>
    </row>
    <row r="1450" spans="1:10" x14ac:dyDescent="0.3">
      <c r="A1450" s="22" t="s">
        <v>3259</v>
      </c>
      <c r="B1450" s="10">
        <v>45890</v>
      </c>
      <c r="C1450" s="12" t="s">
        <v>565</v>
      </c>
      <c r="D1450" s="12" t="s">
        <v>1600</v>
      </c>
      <c r="E1450" s="12" t="s">
        <v>1761</v>
      </c>
      <c r="F1450" s="11">
        <v>2</v>
      </c>
      <c r="G1450" s="12">
        <v>182.89</v>
      </c>
      <c r="H1450" s="9">
        <v>0.11</v>
      </c>
      <c r="I1450" s="12" t="s">
        <v>1824</v>
      </c>
      <c r="J1450" s="9">
        <v>325.54419999999999</v>
      </c>
    </row>
    <row r="1451" spans="1:10" x14ac:dyDescent="0.3">
      <c r="A1451" s="22" t="s">
        <v>3260</v>
      </c>
      <c r="B1451" s="10">
        <v>45796</v>
      </c>
      <c r="C1451" s="12" t="s">
        <v>1160</v>
      </c>
      <c r="D1451" s="12" t="s">
        <v>1640</v>
      </c>
      <c r="E1451" s="12" t="s">
        <v>1769</v>
      </c>
      <c r="F1451" s="11">
        <v>1</v>
      </c>
      <c r="G1451" s="12">
        <v>695.26</v>
      </c>
      <c r="H1451" s="9">
        <v>0.23</v>
      </c>
      <c r="I1451" s="12" t="s">
        <v>1826</v>
      </c>
      <c r="J1451" s="9">
        <v>535.35019999999997</v>
      </c>
    </row>
    <row r="1452" spans="1:10" x14ac:dyDescent="0.3">
      <c r="A1452" s="22" t="s">
        <v>3261</v>
      </c>
      <c r="B1452" s="10">
        <v>45895</v>
      </c>
      <c r="C1452" s="12" t="s">
        <v>114</v>
      </c>
      <c r="D1452" s="12" t="s">
        <v>1606</v>
      </c>
      <c r="E1452" s="12" t="s">
        <v>1776</v>
      </c>
      <c r="F1452" s="11">
        <v>2</v>
      </c>
      <c r="G1452" s="12">
        <v>408.8</v>
      </c>
      <c r="H1452" s="9">
        <v>0.17</v>
      </c>
      <c r="I1452" s="12" t="s">
        <v>1829</v>
      </c>
      <c r="J1452" s="9">
        <v>678.60799999999995</v>
      </c>
    </row>
    <row r="1453" spans="1:10" x14ac:dyDescent="0.3">
      <c r="A1453" s="22" t="s">
        <v>3262</v>
      </c>
      <c r="B1453" s="10">
        <v>45676</v>
      </c>
      <c r="C1453" s="12" t="s">
        <v>730</v>
      </c>
      <c r="D1453" s="12" t="s">
        <v>1646</v>
      </c>
      <c r="E1453" s="12" t="s">
        <v>1782</v>
      </c>
      <c r="F1453" s="11">
        <v>3</v>
      </c>
      <c r="G1453" s="12">
        <v>512.15</v>
      </c>
      <c r="H1453" s="9">
        <v>0.12</v>
      </c>
      <c r="I1453" s="12" t="s">
        <v>1824</v>
      </c>
      <c r="J1453" s="9">
        <v>1352.076</v>
      </c>
    </row>
    <row r="1454" spans="1:10" x14ac:dyDescent="0.3">
      <c r="A1454" s="22" t="s">
        <v>3263</v>
      </c>
      <c r="B1454" s="10">
        <v>45568</v>
      </c>
      <c r="C1454" s="12" t="s">
        <v>1272</v>
      </c>
      <c r="D1454" s="12" t="s">
        <v>1565</v>
      </c>
      <c r="E1454" s="12" t="s">
        <v>1782</v>
      </c>
      <c r="F1454" s="11">
        <v>3</v>
      </c>
      <c r="G1454" s="12">
        <v>136.4</v>
      </c>
      <c r="H1454" s="9">
        <v>0.15</v>
      </c>
      <c r="I1454" s="12" t="s">
        <v>1826</v>
      </c>
      <c r="J1454" s="9">
        <v>347.82000000000011</v>
      </c>
    </row>
    <row r="1455" spans="1:10" x14ac:dyDescent="0.3">
      <c r="A1455" s="22" t="s">
        <v>3264</v>
      </c>
      <c r="B1455" s="10">
        <v>45272</v>
      </c>
      <c r="C1455" s="12" t="s">
        <v>579</v>
      </c>
      <c r="D1455" s="12" t="s">
        <v>1557</v>
      </c>
      <c r="E1455" s="12" t="s">
        <v>1766</v>
      </c>
      <c r="F1455" s="11">
        <v>2</v>
      </c>
      <c r="G1455" s="12">
        <v>42.51</v>
      </c>
      <c r="H1455" s="9">
        <v>0.04</v>
      </c>
      <c r="I1455" s="12" t="s">
        <v>1829</v>
      </c>
      <c r="J1455" s="9">
        <v>81.619199999999992</v>
      </c>
    </row>
    <row r="1456" spans="1:10" x14ac:dyDescent="0.3">
      <c r="A1456" s="22" t="s">
        <v>3265</v>
      </c>
      <c r="B1456" s="10">
        <v>45718</v>
      </c>
      <c r="C1456" s="12" t="s">
        <v>1124</v>
      </c>
      <c r="D1456" s="12" t="s">
        <v>1698</v>
      </c>
      <c r="E1456" s="12" t="s">
        <v>1779</v>
      </c>
      <c r="F1456" s="11">
        <v>3</v>
      </c>
      <c r="G1456" s="12">
        <v>582.1</v>
      </c>
      <c r="H1456" s="9">
        <v>0.12</v>
      </c>
      <c r="I1456" s="12" t="s">
        <v>1826</v>
      </c>
      <c r="J1456" s="9">
        <v>1536.7439999999999</v>
      </c>
    </row>
    <row r="1457" spans="1:10" x14ac:dyDescent="0.3">
      <c r="A1457" s="22" t="s">
        <v>3266</v>
      </c>
      <c r="B1457" s="10">
        <v>45356</v>
      </c>
      <c r="C1457" s="12" t="s">
        <v>711</v>
      </c>
      <c r="D1457" s="12" t="s">
        <v>1712</v>
      </c>
      <c r="E1457" s="12" t="s">
        <v>1807</v>
      </c>
      <c r="F1457" s="11">
        <v>4</v>
      </c>
      <c r="G1457" s="12">
        <v>461.52</v>
      </c>
      <c r="H1457" s="9">
        <v>0</v>
      </c>
      <c r="I1457" s="12" t="s">
        <v>1829</v>
      </c>
      <c r="J1457" s="9">
        <v>1846.08</v>
      </c>
    </row>
    <row r="1458" spans="1:10" x14ac:dyDescent="0.3">
      <c r="A1458" s="22" t="s">
        <v>3267</v>
      </c>
      <c r="B1458" s="10">
        <v>45552</v>
      </c>
      <c r="C1458" s="12" t="s">
        <v>1524</v>
      </c>
      <c r="D1458" s="12" t="s">
        <v>1580</v>
      </c>
      <c r="E1458" s="12" t="s">
        <v>1792</v>
      </c>
      <c r="F1458" s="11">
        <v>1</v>
      </c>
      <c r="G1458" s="12">
        <v>558.41999999999996</v>
      </c>
      <c r="H1458" s="9">
        <v>0.03</v>
      </c>
      <c r="I1458" s="12" t="s">
        <v>1824</v>
      </c>
      <c r="J1458" s="9">
        <v>541.66739999999993</v>
      </c>
    </row>
    <row r="1459" spans="1:10" x14ac:dyDescent="0.3">
      <c r="A1459" s="22" t="s">
        <v>3268</v>
      </c>
      <c r="B1459" s="10">
        <v>45288</v>
      </c>
      <c r="C1459" s="12" t="s">
        <v>839</v>
      </c>
      <c r="D1459" s="12" t="s">
        <v>1572</v>
      </c>
      <c r="E1459" s="12" t="s">
        <v>1810</v>
      </c>
      <c r="F1459" s="11">
        <v>4</v>
      </c>
      <c r="G1459" s="12">
        <v>700.98</v>
      </c>
      <c r="H1459" s="9">
        <v>0.12</v>
      </c>
      <c r="I1459" s="12" t="s">
        <v>1826</v>
      </c>
      <c r="J1459" s="9">
        <v>2467.4495999999999</v>
      </c>
    </row>
    <row r="1460" spans="1:10" x14ac:dyDescent="0.3">
      <c r="A1460" s="22" t="s">
        <v>3269</v>
      </c>
      <c r="B1460" s="10">
        <v>45605</v>
      </c>
      <c r="C1460" s="12" t="s">
        <v>1260</v>
      </c>
      <c r="D1460" s="12" t="s">
        <v>1718</v>
      </c>
      <c r="E1460" s="12" t="s">
        <v>1810</v>
      </c>
      <c r="F1460" s="11">
        <v>2</v>
      </c>
      <c r="G1460" s="12">
        <v>227.97</v>
      </c>
      <c r="H1460" s="9">
        <v>0.08</v>
      </c>
      <c r="I1460" s="12" t="s">
        <v>1829</v>
      </c>
      <c r="J1460" s="9">
        <v>419.46480000000003</v>
      </c>
    </row>
    <row r="1461" spans="1:10" x14ac:dyDescent="0.3">
      <c r="A1461" s="22" t="s">
        <v>3270</v>
      </c>
      <c r="B1461" s="10">
        <v>45516</v>
      </c>
      <c r="C1461" s="12" t="s">
        <v>1461</v>
      </c>
      <c r="D1461" s="12" t="s">
        <v>1626</v>
      </c>
      <c r="E1461" s="12" t="s">
        <v>1792</v>
      </c>
      <c r="F1461" s="11">
        <v>4</v>
      </c>
      <c r="G1461" s="12">
        <v>278.70999999999998</v>
      </c>
      <c r="H1461" s="9">
        <v>0.2</v>
      </c>
      <c r="I1461" s="12" t="s">
        <v>1826</v>
      </c>
      <c r="J1461" s="9">
        <v>891.87199999999996</v>
      </c>
    </row>
    <row r="1462" spans="1:10" x14ac:dyDescent="0.3">
      <c r="A1462" s="22" t="s">
        <v>3271</v>
      </c>
      <c r="B1462" s="10">
        <v>45379</v>
      </c>
      <c r="C1462" s="12" t="s">
        <v>827</v>
      </c>
      <c r="D1462" s="12" t="s">
        <v>1746</v>
      </c>
      <c r="E1462" s="12" t="s">
        <v>1782</v>
      </c>
      <c r="F1462" s="11">
        <v>2</v>
      </c>
      <c r="G1462" s="12">
        <v>916.12</v>
      </c>
      <c r="H1462" s="9">
        <v>0.05</v>
      </c>
      <c r="I1462" s="12" t="s">
        <v>1826</v>
      </c>
      <c r="J1462" s="9">
        <v>1740.6279999999999</v>
      </c>
    </row>
    <row r="1463" spans="1:10" x14ac:dyDescent="0.3">
      <c r="A1463" s="22" t="s">
        <v>3272</v>
      </c>
      <c r="B1463" s="10">
        <v>45567</v>
      </c>
      <c r="C1463" s="12" t="s">
        <v>455</v>
      </c>
      <c r="D1463" s="12" t="s">
        <v>1568</v>
      </c>
      <c r="E1463" s="12" t="s">
        <v>1794</v>
      </c>
      <c r="F1463" s="11">
        <v>4</v>
      </c>
      <c r="G1463" s="12">
        <v>228.98</v>
      </c>
      <c r="H1463" s="9">
        <v>0.22</v>
      </c>
      <c r="I1463" s="12" t="s">
        <v>1826</v>
      </c>
      <c r="J1463" s="9">
        <v>714.41759999999999</v>
      </c>
    </row>
    <row r="1464" spans="1:10" x14ac:dyDescent="0.3">
      <c r="A1464" s="22" t="s">
        <v>3273</v>
      </c>
      <c r="B1464" s="10">
        <v>45510</v>
      </c>
      <c r="C1464" s="12" t="s">
        <v>752</v>
      </c>
      <c r="D1464" s="12" t="s">
        <v>1726</v>
      </c>
      <c r="E1464" s="12" t="s">
        <v>1801</v>
      </c>
      <c r="F1464" s="11">
        <v>4</v>
      </c>
      <c r="G1464" s="12">
        <v>904.82</v>
      </c>
      <c r="H1464" s="9">
        <v>0.09</v>
      </c>
      <c r="I1464" s="12" t="s">
        <v>1826</v>
      </c>
      <c r="J1464" s="9">
        <v>3293.5448000000001</v>
      </c>
    </row>
    <row r="1465" spans="1:10" x14ac:dyDescent="0.3">
      <c r="A1465" s="22" t="s">
        <v>3274</v>
      </c>
      <c r="B1465" s="10">
        <v>45806</v>
      </c>
      <c r="C1465" s="12" t="s">
        <v>295</v>
      </c>
      <c r="D1465" s="12" t="s">
        <v>1594</v>
      </c>
      <c r="E1465" s="12" t="s">
        <v>1792</v>
      </c>
      <c r="F1465" s="11">
        <v>1</v>
      </c>
      <c r="G1465" s="12">
        <v>588.61</v>
      </c>
      <c r="H1465" s="9">
        <v>0.1</v>
      </c>
      <c r="I1465" s="12" t="s">
        <v>1826</v>
      </c>
      <c r="J1465" s="9">
        <v>529.74900000000002</v>
      </c>
    </row>
    <row r="1466" spans="1:10" x14ac:dyDescent="0.3">
      <c r="A1466" s="22" t="s">
        <v>3275</v>
      </c>
      <c r="B1466" s="10">
        <v>45240</v>
      </c>
      <c r="C1466" s="12" t="s">
        <v>396</v>
      </c>
      <c r="D1466" s="12" t="s">
        <v>1614</v>
      </c>
      <c r="E1466" s="12" t="s">
        <v>1766</v>
      </c>
      <c r="F1466" s="11">
        <v>4</v>
      </c>
      <c r="G1466" s="12">
        <v>695.97</v>
      </c>
      <c r="H1466" s="9">
        <v>0.02</v>
      </c>
      <c r="I1466" s="12" t="s">
        <v>1824</v>
      </c>
      <c r="J1466" s="9">
        <v>2728.2024000000001</v>
      </c>
    </row>
    <row r="1467" spans="1:10" x14ac:dyDescent="0.3">
      <c r="A1467" s="22" t="s">
        <v>3276</v>
      </c>
      <c r="B1467" s="10">
        <v>45309</v>
      </c>
      <c r="C1467" s="12" t="s">
        <v>951</v>
      </c>
      <c r="D1467" s="12" t="s">
        <v>1742</v>
      </c>
      <c r="E1467" s="12" t="s">
        <v>1792</v>
      </c>
      <c r="F1467" s="11">
        <v>2</v>
      </c>
      <c r="G1467" s="12">
        <v>181.42</v>
      </c>
      <c r="H1467" s="9">
        <v>0.08</v>
      </c>
      <c r="I1467" s="12" t="s">
        <v>1826</v>
      </c>
      <c r="J1467" s="9">
        <v>333.81279999999998</v>
      </c>
    </row>
    <row r="1468" spans="1:10" x14ac:dyDescent="0.3">
      <c r="A1468" s="22" t="s">
        <v>3277</v>
      </c>
      <c r="B1468" s="10">
        <v>45375</v>
      </c>
      <c r="C1468" s="12" t="s">
        <v>100</v>
      </c>
      <c r="D1468" s="12" t="s">
        <v>1742</v>
      </c>
      <c r="E1468" s="12" t="s">
        <v>1797</v>
      </c>
      <c r="F1468" s="11">
        <v>1</v>
      </c>
      <c r="G1468" s="12">
        <v>439.55</v>
      </c>
      <c r="H1468" s="9">
        <v>0.28999999999999998</v>
      </c>
      <c r="I1468" s="12" t="s">
        <v>1829</v>
      </c>
      <c r="J1468" s="9">
        <v>312.08049999999997</v>
      </c>
    </row>
    <row r="1469" spans="1:10" x14ac:dyDescent="0.3">
      <c r="A1469" s="22" t="s">
        <v>3278</v>
      </c>
      <c r="B1469" s="10">
        <v>45733</v>
      </c>
      <c r="C1469" s="12" t="s">
        <v>399</v>
      </c>
      <c r="D1469" s="12" t="s">
        <v>1658</v>
      </c>
      <c r="E1469" s="12" t="s">
        <v>1810</v>
      </c>
      <c r="F1469" s="11">
        <v>3</v>
      </c>
      <c r="G1469" s="12">
        <v>471.27</v>
      </c>
      <c r="H1469" s="9">
        <v>0.27</v>
      </c>
      <c r="I1469" s="12" t="s">
        <v>1829</v>
      </c>
      <c r="J1469" s="9">
        <v>1032.0813000000001</v>
      </c>
    </row>
    <row r="1470" spans="1:10" x14ac:dyDescent="0.3">
      <c r="A1470" s="22" t="s">
        <v>3279</v>
      </c>
      <c r="B1470" s="10">
        <v>45435</v>
      </c>
      <c r="C1470" s="12" t="s">
        <v>172</v>
      </c>
      <c r="D1470" s="12" t="s">
        <v>1666</v>
      </c>
      <c r="E1470" s="12" t="s">
        <v>1794</v>
      </c>
      <c r="F1470" s="11">
        <v>1</v>
      </c>
      <c r="G1470" s="12">
        <v>758.89</v>
      </c>
      <c r="H1470" s="9">
        <v>0.1</v>
      </c>
      <c r="I1470" s="12" t="s">
        <v>1824</v>
      </c>
      <c r="J1470" s="9">
        <v>683.00099999999998</v>
      </c>
    </row>
    <row r="1471" spans="1:10" x14ac:dyDescent="0.3">
      <c r="A1471" s="22" t="s">
        <v>3280</v>
      </c>
      <c r="B1471" s="10">
        <v>45864</v>
      </c>
      <c r="C1471" s="12" t="s">
        <v>1492</v>
      </c>
      <c r="D1471" s="12" t="s">
        <v>1738</v>
      </c>
      <c r="E1471" s="12" t="s">
        <v>1801</v>
      </c>
      <c r="F1471" s="11">
        <v>4</v>
      </c>
      <c r="G1471" s="12">
        <v>918.1</v>
      </c>
      <c r="H1471" s="9">
        <v>0.19</v>
      </c>
      <c r="I1471" s="12" t="s">
        <v>1829</v>
      </c>
      <c r="J1471" s="9">
        <v>2974.6439999999998</v>
      </c>
    </row>
    <row r="1472" spans="1:10" x14ac:dyDescent="0.3">
      <c r="A1472" s="22" t="s">
        <v>3281</v>
      </c>
      <c r="B1472" s="10">
        <v>45569</v>
      </c>
      <c r="C1472" s="12" t="s">
        <v>827</v>
      </c>
      <c r="D1472" s="12" t="s">
        <v>1736</v>
      </c>
      <c r="E1472" s="12" t="s">
        <v>1792</v>
      </c>
      <c r="F1472" s="11">
        <v>1</v>
      </c>
      <c r="G1472" s="12">
        <v>861.5</v>
      </c>
      <c r="H1472" s="9">
        <v>0.05</v>
      </c>
      <c r="I1472" s="12" t="s">
        <v>1829</v>
      </c>
      <c r="J1472" s="9">
        <v>818.42499999999995</v>
      </c>
    </row>
    <row r="1473" spans="1:10" x14ac:dyDescent="0.3">
      <c r="A1473" s="22" t="s">
        <v>3282</v>
      </c>
      <c r="B1473" s="10">
        <v>45664</v>
      </c>
      <c r="C1473" s="12" t="s">
        <v>1425</v>
      </c>
      <c r="D1473" s="12" t="s">
        <v>1592</v>
      </c>
      <c r="E1473" s="12" t="s">
        <v>1799</v>
      </c>
      <c r="F1473" s="11">
        <v>1</v>
      </c>
      <c r="G1473" s="12">
        <v>588.29999999999995</v>
      </c>
      <c r="H1473" s="9">
        <v>0.26</v>
      </c>
      <c r="I1473" s="12" t="s">
        <v>1829</v>
      </c>
      <c r="J1473" s="9">
        <v>435.34199999999998</v>
      </c>
    </row>
    <row r="1474" spans="1:10" x14ac:dyDescent="0.3">
      <c r="A1474" s="22" t="s">
        <v>3283</v>
      </c>
      <c r="B1474" s="10">
        <v>45645</v>
      </c>
      <c r="C1474" s="12" t="s">
        <v>1425</v>
      </c>
      <c r="D1474" s="12" t="s">
        <v>1658</v>
      </c>
      <c r="E1474" s="12" t="s">
        <v>1779</v>
      </c>
      <c r="F1474" s="11">
        <v>1</v>
      </c>
      <c r="G1474" s="12">
        <v>917.26</v>
      </c>
      <c r="H1474" s="9">
        <v>0.05</v>
      </c>
      <c r="I1474" s="12" t="s">
        <v>1826</v>
      </c>
      <c r="J1474" s="9">
        <v>871.39699999999993</v>
      </c>
    </row>
    <row r="1475" spans="1:10" x14ac:dyDescent="0.3">
      <c r="A1475" s="22" t="s">
        <v>3284</v>
      </c>
      <c r="B1475" s="10">
        <v>45449</v>
      </c>
      <c r="C1475" s="12" t="s">
        <v>749</v>
      </c>
      <c r="D1475" s="12" t="s">
        <v>1557</v>
      </c>
      <c r="E1475" s="12" t="s">
        <v>1810</v>
      </c>
      <c r="F1475" s="11">
        <v>4</v>
      </c>
      <c r="G1475" s="12">
        <v>96.78</v>
      </c>
      <c r="H1475" s="9">
        <v>0.11</v>
      </c>
      <c r="I1475" s="12" t="s">
        <v>1826</v>
      </c>
      <c r="J1475" s="9">
        <v>344.53680000000003</v>
      </c>
    </row>
    <row r="1476" spans="1:10" x14ac:dyDescent="0.3">
      <c r="A1476" s="22" t="s">
        <v>3285</v>
      </c>
      <c r="B1476" s="10">
        <v>45629</v>
      </c>
      <c r="C1476" s="12" t="s">
        <v>1472</v>
      </c>
      <c r="D1476" s="12" t="s">
        <v>1604</v>
      </c>
      <c r="E1476" s="12" t="s">
        <v>1769</v>
      </c>
      <c r="F1476" s="11">
        <v>3</v>
      </c>
      <c r="G1476" s="12">
        <v>199.41</v>
      </c>
      <c r="H1476" s="9">
        <v>0.16</v>
      </c>
      <c r="I1476" s="12" t="s">
        <v>1829</v>
      </c>
      <c r="J1476" s="9">
        <v>502.51319999999998</v>
      </c>
    </row>
    <row r="1477" spans="1:10" x14ac:dyDescent="0.3">
      <c r="A1477" s="22" t="s">
        <v>3286</v>
      </c>
      <c r="B1477" s="10">
        <v>45739</v>
      </c>
      <c r="C1477" s="12" t="s">
        <v>85</v>
      </c>
      <c r="D1477" s="12" t="s">
        <v>1656</v>
      </c>
      <c r="E1477" s="12" t="s">
        <v>1786</v>
      </c>
      <c r="F1477" s="11">
        <v>1</v>
      </c>
      <c r="G1477" s="12">
        <v>687.91</v>
      </c>
      <c r="H1477" s="9">
        <v>0.25</v>
      </c>
      <c r="I1477" s="12" t="s">
        <v>1824</v>
      </c>
      <c r="J1477" s="9">
        <v>515.9325</v>
      </c>
    </row>
    <row r="1478" spans="1:10" x14ac:dyDescent="0.3">
      <c r="A1478" s="22" t="s">
        <v>3287</v>
      </c>
      <c r="B1478" s="10">
        <v>45849</v>
      </c>
      <c r="C1478" s="12" t="s">
        <v>153</v>
      </c>
      <c r="D1478" s="12" t="s">
        <v>1690</v>
      </c>
      <c r="E1478" s="12" t="s">
        <v>1761</v>
      </c>
      <c r="F1478" s="11">
        <v>3</v>
      </c>
      <c r="G1478" s="12">
        <v>769.62</v>
      </c>
      <c r="H1478" s="9">
        <v>0.09</v>
      </c>
      <c r="I1478" s="12" t="s">
        <v>1826</v>
      </c>
      <c r="J1478" s="9">
        <v>2101.0626000000002</v>
      </c>
    </row>
    <row r="1479" spans="1:10" x14ac:dyDescent="0.3">
      <c r="A1479" s="22" t="s">
        <v>3288</v>
      </c>
      <c r="B1479" s="10">
        <v>45230</v>
      </c>
      <c r="C1479" s="12" t="s">
        <v>713</v>
      </c>
      <c r="D1479" s="12" t="s">
        <v>1553</v>
      </c>
      <c r="E1479" s="12" t="s">
        <v>1766</v>
      </c>
      <c r="F1479" s="11">
        <v>1</v>
      </c>
      <c r="G1479" s="12">
        <v>492.05</v>
      </c>
      <c r="H1479" s="9">
        <v>0.27</v>
      </c>
      <c r="I1479" s="12" t="s">
        <v>1824</v>
      </c>
      <c r="J1479" s="9">
        <v>359.19650000000001</v>
      </c>
    </row>
    <row r="1480" spans="1:10" x14ac:dyDescent="0.3">
      <c r="A1480" s="22" t="s">
        <v>3289</v>
      </c>
      <c r="B1480" s="10">
        <v>45292</v>
      </c>
      <c r="C1480" s="12" t="s">
        <v>369</v>
      </c>
      <c r="D1480" s="12" t="s">
        <v>1582</v>
      </c>
      <c r="E1480" s="12" t="s">
        <v>1794</v>
      </c>
      <c r="F1480" s="11">
        <v>2</v>
      </c>
      <c r="G1480" s="12">
        <v>428.55</v>
      </c>
      <c r="H1480" s="9">
        <v>0</v>
      </c>
      <c r="I1480" s="12" t="s">
        <v>1826</v>
      </c>
      <c r="J1480" s="9">
        <v>857.1</v>
      </c>
    </row>
    <row r="1481" spans="1:10" x14ac:dyDescent="0.3">
      <c r="A1481" s="22" t="s">
        <v>3290</v>
      </c>
      <c r="B1481" s="10">
        <v>45251</v>
      </c>
      <c r="C1481" s="12" t="s">
        <v>737</v>
      </c>
      <c r="D1481" s="12" t="s">
        <v>1568</v>
      </c>
      <c r="E1481" s="12" t="s">
        <v>1801</v>
      </c>
      <c r="F1481" s="11">
        <v>4</v>
      </c>
      <c r="G1481" s="12">
        <v>316.18</v>
      </c>
      <c r="H1481" s="9">
        <v>0.12</v>
      </c>
      <c r="I1481" s="12" t="s">
        <v>1824</v>
      </c>
      <c r="J1481" s="9">
        <v>1112.9536000000001</v>
      </c>
    </row>
    <row r="1482" spans="1:10" x14ac:dyDescent="0.3">
      <c r="A1482" s="22" t="s">
        <v>3291</v>
      </c>
      <c r="B1482" s="10">
        <v>45555</v>
      </c>
      <c r="C1482" s="12" t="s">
        <v>40</v>
      </c>
      <c r="D1482" s="12" t="s">
        <v>1574</v>
      </c>
      <c r="E1482" s="12" t="s">
        <v>1766</v>
      </c>
      <c r="F1482" s="11">
        <v>3</v>
      </c>
      <c r="G1482" s="12">
        <v>162.16999999999999</v>
      </c>
      <c r="H1482" s="9">
        <v>0.15</v>
      </c>
      <c r="I1482" s="12" t="s">
        <v>1826</v>
      </c>
      <c r="J1482" s="9">
        <v>413.5335</v>
      </c>
    </row>
    <row r="1483" spans="1:10" x14ac:dyDescent="0.3">
      <c r="A1483" s="22" t="s">
        <v>3292</v>
      </c>
      <c r="B1483" s="10">
        <v>45385</v>
      </c>
      <c r="C1483" s="12" t="s">
        <v>1041</v>
      </c>
      <c r="D1483" s="12" t="s">
        <v>1553</v>
      </c>
      <c r="E1483" s="12" t="s">
        <v>1766</v>
      </c>
      <c r="F1483" s="11">
        <v>3</v>
      </c>
      <c r="G1483" s="12">
        <v>698.14</v>
      </c>
      <c r="H1483" s="9">
        <v>0.04</v>
      </c>
      <c r="I1483" s="12" t="s">
        <v>1826</v>
      </c>
      <c r="J1483" s="9">
        <v>2010.6432</v>
      </c>
    </row>
    <row r="1484" spans="1:10" x14ac:dyDescent="0.3">
      <c r="A1484" s="22" t="s">
        <v>3293</v>
      </c>
      <c r="B1484" s="10">
        <v>45787</v>
      </c>
      <c r="C1484" s="12" t="s">
        <v>978</v>
      </c>
      <c r="D1484" s="12" t="s">
        <v>1696</v>
      </c>
      <c r="E1484" s="12" t="s">
        <v>1810</v>
      </c>
      <c r="F1484" s="11">
        <v>1</v>
      </c>
      <c r="G1484" s="12">
        <v>478.08</v>
      </c>
      <c r="H1484" s="9">
        <v>7.0000000000000007E-2</v>
      </c>
      <c r="I1484" s="12" t="s">
        <v>1829</v>
      </c>
      <c r="J1484" s="9">
        <v>444.61439999999988</v>
      </c>
    </row>
    <row r="1485" spans="1:10" x14ac:dyDescent="0.3">
      <c r="A1485" s="22" t="s">
        <v>3294</v>
      </c>
      <c r="B1485" s="10">
        <v>45822</v>
      </c>
      <c r="C1485" s="12" t="s">
        <v>678</v>
      </c>
      <c r="D1485" s="12" t="s">
        <v>1666</v>
      </c>
      <c r="E1485" s="12" t="s">
        <v>1779</v>
      </c>
      <c r="F1485" s="11">
        <v>2</v>
      </c>
      <c r="G1485" s="12">
        <v>958.64</v>
      </c>
      <c r="H1485" s="9">
        <v>0.2</v>
      </c>
      <c r="I1485" s="12" t="s">
        <v>1826</v>
      </c>
      <c r="J1485" s="9">
        <v>1533.8240000000001</v>
      </c>
    </row>
    <row r="1486" spans="1:10" x14ac:dyDescent="0.3">
      <c r="A1486" s="22" t="s">
        <v>3295</v>
      </c>
      <c r="B1486" s="10">
        <v>45590</v>
      </c>
      <c r="C1486" s="12" t="s">
        <v>1431</v>
      </c>
      <c r="D1486" s="12" t="s">
        <v>1630</v>
      </c>
      <c r="E1486" s="12" t="s">
        <v>1794</v>
      </c>
      <c r="F1486" s="11">
        <v>2</v>
      </c>
      <c r="G1486" s="12">
        <v>581.19000000000005</v>
      </c>
      <c r="H1486" s="9">
        <v>7.0000000000000007E-2</v>
      </c>
      <c r="I1486" s="12" t="s">
        <v>1829</v>
      </c>
      <c r="J1486" s="9">
        <v>1081.0134</v>
      </c>
    </row>
    <row r="1487" spans="1:10" x14ac:dyDescent="0.3">
      <c r="A1487" s="22" t="s">
        <v>3296</v>
      </c>
      <c r="B1487" s="10">
        <v>45618</v>
      </c>
      <c r="C1487" s="12" t="s">
        <v>393</v>
      </c>
      <c r="D1487" s="12" t="s">
        <v>1746</v>
      </c>
      <c r="E1487" s="12" t="s">
        <v>1792</v>
      </c>
      <c r="F1487" s="11">
        <v>1</v>
      </c>
      <c r="G1487" s="12">
        <v>736.54</v>
      </c>
      <c r="H1487" s="9">
        <v>0.16</v>
      </c>
      <c r="I1487" s="12" t="s">
        <v>1826</v>
      </c>
      <c r="J1487" s="9">
        <v>618.69359999999995</v>
      </c>
    </row>
    <row r="1488" spans="1:10" x14ac:dyDescent="0.3">
      <c r="A1488" s="22" t="s">
        <v>3297</v>
      </c>
      <c r="B1488" s="10">
        <v>45586</v>
      </c>
      <c r="C1488" s="12" t="s">
        <v>1249</v>
      </c>
      <c r="D1488" s="12" t="s">
        <v>1678</v>
      </c>
      <c r="E1488" s="12" t="s">
        <v>1801</v>
      </c>
      <c r="F1488" s="11">
        <v>1</v>
      </c>
      <c r="G1488" s="12">
        <v>524</v>
      </c>
      <c r="H1488" s="9">
        <v>0.28000000000000003</v>
      </c>
      <c r="I1488" s="12" t="s">
        <v>1824</v>
      </c>
      <c r="J1488" s="9">
        <v>377.28</v>
      </c>
    </row>
    <row r="1489" spans="1:10" x14ac:dyDescent="0.3">
      <c r="A1489" s="22" t="s">
        <v>3298</v>
      </c>
      <c r="B1489" s="10">
        <v>45548</v>
      </c>
      <c r="C1489" s="12" t="s">
        <v>178</v>
      </c>
      <c r="D1489" s="12" t="s">
        <v>1604</v>
      </c>
      <c r="E1489" s="12" t="s">
        <v>1766</v>
      </c>
      <c r="F1489" s="11">
        <v>4</v>
      </c>
      <c r="G1489" s="12">
        <v>566.09</v>
      </c>
      <c r="H1489" s="9">
        <v>0.28000000000000003</v>
      </c>
      <c r="I1489" s="12" t="s">
        <v>1829</v>
      </c>
      <c r="J1489" s="9">
        <v>1630.3391999999999</v>
      </c>
    </row>
    <row r="1490" spans="1:10" x14ac:dyDescent="0.3">
      <c r="A1490" s="22" t="s">
        <v>3299</v>
      </c>
      <c r="B1490" s="10">
        <v>45772</v>
      </c>
      <c r="C1490" s="12" t="s">
        <v>827</v>
      </c>
      <c r="D1490" s="12" t="s">
        <v>1590</v>
      </c>
      <c r="E1490" s="12" t="s">
        <v>1789</v>
      </c>
      <c r="F1490" s="11">
        <v>1</v>
      </c>
      <c r="G1490" s="12">
        <v>251.99</v>
      </c>
      <c r="H1490" s="9">
        <v>0.09</v>
      </c>
      <c r="I1490" s="12" t="s">
        <v>1824</v>
      </c>
      <c r="J1490" s="9">
        <v>229.3109</v>
      </c>
    </row>
    <row r="1491" spans="1:10" x14ac:dyDescent="0.3">
      <c r="A1491" s="22" t="s">
        <v>3300</v>
      </c>
      <c r="B1491" s="10">
        <v>45361</v>
      </c>
      <c r="C1491" s="12" t="s">
        <v>716</v>
      </c>
      <c r="D1491" s="12" t="s">
        <v>1582</v>
      </c>
      <c r="E1491" s="12" t="s">
        <v>1813</v>
      </c>
      <c r="F1491" s="11">
        <v>1</v>
      </c>
      <c r="G1491" s="12">
        <v>259.2</v>
      </c>
      <c r="H1491" s="9">
        <v>0.27</v>
      </c>
      <c r="I1491" s="12" t="s">
        <v>1829</v>
      </c>
      <c r="J1491" s="9">
        <v>189.21600000000001</v>
      </c>
    </row>
    <row r="1492" spans="1:10" x14ac:dyDescent="0.3">
      <c r="A1492" s="22" t="s">
        <v>3301</v>
      </c>
      <c r="B1492" s="10">
        <v>45235</v>
      </c>
      <c r="C1492" s="12" t="s">
        <v>1380</v>
      </c>
      <c r="D1492" s="12" t="s">
        <v>1666</v>
      </c>
      <c r="E1492" s="12" t="s">
        <v>1801</v>
      </c>
      <c r="F1492" s="11">
        <v>1</v>
      </c>
      <c r="G1492" s="12">
        <v>935.66</v>
      </c>
      <c r="H1492" s="9">
        <v>0.26</v>
      </c>
      <c r="I1492" s="12" t="s">
        <v>1826</v>
      </c>
      <c r="J1492" s="9">
        <v>692.38839999999993</v>
      </c>
    </row>
    <row r="1493" spans="1:10" x14ac:dyDescent="0.3">
      <c r="A1493" s="22" t="s">
        <v>3302</v>
      </c>
      <c r="B1493" s="10">
        <v>45864</v>
      </c>
      <c r="C1493" s="12" t="s">
        <v>1446</v>
      </c>
      <c r="D1493" s="12" t="s">
        <v>1618</v>
      </c>
      <c r="E1493" s="12" t="s">
        <v>1782</v>
      </c>
      <c r="F1493" s="11">
        <v>4</v>
      </c>
      <c r="G1493" s="12">
        <v>480.75</v>
      </c>
      <c r="H1493" s="9">
        <v>0.02</v>
      </c>
      <c r="I1493" s="12" t="s">
        <v>1824</v>
      </c>
      <c r="J1493" s="9">
        <v>1884.54</v>
      </c>
    </row>
    <row r="1494" spans="1:10" x14ac:dyDescent="0.3">
      <c r="A1494" s="22" t="s">
        <v>3303</v>
      </c>
      <c r="B1494" s="10">
        <v>45681</v>
      </c>
      <c r="C1494" s="12" t="s">
        <v>1154</v>
      </c>
      <c r="D1494" s="12" t="s">
        <v>1710</v>
      </c>
      <c r="E1494" s="12" t="s">
        <v>1801</v>
      </c>
      <c r="F1494" s="11">
        <v>2</v>
      </c>
      <c r="G1494" s="12">
        <v>457.83</v>
      </c>
      <c r="H1494" s="9">
        <v>0.01</v>
      </c>
      <c r="I1494" s="12" t="s">
        <v>1829</v>
      </c>
      <c r="J1494" s="9">
        <v>906.50339999999994</v>
      </c>
    </row>
    <row r="1495" spans="1:10" x14ac:dyDescent="0.3">
      <c r="A1495" s="22" t="s">
        <v>3304</v>
      </c>
      <c r="B1495" s="10">
        <v>45905</v>
      </c>
      <c r="C1495" s="12" t="s">
        <v>547</v>
      </c>
      <c r="D1495" s="12" t="s">
        <v>1644</v>
      </c>
      <c r="E1495" s="12" t="s">
        <v>1799</v>
      </c>
      <c r="F1495" s="11">
        <v>1</v>
      </c>
      <c r="G1495" s="12">
        <v>994.63</v>
      </c>
      <c r="H1495" s="9">
        <v>0.28000000000000003</v>
      </c>
      <c r="I1495" s="12" t="s">
        <v>1824</v>
      </c>
      <c r="J1495" s="9">
        <v>716.1336</v>
      </c>
    </row>
    <row r="1496" spans="1:10" x14ac:dyDescent="0.3">
      <c r="A1496" s="22" t="s">
        <v>3305</v>
      </c>
      <c r="B1496" s="10">
        <v>45765</v>
      </c>
      <c r="C1496" s="12" t="s">
        <v>785</v>
      </c>
      <c r="D1496" s="12" t="s">
        <v>1728</v>
      </c>
      <c r="E1496" s="12" t="s">
        <v>1752</v>
      </c>
      <c r="F1496" s="11">
        <v>3</v>
      </c>
      <c r="G1496" s="12">
        <v>65.569999999999993</v>
      </c>
      <c r="H1496" s="9">
        <v>0.3</v>
      </c>
      <c r="I1496" s="12" t="s">
        <v>1829</v>
      </c>
      <c r="J1496" s="9">
        <v>137.697</v>
      </c>
    </row>
    <row r="1497" spans="1:10" x14ac:dyDescent="0.3">
      <c r="A1497" s="22" t="s">
        <v>3306</v>
      </c>
      <c r="B1497" s="10">
        <v>45821</v>
      </c>
      <c r="C1497" s="12" t="s">
        <v>535</v>
      </c>
      <c r="D1497" s="12" t="s">
        <v>1664</v>
      </c>
      <c r="E1497" s="12" t="s">
        <v>1807</v>
      </c>
      <c r="F1497" s="11">
        <v>3</v>
      </c>
      <c r="G1497" s="12">
        <v>622.98</v>
      </c>
      <c r="H1497" s="9">
        <v>0.28000000000000003</v>
      </c>
      <c r="I1497" s="12" t="s">
        <v>1826</v>
      </c>
      <c r="J1497" s="9">
        <v>1345.6368</v>
      </c>
    </row>
    <row r="1498" spans="1:10" x14ac:dyDescent="0.3">
      <c r="A1498" s="22" t="s">
        <v>3307</v>
      </c>
      <c r="B1498" s="10">
        <v>45691</v>
      </c>
      <c r="C1498" s="12" t="s">
        <v>800</v>
      </c>
      <c r="D1498" s="12" t="s">
        <v>1658</v>
      </c>
      <c r="E1498" s="12" t="s">
        <v>1797</v>
      </c>
      <c r="F1498" s="11">
        <v>1</v>
      </c>
      <c r="G1498" s="12">
        <v>170.68</v>
      </c>
      <c r="H1498" s="9">
        <v>0.13</v>
      </c>
      <c r="I1498" s="12" t="s">
        <v>1826</v>
      </c>
      <c r="J1498" s="9">
        <v>148.49160000000001</v>
      </c>
    </row>
    <row r="1499" spans="1:10" x14ac:dyDescent="0.3">
      <c r="A1499" s="22" t="s">
        <v>3308</v>
      </c>
      <c r="B1499" s="10">
        <v>45860</v>
      </c>
      <c r="C1499" s="12" t="s">
        <v>344</v>
      </c>
      <c r="D1499" s="12" t="s">
        <v>1560</v>
      </c>
      <c r="E1499" s="12" t="s">
        <v>1782</v>
      </c>
      <c r="F1499" s="11">
        <v>4</v>
      </c>
      <c r="G1499" s="12">
        <v>797.83</v>
      </c>
      <c r="H1499" s="9">
        <v>0.08</v>
      </c>
      <c r="I1499" s="12" t="s">
        <v>1824</v>
      </c>
      <c r="J1499" s="9">
        <v>2936.0144</v>
      </c>
    </row>
    <row r="1500" spans="1:10" x14ac:dyDescent="0.3">
      <c r="A1500" s="22" t="s">
        <v>3309</v>
      </c>
      <c r="B1500" s="10">
        <v>45922</v>
      </c>
      <c r="C1500" s="12" t="s">
        <v>350</v>
      </c>
      <c r="D1500" s="12" t="s">
        <v>1549</v>
      </c>
      <c r="E1500" s="12" t="s">
        <v>1804</v>
      </c>
      <c r="F1500" s="11">
        <v>1</v>
      </c>
      <c r="G1500" s="12">
        <v>372.75</v>
      </c>
      <c r="H1500" s="9">
        <v>0.12</v>
      </c>
      <c r="I1500" s="12" t="s">
        <v>1824</v>
      </c>
      <c r="J1500" s="9">
        <v>328.02</v>
      </c>
    </row>
    <row r="1501" spans="1:10" x14ac:dyDescent="0.3">
      <c r="A1501" s="22" t="s">
        <v>3310</v>
      </c>
      <c r="B1501" s="10">
        <v>45477</v>
      </c>
      <c r="C1501" s="12" t="s">
        <v>1235</v>
      </c>
      <c r="D1501" s="12" t="s">
        <v>1670</v>
      </c>
      <c r="E1501" s="12" t="s">
        <v>1769</v>
      </c>
      <c r="F1501" s="11">
        <v>1</v>
      </c>
      <c r="G1501" s="12">
        <v>994.18</v>
      </c>
      <c r="H1501" s="9">
        <v>0.05</v>
      </c>
      <c r="I1501" s="12" t="s">
        <v>1826</v>
      </c>
      <c r="J1501" s="9">
        <v>944.47099999999989</v>
      </c>
    </row>
    <row r="1502" spans="1:10" x14ac:dyDescent="0.3">
      <c r="A1502" s="22" t="s">
        <v>3311</v>
      </c>
      <c r="B1502" s="10">
        <v>45504</v>
      </c>
      <c r="C1502" s="12" t="s">
        <v>1310</v>
      </c>
      <c r="D1502" s="12" t="s">
        <v>1588</v>
      </c>
      <c r="E1502" s="12" t="s">
        <v>1797</v>
      </c>
      <c r="F1502" s="11">
        <v>1</v>
      </c>
      <c r="G1502" s="12">
        <v>136.12</v>
      </c>
      <c r="H1502" s="9">
        <v>7.0000000000000007E-2</v>
      </c>
      <c r="I1502" s="12" t="s">
        <v>1824</v>
      </c>
      <c r="J1502" s="9">
        <v>126.5916</v>
      </c>
    </row>
    <row r="1503" spans="1:10" x14ac:dyDescent="0.3">
      <c r="A1503" s="22" t="s">
        <v>3312</v>
      </c>
      <c r="B1503" s="10">
        <v>45862</v>
      </c>
      <c r="C1503" s="12" t="s">
        <v>124</v>
      </c>
      <c r="D1503" s="12" t="s">
        <v>1652</v>
      </c>
      <c r="E1503" s="12" t="s">
        <v>1810</v>
      </c>
      <c r="F1503" s="11">
        <v>3</v>
      </c>
      <c r="G1503" s="12">
        <v>634.45000000000005</v>
      </c>
      <c r="H1503" s="9">
        <v>0.17</v>
      </c>
      <c r="I1503" s="12" t="s">
        <v>1826</v>
      </c>
      <c r="J1503" s="9">
        <v>1579.7805000000001</v>
      </c>
    </row>
    <row r="1504" spans="1:10" x14ac:dyDescent="0.3">
      <c r="A1504" s="22" t="s">
        <v>3313</v>
      </c>
      <c r="B1504" s="10">
        <v>45579</v>
      </c>
      <c r="C1504" s="12" t="s">
        <v>1035</v>
      </c>
      <c r="D1504" s="12" t="s">
        <v>1676</v>
      </c>
      <c r="E1504" s="12" t="s">
        <v>1752</v>
      </c>
      <c r="F1504" s="11">
        <v>4</v>
      </c>
      <c r="G1504" s="12">
        <v>179.62</v>
      </c>
      <c r="H1504" s="9">
        <v>0.05</v>
      </c>
      <c r="I1504" s="12" t="s">
        <v>1824</v>
      </c>
      <c r="J1504" s="9">
        <v>682.55600000000004</v>
      </c>
    </row>
    <row r="1505" spans="1:10" x14ac:dyDescent="0.3">
      <c r="A1505" s="22" t="s">
        <v>3314</v>
      </c>
      <c r="B1505" s="10">
        <v>45658</v>
      </c>
      <c r="C1505" s="12" t="s">
        <v>932</v>
      </c>
      <c r="D1505" s="12" t="s">
        <v>1588</v>
      </c>
      <c r="E1505" s="12" t="s">
        <v>1810</v>
      </c>
      <c r="F1505" s="11">
        <v>4</v>
      </c>
      <c r="G1505" s="12">
        <v>558.83000000000004</v>
      </c>
      <c r="H1505" s="9">
        <v>0.16</v>
      </c>
      <c r="I1505" s="12" t="s">
        <v>1826</v>
      </c>
      <c r="J1505" s="9">
        <v>1877.6687999999999</v>
      </c>
    </row>
    <row r="1506" spans="1:10" x14ac:dyDescent="0.3">
      <c r="A1506" s="22" t="s">
        <v>3315</v>
      </c>
      <c r="B1506" s="10">
        <v>45664</v>
      </c>
      <c r="C1506" s="12" t="s">
        <v>568</v>
      </c>
      <c r="D1506" s="12" t="s">
        <v>1736</v>
      </c>
      <c r="E1506" s="12" t="s">
        <v>1776</v>
      </c>
      <c r="F1506" s="11">
        <v>2</v>
      </c>
      <c r="G1506" s="12">
        <v>859.74</v>
      </c>
      <c r="H1506" s="9">
        <v>0.25</v>
      </c>
      <c r="I1506" s="12" t="s">
        <v>1829</v>
      </c>
      <c r="J1506" s="9">
        <v>1289.6099999999999</v>
      </c>
    </row>
    <row r="1507" spans="1:10" x14ac:dyDescent="0.3">
      <c r="A1507" s="22" t="s">
        <v>3316</v>
      </c>
      <c r="B1507" s="10">
        <v>45936</v>
      </c>
      <c r="C1507" s="12" t="s">
        <v>375</v>
      </c>
      <c r="D1507" s="12" t="s">
        <v>1678</v>
      </c>
      <c r="E1507" s="12" t="s">
        <v>1804</v>
      </c>
      <c r="F1507" s="11">
        <v>3</v>
      </c>
      <c r="G1507" s="12">
        <v>578.47</v>
      </c>
      <c r="H1507" s="9">
        <v>0.06</v>
      </c>
      <c r="I1507" s="12" t="s">
        <v>1829</v>
      </c>
      <c r="J1507" s="9">
        <v>1631.2854</v>
      </c>
    </row>
    <row r="1508" spans="1:10" x14ac:dyDescent="0.3">
      <c r="A1508" s="22" t="s">
        <v>3317</v>
      </c>
      <c r="B1508" s="10">
        <v>45344</v>
      </c>
      <c r="C1508" s="12" t="s">
        <v>208</v>
      </c>
      <c r="D1508" s="12" t="s">
        <v>1590</v>
      </c>
      <c r="E1508" s="12" t="s">
        <v>1794</v>
      </c>
      <c r="F1508" s="11">
        <v>1</v>
      </c>
      <c r="G1508" s="12">
        <v>440.48</v>
      </c>
      <c r="H1508" s="9">
        <v>0.11</v>
      </c>
      <c r="I1508" s="12" t="s">
        <v>1829</v>
      </c>
      <c r="J1508" s="9">
        <v>392.02720000000011</v>
      </c>
    </row>
    <row r="1509" spans="1:10" x14ac:dyDescent="0.3">
      <c r="A1509" s="22" t="s">
        <v>3318</v>
      </c>
      <c r="B1509" s="10">
        <v>45329</v>
      </c>
      <c r="C1509" s="12" t="s">
        <v>75</v>
      </c>
      <c r="D1509" s="12" t="s">
        <v>1580</v>
      </c>
      <c r="E1509" s="12" t="s">
        <v>1813</v>
      </c>
      <c r="F1509" s="11">
        <v>2</v>
      </c>
      <c r="G1509" s="12">
        <v>303.67</v>
      </c>
      <c r="H1509" s="9">
        <v>0.05</v>
      </c>
      <c r="I1509" s="12" t="s">
        <v>1826</v>
      </c>
      <c r="J1509" s="9">
        <v>576.97299999999996</v>
      </c>
    </row>
    <row r="1510" spans="1:10" x14ac:dyDescent="0.3">
      <c r="A1510" s="22" t="s">
        <v>3319</v>
      </c>
      <c r="B1510" s="10">
        <v>45895</v>
      </c>
      <c r="C1510" s="12" t="s">
        <v>1056</v>
      </c>
      <c r="D1510" s="12" t="s">
        <v>1696</v>
      </c>
      <c r="E1510" s="12" t="s">
        <v>1799</v>
      </c>
      <c r="F1510" s="11">
        <v>2</v>
      </c>
      <c r="G1510" s="12">
        <v>611.21</v>
      </c>
      <c r="H1510" s="9">
        <v>0.22</v>
      </c>
      <c r="I1510" s="12" t="s">
        <v>1829</v>
      </c>
      <c r="J1510" s="9">
        <v>953.48760000000004</v>
      </c>
    </row>
    <row r="1511" spans="1:10" x14ac:dyDescent="0.3">
      <c r="A1511" s="22" t="s">
        <v>3320</v>
      </c>
      <c r="B1511" s="10">
        <v>45239</v>
      </c>
      <c r="C1511" s="12" t="s">
        <v>660</v>
      </c>
      <c r="D1511" s="12" t="s">
        <v>1626</v>
      </c>
      <c r="E1511" s="12" t="s">
        <v>1801</v>
      </c>
      <c r="F1511" s="11">
        <v>2</v>
      </c>
      <c r="G1511" s="12">
        <v>768.08</v>
      </c>
      <c r="H1511" s="9">
        <v>0.26</v>
      </c>
      <c r="I1511" s="12" t="s">
        <v>1826</v>
      </c>
      <c r="J1511" s="9">
        <v>1136.7583999999999</v>
      </c>
    </row>
    <row r="1512" spans="1:10" x14ac:dyDescent="0.3">
      <c r="A1512" s="22" t="s">
        <v>3321</v>
      </c>
      <c r="B1512" s="10">
        <v>45296</v>
      </c>
      <c r="C1512" s="12" t="s">
        <v>937</v>
      </c>
      <c r="D1512" s="12" t="s">
        <v>1594</v>
      </c>
      <c r="E1512" s="12" t="s">
        <v>1810</v>
      </c>
      <c r="F1512" s="11">
        <v>1</v>
      </c>
      <c r="G1512" s="12">
        <v>616.82000000000005</v>
      </c>
      <c r="H1512" s="9">
        <v>0.24</v>
      </c>
      <c r="I1512" s="12" t="s">
        <v>1824</v>
      </c>
      <c r="J1512" s="9">
        <v>468.78320000000002</v>
      </c>
    </row>
    <row r="1513" spans="1:10" x14ac:dyDescent="0.3">
      <c r="A1513" s="22" t="s">
        <v>3322</v>
      </c>
      <c r="B1513" s="10">
        <v>45672</v>
      </c>
      <c r="C1513" s="12" t="s">
        <v>604</v>
      </c>
      <c r="D1513" s="12" t="s">
        <v>1628</v>
      </c>
      <c r="E1513" s="12" t="s">
        <v>1810</v>
      </c>
      <c r="F1513" s="11">
        <v>1</v>
      </c>
      <c r="G1513" s="12">
        <v>470.34</v>
      </c>
      <c r="H1513" s="9">
        <v>0.18</v>
      </c>
      <c r="I1513" s="12" t="s">
        <v>1829</v>
      </c>
      <c r="J1513" s="9">
        <v>385.67880000000002</v>
      </c>
    </row>
    <row r="1514" spans="1:10" x14ac:dyDescent="0.3">
      <c r="A1514" s="22" t="s">
        <v>3323</v>
      </c>
      <c r="B1514" s="10">
        <v>45499</v>
      </c>
      <c r="C1514" s="12" t="s">
        <v>711</v>
      </c>
      <c r="D1514" s="12" t="s">
        <v>1654</v>
      </c>
      <c r="E1514" s="12" t="s">
        <v>1782</v>
      </c>
      <c r="F1514" s="11">
        <v>2</v>
      </c>
      <c r="G1514" s="12">
        <v>616.36</v>
      </c>
      <c r="H1514" s="9">
        <v>0.12</v>
      </c>
      <c r="I1514" s="12" t="s">
        <v>1826</v>
      </c>
      <c r="J1514" s="9">
        <v>1084.7936</v>
      </c>
    </row>
    <row r="1515" spans="1:10" x14ac:dyDescent="0.3">
      <c r="A1515" s="22" t="s">
        <v>3324</v>
      </c>
      <c r="B1515" s="10">
        <v>45434</v>
      </c>
      <c r="C1515" s="12" t="s">
        <v>298</v>
      </c>
      <c r="D1515" s="12" t="s">
        <v>1551</v>
      </c>
      <c r="E1515" s="12" t="s">
        <v>1786</v>
      </c>
      <c r="F1515" s="11">
        <v>3</v>
      </c>
      <c r="G1515" s="12">
        <v>657.24</v>
      </c>
      <c r="H1515" s="9">
        <v>0.18</v>
      </c>
      <c r="I1515" s="12" t="s">
        <v>1826</v>
      </c>
      <c r="J1515" s="9">
        <v>1616.8104000000001</v>
      </c>
    </row>
    <row r="1516" spans="1:10" x14ac:dyDescent="0.3">
      <c r="A1516" s="22" t="s">
        <v>3325</v>
      </c>
      <c r="B1516" s="10">
        <v>45893</v>
      </c>
      <c r="C1516" s="12" t="s">
        <v>137</v>
      </c>
      <c r="D1516" s="12" t="s">
        <v>1630</v>
      </c>
      <c r="E1516" s="12" t="s">
        <v>1813</v>
      </c>
      <c r="F1516" s="11">
        <v>2</v>
      </c>
      <c r="G1516" s="12">
        <v>392.45</v>
      </c>
      <c r="H1516" s="9">
        <v>0.04</v>
      </c>
      <c r="I1516" s="12" t="s">
        <v>1826</v>
      </c>
      <c r="J1516" s="9">
        <v>753.50399999999991</v>
      </c>
    </row>
    <row r="1517" spans="1:10" x14ac:dyDescent="0.3">
      <c r="A1517" s="22" t="s">
        <v>3326</v>
      </c>
      <c r="B1517" s="10">
        <v>45346</v>
      </c>
      <c r="C1517" s="12" t="s">
        <v>785</v>
      </c>
      <c r="D1517" s="12" t="s">
        <v>1628</v>
      </c>
      <c r="E1517" s="12" t="s">
        <v>1799</v>
      </c>
      <c r="F1517" s="11">
        <v>3</v>
      </c>
      <c r="G1517" s="12">
        <v>62.03</v>
      </c>
      <c r="H1517" s="9">
        <v>0.01</v>
      </c>
      <c r="I1517" s="12" t="s">
        <v>1829</v>
      </c>
      <c r="J1517" s="9">
        <v>184.22909999999999</v>
      </c>
    </row>
    <row r="1518" spans="1:10" x14ac:dyDescent="0.3">
      <c r="A1518" s="22" t="s">
        <v>3327</v>
      </c>
      <c r="B1518" s="10">
        <v>45613</v>
      </c>
      <c r="C1518" s="12" t="s">
        <v>332</v>
      </c>
      <c r="D1518" s="12" t="s">
        <v>1740</v>
      </c>
      <c r="E1518" s="12" t="s">
        <v>1766</v>
      </c>
      <c r="F1518" s="11">
        <v>4</v>
      </c>
      <c r="G1518" s="12">
        <v>933.73</v>
      </c>
      <c r="H1518" s="9">
        <v>0.25</v>
      </c>
      <c r="I1518" s="12" t="s">
        <v>1826</v>
      </c>
      <c r="J1518" s="9">
        <v>2801.19</v>
      </c>
    </row>
    <row r="1519" spans="1:10" x14ac:dyDescent="0.3">
      <c r="A1519" s="22" t="s">
        <v>3328</v>
      </c>
      <c r="B1519" s="10">
        <v>45928</v>
      </c>
      <c r="C1519" s="12" t="s">
        <v>520</v>
      </c>
      <c r="D1519" s="12" t="s">
        <v>1718</v>
      </c>
      <c r="E1519" s="12" t="s">
        <v>1804</v>
      </c>
      <c r="F1519" s="11">
        <v>3</v>
      </c>
      <c r="G1519" s="12">
        <v>615.30999999999995</v>
      </c>
      <c r="H1519" s="9">
        <v>0.14000000000000001</v>
      </c>
      <c r="I1519" s="12" t="s">
        <v>1826</v>
      </c>
      <c r="J1519" s="9">
        <v>1587.4998000000001</v>
      </c>
    </row>
    <row r="1520" spans="1:10" x14ac:dyDescent="0.3">
      <c r="A1520" s="22" t="s">
        <v>3329</v>
      </c>
      <c r="B1520" s="10">
        <v>45619</v>
      </c>
      <c r="C1520" s="12" t="s">
        <v>1166</v>
      </c>
      <c r="D1520" s="12" t="s">
        <v>1666</v>
      </c>
      <c r="E1520" s="12" t="s">
        <v>1810</v>
      </c>
      <c r="F1520" s="11">
        <v>4</v>
      </c>
      <c r="G1520" s="12">
        <v>790.38</v>
      </c>
      <c r="H1520" s="9">
        <v>0.22</v>
      </c>
      <c r="I1520" s="12" t="s">
        <v>1829</v>
      </c>
      <c r="J1520" s="9">
        <v>2465.9856</v>
      </c>
    </row>
    <row r="1521" spans="1:10" x14ac:dyDescent="0.3">
      <c r="A1521" s="22" t="s">
        <v>3330</v>
      </c>
      <c r="B1521" s="10">
        <v>45533</v>
      </c>
      <c r="C1521" s="12" t="s">
        <v>857</v>
      </c>
      <c r="D1521" s="12" t="s">
        <v>1666</v>
      </c>
      <c r="E1521" s="12" t="s">
        <v>1807</v>
      </c>
      <c r="F1521" s="11">
        <v>2</v>
      </c>
      <c r="G1521" s="12">
        <v>102.85</v>
      </c>
      <c r="H1521" s="9">
        <v>0.08</v>
      </c>
      <c r="I1521" s="12" t="s">
        <v>1826</v>
      </c>
      <c r="J1521" s="9">
        <v>189.244</v>
      </c>
    </row>
    <row r="1522" spans="1:10" x14ac:dyDescent="0.3">
      <c r="A1522" s="22" t="s">
        <v>3331</v>
      </c>
      <c r="B1522" s="10">
        <v>45781</v>
      </c>
      <c r="C1522" s="12" t="s">
        <v>153</v>
      </c>
      <c r="D1522" s="12" t="s">
        <v>1570</v>
      </c>
      <c r="E1522" s="12" t="s">
        <v>1804</v>
      </c>
      <c r="F1522" s="11">
        <v>3</v>
      </c>
      <c r="G1522" s="12">
        <v>866.78</v>
      </c>
      <c r="H1522" s="9">
        <v>0.27</v>
      </c>
      <c r="I1522" s="12" t="s">
        <v>1826</v>
      </c>
      <c r="J1522" s="9">
        <v>1898.2482</v>
      </c>
    </row>
    <row r="1523" spans="1:10" x14ac:dyDescent="0.3">
      <c r="A1523" s="22" t="s">
        <v>3332</v>
      </c>
      <c r="B1523" s="10">
        <v>45378</v>
      </c>
      <c r="C1523" s="12" t="s">
        <v>678</v>
      </c>
      <c r="D1523" s="12" t="s">
        <v>1704</v>
      </c>
      <c r="E1523" s="12" t="s">
        <v>1804</v>
      </c>
      <c r="F1523" s="11">
        <v>3</v>
      </c>
      <c r="G1523" s="12">
        <v>392.84</v>
      </c>
      <c r="H1523" s="9">
        <v>0.27</v>
      </c>
      <c r="I1523" s="12" t="s">
        <v>1826</v>
      </c>
      <c r="J1523" s="9">
        <v>860.31959999999992</v>
      </c>
    </row>
    <row r="1524" spans="1:10" x14ac:dyDescent="0.3">
      <c r="A1524" s="22" t="s">
        <v>3333</v>
      </c>
      <c r="B1524" s="10">
        <v>45688</v>
      </c>
      <c r="C1524" s="12" t="s">
        <v>1017</v>
      </c>
      <c r="D1524" s="12" t="s">
        <v>1565</v>
      </c>
      <c r="E1524" s="12" t="s">
        <v>1773</v>
      </c>
      <c r="F1524" s="11">
        <v>2</v>
      </c>
      <c r="G1524" s="12">
        <v>753.1</v>
      </c>
      <c r="H1524" s="9">
        <v>0.19</v>
      </c>
      <c r="I1524" s="12" t="s">
        <v>1826</v>
      </c>
      <c r="J1524" s="9">
        <v>1220.0219999999999</v>
      </c>
    </row>
    <row r="1525" spans="1:10" x14ac:dyDescent="0.3">
      <c r="A1525" s="22" t="s">
        <v>3334</v>
      </c>
      <c r="B1525" s="10">
        <v>45927</v>
      </c>
      <c r="C1525" s="12" t="s">
        <v>40</v>
      </c>
      <c r="D1525" s="12" t="s">
        <v>1656</v>
      </c>
      <c r="E1525" s="12" t="s">
        <v>1807</v>
      </c>
      <c r="F1525" s="11">
        <v>2</v>
      </c>
      <c r="G1525" s="12">
        <v>700.91</v>
      </c>
      <c r="H1525" s="9">
        <v>0.1</v>
      </c>
      <c r="I1525" s="12" t="s">
        <v>1826</v>
      </c>
      <c r="J1525" s="9">
        <v>1261.6379999999999</v>
      </c>
    </row>
    <row r="1526" spans="1:10" x14ac:dyDescent="0.3">
      <c r="A1526" s="22" t="s">
        <v>3335</v>
      </c>
      <c r="B1526" s="10">
        <v>45775</v>
      </c>
      <c r="C1526" s="12" t="s">
        <v>264</v>
      </c>
      <c r="D1526" s="12" t="s">
        <v>1578</v>
      </c>
      <c r="E1526" s="12" t="s">
        <v>1794</v>
      </c>
      <c r="F1526" s="11">
        <v>4</v>
      </c>
      <c r="G1526" s="12">
        <v>935.98</v>
      </c>
      <c r="H1526" s="9">
        <v>0.11</v>
      </c>
      <c r="I1526" s="12" t="s">
        <v>1826</v>
      </c>
      <c r="J1526" s="9">
        <v>3332.0888</v>
      </c>
    </row>
    <row r="1527" spans="1:10" x14ac:dyDescent="0.3">
      <c r="A1527" s="22" t="s">
        <v>3336</v>
      </c>
      <c r="B1527" s="10">
        <v>45849</v>
      </c>
      <c r="C1527" s="12" t="s">
        <v>1492</v>
      </c>
      <c r="D1527" s="12" t="s">
        <v>1700</v>
      </c>
      <c r="E1527" s="12" t="s">
        <v>1804</v>
      </c>
      <c r="F1527" s="11">
        <v>1</v>
      </c>
      <c r="G1527" s="12">
        <v>539.9</v>
      </c>
      <c r="H1527" s="9">
        <v>7.0000000000000007E-2</v>
      </c>
      <c r="I1527" s="12" t="s">
        <v>1824</v>
      </c>
      <c r="J1527" s="9">
        <v>502.10700000000003</v>
      </c>
    </row>
    <row r="1528" spans="1:10" x14ac:dyDescent="0.3">
      <c r="A1528" s="22" t="s">
        <v>3337</v>
      </c>
      <c r="B1528" s="10">
        <v>45573</v>
      </c>
      <c r="C1528" s="12" t="s">
        <v>568</v>
      </c>
      <c r="D1528" s="12" t="s">
        <v>1628</v>
      </c>
      <c r="E1528" s="12" t="s">
        <v>1776</v>
      </c>
      <c r="F1528" s="11">
        <v>1</v>
      </c>
      <c r="G1528" s="12">
        <v>312.81</v>
      </c>
      <c r="H1528" s="9">
        <v>0.14000000000000001</v>
      </c>
      <c r="I1528" s="12" t="s">
        <v>1826</v>
      </c>
      <c r="J1528" s="9">
        <v>269.01659999999998</v>
      </c>
    </row>
    <row r="1529" spans="1:10" x14ac:dyDescent="0.3">
      <c r="A1529" s="22" t="s">
        <v>3338</v>
      </c>
      <c r="B1529" s="10">
        <v>45356</v>
      </c>
      <c r="C1529" s="12" t="s">
        <v>797</v>
      </c>
      <c r="D1529" s="12" t="s">
        <v>1644</v>
      </c>
      <c r="E1529" s="12" t="s">
        <v>1779</v>
      </c>
      <c r="F1529" s="11">
        <v>3</v>
      </c>
      <c r="G1529" s="12">
        <v>855.96</v>
      </c>
      <c r="H1529" s="9">
        <v>0.28999999999999998</v>
      </c>
      <c r="I1529" s="12" t="s">
        <v>1829</v>
      </c>
      <c r="J1529" s="9">
        <v>1823.1948</v>
      </c>
    </row>
    <row r="1530" spans="1:10" x14ac:dyDescent="0.3">
      <c r="A1530" s="22" t="s">
        <v>3339</v>
      </c>
      <c r="B1530" s="10">
        <v>45326</v>
      </c>
      <c r="C1530" s="12" t="s">
        <v>1112</v>
      </c>
      <c r="D1530" s="12" t="s">
        <v>1546</v>
      </c>
      <c r="E1530" s="12" t="s">
        <v>1792</v>
      </c>
      <c r="F1530" s="11">
        <v>3</v>
      </c>
      <c r="G1530" s="12">
        <v>305</v>
      </c>
      <c r="H1530" s="9">
        <v>0.01</v>
      </c>
      <c r="I1530" s="12" t="s">
        <v>1829</v>
      </c>
      <c r="J1530" s="9">
        <v>905.85</v>
      </c>
    </row>
    <row r="1531" spans="1:10" x14ac:dyDescent="0.3">
      <c r="A1531" s="22" t="s">
        <v>3340</v>
      </c>
      <c r="B1531" s="10">
        <v>45361</v>
      </c>
      <c r="C1531" s="12" t="s">
        <v>1443</v>
      </c>
      <c r="D1531" s="12" t="s">
        <v>1746</v>
      </c>
      <c r="E1531" s="12" t="s">
        <v>1794</v>
      </c>
      <c r="F1531" s="11">
        <v>3</v>
      </c>
      <c r="G1531" s="12">
        <v>831.15</v>
      </c>
      <c r="H1531" s="9">
        <v>0.19</v>
      </c>
      <c r="I1531" s="12" t="s">
        <v>1824</v>
      </c>
      <c r="J1531" s="9">
        <v>2019.6945000000001</v>
      </c>
    </row>
    <row r="1532" spans="1:10" x14ac:dyDescent="0.3">
      <c r="A1532" s="22" t="s">
        <v>3341</v>
      </c>
      <c r="B1532" s="10">
        <v>45926</v>
      </c>
      <c r="C1532" s="12" t="s">
        <v>675</v>
      </c>
      <c r="D1532" s="12" t="s">
        <v>1740</v>
      </c>
      <c r="E1532" s="12" t="s">
        <v>1766</v>
      </c>
      <c r="F1532" s="11">
        <v>2</v>
      </c>
      <c r="G1532" s="12">
        <v>644.97</v>
      </c>
      <c r="H1532" s="9">
        <v>0.24</v>
      </c>
      <c r="I1532" s="12" t="s">
        <v>1829</v>
      </c>
      <c r="J1532" s="9">
        <v>980.35440000000006</v>
      </c>
    </row>
    <row r="1533" spans="1:10" x14ac:dyDescent="0.3">
      <c r="A1533" s="22" t="s">
        <v>3342</v>
      </c>
      <c r="B1533" s="10">
        <v>45839</v>
      </c>
      <c r="C1533" s="12" t="s">
        <v>341</v>
      </c>
      <c r="D1533" s="12" t="s">
        <v>1724</v>
      </c>
      <c r="E1533" s="12" t="s">
        <v>1757</v>
      </c>
      <c r="F1533" s="11">
        <v>1</v>
      </c>
      <c r="G1533" s="12">
        <v>149.56</v>
      </c>
      <c r="H1533" s="9">
        <v>0.09</v>
      </c>
      <c r="I1533" s="12" t="s">
        <v>1824</v>
      </c>
      <c r="J1533" s="9">
        <v>136.09960000000001</v>
      </c>
    </row>
    <row r="1534" spans="1:10" x14ac:dyDescent="0.3">
      <c r="A1534" s="22" t="s">
        <v>3343</v>
      </c>
      <c r="B1534" s="10">
        <v>45434</v>
      </c>
      <c r="C1534" s="12" t="s">
        <v>705</v>
      </c>
      <c r="D1534" s="12" t="s">
        <v>1634</v>
      </c>
      <c r="E1534" s="12" t="s">
        <v>1813</v>
      </c>
      <c r="F1534" s="11">
        <v>1</v>
      </c>
      <c r="G1534" s="12">
        <v>661.77</v>
      </c>
      <c r="H1534" s="9">
        <v>0.03</v>
      </c>
      <c r="I1534" s="12" t="s">
        <v>1826</v>
      </c>
      <c r="J1534" s="9">
        <v>641.91689999999994</v>
      </c>
    </row>
    <row r="1535" spans="1:10" x14ac:dyDescent="0.3">
      <c r="A1535" s="22" t="s">
        <v>3344</v>
      </c>
      <c r="B1535" s="10">
        <v>45819</v>
      </c>
      <c r="C1535" s="12" t="s">
        <v>381</v>
      </c>
      <c r="D1535" s="12" t="s">
        <v>1736</v>
      </c>
      <c r="E1535" s="12" t="s">
        <v>1779</v>
      </c>
      <c r="F1535" s="11">
        <v>3</v>
      </c>
      <c r="G1535" s="12">
        <v>99.67</v>
      </c>
      <c r="H1535" s="9">
        <v>0.17</v>
      </c>
      <c r="I1535" s="12" t="s">
        <v>1824</v>
      </c>
      <c r="J1535" s="9">
        <v>248.17830000000001</v>
      </c>
    </row>
    <row r="1536" spans="1:10" x14ac:dyDescent="0.3">
      <c r="A1536" s="22" t="s">
        <v>3345</v>
      </c>
      <c r="B1536" s="10">
        <v>45553</v>
      </c>
      <c r="C1536" s="12" t="s">
        <v>716</v>
      </c>
      <c r="D1536" s="12" t="s">
        <v>1672</v>
      </c>
      <c r="E1536" s="12" t="s">
        <v>1757</v>
      </c>
      <c r="F1536" s="11">
        <v>3</v>
      </c>
      <c r="G1536" s="12">
        <v>103.66</v>
      </c>
      <c r="H1536" s="9">
        <v>0.26</v>
      </c>
      <c r="I1536" s="12" t="s">
        <v>1829</v>
      </c>
      <c r="J1536" s="9">
        <v>230.12520000000001</v>
      </c>
    </row>
    <row r="1537" spans="1:10" x14ac:dyDescent="0.3">
      <c r="A1537" s="22" t="s">
        <v>3346</v>
      </c>
      <c r="B1537" s="10">
        <v>45258</v>
      </c>
      <c r="C1537" s="12" t="s">
        <v>1352</v>
      </c>
      <c r="D1537" s="12" t="s">
        <v>1628</v>
      </c>
      <c r="E1537" s="12" t="s">
        <v>1761</v>
      </c>
      <c r="F1537" s="11">
        <v>4</v>
      </c>
      <c r="G1537" s="12">
        <v>54.4</v>
      </c>
      <c r="H1537" s="9">
        <v>0.22</v>
      </c>
      <c r="I1537" s="12" t="s">
        <v>1824</v>
      </c>
      <c r="J1537" s="9">
        <v>169.72800000000001</v>
      </c>
    </row>
    <row r="1538" spans="1:10" x14ac:dyDescent="0.3">
      <c r="A1538" s="22" t="s">
        <v>3347</v>
      </c>
      <c r="B1538" s="10">
        <v>45435</v>
      </c>
      <c r="C1538" s="12" t="s">
        <v>1507</v>
      </c>
      <c r="D1538" s="12" t="s">
        <v>1716</v>
      </c>
      <c r="E1538" s="12" t="s">
        <v>1799</v>
      </c>
      <c r="F1538" s="11">
        <v>1</v>
      </c>
      <c r="G1538" s="12">
        <v>46.66</v>
      </c>
      <c r="H1538" s="9">
        <v>0.2</v>
      </c>
      <c r="I1538" s="12" t="s">
        <v>1824</v>
      </c>
      <c r="J1538" s="9">
        <v>37.328000000000003</v>
      </c>
    </row>
    <row r="1539" spans="1:10" x14ac:dyDescent="0.3">
      <c r="A1539" s="22" t="s">
        <v>3348</v>
      </c>
      <c r="B1539" s="10">
        <v>45447</v>
      </c>
      <c r="C1539" s="12" t="s">
        <v>40</v>
      </c>
      <c r="D1539" s="12" t="s">
        <v>1694</v>
      </c>
      <c r="E1539" s="12" t="s">
        <v>1792</v>
      </c>
      <c r="F1539" s="11">
        <v>4</v>
      </c>
      <c r="G1539" s="12">
        <v>871.2</v>
      </c>
      <c r="H1539" s="9">
        <v>0.28999999999999998</v>
      </c>
      <c r="I1539" s="12" t="s">
        <v>1824</v>
      </c>
      <c r="J1539" s="9">
        <v>2474.2080000000001</v>
      </c>
    </row>
    <row r="1540" spans="1:10" x14ac:dyDescent="0.3">
      <c r="A1540" s="22" t="s">
        <v>3349</v>
      </c>
      <c r="B1540" s="10">
        <v>45724</v>
      </c>
      <c r="C1540" s="12" t="s">
        <v>1184</v>
      </c>
      <c r="D1540" s="12" t="s">
        <v>1584</v>
      </c>
      <c r="E1540" s="12" t="s">
        <v>1799</v>
      </c>
      <c r="F1540" s="11">
        <v>4</v>
      </c>
      <c r="G1540" s="12">
        <v>317.11</v>
      </c>
      <c r="H1540" s="9">
        <v>0.16</v>
      </c>
      <c r="I1540" s="12" t="s">
        <v>1826</v>
      </c>
      <c r="J1540" s="9">
        <v>1065.4896000000001</v>
      </c>
    </row>
    <row r="1541" spans="1:10" x14ac:dyDescent="0.3">
      <c r="A1541" s="22" t="s">
        <v>3350</v>
      </c>
      <c r="B1541" s="10">
        <v>45338</v>
      </c>
      <c r="C1541" s="12" t="s">
        <v>824</v>
      </c>
      <c r="D1541" s="12" t="s">
        <v>1598</v>
      </c>
      <c r="E1541" s="12" t="s">
        <v>1797</v>
      </c>
      <c r="F1541" s="11">
        <v>2</v>
      </c>
      <c r="G1541" s="12">
        <v>388.34</v>
      </c>
      <c r="H1541" s="9">
        <v>0.09</v>
      </c>
      <c r="I1541" s="12" t="s">
        <v>1826</v>
      </c>
      <c r="J1541" s="9">
        <v>706.77879999999993</v>
      </c>
    </row>
    <row r="1542" spans="1:10" x14ac:dyDescent="0.3">
      <c r="A1542" s="22" t="s">
        <v>3351</v>
      </c>
      <c r="B1542" s="10">
        <v>45252</v>
      </c>
      <c r="C1542" s="12" t="s">
        <v>1005</v>
      </c>
      <c r="D1542" s="12" t="s">
        <v>1608</v>
      </c>
      <c r="E1542" s="12" t="s">
        <v>1776</v>
      </c>
      <c r="F1542" s="11">
        <v>4</v>
      </c>
      <c r="G1542" s="12">
        <v>998.2</v>
      </c>
      <c r="H1542" s="9">
        <v>0.15</v>
      </c>
      <c r="I1542" s="12" t="s">
        <v>1824</v>
      </c>
      <c r="J1542" s="9">
        <v>3393.88</v>
      </c>
    </row>
    <row r="1543" spans="1:10" x14ac:dyDescent="0.3">
      <c r="A1543" s="22" t="s">
        <v>3352</v>
      </c>
      <c r="B1543" s="10">
        <v>45606</v>
      </c>
      <c r="C1543" s="12" t="s">
        <v>1516</v>
      </c>
      <c r="D1543" s="12" t="s">
        <v>1620</v>
      </c>
      <c r="E1543" s="12" t="s">
        <v>1752</v>
      </c>
      <c r="F1543" s="11">
        <v>1</v>
      </c>
      <c r="G1543" s="12">
        <v>887.38</v>
      </c>
      <c r="H1543" s="9">
        <v>0.01</v>
      </c>
      <c r="I1543" s="12" t="s">
        <v>1829</v>
      </c>
      <c r="J1543" s="9">
        <v>878.50620000000004</v>
      </c>
    </row>
    <row r="1544" spans="1:10" x14ac:dyDescent="0.3">
      <c r="A1544" s="22" t="s">
        <v>3353</v>
      </c>
      <c r="B1544" s="10">
        <v>45524</v>
      </c>
      <c r="C1544" s="12" t="s">
        <v>984</v>
      </c>
      <c r="D1544" s="12" t="s">
        <v>1622</v>
      </c>
      <c r="E1544" s="12" t="s">
        <v>1794</v>
      </c>
      <c r="F1544" s="11">
        <v>4</v>
      </c>
      <c r="G1544" s="12">
        <v>332.97</v>
      </c>
      <c r="H1544" s="9">
        <v>0.28000000000000003</v>
      </c>
      <c r="I1544" s="12" t="s">
        <v>1824</v>
      </c>
      <c r="J1544" s="9">
        <v>958.95360000000005</v>
      </c>
    </row>
    <row r="1545" spans="1:10" x14ac:dyDescent="0.3">
      <c r="A1545" s="22" t="s">
        <v>3354</v>
      </c>
      <c r="B1545" s="10">
        <v>45934</v>
      </c>
      <c r="C1545" s="12" t="s">
        <v>93</v>
      </c>
      <c r="D1545" s="12" t="s">
        <v>1640</v>
      </c>
      <c r="E1545" s="12" t="s">
        <v>1752</v>
      </c>
      <c r="F1545" s="11">
        <v>2</v>
      </c>
      <c r="G1545" s="12">
        <v>157.91</v>
      </c>
      <c r="H1545" s="9">
        <v>0.09</v>
      </c>
      <c r="I1545" s="12" t="s">
        <v>1829</v>
      </c>
      <c r="J1545" s="9">
        <v>287.39620000000002</v>
      </c>
    </row>
    <row r="1546" spans="1:10" x14ac:dyDescent="0.3">
      <c r="A1546" s="22" t="s">
        <v>3355</v>
      </c>
      <c r="B1546" s="10">
        <v>45539</v>
      </c>
      <c r="C1546" s="12" t="s">
        <v>1115</v>
      </c>
      <c r="D1546" s="12" t="s">
        <v>1572</v>
      </c>
      <c r="E1546" s="12" t="s">
        <v>1810</v>
      </c>
      <c r="F1546" s="11">
        <v>1</v>
      </c>
      <c r="G1546" s="12">
        <v>548.15</v>
      </c>
      <c r="H1546" s="9">
        <v>0.11</v>
      </c>
      <c r="I1546" s="12" t="s">
        <v>1824</v>
      </c>
      <c r="J1546" s="9">
        <v>487.8535</v>
      </c>
    </row>
    <row r="1547" spans="1:10" x14ac:dyDescent="0.3">
      <c r="A1547" s="22" t="s">
        <v>3356</v>
      </c>
      <c r="B1547" s="10">
        <v>45555</v>
      </c>
      <c r="C1547" s="12" t="s">
        <v>681</v>
      </c>
      <c r="D1547" s="12" t="s">
        <v>1644</v>
      </c>
      <c r="E1547" s="12" t="s">
        <v>1801</v>
      </c>
      <c r="F1547" s="11">
        <v>1</v>
      </c>
      <c r="G1547" s="12">
        <v>135.13</v>
      </c>
      <c r="H1547" s="9">
        <v>0.04</v>
      </c>
      <c r="I1547" s="12" t="s">
        <v>1824</v>
      </c>
      <c r="J1547" s="9">
        <v>129.72479999999999</v>
      </c>
    </row>
    <row r="1548" spans="1:10" x14ac:dyDescent="0.3">
      <c r="A1548" s="22" t="s">
        <v>3357</v>
      </c>
      <c r="B1548" s="10">
        <v>45281</v>
      </c>
      <c r="C1548" s="12" t="s">
        <v>711</v>
      </c>
      <c r="D1548" s="12" t="s">
        <v>1660</v>
      </c>
      <c r="E1548" s="12" t="s">
        <v>1766</v>
      </c>
      <c r="F1548" s="11">
        <v>3</v>
      </c>
      <c r="G1548" s="12">
        <v>579.26</v>
      </c>
      <c r="H1548" s="9">
        <v>0.19</v>
      </c>
      <c r="I1548" s="12" t="s">
        <v>1824</v>
      </c>
      <c r="J1548" s="9">
        <v>1407.6017999999999</v>
      </c>
    </row>
    <row r="1549" spans="1:10" x14ac:dyDescent="0.3">
      <c r="A1549" s="22" t="s">
        <v>3358</v>
      </c>
      <c r="B1549" s="10">
        <v>45582</v>
      </c>
      <c r="C1549" s="12" t="s">
        <v>1214</v>
      </c>
      <c r="D1549" s="12" t="s">
        <v>1582</v>
      </c>
      <c r="E1549" s="12" t="s">
        <v>1752</v>
      </c>
      <c r="F1549" s="11">
        <v>1</v>
      </c>
      <c r="G1549" s="12">
        <v>465.63</v>
      </c>
      <c r="H1549" s="9">
        <v>0.25</v>
      </c>
      <c r="I1549" s="12" t="s">
        <v>1824</v>
      </c>
      <c r="J1549" s="9">
        <v>349.22250000000003</v>
      </c>
    </row>
    <row r="1550" spans="1:10" x14ac:dyDescent="0.3">
      <c r="A1550" s="22" t="s">
        <v>3359</v>
      </c>
      <c r="B1550" s="10">
        <v>45372</v>
      </c>
      <c r="C1550" s="12" t="s">
        <v>181</v>
      </c>
      <c r="D1550" s="12" t="s">
        <v>1700</v>
      </c>
      <c r="E1550" s="12" t="s">
        <v>1804</v>
      </c>
      <c r="F1550" s="11">
        <v>2</v>
      </c>
      <c r="G1550" s="12">
        <v>675.61</v>
      </c>
      <c r="H1550" s="9">
        <v>0.08</v>
      </c>
      <c r="I1550" s="12" t="s">
        <v>1829</v>
      </c>
      <c r="J1550" s="9">
        <v>1243.1224</v>
      </c>
    </row>
    <row r="1551" spans="1:10" x14ac:dyDescent="0.3">
      <c r="A1551" s="22" t="s">
        <v>3360</v>
      </c>
      <c r="B1551" s="10">
        <v>45458</v>
      </c>
      <c r="C1551" s="12" t="s">
        <v>1292</v>
      </c>
      <c r="D1551" s="12" t="s">
        <v>1614</v>
      </c>
      <c r="E1551" s="12" t="s">
        <v>1776</v>
      </c>
      <c r="F1551" s="11">
        <v>1</v>
      </c>
      <c r="G1551" s="12">
        <v>718.99</v>
      </c>
      <c r="H1551" s="9">
        <v>0.08</v>
      </c>
      <c r="I1551" s="12" t="s">
        <v>1826</v>
      </c>
      <c r="J1551" s="9">
        <v>661.47080000000005</v>
      </c>
    </row>
    <row r="1552" spans="1:10" x14ac:dyDescent="0.3">
      <c r="A1552" s="22" t="s">
        <v>3361</v>
      </c>
      <c r="B1552" s="10">
        <v>45943</v>
      </c>
      <c r="C1552" s="12" t="s">
        <v>1175</v>
      </c>
      <c r="D1552" s="12" t="s">
        <v>1576</v>
      </c>
      <c r="E1552" s="12" t="s">
        <v>1789</v>
      </c>
      <c r="F1552" s="11">
        <v>2</v>
      </c>
      <c r="G1552" s="12">
        <v>675.65</v>
      </c>
      <c r="H1552" s="9">
        <v>0.2</v>
      </c>
      <c r="I1552" s="12" t="s">
        <v>1829</v>
      </c>
      <c r="J1552" s="9">
        <v>1081.04</v>
      </c>
    </row>
    <row r="1553" spans="1:10" x14ac:dyDescent="0.3">
      <c r="A1553" s="22" t="s">
        <v>3362</v>
      </c>
      <c r="B1553" s="10">
        <v>45374</v>
      </c>
      <c r="C1553" s="12" t="s">
        <v>1056</v>
      </c>
      <c r="D1553" s="12" t="s">
        <v>1738</v>
      </c>
      <c r="E1553" s="12" t="s">
        <v>1801</v>
      </c>
      <c r="F1553" s="11">
        <v>4</v>
      </c>
      <c r="G1553" s="12">
        <v>284.24</v>
      </c>
      <c r="H1553" s="9">
        <v>0.1</v>
      </c>
      <c r="I1553" s="12" t="s">
        <v>1824</v>
      </c>
      <c r="J1553" s="9">
        <v>1023.264</v>
      </c>
    </row>
    <row r="1554" spans="1:10" x14ac:dyDescent="0.3">
      <c r="A1554" s="22" t="s">
        <v>3363</v>
      </c>
      <c r="B1554" s="10">
        <v>45374</v>
      </c>
      <c r="C1554" s="12" t="s">
        <v>693</v>
      </c>
      <c r="D1554" s="12" t="s">
        <v>1546</v>
      </c>
      <c r="E1554" s="12" t="s">
        <v>1766</v>
      </c>
      <c r="F1554" s="11">
        <v>1</v>
      </c>
      <c r="G1554" s="12">
        <v>94.26</v>
      </c>
      <c r="H1554" s="9">
        <v>0.18</v>
      </c>
      <c r="I1554" s="12" t="s">
        <v>1826</v>
      </c>
      <c r="J1554" s="9">
        <v>77.293200000000013</v>
      </c>
    </row>
    <row r="1555" spans="1:10" x14ac:dyDescent="0.3">
      <c r="A1555" s="22" t="s">
        <v>3364</v>
      </c>
      <c r="B1555" s="10">
        <v>45789</v>
      </c>
      <c r="C1555" s="12" t="s">
        <v>1292</v>
      </c>
      <c r="D1555" s="12" t="s">
        <v>1557</v>
      </c>
      <c r="E1555" s="12" t="s">
        <v>1789</v>
      </c>
      <c r="F1555" s="11">
        <v>4</v>
      </c>
      <c r="G1555" s="12">
        <v>458.58</v>
      </c>
      <c r="H1555" s="9">
        <v>0.28999999999999998</v>
      </c>
      <c r="I1555" s="12" t="s">
        <v>1829</v>
      </c>
      <c r="J1555" s="9">
        <v>1302.3671999999999</v>
      </c>
    </row>
    <row r="1556" spans="1:10" x14ac:dyDescent="0.3">
      <c r="A1556" s="22" t="s">
        <v>3365</v>
      </c>
      <c r="B1556" s="10">
        <v>45452</v>
      </c>
      <c r="C1556" s="12" t="s">
        <v>396</v>
      </c>
      <c r="D1556" s="12" t="s">
        <v>1678</v>
      </c>
      <c r="E1556" s="12" t="s">
        <v>1789</v>
      </c>
      <c r="F1556" s="11">
        <v>4</v>
      </c>
      <c r="G1556" s="12">
        <v>704.49</v>
      </c>
      <c r="H1556" s="9">
        <v>0.05</v>
      </c>
      <c r="I1556" s="12" t="s">
        <v>1829</v>
      </c>
      <c r="J1556" s="9">
        <v>2677.0619999999999</v>
      </c>
    </row>
    <row r="1557" spans="1:10" x14ac:dyDescent="0.3">
      <c r="A1557" s="22" t="s">
        <v>3366</v>
      </c>
      <c r="B1557" s="10">
        <v>45284</v>
      </c>
      <c r="C1557" s="12" t="s">
        <v>130</v>
      </c>
      <c r="D1557" s="12" t="s">
        <v>1602</v>
      </c>
      <c r="E1557" s="12" t="s">
        <v>1813</v>
      </c>
      <c r="F1557" s="11">
        <v>4</v>
      </c>
      <c r="G1557" s="12">
        <v>822.32</v>
      </c>
      <c r="H1557" s="9">
        <v>0.26</v>
      </c>
      <c r="I1557" s="12" t="s">
        <v>1826</v>
      </c>
      <c r="J1557" s="9">
        <v>2434.0672</v>
      </c>
    </row>
    <row r="1558" spans="1:10" x14ac:dyDescent="0.3">
      <c r="A1558" s="22" t="s">
        <v>3367</v>
      </c>
      <c r="B1558" s="10">
        <v>45325</v>
      </c>
      <c r="C1558" s="12" t="s">
        <v>785</v>
      </c>
      <c r="D1558" s="12" t="s">
        <v>1551</v>
      </c>
      <c r="E1558" s="12" t="s">
        <v>1797</v>
      </c>
      <c r="F1558" s="11">
        <v>4</v>
      </c>
      <c r="G1558" s="12">
        <v>785.41</v>
      </c>
      <c r="H1558" s="9">
        <v>0.13</v>
      </c>
      <c r="I1558" s="12" t="s">
        <v>1829</v>
      </c>
      <c r="J1558" s="9">
        <v>2733.2267999999999</v>
      </c>
    </row>
    <row r="1559" spans="1:10" x14ac:dyDescent="0.3">
      <c r="A1559" s="22" t="s">
        <v>3368</v>
      </c>
      <c r="B1559" s="10">
        <v>45465</v>
      </c>
      <c r="C1559" s="12" t="s">
        <v>127</v>
      </c>
      <c r="D1559" s="12" t="s">
        <v>1626</v>
      </c>
      <c r="E1559" s="12" t="s">
        <v>1799</v>
      </c>
      <c r="F1559" s="11">
        <v>1</v>
      </c>
      <c r="G1559" s="12">
        <v>405.8</v>
      </c>
      <c r="H1559" s="9">
        <v>0.11</v>
      </c>
      <c r="I1559" s="12" t="s">
        <v>1826</v>
      </c>
      <c r="J1559" s="9">
        <v>361.16199999999998</v>
      </c>
    </row>
    <row r="1560" spans="1:10" x14ac:dyDescent="0.3">
      <c r="A1560" s="22" t="s">
        <v>3369</v>
      </c>
      <c r="B1560" s="10">
        <v>45612</v>
      </c>
      <c r="C1560" s="12" t="s">
        <v>1343</v>
      </c>
      <c r="D1560" s="12" t="s">
        <v>1730</v>
      </c>
      <c r="E1560" s="12" t="s">
        <v>1786</v>
      </c>
      <c r="F1560" s="11">
        <v>2</v>
      </c>
      <c r="G1560" s="12">
        <v>976.83</v>
      </c>
      <c r="H1560" s="9">
        <v>0.1</v>
      </c>
      <c r="I1560" s="12" t="s">
        <v>1826</v>
      </c>
      <c r="J1560" s="9">
        <v>1758.2940000000001</v>
      </c>
    </row>
    <row r="1561" spans="1:10" x14ac:dyDescent="0.3">
      <c r="A1561" s="22" t="s">
        <v>3370</v>
      </c>
      <c r="B1561" s="10">
        <v>45472</v>
      </c>
      <c r="C1561" s="12" t="s">
        <v>869</v>
      </c>
      <c r="D1561" s="12" t="s">
        <v>1676</v>
      </c>
      <c r="E1561" s="12" t="s">
        <v>1761</v>
      </c>
      <c r="F1561" s="11">
        <v>1</v>
      </c>
      <c r="G1561" s="12">
        <v>644.15</v>
      </c>
      <c r="H1561" s="9">
        <v>0.06</v>
      </c>
      <c r="I1561" s="12" t="s">
        <v>1824</v>
      </c>
      <c r="J1561" s="9">
        <v>605.50099999999998</v>
      </c>
    </row>
    <row r="1562" spans="1:10" x14ac:dyDescent="0.3">
      <c r="A1562" s="22" t="s">
        <v>3371</v>
      </c>
      <c r="B1562" s="10">
        <v>45897</v>
      </c>
      <c r="C1562" s="12" t="s">
        <v>1059</v>
      </c>
      <c r="D1562" s="12" t="s">
        <v>1682</v>
      </c>
      <c r="E1562" s="12" t="s">
        <v>1797</v>
      </c>
      <c r="F1562" s="11">
        <v>1</v>
      </c>
      <c r="G1562" s="12">
        <v>470.55</v>
      </c>
      <c r="H1562" s="9">
        <v>0.23</v>
      </c>
      <c r="I1562" s="12" t="s">
        <v>1826</v>
      </c>
      <c r="J1562" s="9">
        <v>362.32350000000002</v>
      </c>
    </row>
    <row r="1563" spans="1:10" x14ac:dyDescent="0.3">
      <c r="A1563" s="22" t="s">
        <v>3372</v>
      </c>
      <c r="B1563" s="10">
        <v>45241</v>
      </c>
      <c r="C1563" s="12" t="s">
        <v>1472</v>
      </c>
      <c r="D1563" s="12" t="s">
        <v>1560</v>
      </c>
      <c r="E1563" s="12" t="s">
        <v>1776</v>
      </c>
      <c r="F1563" s="11">
        <v>3</v>
      </c>
      <c r="G1563" s="12">
        <v>598.82000000000005</v>
      </c>
      <c r="H1563" s="9">
        <v>0.19</v>
      </c>
      <c r="I1563" s="12" t="s">
        <v>1829</v>
      </c>
      <c r="J1563" s="9">
        <v>1455.1325999999999</v>
      </c>
    </row>
    <row r="1564" spans="1:10" x14ac:dyDescent="0.3">
      <c r="A1564" s="22" t="s">
        <v>3373</v>
      </c>
      <c r="B1564" s="10">
        <v>45851</v>
      </c>
      <c r="C1564" s="12" t="s">
        <v>360</v>
      </c>
      <c r="D1564" s="12" t="s">
        <v>1588</v>
      </c>
      <c r="E1564" s="12" t="s">
        <v>1794</v>
      </c>
      <c r="F1564" s="11">
        <v>4</v>
      </c>
      <c r="G1564" s="12">
        <v>659.17</v>
      </c>
      <c r="H1564" s="9">
        <v>0.12</v>
      </c>
      <c r="I1564" s="12" t="s">
        <v>1824</v>
      </c>
      <c r="J1564" s="9">
        <v>2320.2784000000001</v>
      </c>
    </row>
    <row r="1565" spans="1:10" x14ac:dyDescent="0.3">
      <c r="A1565" s="22" t="s">
        <v>3374</v>
      </c>
      <c r="B1565" s="10">
        <v>45572</v>
      </c>
      <c r="C1565" s="12" t="s">
        <v>369</v>
      </c>
      <c r="D1565" s="12" t="s">
        <v>1640</v>
      </c>
      <c r="E1565" s="12" t="s">
        <v>1757</v>
      </c>
      <c r="F1565" s="11">
        <v>2</v>
      </c>
      <c r="G1565" s="12">
        <v>216.02</v>
      </c>
      <c r="H1565" s="9">
        <v>0.25</v>
      </c>
      <c r="I1565" s="12" t="s">
        <v>1824</v>
      </c>
      <c r="J1565" s="9">
        <v>324.02999999999997</v>
      </c>
    </row>
    <row r="1566" spans="1:10" x14ac:dyDescent="0.3">
      <c r="A1566" s="22" t="s">
        <v>3375</v>
      </c>
      <c r="B1566" s="10">
        <v>45774</v>
      </c>
      <c r="C1566" s="12" t="s">
        <v>124</v>
      </c>
      <c r="D1566" s="12" t="s">
        <v>1610</v>
      </c>
      <c r="E1566" s="12" t="s">
        <v>1789</v>
      </c>
      <c r="F1566" s="11">
        <v>2</v>
      </c>
      <c r="G1566" s="12">
        <v>613.47</v>
      </c>
      <c r="H1566" s="9">
        <v>0.02</v>
      </c>
      <c r="I1566" s="12" t="s">
        <v>1826</v>
      </c>
      <c r="J1566" s="9">
        <v>1202.4012</v>
      </c>
    </row>
    <row r="1567" spans="1:10" x14ac:dyDescent="0.3">
      <c r="A1567" s="22" t="s">
        <v>3376</v>
      </c>
      <c r="B1567" s="10">
        <v>45921</v>
      </c>
      <c r="C1567" s="12" t="s">
        <v>350</v>
      </c>
      <c r="D1567" s="12" t="s">
        <v>1664</v>
      </c>
      <c r="E1567" s="12" t="s">
        <v>1794</v>
      </c>
      <c r="F1567" s="11">
        <v>2</v>
      </c>
      <c r="G1567" s="12">
        <v>485.17</v>
      </c>
      <c r="H1567" s="9">
        <v>0.11</v>
      </c>
      <c r="I1567" s="12" t="s">
        <v>1826</v>
      </c>
      <c r="J1567" s="9">
        <v>863.60260000000005</v>
      </c>
    </row>
    <row r="1568" spans="1:10" x14ac:dyDescent="0.3">
      <c r="A1568" s="22" t="s">
        <v>3377</v>
      </c>
      <c r="B1568" s="10">
        <v>45268</v>
      </c>
      <c r="C1568" s="12" t="s">
        <v>969</v>
      </c>
      <c r="D1568" s="12" t="s">
        <v>1640</v>
      </c>
      <c r="E1568" s="12" t="s">
        <v>1789</v>
      </c>
      <c r="F1568" s="11">
        <v>1</v>
      </c>
      <c r="G1568" s="12">
        <v>209.7</v>
      </c>
      <c r="H1568" s="9">
        <v>0.2</v>
      </c>
      <c r="I1568" s="12" t="s">
        <v>1826</v>
      </c>
      <c r="J1568" s="9">
        <v>167.76</v>
      </c>
    </row>
    <row r="1569" spans="1:10" x14ac:dyDescent="0.3">
      <c r="A1569" s="22" t="s">
        <v>3378</v>
      </c>
      <c r="B1569" s="10">
        <v>45402</v>
      </c>
      <c r="C1569" s="12" t="s">
        <v>1026</v>
      </c>
      <c r="D1569" s="12" t="s">
        <v>1732</v>
      </c>
      <c r="E1569" s="12" t="s">
        <v>1752</v>
      </c>
      <c r="F1569" s="11">
        <v>1</v>
      </c>
      <c r="G1569" s="12">
        <v>681.47</v>
      </c>
      <c r="H1569" s="9">
        <v>0.15</v>
      </c>
      <c r="I1569" s="12" t="s">
        <v>1824</v>
      </c>
      <c r="J1569" s="9">
        <v>579.24950000000001</v>
      </c>
    </row>
    <row r="1570" spans="1:10" x14ac:dyDescent="0.3">
      <c r="A1570" s="22" t="s">
        <v>3379</v>
      </c>
      <c r="B1570" s="10">
        <v>45667</v>
      </c>
      <c r="C1570" s="12" t="s">
        <v>1362</v>
      </c>
      <c r="D1570" s="12" t="s">
        <v>1700</v>
      </c>
      <c r="E1570" s="12" t="s">
        <v>1807</v>
      </c>
      <c r="F1570" s="11">
        <v>2</v>
      </c>
      <c r="G1570" s="12">
        <v>877.21</v>
      </c>
      <c r="H1570" s="9">
        <v>0.1</v>
      </c>
      <c r="I1570" s="12" t="s">
        <v>1824</v>
      </c>
      <c r="J1570" s="9">
        <v>1578.9780000000001</v>
      </c>
    </row>
    <row r="1571" spans="1:10" x14ac:dyDescent="0.3">
      <c r="A1571" s="22" t="s">
        <v>3380</v>
      </c>
      <c r="B1571" s="10">
        <v>45902</v>
      </c>
      <c r="C1571" s="12" t="s">
        <v>1002</v>
      </c>
      <c r="D1571" s="12" t="s">
        <v>1704</v>
      </c>
      <c r="E1571" s="12" t="s">
        <v>1773</v>
      </c>
      <c r="F1571" s="11">
        <v>2</v>
      </c>
      <c r="G1571" s="12">
        <v>479.77</v>
      </c>
      <c r="H1571" s="9">
        <v>0.21</v>
      </c>
      <c r="I1571" s="12" t="s">
        <v>1826</v>
      </c>
      <c r="J1571" s="9">
        <v>758.03660000000002</v>
      </c>
    </row>
    <row r="1572" spans="1:10" x14ac:dyDescent="0.3">
      <c r="A1572" s="22" t="s">
        <v>3381</v>
      </c>
      <c r="B1572" s="10">
        <v>45589</v>
      </c>
      <c r="C1572" s="12" t="s">
        <v>1014</v>
      </c>
      <c r="D1572" s="12" t="s">
        <v>1714</v>
      </c>
      <c r="E1572" s="12" t="s">
        <v>1801</v>
      </c>
      <c r="F1572" s="11">
        <v>1</v>
      </c>
      <c r="G1572" s="12">
        <v>140.72</v>
      </c>
      <c r="H1572" s="9">
        <v>0</v>
      </c>
      <c r="I1572" s="12" t="s">
        <v>1829</v>
      </c>
      <c r="J1572" s="9">
        <v>140.72</v>
      </c>
    </row>
    <row r="1573" spans="1:10" x14ac:dyDescent="0.3">
      <c r="A1573" s="22" t="s">
        <v>3382</v>
      </c>
      <c r="B1573" s="10">
        <v>45668</v>
      </c>
      <c r="C1573" s="12" t="s">
        <v>114</v>
      </c>
      <c r="D1573" s="12" t="s">
        <v>1586</v>
      </c>
      <c r="E1573" s="12" t="s">
        <v>1776</v>
      </c>
      <c r="F1573" s="11">
        <v>2</v>
      </c>
      <c r="G1573" s="12">
        <v>764.25</v>
      </c>
      <c r="H1573" s="9">
        <v>0.23</v>
      </c>
      <c r="I1573" s="12" t="s">
        <v>1826</v>
      </c>
      <c r="J1573" s="9">
        <v>1176.9449999999999</v>
      </c>
    </row>
    <row r="1574" spans="1:10" x14ac:dyDescent="0.3">
      <c r="A1574" s="22" t="s">
        <v>3383</v>
      </c>
      <c r="B1574" s="10">
        <v>45300</v>
      </c>
      <c r="C1574" s="12" t="s">
        <v>719</v>
      </c>
      <c r="D1574" s="12" t="s">
        <v>1714</v>
      </c>
      <c r="E1574" s="12" t="s">
        <v>1773</v>
      </c>
      <c r="F1574" s="11">
        <v>3</v>
      </c>
      <c r="G1574" s="12">
        <v>107.8</v>
      </c>
      <c r="H1574" s="9">
        <v>0.28999999999999998</v>
      </c>
      <c r="I1574" s="12" t="s">
        <v>1826</v>
      </c>
      <c r="J1574" s="9">
        <v>229.614</v>
      </c>
    </row>
    <row r="1575" spans="1:10" x14ac:dyDescent="0.3">
      <c r="A1575" s="22" t="s">
        <v>3384</v>
      </c>
      <c r="B1575" s="10">
        <v>45757</v>
      </c>
      <c r="C1575" s="12" t="s">
        <v>496</v>
      </c>
      <c r="D1575" s="12" t="s">
        <v>1592</v>
      </c>
      <c r="E1575" s="12" t="s">
        <v>1782</v>
      </c>
      <c r="F1575" s="11">
        <v>4</v>
      </c>
      <c r="G1575" s="12">
        <v>565.37</v>
      </c>
      <c r="H1575" s="9">
        <v>7.0000000000000007E-2</v>
      </c>
      <c r="I1575" s="12" t="s">
        <v>1826</v>
      </c>
      <c r="J1575" s="9">
        <v>2103.1763999999998</v>
      </c>
    </row>
    <row r="1576" spans="1:10" x14ac:dyDescent="0.3">
      <c r="A1576" s="22" t="s">
        <v>3385</v>
      </c>
      <c r="B1576" s="10">
        <v>45235</v>
      </c>
      <c r="C1576" s="12" t="s">
        <v>137</v>
      </c>
      <c r="D1576" s="12" t="s">
        <v>1620</v>
      </c>
      <c r="E1576" s="12" t="s">
        <v>1769</v>
      </c>
      <c r="F1576" s="11">
        <v>3</v>
      </c>
      <c r="G1576" s="12">
        <v>811.45</v>
      </c>
      <c r="H1576" s="9">
        <v>0.26</v>
      </c>
      <c r="I1576" s="12" t="s">
        <v>1824</v>
      </c>
      <c r="J1576" s="9">
        <v>1801.4190000000001</v>
      </c>
    </row>
    <row r="1577" spans="1:10" x14ac:dyDescent="0.3">
      <c r="A1577" s="22" t="s">
        <v>3386</v>
      </c>
      <c r="B1577" s="10">
        <v>45749</v>
      </c>
      <c r="C1577" s="12" t="s">
        <v>1275</v>
      </c>
      <c r="D1577" s="12" t="s">
        <v>1614</v>
      </c>
      <c r="E1577" s="12" t="s">
        <v>1813</v>
      </c>
      <c r="F1577" s="11">
        <v>4</v>
      </c>
      <c r="G1577" s="12">
        <v>62.25</v>
      </c>
      <c r="H1577" s="9">
        <v>0.11</v>
      </c>
      <c r="I1577" s="12" t="s">
        <v>1826</v>
      </c>
      <c r="J1577" s="9">
        <v>221.61</v>
      </c>
    </row>
    <row r="1578" spans="1:10" x14ac:dyDescent="0.3">
      <c r="A1578" s="22" t="s">
        <v>3387</v>
      </c>
      <c r="B1578" s="10">
        <v>45807</v>
      </c>
      <c r="C1578" s="12" t="s">
        <v>107</v>
      </c>
      <c r="D1578" s="12" t="s">
        <v>1738</v>
      </c>
      <c r="E1578" s="12" t="s">
        <v>1789</v>
      </c>
      <c r="F1578" s="11">
        <v>1</v>
      </c>
      <c r="G1578" s="12">
        <v>749.78</v>
      </c>
      <c r="H1578" s="9">
        <v>0.03</v>
      </c>
      <c r="I1578" s="12" t="s">
        <v>1824</v>
      </c>
      <c r="J1578" s="9">
        <v>727.28659999999991</v>
      </c>
    </row>
    <row r="1579" spans="1:10" x14ac:dyDescent="0.3">
      <c r="A1579" s="22" t="s">
        <v>3388</v>
      </c>
      <c r="B1579" s="10">
        <v>45496</v>
      </c>
      <c r="C1579" s="12" t="s">
        <v>1098</v>
      </c>
      <c r="D1579" s="12" t="s">
        <v>1666</v>
      </c>
      <c r="E1579" s="12" t="s">
        <v>1773</v>
      </c>
      <c r="F1579" s="11">
        <v>3</v>
      </c>
      <c r="G1579" s="12">
        <v>630.28</v>
      </c>
      <c r="H1579" s="9">
        <v>7.0000000000000007E-2</v>
      </c>
      <c r="I1579" s="12" t="s">
        <v>1829</v>
      </c>
      <c r="J1579" s="9">
        <v>1758.4811999999999</v>
      </c>
    </row>
    <row r="1580" spans="1:10" x14ac:dyDescent="0.3">
      <c r="A1580" s="22" t="s">
        <v>3389</v>
      </c>
      <c r="B1580" s="10">
        <v>45355</v>
      </c>
      <c r="C1580" s="12" t="s">
        <v>484</v>
      </c>
      <c r="D1580" s="12" t="s">
        <v>1608</v>
      </c>
      <c r="E1580" s="12" t="s">
        <v>1804</v>
      </c>
      <c r="F1580" s="11">
        <v>1</v>
      </c>
      <c r="G1580" s="12">
        <v>101.84</v>
      </c>
      <c r="H1580" s="9">
        <v>0.17</v>
      </c>
      <c r="I1580" s="12" t="s">
        <v>1824</v>
      </c>
      <c r="J1580" s="9">
        <v>84.527199999999993</v>
      </c>
    </row>
    <row r="1581" spans="1:10" x14ac:dyDescent="0.3">
      <c r="A1581" s="22" t="s">
        <v>3390</v>
      </c>
      <c r="B1581" s="10">
        <v>45256</v>
      </c>
      <c r="C1581" s="12" t="s">
        <v>208</v>
      </c>
      <c r="D1581" s="12" t="s">
        <v>1596</v>
      </c>
      <c r="E1581" s="12" t="s">
        <v>1810</v>
      </c>
      <c r="F1581" s="11">
        <v>4</v>
      </c>
      <c r="G1581" s="12">
        <v>641.45000000000005</v>
      </c>
      <c r="H1581" s="9">
        <v>0.16</v>
      </c>
      <c r="I1581" s="12" t="s">
        <v>1829</v>
      </c>
      <c r="J1581" s="9">
        <v>2155.2719999999999</v>
      </c>
    </row>
    <row r="1582" spans="1:10" x14ac:dyDescent="0.3">
      <c r="A1582" s="22" t="s">
        <v>3391</v>
      </c>
      <c r="B1582" s="10">
        <v>45849</v>
      </c>
      <c r="C1582" s="12" t="s">
        <v>1452</v>
      </c>
      <c r="D1582" s="12" t="s">
        <v>1634</v>
      </c>
      <c r="E1582" s="12" t="s">
        <v>1757</v>
      </c>
      <c r="F1582" s="11">
        <v>1</v>
      </c>
      <c r="G1582" s="12">
        <v>135.87</v>
      </c>
      <c r="H1582" s="9">
        <v>0.23</v>
      </c>
      <c r="I1582" s="12" t="s">
        <v>1826</v>
      </c>
      <c r="J1582" s="9">
        <v>104.6199</v>
      </c>
    </row>
    <row r="1583" spans="1:10" x14ac:dyDescent="0.3">
      <c r="A1583" s="22" t="s">
        <v>3392</v>
      </c>
      <c r="B1583" s="10">
        <v>45344</v>
      </c>
      <c r="C1583" s="12" t="s">
        <v>341</v>
      </c>
      <c r="D1583" s="12" t="s">
        <v>1590</v>
      </c>
      <c r="E1583" s="12" t="s">
        <v>1776</v>
      </c>
      <c r="F1583" s="11">
        <v>1</v>
      </c>
      <c r="G1583" s="12">
        <v>388.35</v>
      </c>
      <c r="H1583" s="9">
        <v>0.01</v>
      </c>
      <c r="I1583" s="12" t="s">
        <v>1826</v>
      </c>
      <c r="J1583" s="9">
        <v>384.4665</v>
      </c>
    </row>
    <row r="1584" spans="1:10" x14ac:dyDescent="0.3">
      <c r="A1584" s="22" t="s">
        <v>3393</v>
      </c>
      <c r="B1584" s="10">
        <v>45367</v>
      </c>
      <c r="C1584" s="12" t="s">
        <v>1495</v>
      </c>
      <c r="D1584" s="12" t="s">
        <v>1624</v>
      </c>
      <c r="E1584" s="12" t="s">
        <v>1786</v>
      </c>
      <c r="F1584" s="11">
        <v>2</v>
      </c>
      <c r="G1584" s="12">
        <v>999.08</v>
      </c>
      <c r="H1584" s="9">
        <v>0.3</v>
      </c>
      <c r="I1584" s="12" t="s">
        <v>1826</v>
      </c>
      <c r="J1584" s="9">
        <v>1398.712</v>
      </c>
    </row>
    <row r="1585" spans="1:10" x14ac:dyDescent="0.3">
      <c r="A1585" s="22" t="s">
        <v>3394</v>
      </c>
      <c r="B1585" s="10">
        <v>45887</v>
      </c>
      <c r="C1585" s="12" t="s">
        <v>565</v>
      </c>
      <c r="D1585" s="12" t="s">
        <v>1624</v>
      </c>
      <c r="E1585" s="12" t="s">
        <v>1807</v>
      </c>
      <c r="F1585" s="11">
        <v>3</v>
      </c>
      <c r="G1585" s="12">
        <v>453.19</v>
      </c>
      <c r="H1585" s="9">
        <v>0.08</v>
      </c>
      <c r="I1585" s="12" t="s">
        <v>1829</v>
      </c>
      <c r="J1585" s="9">
        <v>1250.8044</v>
      </c>
    </row>
    <row r="1586" spans="1:10" x14ac:dyDescent="0.3">
      <c r="A1586" s="22" t="s">
        <v>3395</v>
      </c>
      <c r="B1586" s="10">
        <v>45567</v>
      </c>
      <c r="C1586" s="12" t="s">
        <v>755</v>
      </c>
      <c r="D1586" s="12" t="s">
        <v>1708</v>
      </c>
      <c r="E1586" s="12" t="s">
        <v>1789</v>
      </c>
      <c r="F1586" s="11">
        <v>2</v>
      </c>
      <c r="G1586" s="12">
        <v>61.31</v>
      </c>
      <c r="H1586" s="9">
        <v>0.15</v>
      </c>
      <c r="I1586" s="12" t="s">
        <v>1829</v>
      </c>
      <c r="J1586" s="9">
        <v>104.227</v>
      </c>
    </row>
    <row r="1587" spans="1:10" x14ac:dyDescent="0.3">
      <c r="A1587" s="22" t="s">
        <v>3396</v>
      </c>
      <c r="B1587" s="10">
        <v>45223</v>
      </c>
      <c r="C1587" s="12" t="s">
        <v>1074</v>
      </c>
      <c r="D1587" s="12" t="s">
        <v>1710</v>
      </c>
      <c r="E1587" s="12" t="s">
        <v>1789</v>
      </c>
      <c r="F1587" s="11">
        <v>2</v>
      </c>
      <c r="G1587" s="12">
        <v>870.13</v>
      </c>
      <c r="H1587" s="9">
        <v>0.23</v>
      </c>
      <c r="I1587" s="12" t="s">
        <v>1824</v>
      </c>
      <c r="J1587" s="9">
        <v>1340.0001999999999</v>
      </c>
    </row>
    <row r="1588" spans="1:10" x14ac:dyDescent="0.3">
      <c r="A1588" s="22" t="s">
        <v>3397</v>
      </c>
      <c r="B1588" s="10">
        <v>45664</v>
      </c>
      <c r="C1588" s="12" t="s">
        <v>247</v>
      </c>
      <c r="D1588" s="12" t="s">
        <v>1578</v>
      </c>
      <c r="E1588" s="12" t="s">
        <v>1813</v>
      </c>
      <c r="F1588" s="11">
        <v>1</v>
      </c>
      <c r="G1588" s="12">
        <v>336.51</v>
      </c>
      <c r="H1588" s="9">
        <v>0.11</v>
      </c>
      <c r="I1588" s="12" t="s">
        <v>1826</v>
      </c>
      <c r="J1588" s="9">
        <v>299.4939</v>
      </c>
    </row>
    <row r="1589" spans="1:10" x14ac:dyDescent="0.3">
      <c r="A1589" s="22" t="s">
        <v>3398</v>
      </c>
      <c r="B1589" s="10">
        <v>45313</v>
      </c>
      <c r="C1589" s="12" t="s">
        <v>598</v>
      </c>
      <c r="D1589" s="12" t="s">
        <v>1682</v>
      </c>
      <c r="E1589" s="12" t="s">
        <v>1752</v>
      </c>
      <c r="F1589" s="11">
        <v>1</v>
      </c>
      <c r="G1589" s="12">
        <v>305.70999999999998</v>
      </c>
      <c r="H1589" s="9">
        <v>0.26</v>
      </c>
      <c r="I1589" s="12" t="s">
        <v>1829</v>
      </c>
      <c r="J1589" s="9">
        <v>226.22540000000001</v>
      </c>
    </row>
    <row r="1590" spans="1:10" x14ac:dyDescent="0.3">
      <c r="A1590" s="22" t="s">
        <v>3399</v>
      </c>
      <c r="B1590" s="10">
        <v>45224</v>
      </c>
      <c r="C1590" s="12" t="s">
        <v>419</v>
      </c>
      <c r="D1590" s="12" t="s">
        <v>1568</v>
      </c>
      <c r="E1590" s="12" t="s">
        <v>1810</v>
      </c>
      <c r="F1590" s="11">
        <v>2</v>
      </c>
      <c r="G1590" s="12">
        <v>635.39</v>
      </c>
      <c r="H1590" s="9">
        <v>0.28999999999999998</v>
      </c>
      <c r="I1590" s="12" t="s">
        <v>1829</v>
      </c>
      <c r="J1590" s="9">
        <v>902.25379999999996</v>
      </c>
    </row>
    <row r="1591" spans="1:10" x14ac:dyDescent="0.3">
      <c r="A1591" s="22" t="s">
        <v>3400</v>
      </c>
      <c r="B1591" s="10">
        <v>45491</v>
      </c>
      <c r="C1591" s="12" t="s">
        <v>405</v>
      </c>
      <c r="D1591" s="12" t="s">
        <v>1732</v>
      </c>
      <c r="E1591" s="12" t="s">
        <v>1813</v>
      </c>
      <c r="F1591" s="11">
        <v>2</v>
      </c>
      <c r="G1591" s="12">
        <v>253.87</v>
      </c>
      <c r="H1591" s="9">
        <v>0.23</v>
      </c>
      <c r="I1591" s="12" t="s">
        <v>1829</v>
      </c>
      <c r="J1591" s="9">
        <v>390.95979999999997</v>
      </c>
    </row>
    <row r="1592" spans="1:10" x14ac:dyDescent="0.3">
      <c r="A1592" s="22" t="s">
        <v>3401</v>
      </c>
      <c r="B1592" s="10">
        <v>45472</v>
      </c>
      <c r="C1592" s="12" t="s">
        <v>1489</v>
      </c>
      <c r="D1592" s="12" t="s">
        <v>1700</v>
      </c>
      <c r="E1592" s="12" t="s">
        <v>1807</v>
      </c>
      <c r="F1592" s="11">
        <v>3</v>
      </c>
      <c r="G1592" s="12">
        <v>915.81</v>
      </c>
      <c r="H1592" s="9">
        <v>0.17</v>
      </c>
      <c r="I1592" s="12" t="s">
        <v>1829</v>
      </c>
      <c r="J1592" s="9">
        <v>2280.3669</v>
      </c>
    </row>
    <row r="1593" spans="1:10" x14ac:dyDescent="0.3">
      <c r="A1593" s="22" t="s">
        <v>3402</v>
      </c>
      <c r="B1593" s="10">
        <v>45795</v>
      </c>
      <c r="C1593" s="12" t="s">
        <v>681</v>
      </c>
      <c r="D1593" s="12" t="s">
        <v>1632</v>
      </c>
      <c r="E1593" s="12" t="s">
        <v>1782</v>
      </c>
      <c r="F1593" s="11">
        <v>3</v>
      </c>
      <c r="G1593" s="12">
        <v>779.5</v>
      </c>
      <c r="H1593" s="9">
        <v>0.02</v>
      </c>
      <c r="I1593" s="12" t="s">
        <v>1824</v>
      </c>
      <c r="J1593" s="9">
        <v>2291.73</v>
      </c>
    </row>
    <row r="1594" spans="1:10" x14ac:dyDescent="0.3">
      <c r="A1594" s="22" t="s">
        <v>3403</v>
      </c>
      <c r="B1594" s="10">
        <v>45470</v>
      </c>
      <c r="C1594" s="12" t="s">
        <v>1446</v>
      </c>
      <c r="D1594" s="12" t="s">
        <v>1670</v>
      </c>
      <c r="E1594" s="12" t="s">
        <v>1804</v>
      </c>
      <c r="F1594" s="11">
        <v>2</v>
      </c>
      <c r="G1594" s="12">
        <v>780.57</v>
      </c>
      <c r="H1594" s="9">
        <v>0.26</v>
      </c>
      <c r="I1594" s="12" t="s">
        <v>1824</v>
      </c>
      <c r="J1594" s="9">
        <v>1155.2436</v>
      </c>
    </row>
    <row r="1595" spans="1:10" x14ac:dyDescent="0.3">
      <c r="A1595" s="22" t="s">
        <v>3404</v>
      </c>
      <c r="B1595" s="10">
        <v>45390</v>
      </c>
      <c r="C1595" s="12" t="s">
        <v>1196</v>
      </c>
      <c r="D1595" s="12" t="s">
        <v>1738</v>
      </c>
      <c r="E1595" s="12" t="s">
        <v>1813</v>
      </c>
      <c r="F1595" s="11">
        <v>1</v>
      </c>
      <c r="G1595" s="12">
        <v>511.35</v>
      </c>
      <c r="H1595" s="9">
        <v>0</v>
      </c>
      <c r="I1595" s="12" t="s">
        <v>1824</v>
      </c>
      <c r="J1595" s="9">
        <v>511.35</v>
      </c>
    </row>
    <row r="1596" spans="1:10" x14ac:dyDescent="0.3">
      <c r="A1596" s="22" t="s">
        <v>3405</v>
      </c>
      <c r="B1596" s="10">
        <v>45803</v>
      </c>
      <c r="C1596" s="12" t="s">
        <v>75</v>
      </c>
      <c r="D1596" s="12" t="s">
        <v>1742</v>
      </c>
      <c r="E1596" s="12" t="s">
        <v>1766</v>
      </c>
      <c r="F1596" s="11">
        <v>4</v>
      </c>
      <c r="G1596" s="12">
        <v>44.07</v>
      </c>
      <c r="H1596" s="9">
        <v>0.28999999999999998</v>
      </c>
      <c r="I1596" s="12" t="s">
        <v>1829</v>
      </c>
      <c r="J1596" s="9">
        <v>125.1588</v>
      </c>
    </row>
    <row r="1597" spans="1:10" x14ac:dyDescent="0.3">
      <c r="A1597" s="22" t="s">
        <v>3406</v>
      </c>
      <c r="B1597" s="10">
        <v>45320</v>
      </c>
      <c r="C1597" s="12" t="s">
        <v>646</v>
      </c>
      <c r="D1597" s="12" t="s">
        <v>1686</v>
      </c>
      <c r="E1597" s="12" t="s">
        <v>1792</v>
      </c>
      <c r="F1597" s="11">
        <v>2</v>
      </c>
      <c r="G1597" s="12">
        <v>895.92</v>
      </c>
      <c r="H1597" s="9">
        <v>0.15</v>
      </c>
      <c r="I1597" s="12" t="s">
        <v>1824</v>
      </c>
      <c r="J1597" s="9">
        <v>1523.0640000000001</v>
      </c>
    </row>
    <row r="1598" spans="1:10" x14ac:dyDescent="0.3">
      <c r="A1598" s="22" t="s">
        <v>3407</v>
      </c>
      <c r="B1598" s="10">
        <v>45619</v>
      </c>
      <c r="C1598" s="12" t="s">
        <v>963</v>
      </c>
      <c r="D1598" s="12" t="s">
        <v>1654</v>
      </c>
      <c r="E1598" s="12" t="s">
        <v>1761</v>
      </c>
      <c r="F1598" s="11">
        <v>4</v>
      </c>
      <c r="G1598" s="12">
        <v>456.32</v>
      </c>
      <c r="H1598" s="9">
        <v>0.22</v>
      </c>
      <c r="I1598" s="12" t="s">
        <v>1829</v>
      </c>
      <c r="J1598" s="9">
        <v>1423.7184</v>
      </c>
    </row>
    <row r="1599" spans="1:10" x14ac:dyDescent="0.3">
      <c r="A1599" s="22" t="s">
        <v>3408</v>
      </c>
      <c r="B1599" s="10">
        <v>45777</v>
      </c>
      <c r="C1599" s="12" t="s">
        <v>1304</v>
      </c>
      <c r="D1599" s="12" t="s">
        <v>1616</v>
      </c>
      <c r="E1599" s="12" t="s">
        <v>1752</v>
      </c>
      <c r="F1599" s="11">
        <v>1</v>
      </c>
      <c r="G1599" s="12">
        <v>905.5</v>
      </c>
      <c r="H1599" s="9">
        <v>0.28999999999999998</v>
      </c>
      <c r="I1599" s="12" t="s">
        <v>1829</v>
      </c>
      <c r="J1599" s="9">
        <v>642.90499999999997</v>
      </c>
    </row>
    <row r="1600" spans="1:10" x14ac:dyDescent="0.3">
      <c r="A1600" s="22" t="s">
        <v>3409</v>
      </c>
      <c r="B1600" s="10">
        <v>45523</v>
      </c>
      <c r="C1600" s="12" t="s">
        <v>666</v>
      </c>
      <c r="D1600" s="12" t="s">
        <v>1580</v>
      </c>
      <c r="E1600" s="12" t="s">
        <v>1797</v>
      </c>
      <c r="F1600" s="11">
        <v>3</v>
      </c>
      <c r="G1600" s="12">
        <v>63.19</v>
      </c>
      <c r="H1600" s="9">
        <v>0.08</v>
      </c>
      <c r="I1600" s="12" t="s">
        <v>1824</v>
      </c>
      <c r="J1600" s="9">
        <v>174.40440000000001</v>
      </c>
    </row>
    <row r="1601" spans="1:10" x14ac:dyDescent="0.3">
      <c r="A1601" s="22" t="s">
        <v>3410</v>
      </c>
      <c r="B1601" s="10">
        <v>45628</v>
      </c>
      <c r="C1601" s="12" t="s">
        <v>191</v>
      </c>
      <c r="D1601" s="12" t="s">
        <v>1688</v>
      </c>
      <c r="E1601" s="12" t="s">
        <v>1779</v>
      </c>
      <c r="F1601" s="11">
        <v>3</v>
      </c>
      <c r="G1601" s="12">
        <v>687.66</v>
      </c>
      <c r="H1601" s="9">
        <v>0.06</v>
      </c>
      <c r="I1601" s="12" t="s">
        <v>1826</v>
      </c>
      <c r="J1601" s="9">
        <v>1939.2012</v>
      </c>
    </row>
    <row r="1602" spans="1:10" x14ac:dyDescent="0.3">
      <c r="A1602" s="22" t="s">
        <v>3411</v>
      </c>
      <c r="B1602" s="10">
        <v>45742</v>
      </c>
      <c r="C1602" s="12" t="s">
        <v>711</v>
      </c>
      <c r="D1602" s="12" t="s">
        <v>1634</v>
      </c>
      <c r="E1602" s="12" t="s">
        <v>1786</v>
      </c>
      <c r="F1602" s="11">
        <v>4</v>
      </c>
      <c r="G1602" s="12">
        <v>639.05999999999995</v>
      </c>
      <c r="H1602" s="9">
        <v>0.12</v>
      </c>
      <c r="I1602" s="12" t="s">
        <v>1826</v>
      </c>
      <c r="J1602" s="9">
        <v>2249.4911999999999</v>
      </c>
    </row>
    <row r="1603" spans="1:10" x14ac:dyDescent="0.3">
      <c r="A1603" s="22" t="s">
        <v>3412</v>
      </c>
      <c r="B1603" s="10">
        <v>45456</v>
      </c>
      <c r="C1603" s="12" t="s">
        <v>247</v>
      </c>
      <c r="D1603" s="12" t="s">
        <v>1690</v>
      </c>
      <c r="E1603" s="12" t="s">
        <v>1779</v>
      </c>
      <c r="F1603" s="11">
        <v>1</v>
      </c>
      <c r="G1603" s="12">
        <v>475.15</v>
      </c>
      <c r="H1603" s="9">
        <v>0.04</v>
      </c>
      <c r="I1603" s="12" t="s">
        <v>1829</v>
      </c>
      <c r="J1603" s="9">
        <v>456.14399999999989</v>
      </c>
    </row>
    <row r="1604" spans="1:10" x14ac:dyDescent="0.3">
      <c r="A1604" s="22" t="s">
        <v>3413</v>
      </c>
      <c r="B1604" s="10">
        <v>45534</v>
      </c>
      <c r="C1604" s="12" t="s">
        <v>625</v>
      </c>
      <c r="D1604" s="12" t="s">
        <v>1636</v>
      </c>
      <c r="E1604" s="12" t="s">
        <v>1776</v>
      </c>
      <c r="F1604" s="11">
        <v>1</v>
      </c>
      <c r="G1604" s="12">
        <v>62.38</v>
      </c>
      <c r="H1604" s="9">
        <v>0.08</v>
      </c>
      <c r="I1604" s="12" t="s">
        <v>1829</v>
      </c>
      <c r="J1604" s="9">
        <v>57.389600000000002</v>
      </c>
    </row>
    <row r="1605" spans="1:10" x14ac:dyDescent="0.3">
      <c r="A1605" s="22" t="s">
        <v>3414</v>
      </c>
      <c r="B1605" s="10">
        <v>45375</v>
      </c>
      <c r="C1605" s="12" t="s">
        <v>1109</v>
      </c>
      <c r="D1605" s="12" t="s">
        <v>1578</v>
      </c>
      <c r="E1605" s="12" t="s">
        <v>1779</v>
      </c>
      <c r="F1605" s="11">
        <v>1</v>
      </c>
      <c r="G1605" s="12">
        <v>977.02</v>
      </c>
      <c r="H1605" s="9">
        <v>0.2</v>
      </c>
      <c r="I1605" s="12" t="s">
        <v>1829</v>
      </c>
      <c r="J1605" s="9">
        <v>781.61599999999999</v>
      </c>
    </row>
    <row r="1606" spans="1:10" x14ac:dyDescent="0.3">
      <c r="A1606" s="22" t="s">
        <v>3415</v>
      </c>
      <c r="B1606" s="10">
        <v>45546</v>
      </c>
      <c r="C1606" s="12" t="s">
        <v>271</v>
      </c>
      <c r="D1606" s="12" t="s">
        <v>1714</v>
      </c>
      <c r="E1606" s="12" t="s">
        <v>1769</v>
      </c>
      <c r="F1606" s="11">
        <v>2</v>
      </c>
      <c r="G1606" s="12">
        <v>898.81</v>
      </c>
      <c r="H1606" s="9">
        <v>0.25</v>
      </c>
      <c r="I1606" s="12" t="s">
        <v>1824</v>
      </c>
      <c r="J1606" s="9">
        <v>1348.2149999999999</v>
      </c>
    </row>
    <row r="1607" spans="1:10" x14ac:dyDescent="0.3">
      <c r="A1607" s="22" t="s">
        <v>3416</v>
      </c>
      <c r="B1607" s="10">
        <v>45769</v>
      </c>
      <c r="C1607" s="12" t="s">
        <v>1101</v>
      </c>
      <c r="D1607" s="12" t="s">
        <v>1662</v>
      </c>
      <c r="E1607" s="12" t="s">
        <v>1766</v>
      </c>
      <c r="F1607" s="11">
        <v>2</v>
      </c>
      <c r="G1607" s="12">
        <v>422.13</v>
      </c>
      <c r="H1607" s="9">
        <v>0.28000000000000003</v>
      </c>
      <c r="I1607" s="12" t="s">
        <v>1824</v>
      </c>
      <c r="J1607" s="9">
        <v>607.86720000000003</v>
      </c>
    </row>
    <row r="1608" spans="1:10" x14ac:dyDescent="0.3">
      <c r="A1608" s="22" t="s">
        <v>3417</v>
      </c>
      <c r="B1608" s="10">
        <v>45524</v>
      </c>
      <c r="C1608" s="12" t="s">
        <v>191</v>
      </c>
      <c r="D1608" s="12" t="s">
        <v>1616</v>
      </c>
      <c r="E1608" s="12" t="s">
        <v>1792</v>
      </c>
      <c r="F1608" s="11">
        <v>1</v>
      </c>
      <c r="G1608" s="12">
        <v>324.56</v>
      </c>
      <c r="H1608" s="9">
        <v>0.03</v>
      </c>
      <c r="I1608" s="12" t="s">
        <v>1829</v>
      </c>
      <c r="J1608" s="9">
        <v>314.82319999999999</v>
      </c>
    </row>
    <row r="1609" spans="1:10" x14ac:dyDescent="0.3">
      <c r="A1609" s="22" t="s">
        <v>3418</v>
      </c>
      <c r="B1609" s="10">
        <v>45531</v>
      </c>
      <c r="C1609" s="12" t="s">
        <v>1443</v>
      </c>
      <c r="D1609" s="12" t="s">
        <v>1658</v>
      </c>
      <c r="E1609" s="12" t="s">
        <v>1804</v>
      </c>
      <c r="F1609" s="11">
        <v>4</v>
      </c>
      <c r="G1609" s="12">
        <v>570.38</v>
      </c>
      <c r="H1609" s="9">
        <v>0.26</v>
      </c>
      <c r="I1609" s="12" t="s">
        <v>1826</v>
      </c>
      <c r="J1609" s="9">
        <v>1688.3248000000001</v>
      </c>
    </row>
    <row r="1610" spans="1:10" x14ac:dyDescent="0.3">
      <c r="A1610" s="22" t="s">
        <v>3419</v>
      </c>
      <c r="B1610" s="10">
        <v>45479</v>
      </c>
      <c r="C1610" s="12" t="s">
        <v>1229</v>
      </c>
      <c r="D1610" s="12" t="s">
        <v>1616</v>
      </c>
      <c r="E1610" s="12" t="s">
        <v>1801</v>
      </c>
      <c r="F1610" s="11">
        <v>2</v>
      </c>
      <c r="G1610" s="12">
        <v>223.73</v>
      </c>
      <c r="H1610" s="9">
        <v>0.11</v>
      </c>
      <c r="I1610" s="12" t="s">
        <v>1826</v>
      </c>
      <c r="J1610" s="9">
        <v>398.23939999999999</v>
      </c>
    </row>
    <row r="1611" spans="1:10" x14ac:dyDescent="0.3">
      <c r="A1611" s="22" t="s">
        <v>3420</v>
      </c>
      <c r="B1611" s="10">
        <v>45868</v>
      </c>
      <c r="C1611" s="12" t="s">
        <v>1101</v>
      </c>
      <c r="D1611" s="12" t="s">
        <v>1720</v>
      </c>
      <c r="E1611" s="12" t="s">
        <v>1804</v>
      </c>
      <c r="F1611" s="11">
        <v>4</v>
      </c>
      <c r="G1611" s="12">
        <v>164.93</v>
      </c>
      <c r="H1611" s="9">
        <v>0.11</v>
      </c>
      <c r="I1611" s="12" t="s">
        <v>1824</v>
      </c>
      <c r="J1611" s="9">
        <v>587.1508</v>
      </c>
    </row>
    <row r="1612" spans="1:10" x14ac:dyDescent="0.3">
      <c r="A1612" s="22" t="s">
        <v>3421</v>
      </c>
      <c r="B1612" s="10">
        <v>45569</v>
      </c>
      <c r="C1612" s="12" t="s">
        <v>797</v>
      </c>
      <c r="D1612" s="12" t="s">
        <v>1578</v>
      </c>
      <c r="E1612" s="12" t="s">
        <v>1779</v>
      </c>
      <c r="F1612" s="11">
        <v>3</v>
      </c>
      <c r="G1612" s="12">
        <v>326.66000000000003</v>
      </c>
      <c r="H1612" s="9">
        <v>0.28000000000000003</v>
      </c>
      <c r="I1612" s="12" t="s">
        <v>1829</v>
      </c>
      <c r="J1612" s="9">
        <v>705.5856</v>
      </c>
    </row>
    <row r="1613" spans="1:10" x14ac:dyDescent="0.3">
      <c r="A1613" s="22" t="s">
        <v>3422</v>
      </c>
      <c r="B1613" s="10">
        <v>45382</v>
      </c>
      <c r="C1613" s="12" t="s">
        <v>601</v>
      </c>
      <c r="D1613" s="12" t="s">
        <v>1546</v>
      </c>
      <c r="E1613" s="12" t="s">
        <v>1801</v>
      </c>
      <c r="F1613" s="11">
        <v>2</v>
      </c>
      <c r="G1613" s="12">
        <v>462.93</v>
      </c>
      <c r="H1613" s="9">
        <v>0.17</v>
      </c>
      <c r="I1613" s="12" t="s">
        <v>1826</v>
      </c>
      <c r="J1613" s="9">
        <v>768.46379999999999</v>
      </c>
    </row>
    <row r="1614" spans="1:10" x14ac:dyDescent="0.3">
      <c r="A1614" s="22" t="s">
        <v>3423</v>
      </c>
      <c r="B1614" s="10">
        <v>45885</v>
      </c>
      <c r="C1614" s="12" t="s">
        <v>496</v>
      </c>
      <c r="D1614" s="12" t="s">
        <v>1543</v>
      </c>
      <c r="E1614" s="12" t="s">
        <v>1804</v>
      </c>
      <c r="F1614" s="11">
        <v>3</v>
      </c>
      <c r="G1614" s="12">
        <v>60.26</v>
      </c>
      <c r="H1614" s="9">
        <v>0.04</v>
      </c>
      <c r="I1614" s="12" t="s">
        <v>1824</v>
      </c>
      <c r="J1614" s="9">
        <v>173.5488</v>
      </c>
    </row>
    <row r="1615" spans="1:10" x14ac:dyDescent="0.3">
      <c r="A1615" s="22" t="s">
        <v>3424</v>
      </c>
      <c r="B1615" s="10">
        <v>45829</v>
      </c>
      <c r="C1615" s="12" t="s">
        <v>261</v>
      </c>
      <c r="D1615" s="12" t="s">
        <v>1616</v>
      </c>
      <c r="E1615" s="12" t="s">
        <v>1786</v>
      </c>
      <c r="F1615" s="11">
        <v>3</v>
      </c>
      <c r="G1615" s="12">
        <v>109.5</v>
      </c>
      <c r="H1615" s="9">
        <v>0.06</v>
      </c>
      <c r="I1615" s="12" t="s">
        <v>1829</v>
      </c>
      <c r="J1615" s="9">
        <v>308.79000000000002</v>
      </c>
    </row>
    <row r="1616" spans="1:10" x14ac:dyDescent="0.3">
      <c r="A1616" s="22" t="s">
        <v>3425</v>
      </c>
      <c r="B1616" s="10">
        <v>45721</v>
      </c>
      <c r="C1616" s="12" t="s">
        <v>1193</v>
      </c>
      <c r="D1616" s="12" t="s">
        <v>1688</v>
      </c>
      <c r="E1616" s="12" t="s">
        <v>1804</v>
      </c>
      <c r="F1616" s="11">
        <v>1</v>
      </c>
      <c r="G1616" s="12">
        <v>505.83</v>
      </c>
      <c r="H1616" s="9">
        <v>0.14000000000000001</v>
      </c>
      <c r="I1616" s="12" t="s">
        <v>1829</v>
      </c>
      <c r="J1616" s="9">
        <v>435.0138</v>
      </c>
    </row>
    <row r="1617" spans="1:10" x14ac:dyDescent="0.3">
      <c r="A1617" s="22" t="s">
        <v>3426</v>
      </c>
      <c r="B1617" s="10">
        <v>45511</v>
      </c>
      <c r="C1617" s="12" t="s">
        <v>544</v>
      </c>
      <c r="D1617" s="12" t="s">
        <v>1744</v>
      </c>
      <c r="E1617" s="12" t="s">
        <v>1789</v>
      </c>
      <c r="F1617" s="11">
        <v>2</v>
      </c>
      <c r="G1617" s="12">
        <v>443.15</v>
      </c>
      <c r="H1617" s="9">
        <v>0.27</v>
      </c>
      <c r="I1617" s="12" t="s">
        <v>1826</v>
      </c>
      <c r="J1617" s="9">
        <v>646.99899999999991</v>
      </c>
    </row>
    <row r="1618" spans="1:10" x14ac:dyDescent="0.3">
      <c r="A1618" s="22" t="s">
        <v>3427</v>
      </c>
      <c r="B1618" s="10">
        <v>45739</v>
      </c>
      <c r="C1618" s="12" t="s">
        <v>1527</v>
      </c>
      <c r="D1618" s="12" t="s">
        <v>1560</v>
      </c>
      <c r="E1618" s="12" t="s">
        <v>1779</v>
      </c>
      <c r="F1618" s="11">
        <v>2</v>
      </c>
      <c r="G1618" s="12">
        <v>784.26</v>
      </c>
      <c r="H1618" s="9">
        <v>0.23</v>
      </c>
      <c r="I1618" s="12" t="s">
        <v>1826</v>
      </c>
      <c r="J1618" s="9">
        <v>1207.7603999999999</v>
      </c>
    </row>
    <row r="1619" spans="1:10" x14ac:dyDescent="0.3">
      <c r="A1619" s="22" t="s">
        <v>3428</v>
      </c>
      <c r="B1619" s="10">
        <v>45533</v>
      </c>
      <c r="C1619" s="12" t="s">
        <v>1405</v>
      </c>
      <c r="D1619" s="12" t="s">
        <v>1626</v>
      </c>
      <c r="E1619" s="12" t="s">
        <v>1792</v>
      </c>
      <c r="F1619" s="11">
        <v>3</v>
      </c>
      <c r="G1619" s="12">
        <v>590.30999999999995</v>
      </c>
      <c r="H1619" s="9">
        <v>0.17</v>
      </c>
      <c r="I1619" s="12" t="s">
        <v>1826</v>
      </c>
      <c r="J1619" s="9">
        <v>1469.8719000000001</v>
      </c>
    </row>
    <row r="1620" spans="1:10" x14ac:dyDescent="0.3">
      <c r="A1620" s="22" t="s">
        <v>3429</v>
      </c>
      <c r="B1620" s="10">
        <v>45553</v>
      </c>
      <c r="C1620" s="12" t="s">
        <v>417</v>
      </c>
      <c r="D1620" s="12" t="s">
        <v>1686</v>
      </c>
      <c r="E1620" s="12" t="s">
        <v>1804</v>
      </c>
      <c r="F1620" s="11">
        <v>1</v>
      </c>
      <c r="G1620" s="12">
        <v>696.13</v>
      </c>
      <c r="H1620" s="9">
        <v>0.06</v>
      </c>
      <c r="I1620" s="12" t="s">
        <v>1829</v>
      </c>
      <c r="J1620" s="9">
        <v>654.36219999999992</v>
      </c>
    </row>
    <row r="1621" spans="1:10" x14ac:dyDescent="0.3">
      <c r="A1621" s="22" t="s">
        <v>3430</v>
      </c>
      <c r="B1621" s="10">
        <v>45341</v>
      </c>
      <c r="C1621" s="12" t="s">
        <v>369</v>
      </c>
      <c r="D1621" s="12" t="s">
        <v>1650</v>
      </c>
      <c r="E1621" s="12" t="s">
        <v>1776</v>
      </c>
      <c r="F1621" s="11">
        <v>4</v>
      </c>
      <c r="G1621" s="12">
        <v>194.39</v>
      </c>
      <c r="H1621" s="9">
        <v>0.25</v>
      </c>
      <c r="I1621" s="12" t="s">
        <v>1824</v>
      </c>
      <c r="J1621" s="9">
        <v>583.16999999999996</v>
      </c>
    </row>
    <row r="1622" spans="1:10" x14ac:dyDescent="0.3">
      <c r="A1622" s="22" t="s">
        <v>3431</v>
      </c>
      <c r="B1622" s="10">
        <v>45430</v>
      </c>
      <c r="C1622" s="12" t="s">
        <v>1038</v>
      </c>
      <c r="D1622" s="12" t="s">
        <v>1614</v>
      </c>
      <c r="E1622" s="12" t="s">
        <v>1757</v>
      </c>
      <c r="F1622" s="11">
        <v>1</v>
      </c>
      <c r="G1622" s="12">
        <v>339.7</v>
      </c>
      <c r="H1622" s="9">
        <v>0.1</v>
      </c>
      <c r="I1622" s="12" t="s">
        <v>1824</v>
      </c>
      <c r="J1622" s="9">
        <v>305.73</v>
      </c>
    </row>
    <row r="1623" spans="1:10" x14ac:dyDescent="0.3">
      <c r="A1623" s="22" t="s">
        <v>3432</v>
      </c>
      <c r="B1623" s="10">
        <v>45912</v>
      </c>
      <c r="C1623" s="12" t="s">
        <v>185</v>
      </c>
      <c r="D1623" s="12" t="s">
        <v>1684</v>
      </c>
      <c r="E1623" s="12" t="s">
        <v>1797</v>
      </c>
      <c r="F1623" s="11">
        <v>4</v>
      </c>
      <c r="G1623" s="12">
        <v>463.16</v>
      </c>
      <c r="H1623" s="9">
        <v>0.27</v>
      </c>
      <c r="I1623" s="12" t="s">
        <v>1826</v>
      </c>
      <c r="J1623" s="9">
        <v>1352.4272000000001</v>
      </c>
    </row>
    <row r="1624" spans="1:10" x14ac:dyDescent="0.3">
      <c r="A1624" s="22" t="s">
        <v>3433</v>
      </c>
      <c r="B1624" s="10">
        <v>45709</v>
      </c>
      <c r="C1624" s="12" t="s">
        <v>378</v>
      </c>
      <c r="D1624" s="12" t="s">
        <v>1555</v>
      </c>
      <c r="E1624" s="12" t="s">
        <v>1789</v>
      </c>
      <c r="F1624" s="11">
        <v>2</v>
      </c>
      <c r="G1624" s="12">
        <v>824.91</v>
      </c>
      <c r="H1624" s="9">
        <v>0.09</v>
      </c>
      <c r="I1624" s="12" t="s">
        <v>1824</v>
      </c>
      <c r="J1624" s="9">
        <v>1501.3362</v>
      </c>
    </row>
    <row r="1625" spans="1:10" x14ac:dyDescent="0.3">
      <c r="A1625" s="22" t="s">
        <v>3434</v>
      </c>
      <c r="B1625" s="10">
        <v>45520</v>
      </c>
      <c r="C1625" s="12" t="s">
        <v>258</v>
      </c>
      <c r="D1625" s="12" t="s">
        <v>1555</v>
      </c>
      <c r="E1625" s="12" t="s">
        <v>1761</v>
      </c>
      <c r="F1625" s="11">
        <v>4</v>
      </c>
      <c r="G1625" s="12">
        <v>796.89</v>
      </c>
      <c r="H1625" s="9">
        <v>0.17</v>
      </c>
      <c r="I1625" s="12" t="s">
        <v>1824</v>
      </c>
      <c r="J1625" s="9">
        <v>2645.6747999999998</v>
      </c>
    </row>
    <row r="1626" spans="1:10" x14ac:dyDescent="0.3">
      <c r="A1626" s="22" t="s">
        <v>3435</v>
      </c>
      <c r="B1626" s="10">
        <v>45478</v>
      </c>
      <c r="C1626" s="12" t="s">
        <v>770</v>
      </c>
      <c r="D1626" s="12" t="s">
        <v>1600</v>
      </c>
      <c r="E1626" s="12" t="s">
        <v>1807</v>
      </c>
      <c r="F1626" s="11">
        <v>3</v>
      </c>
      <c r="G1626" s="12">
        <v>543.92999999999995</v>
      </c>
      <c r="H1626" s="9">
        <v>0.3</v>
      </c>
      <c r="I1626" s="12" t="s">
        <v>1829</v>
      </c>
      <c r="J1626" s="9">
        <v>1142.2529999999999</v>
      </c>
    </row>
    <row r="1627" spans="1:10" x14ac:dyDescent="0.3">
      <c r="A1627" s="22" t="s">
        <v>3436</v>
      </c>
      <c r="B1627" s="10">
        <v>45496</v>
      </c>
      <c r="C1627" s="12" t="s">
        <v>574</v>
      </c>
      <c r="D1627" s="12" t="s">
        <v>1576</v>
      </c>
      <c r="E1627" s="12" t="s">
        <v>1779</v>
      </c>
      <c r="F1627" s="11">
        <v>2</v>
      </c>
      <c r="G1627" s="12">
        <v>44.65</v>
      </c>
      <c r="H1627" s="9">
        <v>0.03</v>
      </c>
      <c r="I1627" s="12" t="s">
        <v>1826</v>
      </c>
      <c r="J1627" s="9">
        <v>86.620999999999995</v>
      </c>
    </row>
    <row r="1628" spans="1:10" x14ac:dyDescent="0.3">
      <c r="A1628" s="22" t="s">
        <v>3437</v>
      </c>
      <c r="B1628" s="10">
        <v>45742</v>
      </c>
      <c r="C1628" s="12" t="s">
        <v>800</v>
      </c>
      <c r="D1628" s="12" t="s">
        <v>1660</v>
      </c>
      <c r="E1628" s="12" t="s">
        <v>1752</v>
      </c>
      <c r="F1628" s="11">
        <v>4</v>
      </c>
      <c r="G1628" s="12">
        <v>827.39</v>
      </c>
      <c r="H1628" s="9">
        <v>0.06</v>
      </c>
      <c r="I1628" s="12" t="s">
        <v>1829</v>
      </c>
      <c r="J1628" s="9">
        <v>3110.9863999999998</v>
      </c>
    </row>
    <row r="1629" spans="1:10" x14ac:dyDescent="0.3">
      <c r="A1629" s="22" t="s">
        <v>3438</v>
      </c>
      <c r="B1629" s="10">
        <v>45301</v>
      </c>
      <c r="C1629" s="12" t="s">
        <v>972</v>
      </c>
      <c r="D1629" s="12" t="s">
        <v>1576</v>
      </c>
      <c r="E1629" s="12" t="s">
        <v>1794</v>
      </c>
      <c r="F1629" s="11">
        <v>2</v>
      </c>
      <c r="G1629" s="12">
        <v>403.2</v>
      </c>
      <c r="H1629" s="9">
        <v>0.21</v>
      </c>
      <c r="I1629" s="12" t="s">
        <v>1826</v>
      </c>
      <c r="J1629" s="9">
        <v>637.05600000000004</v>
      </c>
    </row>
    <row r="1630" spans="1:10" x14ac:dyDescent="0.3">
      <c r="A1630" s="22" t="s">
        <v>3439</v>
      </c>
      <c r="B1630" s="10">
        <v>45547</v>
      </c>
      <c r="C1630" s="12" t="s">
        <v>78</v>
      </c>
      <c r="D1630" s="12" t="s">
        <v>1720</v>
      </c>
      <c r="E1630" s="12" t="s">
        <v>1797</v>
      </c>
      <c r="F1630" s="11">
        <v>4</v>
      </c>
      <c r="G1630" s="12">
        <v>292.31</v>
      </c>
      <c r="H1630" s="9">
        <v>0.27</v>
      </c>
      <c r="I1630" s="12" t="s">
        <v>1826</v>
      </c>
      <c r="J1630" s="9">
        <v>853.54520000000002</v>
      </c>
    </row>
    <row r="1631" spans="1:10" x14ac:dyDescent="0.3">
      <c r="A1631" s="22" t="s">
        <v>3440</v>
      </c>
      <c r="B1631" s="10">
        <v>45806</v>
      </c>
      <c r="C1631" s="12" t="s">
        <v>1513</v>
      </c>
      <c r="D1631" s="12" t="s">
        <v>1549</v>
      </c>
      <c r="E1631" s="12" t="s">
        <v>1789</v>
      </c>
      <c r="F1631" s="11">
        <v>1</v>
      </c>
      <c r="G1631" s="12">
        <v>948.33</v>
      </c>
      <c r="H1631" s="9">
        <v>0.11</v>
      </c>
      <c r="I1631" s="12" t="s">
        <v>1824</v>
      </c>
      <c r="J1631" s="9">
        <v>844.01370000000009</v>
      </c>
    </row>
    <row r="1632" spans="1:10" x14ac:dyDescent="0.3">
      <c r="A1632" s="22" t="s">
        <v>3441</v>
      </c>
      <c r="B1632" s="10">
        <v>45294</v>
      </c>
      <c r="C1632" s="12" t="s">
        <v>1077</v>
      </c>
      <c r="D1632" s="12" t="s">
        <v>1626</v>
      </c>
      <c r="E1632" s="12" t="s">
        <v>1773</v>
      </c>
      <c r="F1632" s="11">
        <v>1</v>
      </c>
      <c r="G1632" s="12">
        <v>702.27</v>
      </c>
      <c r="H1632" s="9">
        <v>0.17</v>
      </c>
      <c r="I1632" s="12" t="s">
        <v>1829</v>
      </c>
      <c r="J1632" s="9">
        <v>582.88409999999999</v>
      </c>
    </row>
    <row r="1633" spans="1:10" x14ac:dyDescent="0.3">
      <c r="A1633" s="22" t="s">
        <v>3442</v>
      </c>
      <c r="B1633" s="10">
        <v>45875</v>
      </c>
      <c r="C1633" s="12" t="s">
        <v>160</v>
      </c>
      <c r="D1633" s="12" t="s">
        <v>1608</v>
      </c>
      <c r="E1633" s="12" t="s">
        <v>1766</v>
      </c>
      <c r="F1633" s="11">
        <v>2</v>
      </c>
      <c r="G1633" s="12">
        <v>379.28</v>
      </c>
      <c r="H1633" s="9">
        <v>0.26</v>
      </c>
      <c r="I1633" s="12" t="s">
        <v>1824</v>
      </c>
      <c r="J1633" s="9">
        <v>561.33439999999996</v>
      </c>
    </row>
    <row r="1634" spans="1:10" x14ac:dyDescent="0.3">
      <c r="A1634" s="22" t="s">
        <v>3443</v>
      </c>
      <c r="B1634" s="10">
        <v>45669</v>
      </c>
      <c r="C1634" s="12" t="s">
        <v>452</v>
      </c>
      <c r="D1634" s="12" t="s">
        <v>1642</v>
      </c>
      <c r="E1634" s="12" t="s">
        <v>1752</v>
      </c>
      <c r="F1634" s="11">
        <v>4</v>
      </c>
      <c r="G1634" s="12">
        <v>92.35</v>
      </c>
      <c r="H1634" s="9">
        <v>0.15</v>
      </c>
      <c r="I1634" s="12" t="s">
        <v>1824</v>
      </c>
      <c r="J1634" s="9">
        <v>313.99</v>
      </c>
    </row>
    <row r="1635" spans="1:10" x14ac:dyDescent="0.3">
      <c r="A1635" s="22" t="s">
        <v>3444</v>
      </c>
      <c r="B1635" s="10">
        <v>45606</v>
      </c>
      <c r="C1635" s="12" t="s">
        <v>711</v>
      </c>
      <c r="D1635" s="12" t="s">
        <v>1626</v>
      </c>
      <c r="E1635" s="12" t="s">
        <v>1794</v>
      </c>
      <c r="F1635" s="11">
        <v>4</v>
      </c>
      <c r="G1635" s="12">
        <v>721.54</v>
      </c>
      <c r="H1635" s="9">
        <v>0.21</v>
      </c>
      <c r="I1635" s="12" t="s">
        <v>1824</v>
      </c>
      <c r="J1635" s="9">
        <v>2280.0664000000002</v>
      </c>
    </row>
    <row r="1636" spans="1:10" x14ac:dyDescent="0.3">
      <c r="A1636" s="22" t="s">
        <v>3445</v>
      </c>
      <c r="B1636" s="10">
        <v>45787</v>
      </c>
      <c r="C1636" s="12" t="s">
        <v>202</v>
      </c>
      <c r="D1636" s="12" t="s">
        <v>1624</v>
      </c>
      <c r="E1636" s="12" t="s">
        <v>1786</v>
      </c>
      <c r="F1636" s="11">
        <v>1</v>
      </c>
      <c r="G1636" s="12">
        <v>228.69</v>
      </c>
      <c r="H1636" s="9">
        <v>0.14000000000000001</v>
      </c>
      <c r="I1636" s="12" t="s">
        <v>1824</v>
      </c>
      <c r="J1636" s="9">
        <v>196.67339999999999</v>
      </c>
    </row>
    <row r="1637" spans="1:10" x14ac:dyDescent="0.3">
      <c r="A1637" s="22" t="s">
        <v>3446</v>
      </c>
      <c r="B1637" s="10">
        <v>45929</v>
      </c>
      <c r="C1637" s="12" t="s">
        <v>1112</v>
      </c>
      <c r="D1637" s="12" t="s">
        <v>1654</v>
      </c>
      <c r="E1637" s="12" t="s">
        <v>1789</v>
      </c>
      <c r="F1637" s="11">
        <v>1</v>
      </c>
      <c r="G1637" s="12">
        <v>899.09</v>
      </c>
      <c r="H1637" s="9">
        <v>0.2</v>
      </c>
      <c r="I1637" s="12" t="s">
        <v>1826</v>
      </c>
      <c r="J1637" s="9">
        <v>719.27200000000005</v>
      </c>
    </row>
    <row r="1638" spans="1:10" x14ac:dyDescent="0.3">
      <c r="A1638" s="22" t="s">
        <v>3447</v>
      </c>
      <c r="B1638" s="10">
        <v>45379</v>
      </c>
      <c r="C1638" s="12" t="s">
        <v>1199</v>
      </c>
      <c r="D1638" s="12" t="s">
        <v>1562</v>
      </c>
      <c r="E1638" s="12" t="s">
        <v>1782</v>
      </c>
      <c r="F1638" s="11">
        <v>4</v>
      </c>
      <c r="G1638" s="12">
        <v>195.75</v>
      </c>
      <c r="H1638" s="9">
        <v>0.17</v>
      </c>
      <c r="I1638" s="12" t="s">
        <v>1824</v>
      </c>
      <c r="J1638" s="9">
        <v>649.89</v>
      </c>
    </row>
    <row r="1639" spans="1:10" x14ac:dyDescent="0.3">
      <c r="A1639" s="22" t="s">
        <v>3448</v>
      </c>
      <c r="B1639" s="10">
        <v>45532</v>
      </c>
      <c r="C1639" s="12" t="s">
        <v>1322</v>
      </c>
      <c r="D1639" s="12" t="s">
        <v>1734</v>
      </c>
      <c r="E1639" s="12" t="s">
        <v>1801</v>
      </c>
      <c r="F1639" s="11">
        <v>3</v>
      </c>
      <c r="G1639" s="12">
        <v>199.13</v>
      </c>
      <c r="H1639" s="9">
        <v>0.24</v>
      </c>
      <c r="I1639" s="12" t="s">
        <v>1824</v>
      </c>
      <c r="J1639" s="9">
        <v>454.01639999999998</v>
      </c>
    </row>
    <row r="1640" spans="1:10" x14ac:dyDescent="0.3">
      <c r="A1640" s="22" t="s">
        <v>3449</v>
      </c>
      <c r="B1640" s="10">
        <v>45466</v>
      </c>
      <c r="C1640" s="12" t="s">
        <v>535</v>
      </c>
      <c r="D1640" s="12" t="s">
        <v>1592</v>
      </c>
      <c r="E1640" s="12" t="s">
        <v>1799</v>
      </c>
      <c r="F1640" s="11">
        <v>2</v>
      </c>
      <c r="G1640" s="12">
        <v>833.62</v>
      </c>
      <c r="H1640" s="9">
        <v>0.18</v>
      </c>
      <c r="I1640" s="12" t="s">
        <v>1824</v>
      </c>
      <c r="J1640" s="9">
        <v>1367.1368</v>
      </c>
    </row>
    <row r="1641" spans="1:10" x14ac:dyDescent="0.3">
      <c r="A1641" s="22" t="s">
        <v>3450</v>
      </c>
      <c r="B1641" s="10">
        <v>45395</v>
      </c>
      <c r="C1641" s="12" t="s">
        <v>1489</v>
      </c>
      <c r="D1641" s="12" t="s">
        <v>1698</v>
      </c>
      <c r="E1641" s="12" t="s">
        <v>1752</v>
      </c>
      <c r="F1641" s="11">
        <v>1</v>
      </c>
      <c r="G1641" s="12">
        <v>676.26</v>
      </c>
      <c r="H1641" s="9">
        <v>0.14000000000000001</v>
      </c>
      <c r="I1641" s="12" t="s">
        <v>1824</v>
      </c>
      <c r="J1641" s="9">
        <v>581.58359999999993</v>
      </c>
    </row>
    <row r="1642" spans="1:10" x14ac:dyDescent="0.3">
      <c r="A1642" s="22" t="s">
        <v>3451</v>
      </c>
      <c r="B1642" s="10">
        <v>45708</v>
      </c>
      <c r="C1642" s="12" t="s">
        <v>130</v>
      </c>
      <c r="D1642" s="12" t="s">
        <v>1668</v>
      </c>
      <c r="E1642" s="12" t="s">
        <v>1786</v>
      </c>
      <c r="F1642" s="11">
        <v>2</v>
      </c>
      <c r="G1642" s="12">
        <v>666.49</v>
      </c>
      <c r="H1642" s="9">
        <v>0.06</v>
      </c>
      <c r="I1642" s="12" t="s">
        <v>1824</v>
      </c>
      <c r="J1642" s="9">
        <v>1253.0011999999999</v>
      </c>
    </row>
    <row r="1643" spans="1:10" x14ac:dyDescent="0.3">
      <c r="A1643" s="22" t="s">
        <v>3452</v>
      </c>
      <c r="B1643" s="10">
        <v>45735</v>
      </c>
      <c r="C1643" s="12" t="s">
        <v>1419</v>
      </c>
      <c r="D1643" s="12" t="s">
        <v>1578</v>
      </c>
      <c r="E1643" s="12" t="s">
        <v>1769</v>
      </c>
      <c r="F1643" s="11">
        <v>3</v>
      </c>
      <c r="G1643" s="12">
        <v>471.19</v>
      </c>
      <c r="H1643" s="9">
        <v>0.28000000000000003</v>
      </c>
      <c r="I1643" s="12" t="s">
        <v>1829</v>
      </c>
      <c r="J1643" s="9">
        <v>1017.7704</v>
      </c>
    </row>
    <row r="1644" spans="1:10" x14ac:dyDescent="0.3">
      <c r="A1644" s="22" t="s">
        <v>3453</v>
      </c>
      <c r="B1644" s="10">
        <v>45237</v>
      </c>
      <c r="C1644" s="12" t="s">
        <v>414</v>
      </c>
      <c r="D1644" s="12" t="s">
        <v>1562</v>
      </c>
      <c r="E1644" s="12" t="s">
        <v>1766</v>
      </c>
      <c r="F1644" s="11">
        <v>4</v>
      </c>
      <c r="G1644" s="12">
        <v>555.65</v>
      </c>
      <c r="H1644" s="9">
        <v>0.25</v>
      </c>
      <c r="I1644" s="12" t="s">
        <v>1829</v>
      </c>
      <c r="J1644" s="9">
        <v>1666.95</v>
      </c>
    </row>
    <row r="1645" spans="1:10" x14ac:dyDescent="0.3">
      <c r="A1645" s="22" t="s">
        <v>3454</v>
      </c>
      <c r="B1645" s="10">
        <v>45282</v>
      </c>
      <c r="C1645" s="12" t="s">
        <v>141</v>
      </c>
      <c r="D1645" s="12" t="s">
        <v>1738</v>
      </c>
      <c r="E1645" s="12" t="s">
        <v>1799</v>
      </c>
      <c r="F1645" s="11">
        <v>2</v>
      </c>
      <c r="G1645" s="12">
        <v>100.42</v>
      </c>
      <c r="H1645" s="9">
        <v>0.06</v>
      </c>
      <c r="I1645" s="12" t="s">
        <v>1824</v>
      </c>
      <c r="J1645" s="9">
        <v>188.78960000000001</v>
      </c>
    </row>
    <row r="1646" spans="1:10" x14ac:dyDescent="0.3">
      <c r="A1646" s="22" t="s">
        <v>3455</v>
      </c>
      <c r="B1646" s="10">
        <v>45337</v>
      </c>
      <c r="C1646" s="12" t="s">
        <v>191</v>
      </c>
      <c r="D1646" s="12" t="s">
        <v>1744</v>
      </c>
      <c r="E1646" s="12" t="s">
        <v>1810</v>
      </c>
      <c r="F1646" s="11">
        <v>3</v>
      </c>
      <c r="G1646" s="12">
        <v>981.69</v>
      </c>
      <c r="H1646" s="9">
        <v>0.05</v>
      </c>
      <c r="I1646" s="12" t="s">
        <v>1829</v>
      </c>
      <c r="J1646" s="9">
        <v>2797.8164999999999</v>
      </c>
    </row>
    <row r="1647" spans="1:10" x14ac:dyDescent="0.3">
      <c r="A1647" s="22" t="s">
        <v>3456</v>
      </c>
      <c r="B1647" s="10">
        <v>45310</v>
      </c>
      <c r="C1647" s="12" t="s">
        <v>1029</v>
      </c>
      <c r="D1647" s="12" t="s">
        <v>1568</v>
      </c>
      <c r="E1647" s="12" t="s">
        <v>1804</v>
      </c>
      <c r="F1647" s="11">
        <v>2</v>
      </c>
      <c r="G1647" s="12">
        <v>848.87</v>
      </c>
      <c r="H1647" s="9">
        <v>0.09</v>
      </c>
      <c r="I1647" s="12" t="s">
        <v>1829</v>
      </c>
      <c r="J1647" s="9">
        <v>1544.9434000000001</v>
      </c>
    </row>
    <row r="1648" spans="1:10" x14ac:dyDescent="0.3">
      <c r="A1648" s="22" t="s">
        <v>3457</v>
      </c>
      <c r="B1648" s="10">
        <v>45230</v>
      </c>
      <c r="C1648" s="12" t="s">
        <v>1172</v>
      </c>
      <c r="D1648" s="12" t="s">
        <v>1740</v>
      </c>
      <c r="E1648" s="12" t="s">
        <v>1789</v>
      </c>
      <c r="F1648" s="11">
        <v>3</v>
      </c>
      <c r="G1648" s="12">
        <v>582.32000000000005</v>
      </c>
      <c r="H1648" s="9">
        <v>0</v>
      </c>
      <c r="I1648" s="12" t="s">
        <v>1826</v>
      </c>
      <c r="J1648" s="9">
        <v>1746.96</v>
      </c>
    </row>
    <row r="1649" spans="1:10" x14ac:dyDescent="0.3">
      <c r="A1649" s="22" t="s">
        <v>3458</v>
      </c>
      <c r="B1649" s="10">
        <v>45341</v>
      </c>
      <c r="C1649" s="12" t="s">
        <v>568</v>
      </c>
      <c r="D1649" s="12" t="s">
        <v>1646</v>
      </c>
      <c r="E1649" s="12" t="s">
        <v>1807</v>
      </c>
      <c r="F1649" s="11">
        <v>2</v>
      </c>
      <c r="G1649" s="12">
        <v>869.43</v>
      </c>
      <c r="H1649" s="9">
        <v>0.24</v>
      </c>
      <c r="I1649" s="12" t="s">
        <v>1829</v>
      </c>
      <c r="J1649" s="9">
        <v>1321.5336</v>
      </c>
    </row>
    <row r="1650" spans="1:10" x14ac:dyDescent="0.3">
      <c r="A1650" s="22" t="s">
        <v>3459</v>
      </c>
      <c r="B1650" s="10">
        <v>45440</v>
      </c>
      <c r="C1650" s="12" t="s">
        <v>93</v>
      </c>
      <c r="D1650" s="12" t="s">
        <v>1656</v>
      </c>
      <c r="E1650" s="12" t="s">
        <v>1769</v>
      </c>
      <c r="F1650" s="11">
        <v>1</v>
      </c>
      <c r="G1650" s="12">
        <v>62.26</v>
      </c>
      <c r="H1650" s="9">
        <v>0.03</v>
      </c>
      <c r="I1650" s="12" t="s">
        <v>1829</v>
      </c>
      <c r="J1650" s="9">
        <v>60.392200000000003</v>
      </c>
    </row>
    <row r="1651" spans="1:10" x14ac:dyDescent="0.3">
      <c r="A1651" s="22" t="s">
        <v>3460</v>
      </c>
      <c r="B1651" s="10">
        <v>45798</v>
      </c>
      <c r="C1651" s="12" t="s">
        <v>511</v>
      </c>
      <c r="D1651" s="12" t="s">
        <v>1626</v>
      </c>
      <c r="E1651" s="12" t="s">
        <v>1799</v>
      </c>
      <c r="F1651" s="11">
        <v>3</v>
      </c>
      <c r="G1651" s="12">
        <v>343.97</v>
      </c>
      <c r="H1651" s="9">
        <v>0.04</v>
      </c>
      <c r="I1651" s="12" t="s">
        <v>1829</v>
      </c>
      <c r="J1651" s="9">
        <v>990.6336</v>
      </c>
    </row>
    <row r="1652" spans="1:10" x14ac:dyDescent="0.3">
      <c r="A1652" s="22" t="s">
        <v>3461</v>
      </c>
      <c r="B1652" s="10">
        <v>45293</v>
      </c>
      <c r="C1652" s="12" t="s">
        <v>957</v>
      </c>
      <c r="D1652" s="12" t="s">
        <v>1596</v>
      </c>
      <c r="E1652" s="12" t="s">
        <v>1794</v>
      </c>
      <c r="F1652" s="11">
        <v>3</v>
      </c>
      <c r="G1652" s="12">
        <v>304.67</v>
      </c>
      <c r="H1652" s="9">
        <v>0.11</v>
      </c>
      <c r="I1652" s="12" t="s">
        <v>1824</v>
      </c>
      <c r="J1652" s="9">
        <v>813.46889999999996</v>
      </c>
    </row>
    <row r="1653" spans="1:10" x14ac:dyDescent="0.3">
      <c r="A1653" s="22" t="s">
        <v>3462</v>
      </c>
      <c r="B1653" s="10">
        <v>45296</v>
      </c>
      <c r="C1653" s="12" t="s">
        <v>1142</v>
      </c>
      <c r="D1653" s="12" t="s">
        <v>1602</v>
      </c>
      <c r="E1653" s="12" t="s">
        <v>1786</v>
      </c>
      <c r="F1653" s="11">
        <v>4</v>
      </c>
      <c r="G1653" s="12">
        <v>208.34</v>
      </c>
      <c r="H1653" s="9">
        <v>0.01</v>
      </c>
      <c r="I1653" s="12" t="s">
        <v>1826</v>
      </c>
      <c r="J1653" s="9">
        <v>825.02639999999997</v>
      </c>
    </row>
    <row r="1654" spans="1:10" x14ac:dyDescent="0.3">
      <c r="A1654" s="22" t="s">
        <v>3463</v>
      </c>
      <c r="B1654" s="10">
        <v>45860</v>
      </c>
      <c r="C1654" s="12" t="s">
        <v>984</v>
      </c>
      <c r="D1654" s="12" t="s">
        <v>1720</v>
      </c>
      <c r="E1654" s="12" t="s">
        <v>1757</v>
      </c>
      <c r="F1654" s="11">
        <v>1</v>
      </c>
      <c r="G1654" s="12">
        <v>119.04</v>
      </c>
      <c r="H1654" s="9">
        <v>0.13</v>
      </c>
      <c r="I1654" s="12" t="s">
        <v>1829</v>
      </c>
      <c r="J1654" s="9">
        <v>103.56480000000001</v>
      </c>
    </row>
    <row r="1655" spans="1:10" x14ac:dyDescent="0.3">
      <c r="A1655" s="22" t="s">
        <v>3464</v>
      </c>
      <c r="B1655" s="10">
        <v>45843</v>
      </c>
      <c r="C1655" s="12" t="s">
        <v>1011</v>
      </c>
      <c r="D1655" s="12" t="s">
        <v>1636</v>
      </c>
      <c r="E1655" s="12" t="s">
        <v>1786</v>
      </c>
      <c r="F1655" s="11">
        <v>4</v>
      </c>
      <c r="G1655" s="12">
        <v>791.65</v>
      </c>
      <c r="H1655" s="9">
        <v>0.06</v>
      </c>
      <c r="I1655" s="12" t="s">
        <v>1829</v>
      </c>
      <c r="J1655" s="9">
        <v>2976.6039999999998</v>
      </c>
    </row>
    <row r="1656" spans="1:10" x14ac:dyDescent="0.3">
      <c r="A1656" s="22" t="s">
        <v>3465</v>
      </c>
      <c r="B1656" s="10">
        <v>45862</v>
      </c>
      <c r="C1656" s="12" t="s">
        <v>198</v>
      </c>
      <c r="D1656" s="12" t="s">
        <v>1576</v>
      </c>
      <c r="E1656" s="12" t="s">
        <v>1761</v>
      </c>
      <c r="F1656" s="11">
        <v>2</v>
      </c>
      <c r="G1656" s="12">
        <v>414.86</v>
      </c>
      <c r="H1656" s="9">
        <v>0.23</v>
      </c>
      <c r="I1656" s="12" t="s">
        <v>1824</v>
      </c>
      <c r="J1656" s="9">
        <v>638.88440000000003</v>
      </c>
    </row>
    <row r="1657" spans="1:10" x14ac:dyDescent="0.3">
      <c r="A1657" s="22" t="s">
        <v>3466</v>
      </c>
      <c r="B1657" s="10">
        <v>45385</v>
      </c>
      <c r="C1657" s="12" t="s">
        <v>1472</v>
      </c>
      <c r="D1657" s="12" t="s">
        <v>1624</v>
      </c>
      <c r="E1657" s="12" t="s">
        <v>1794</v>
      </c>
      <c r="F1657" s="11">
        <v>2</v>
      </c>
      <c r="G1657" s="12">
        <v>960.81</v>
      </c>
      <c r="H1657" s="9">
        <v>0.28000000000000003</v>
      </c>
      <c r="I1657" s="12" t="s">
        <v>1826</v>
      </c>
      <c r="J1657" s="9">
        <v>1383.5663999999999</v>
      </c>
    </row>
    <row r="1658" spans="1:10" x14ac:dyDescent="0.3">
      <c r="A1658" s="22" t="s">
        <v>3467</v>
      </c>
      <c r="B1658" s="10">
        <v>45668</v>
      </c>
      <c r="C1658" s="12" t="s">
        <v>690</v>
      </c>
      <c r="D1658" s="12" t="s">
        <v>1648</v>
      </c>
      <c r="E1658" s="12" t="s">
        <v>1769</v>
      </c>
      <c r="F1658" s="11">
        <v>4</v>
      </c>
      <c r="G1658" s="12">
        <v>943.36</v>
      </c>
      <c r="H1658" s="9">
        <v>0.18</v>
      </c>
      <c r="I1658" s="12" t="s">
        <v>1826</v>
      </c>
      <c r="J1658" s="9">
        <v>3094.2208000000001</v>
      </c>
    </row>
    <row r="1659" spans="1:10" x14ac:dyDescent="0.3">
      <c r="A1659" s="22" t="s">
        <v>3468</v>
      </c>
      <c r="B1659" s="10">
        <v>45561</v>
      </c>
      <c r="C1659" s="12" t="s">
        <v>693</v>
      </c>
      <c r="D1659" s="12" t="s">
        <v>1551</v>
      </c>
      <c r="E1659" s="12" t="s">
        <v>1797</v>
      </c>
      <c r="F1659" s="11">
        <v>1</v>
      </c>
      <c r="G1659" s="12">
        <v>830.42</v>
      </c>
      <c r="H1659" s="9">
        <v>0.26</v>
      </c>
      <c r="I1659" s="12" t="s">
        <v>1829</v>
      </c>
      <c r="J1659" s="9">
        <v>614.51080000000002</v>
      </c>
    </row>
    <row r="1660" spans="1:10" x14ac:dyDescent="0.3">
      <c r="A1660" s="22" t="s">
        <v>3469</v>
      </c>
      <c r="B1660" s="10">
        <v>45637</v>
      </c>
      <c r="C1660" s="12" t="s">
        <v>1107</v>
      </c>
      <c r="D1660" s="12" t="s">
        <v>1682</v>
      </c>
      <c r="E1660" s="12" t="s">
        <v>1807</v>
      </c>
      <c r="F1660" s="11">
        <v>1</v>
      </c>
      <c r="G1660" s="12">
        <v>762.55</v>
      </c>
      <c r="H1660" s="9">
        <v>0.19</v>
      </c>
      <c r="I1660" s="12" t="s">
        <v>1824</v>
      </c>
      <c r="J1660" s="9">
        <v>617.66549999999995</v>
      </c>
    </row>
    <row r="1661" spans="1:10" x14ac:dyDescent="0.3">
      <c r="A1661" s="22" t="s">
        <v>3470</v>
      </c>
      <c r="B1661" s="10">
        <v>45839</v>
      </c>
      <c r="C1661" s="12" t="s">
        <v>1077</v>
      </c>
      <c r="D1661" s="12" t="s">
        <v>1696</v>
      </c>
      <c r="E1661" s="12" t="s">
        <v>1810</v>
      </c>
      <c r="F1661" s="11">
        <v>2</v>
      </c>
      <c r="G1661" s="12">
        <v>464.43</v>
      </c>
      <c r="H1661" s="9">
        <v>0.24</v>
      </c>
      <c r="I1661" s="12" t="s">
        <v>1829</v>
      </c>
      <c r="J1661" s="9">
        <v>705.93360000000007</v>
      </c>
    </row>
    <row r="1662" spans="1:10" x14ac:dyDescent="0.3">
      <c r="A1662" s="22" t="s">
        <v>3471</v>
      </c>
      <c r="B1662" s="10">
        <v>45851</v>
      </c>
      <c r="C1662" s="12" t="s">
        <v>75</v>
      </c>
      <c r="D1662" s="12" t="s">
        <v>1676</v>
      </c>
      <c r="E1662" s="12" t="s">
        <v>1810</v>
      </c>
      <c r="F1662" s="11">
        <v>1</v>
      </c>
      <c r="G1662" s="12">
        <v>711.08</v>
      </c>
      <c r="H1662" s="9">
        <v>0.24</v>
      </c>
      <c r="I1662" s="12" t="s">
        <v>1826</v>
      </c>
      <c r="J1662" s="9">
        <v>540.42079999999999</v>
      </c>
    </row>
    <row r="1663" spans="1:10" x14ac:dyDescent="0.3">
      <c r="A1663" s="22" t="s">
        <v>3472</v>
      </c>
      <c r="B1663" s="10">
        <v>45656</v>
      </c>
      <c r="C1663" s="12" t="s">
        <v>803</v>
      </c>
      <c r="D1663" s="12" t="s">
        <v>1638</v>
      </c>
      <c r="E1663" s="12" t="s">
        <v>1799</v>
      </c>
      <c r="F1663" s="11">
        <v>2</v>
      </c>
      <c r="G1663" s="12">
        <v>984.96</v>
      </c>
      <c r="H1663" s="9">
        <v>0.16</v>
      </c>
      <c r="I1663" s="12" t="s">
        <v>1826</v>
      </c>
      <c r="J1663" s="9">
        <v>1654.7328</v>
      </c>
    </row>
    <row r="1664" spans="1:10" x14ac:dyDescent="0.3">
      <c r="A1664" s="22" t="s">
        <v>3473</v>
      </c>
      <c r="B1664" s="10">
        <v>45759</v>
      </c>
      <c r="C1664" s="12" t="s">
        <v>1077</v>
      </c>
      <c r="D1664" s="12" t="s">
        <v>1624</v>
      </c>
      <c r="E1664" s="12" t="s">
        <v>1794</v>
      </c>
      <c r="F1664" s="11">
        <v>1</v>
      </c>
      <c r="G1664" s="12">
        <v>21.14</v>
      </c>
      <c r="H1664" s="9">
        <v>0.06</v>
      </c>
      <c r="I1664" s="12" t="s">
        <v>1829</v>
      </c>
      <c r="J1664" s="9">
        <v>19.871600000000001</v>
      </c>
    </row>
    <row r="1665" spans="1:10" x14ac:dyDescent="0.3">
      <c r="A1665" s="22" t="s">
        <v>3474</v>
      </c>
      <c r="B1665" s="10">
        <v>45679</v>
      </c>
      <c r="C1665" s="12" t="s">
        <v>375</v>
      </c>
      <c r="D1665" s="12" t="s">
        <v>1744</v>
      </c>
      <c r="E1665" s="12" t="s">
        <v>1782</v>
      </c>
      <c r="F1665" s="11">
        <v>1</v>
      </c>
      <c r="G1665" s="12">
        <v>343.03</v>
      </c>
      <c r="H1665" s="9">
        <v>0.16</v>
      </c>
      <c r="I1665" s="12" t="s">
        <v>1824</v>
      </c>
      <c r="J1665" s="9">
        <v>288.14519999999999</v>
      </c>
    </row>
    <row r="1666" spans="1:10" x14ac:dyDescent="0.3">
      <c r="A1666" s="22" t="s">
        <v>3475</v>
      </c>
      <c r="B1666" s="10">
        <v>45237</v>
      </c>
      <c r="C1666" s="12" t="s">
        <v>791</v>
      </c>
      <c r="D1666" s="12" t="s">
        <v>1588</v>
      </c>
      <c r="E1666" s="12" t="s">
        <v>1810</v>
      </c>
      <c r="F1666" s="11">
        <v>3</v>
      </c>
      <c r="G1666" s="12">
        <v>94.83</v>
      </c>
      <c r="H1666" s="9">
        <v>0.16</v>
      </c>
      <c r="I1666" s="12" t="s">
        <v>1829</v>
      </c>
      <c r="J1666" s="9">
        <v>238.9716</v>
      </c>
    </row>
    <row r="1667" spans="1:10" x14ac:dyDescent="0.3">
      <c r="A1667" s="22" t="s">
        <v>3476</v>
      </c>
      <c r="B1667" s="10">
        <v>45790</v>
      </c>
      <c r="C1667" s="12" t="s">
        <v>82</v>
      </c>
      <c r="D1667" s="12" t="s">
        <v>1686</v>
      </c>
      <c r="E1667" s="12" t="s">
        <v>1813</v>
      </c>
      <c r="F1667" s="11">
        <v>3</v>
      </c>
      <c r="G1667" s="12">
        <v>74.66</v>
      </c>
      <c r="H1667" s="9">
        <v>0.03</v>
      </c>
      <c r="I1667" s="12" t="s">
        <v>1826</v>
      </c>
      <c r="J1667" s="9">
        <v>217.26060000000001</v>
      </c>
    </row>
    <row r="1668" spans="1:10" x14ac:dyDescent="0.3">
      <c r="A1668" s="22" t="s">
        <v>3477</v>
      </c>
      <c r="B1668" s="10">
        <v>45268</v>
      </c>
      <c r="C1668" s="12" t="s">
        <v>464</v>
      </c>
      <c r="D1668" s="12" t="s">
        <v>1622</v>
      </c>
      <c r="E1668" s="12" t="s">
        <v>1801</v>
      </c>
      <c r="F1668" s="11">
        <v>3</v>
      </c>
      <c r="G1668" s="12">
        <v>281.95999999999998</v>
      </c>
      <c r="H1668" s="9">
        <v>0.01</v>
      </c>
      <c r="I1668" s="12" t="s">
        <v>1829</v>
      </c>
      <c r="J1668" s="9">
        <v>837.42119999999989</v>
      </c>
    </row>
    <row r="1669" spans="1:10" x14ac:dyDescent="0.3">
      <c r="A1669" s="22" t="s">
        <v>3478</v>
      </c>
      <c r="B1669" s="10">
        <v>45664</v>
      </c>
      <c r="C1669" s="12" t="s">
        <v>758</v>
      </c>
      <c r="D1669" s="12" t="s">
        <v>1690</v>
      </c>
      <c r="E1669" s="12" t="s">
        <v>1810</v>
      </c>
      <c r="F1669" s="11">
        <v>4</v>
      </c>
      <c r="G1669" s="12">
        <v>622.27</v>
      </c>
      <c r="H1669" s="9">
        <v>0.02</v>
      </c>
      <c r="I1669" s="12" t="s">
        <v>1826</v>
      </c>
      <c r="J1669" s="9">
        <v>2439.2984000000001</v>
      </c>
    </row>
    <row r="1670" spans="1:10" x14ac:dyDescent="0.3">
      <c r="A1670" s="22" t="s">
        <v>3479</v>
      </c>
      <c r="B1670" s="10">
        <v>45475</v>
      </c>
      <c r="C1670" s="12" t="s">
        <v>363</v>
      </c>
      <c r="D1670" s="12" t="s">
        <v>1622</v>
      </c>
      <c r="E1670" s="12" t="s">
        <v>1779</v>
      </c>
      <c r="F1670" s="11">
        <v>2</v>
      </c>
      <c r="G1670" s="12">
        <v>78.27</v>
      </c>
      <c r="H1670" s="9">
        <v>0.28999999999999998</v>
      </c>
      <c r="I1670" s="12" t="s">
        <v>1829</v>
      </c>
      <c r="J1670" s="9">
        <v>111.1434</v>
      </c>
    </row>
    <row r="1671" spans="1:10" x14ac:dyDescent="0.3">
      <c r="A1671" s="22" t="s">
        <v>3480</v>
      </c>
      <c r="B1671" s="10">
        <v>45845</v>
      </c>
      <c r="C1671" s="12" t="s">
        <v>59</v>
      </c>
      <c r="D1671" s="12" t="s">
        <v>1672</v>
      </c>
      <c r="E1671" s="12" t="s">
        <v>1797</v>
      </c>
      <c r="F1671" s="11">
        <v>4</v>
      </c>
      <c r="G1671" s="12">
        <v>676.58</v>
      </c>
      <c r="H1671" s="9">
        <v>0.23</v>
      </c>
      <c r="I1671" s="12" t="s">
        <v>1829</v>
      </c>
      <c r="J1671" s="9">
        <v>2083.8663999999999</v>
      </c>
    </row>
    <row r="1672" spans="1:10" x14ac:dyDescent="0.3">
      <c r="A1672" s="22" t="s">
        <v>3481</v>
      </c>
      <c r="B1672" s="10">
        <v>45446</v>
      </c>
      <c r="C1672" s="12" t="s">
        <v>1495</v>
      </c>
      <c r="D1672" s="12" t="s">
        <v>1610</v>
      </c>
      <c r="E1672" s="12" t="s">
        <v>1757</v>
      </c>
      <c r="F1672" s="11">
        <v>2</v>
      </c>
      <c r="G1672" s="12">
        <v>938.6</v>
      </c>
      <c r="H1672" s="9">
        <v>0.04</v>
      </c>
      <c r="I1672" s="12" t="s">
        <v>1826</v>
      </c>
      <c r="J1672" s="9">
        <v>1802.1120000000001</v>
      </c>
    </row>
    <row r="1673" spans="1:10" x14ac:dyDescent="0.3">
      <c r="A1673" s="22" t="s">
        <v>3482</v>
      </c>
      <c r="B1673" s="10">
        <v>45761</v>
      </c>
      <c r="C1673" s="12" t="s">
        <v>1112</v>
      </c>
      <c r="D1673" s="12" t="s">
        <v>1574</v>
      </c>
      <c r="E1673" s="12" t="s">
        <v>1799</v>
      </c>
      <c r="F1673" s="11">
        <v>2</v>
      </c>
      <c r="G1673" s="12">
        <v>859.47</v>
      </c>
      <c r="H1673" s="9">
        <v>0.01</v>
      </c>
      <c r="I1673" s="12" t="s">
        <v>1824</v>
      </c>
      <c r="J1673" s="9">
        <v>1701.7506000000001</v>
      </c>
    </row>
    <row r="1674" spans="1:10" x14ac:dyDescent="0.3">
      <c r="A1674" s="22" t="s">
        <v>3483</v>
      </c>
      <c r="B1674" s="10">
        <v>45363</v>
      </c>
      <c r="C1674" s="12" t="s">
        <v>214</v>
      </c>
      <c r="D1674" s="12" t="s">
        <v>1602</v>
      </c>
      <c r="E1674" s="12" t="s">
        <v>1799</v>
      </c>
      <c r="F1674" s="11">
        <v>3</v>
      </c>
      <c r="G1674" s="12">
        <v>672.98</v>
      </c>
      <c r="H1674" s="9">
        <v>0.23</v>
      </c>
      <c r="I1674" s="12" t="s">
        <v>1826</v>
      </c>
      <c r="J1674" s="9">
        <v>1554.5838000000001</v>
      </c>
    </row>
    <row r="1675" spans="1:10" x14ac:dyDescent="0.3">
      <c r="A1675" s="22" t="s">
        <v>3484</v>
      </c>
      <c r="B1675" s="10">
        <v>45420</v>
      </c>
      <c r="C1675" s="12" t="s">
        <v>672</v>
      </c>
      <c r="D1675" s="12" t="s">
        <v>1660</v>
      </c>
      <c r="E1675" s="12" t="s">
        <v>1810</v>
      </c>
      <c r="F1675" s="11">
        <v>1</v>
      </c>
      <c r="G1675" s="12">
        <v>75.8</v>
      </c>
      <c r="H1675" s="9">
        <v>0.28999999999999998</v>
      </c>
      <c r="I1675" s="12" t="s">
        <v>1826</v>
      </c>
      <c r="J1675" s="9">
        <v>53.817999999999998</v>
      </c>
    </row>
    <row r="1676" spans="1:10" x14ac:dyDescent="0.3">
      <c r="A1676" s="22" t="s">
        <v>3485</v>
      </c>
      <c r="B1676" s="10">
        <v>45536</v>
      </c>
      <c r="C1676" s="12" t="s">
        <v>137</v>
      </c>
      <c r="D1676" s="12" t="s">
        <v>1582</v>
      </c>
      <c r="E1676" s="12" t="s">
        <v>1801</v>
      </c>
      <c r="F1676" s="11">
        <v>4</v>
      </c>
      <c r="G1676" s="12">
        <v>742.15</v>
      </c>
      <c r="H1676" s="9">
        <v>0.1</v>
      </c>
      <c r="I1676" s="12" t="s">
        <v>1829</v>
      </c>
      <c r="J1676" s="9">
        <v>2671.74</v>
      </c>
    </row>
    <row r="1677" spans="1:10" x14ac:dyDescent="0.3">
      <c r="A1677" s="22" t="s">
        <v>3486</v>
      </c>
      <c r="B1677" s="10">
        <v>45445</v>
      </c>
      <c r="C1677" s="12" t="s">
        <v>264</v>
      </c>
      <c r="D1677" s="12" t="s">
        <v>1608</v>
      </c>
      <c r="E1677" s="12" t="s">
        <v>1779</v>
      </c>
      <c r="F1677" s="11">
        <v>1</v>
      </c>
      <c r="G1677" s="12">
        <v>637.39</v>
      </c>
      <c r="H1677" s="9">
        <v>0.22</v>
      </c>
      <c r="I1677" s="12" t="s">
        <v>1826</v>
      </c>
      <c r="J1677" s="9">
        <v>497.16419999999999</v>
      </c>
    </row>
    <row r="1678" spans="1:10" x14ac:dyDescent="0.3">
      <c r="A1678" s="22" t="s">
        <v>3487</v>
      </c>
      <c r="B1678" s="10">
        <v>45230</v>
      </c>
      <c r="C1678" s="12" t="s">
        <v>1220</v>
      </c>
      <c r="D1678" s="12" t="s">
        <v>1557</v>
      </c>
      <c r="E1678" s="12" t="s">
        <v>1807</v>
      </c>
      <c r="F1678" s="11">
        <v>1</v>
      </c>
      <c r="G1678" s="12">
        <v>631</v>
      </c>
      <c r="H1678" s="9">
        <v>0.04</v>
      </c>
      <c r="I1678" s="12" t="s">
        <v>1824</v>
      </c>
      <c r="J1678" s="9">
        <v>605.76</v>
      </c>
    </row>
    <row r="1679" spans="1:10" x14ac:dyDescent="0.3">
      <c r="A1679" s="22" t="s">
        <v>3488</v>
      </c>
      <c r="B1679" s="10">
        <v>45916</v>
      </c>
      <c r="C1679" s="12" t="s">
        <v>1226</v>
      </c>
      <c r="D1679" s="12" t="s">
        <v>1708</v>
      </c>
      <c r="E1679" s="12" t="s">
        <v>1766</v>
      </c>
      <c r="F1679" s="11">
        <v>4</v>
      </c>
      <c r="G1679" s="12">
        <v>983.98</v>
      </c>
      <c r="H1679" s="9">
        <v>0.11</v>
      </c>
      <c r="I1679" s="12" t="s">
        <v>1829</v>
      </c>
      <c r="J1679" s="9">
        <v>3502.9688000000001</v>
      </c>
    </row>
    <row r="1680" spans="1:10" x14ac:dyDescent="0.3">
      <c r="A1680" s="22" t="s">
        <v>3489</v>
      </c>
      <c r="B1680" s="10">
        <v>45353</v>
      </c>
      <c r="C1680" s="12" t="s">
        <v>205</v>
      </c>
      <c r="D1680" s="12" t="s">
        <v>1658</v>
      </c>
      <c r="E1680" s="12" t="s">
        <v>1792</v>
      </c>
      <c r="F1680" s="11">
        <v>4</v>
      </c>
      <c r="G1680" s="12">
        <v>73.69</v>
      </c>
      <c r="H1680" s="9">
        <v>0.08</v>
      </c>
      <c r="I1680" s="12" t="s">
        <v>1824</v>
      </c>
      <c r="J1680" s="9">
        <v>271.17919999999998</v>
      </c>
    </row>
    <row r="1681" spans="1:10" x14ac:dyDescent="0.3">
      <c r="A1681" s="22" t="s">
        <v>3490</v>
      </c>
      <c r="B1681" s="10">
        <v>45490</v>
      </c>
      <c r="C1681" s="12" t="s">
        <v>1343</v>
      </c>
      <c r="D1681" s="12" t="s">
        <v>1570</v>
      </c>
      <c r="E1681" s="12" t="s">
        <v>1779</v>
      </c>
      <c r="F1681" s="11">
        <v>3</v>
      </c>
      <c r="G1681" s="12">
        <v>110.99</v>
      </c>
      <c r="H1681" s="9">
        <v>0.21</v>
      </c>
      <c r="I1681" s="12" t="s">
        <v>1824</v>
      </c>
      <c r="J1681" s="9">
        <v>263.04629999999997</v>
      </c>
    </row>
    <row r="1682" spans="1:10" x14ac:dyDescent="0.3">
      <c r="A1682" s="22" t="s">
        <v>3491</v>
      </c>
      <c r="B1682" s="10">
        <v>45850</v>
      </c>
      <c r="C1682" s="12" t="s">
        <v>301</v>
      </c>
      <c r="D1682" s="12" t="s">
        <v>1568</v>
      </c>
      <c r="E1682" s="12" t="s">
        <v>1779</v>
      </c>
      <c r="F1682" s="11">
        <v>1</v>
      </c>
      <c r="G1682" s="12">
        <v>66.86</v>
      </c>
      <c r="H1682" s="9">
        <v>0.22</v>
      </c>
      <c r="I1682" s="12" t="s">
        <v>1829</v>
      </c>
      <c r="J1682" s="9">
        <v>52.150799999999997</v>
      </c>
    </row>
    <row r="1683" spans="1:10" x14ac:dyDescent="0.3">
      <c r="A1683" s="22" t="s">
        <v>3492</v>
      </c>
      <c r="B1683" s="10">
        <v>45515</v>
      </c>
      <c r="C1683" s="12" t="s">
        <v>1295</v>
      </c>
      <c r="D1683" s="12" t="s">
        <v>1682</v>
      </c>
      <c r="E1683" s="12" t="s">
        <v>1810</v>
      </c>
      <c r="F1683" s="11">
        <v>1</v>
      </c>
      <c r="G1683" s="12">
        <v>980.26</v>
      </c>
      <c r="H1683" s="9">
        <v>0.14000000000000001</v>
      </c>
      <c r="I1683" s="12" t="s">
        <v>1826</v>
      </c>
      <c r="J1683" s="9">
        <v>843.02359999999999</v>
      </c>
    </row>
    <row r="1684" spans="1:10" x14ac:dyDescent="0.3">
      <c r="A1684" s="22" t="s">
        <v>3493</v>
      </c>
      <c r="B1684" s="10">
        <v>45322</v>
      </c>
      <c r="C1684" s="12" t="s">
        <v>147</v>
      </c>
      <c r="D1684" s="12" t="s">
        <v>1584</v>
      </c>
      <c r="E1684" s="12" t="s">
        <v>1810</v>
      </c>
      <c r="F1684" s="11">
        <v>1</v>
      </c>
      <c r="G1684" s="12">
        <v>235.28</v>
      </c>
      <c r="H1684" s="9">
        <v>0.05</v>
      </c>
      <c r="I1684" s="12" t="s">
        <v>1826</v>
      </c>
      <c r="J1684" s="9">
        <v>223.51599999999999</v>
      </c>
    </row>
    <row r="1685" spans="1:10" x14ac:dyDescent="0.3">
      <c r="A1685" s="22" t="s">
        <v>3494</v>
      </c>
      <c r="B1685" s="10">
        <v>45542</v>
      </c>
      <c r="C1685" s="12" t="s">
        <v>1292</v>
      </c>
      <c r="D1685" s="12" t="s">
        <v>1543</v>
      </c>
      <c r="E1685" s="12" t="s">
        <v>1801</v>
      </c>
      <c r="F1685" s="11">
        <v>3</v>
      </c>
      <c r="G1685" s="12">
        <v>407.39</v>
      </c>
      <c r="H1685" s="9">
        <v>0.08</v>
      </c>
      <c r="I1685" s="12" t="s">
        <v>1826</v>
      </c>
      <c r="J1685" s="9">
        <v>1124.3964000000001</v>
      </c>
    </row>
    <row r="1686" spans="1:10" x14ac:dyDescent="0.3">
      <c r="A1686" s="22" t="s">
        <v>3495</v>
      </c>
      <c r="B1686" s="10">
        <v>45675</v>
      </c>
      <c r="C1686" s="12" t="s">
        <v>251</v>
      </c>
      <c r="D1686" s="12" t="s">
        <v>1602</v>
      </c>
      <c r="E1686" s="12" t="s">
        <v>1799</v>
      </c>
      <c r="F1686" s="11">
        <v>4</v>
      </c>
      <c r="G1686" s="12">
        <v>459.83</v>
      </c>
      <c r="H1686" s="9">
        <v>0.12</v>
      </c>
      <c r="I1686" s="12" t="s">
        <v>1829</v>
      </c>
      <c r="J1686" s="9">
        <v>1618.6016</v>
      </c>
    </row>
    <row r="1687" spans="1:10" x14ac:dyDescent="0.3">
      <c r="A1687" s="22" t="s">
        <v>3496</v>
      </c>
      <c r="B1687" s="10">
        <v>45333</v>
      </c>
      <c r="C1687" s="12" t="s">
        <v>496</v>
      </c>
      <c r="D1687" s="12" t="s">
        <v>1734</v>
      </c>
      <c r="E1687" s="12" t="s">
        <v>1769</v>
      </c>
      <c r="F1687" s="11">
        <v>3</v>
      </c>
      <c r="G1687" s="12">
        <v>706.6</v>
      </c>
      <c r="H1687" s="9">
        <v>0.17</v>
      </c>
      <c r="I1687" s="12" t="s">
        <v>1826</v>
      </c>
      <c r="J1687" s="9">
        <v>1759.434</v>
      </c>
    </row>
    <row r="1688" spans="1:10" x14ac:dyDescent="0.3">
      <c r="A1688" s="22" t="s">
        <v>3497</v>
      </c>
      <c r="B1688" s="10">
        <v>45819</v>
      </c>
      <c r="C1688" s="12" t="s">
        <v>1425</v>
      </c>
      <c r="D1688" s="12" t="s">
        <v>1730</v>
      </c>
      <c r="E1688" s="12" t="s">
        <v>1813</v>
      </c>
      <c r="F1688" s="11">
        <v>3</v>
      </c>
      <c r="G1688" s="12">
        <v>811.16</v>
      </c>
      <c r="H1688" s="9">
        <v>0.1</v>
      </c>
      <c r="I1688" s="12" t="s">
        <v>1829</v>
      </c>
      <c r="J1688" s="9">
        <v>2190.1320000000001</v>
      </c>
    </row>
    <row r="1689" spans="1:10" x14ac:dyDescent="0.3">
      <c r="A1689" s="22" t="s">
        <v>3498</v>
      </c>
      <c r="B1689" s="10">
        <v>45268</v>
      </c>
      <c r="C1689" s="12" t="s">
        <v>705</v>
      </c>
      <c r="D1689" s="12" t="s">
        <v>1622</v>
      </c>
      <c r="E1689" s="12" t="s">
        <v>1779</v>
      </c>
      <c r="F1689" s="11">
        <v>2</v>
      </c>
      <c r="G1689" s="12">
        <v>985.79</v>
      </c>
      <c r="H1689" s="9">
        <v>0.04</v>
      </c>
      <c r="I1689" s="12" t="s">
        <v>1826</v>
      </c>
      <c r="J1689" s="9">
        <v>1892.7167999999999</v>
      </c>
    </row>
    <row r="1690" spans="1:10" x14ac:dyDescent="0.3">
      <c r="A1690" s="22" t="s">
        <v>3499</v>
      </c>
      <c r="B1690" s="10">
        <v>45521</v>
      </c>
      <c r="C1690" s="12" t="s">
        <v>616</v>
      </c>
      <c r="D1690" s="12" t="s">
        <v>1614</v>
      </c>
      <c r="E1690" s="12" t="s">
        <v>1799</v>
      </c>
      <c r="F1690" s="11">
        <v>1</v>
      </c>
      <c r="G1690" s="12">
        <v>255.02</v>
      </c>
      <c r="H1690" s="9">
        <v>0.3</v>
      </c>
      <c r="I1690" s="12" t="s">
        <v>1824</v>
      </c>
      <c r="J1690" s="9">
        <v>178.51400000000001</v>
      </c>
    </row>
    <row r="1691" spans="1:10" x14ac:dyDescent="0.3">
      <c r="A1691" s="22" t="s">
        <v>3500</v>
      </c>
      <c r="B1691" s="10">
        <v>45693</v>
      </c>
      <c r="C1691" s="12" t="s">
        <v>341</v>
      </c>
      <c r="D1691" s="12" t="s">
        <v>1586</v>
      </c>
      <c r="E1691" s="12" t="s">
        <v>1782</v>
      </c>
      <c r="F1691" s="11">
        <v>1</v>
      </c>
      <c r="G1691" s="12">
        <v>153.57</v>
      </c>
      <c r="H1691" s="9">
        <v>0.01</v>
      </c>
      <c r="I1691" s="12" t="s">
        <v>1826</v>
      </c>
      <c r="J1691" s="9">
        <v>152.0343</v>
      </c>
    </row>
    <row r="1692" spans="1:10" x14ac:dyDescent="0.3">
      <c r="A1692" s="22" t="s">
        <v>3501</v>
      </c>
      <c r="B1692" s="10">
        <v>45734</v>
      </c>
      <c r="C1692" s="12" t="s">
        <v>809</v>
      </c>
      <c r="D1692" s="12" t="s">
        <v>1634</v>
      </c>
      <c r="E1692" s="12" t="s">
        <v>1810</v>
      </c>
      <c r="F1692" s="11">
        <v>3</v>
      </c>
      <c r="G1692" s="12">
        <v>962.98</v>
      </c>
      <c r="H1692" s="9">
        <v>0.21</v>
      </c>
      <c r="I1692" s="12" t="s">
        <v>1824</v>
      </c>
      <c r="J1692" s="9">
        <v>2282.2626</v>
      </c>
    </row>
    <row r="1693" spans="1:10" x14ac:dyDescent="0.3">
      <c r="A1693" s="22" t="s">
        <v>3502</v>
      </c>
      <c r="B1693" s="10">
        <v>45377</v>
      </c>
      <c r="C1693" s="12" t="s">
        <v>214</v>
      </c>
      <c r="D1693" s="12" t="s">
        <v>1636</v>
      </c>
      <c r="E1693" s="12" t="s">
        <v>1782</v>
      </c>
      <c r="F1693" s="11">
        <v>3</v>
      </c>
      <c r="G1693" s="12">
        <v>884.46</v>
      </c>
      <c r="H1693" s="9">
        <v>0.25</v>
      </c>
      <c r="I1693" s="12" t="s">
        <v>1824</v>
      </c>
      <c r="J1693" s="9">
        <v>1990.0350000000001</v>
      </c>
    </row>
    <row r="1694" spans="1:10" x14ac:dyDescent="0.3">
      <c r="A1694" s="22" t="s">
        <v>3503</v>
      </c>
      <c r="B1694" s="10">
        <v>45778</v>
      </c>
      <c r="C1694" s="12" t="s">
        <v>1355</v>
      </c>
      <c r="D1694" s="12" t="s">
        <v>1682</v>
      </c>
      <c r="E1694" s="12" t="s">
        <v>1789</v>
      </c>
      <c r="F1694" s="11">
        <v>4</v>
      </c>
      <c r="G1694" s="12">
        <v>359.71</v>
      </c>
      <c r="H1694" s="9">
        <v>0.05</v>
      </c>
      <c r="I1694" s="12" t="s">
        <v>1826</v>
      </c>
      <c r="J1694" s="9">
        <v>1366.8979999999999</v>
      </c>
    </row>
    <row r="1695" spans="1:10" x14ac:dyDescent="0.3">
      <c r="A1695" s="22" t="s">
        <v>3504</v>
      </c>
      <c r="B1695" s="10">
        <v>45715</v>
      </c>
      <c r="C1695" s="12" t="s">
        <v>195</v>
      </c>
      <c r="D1695" s="12" t="s">
        <v>1648</v>
      </c>
      <c r="E1695" s="12" t="s">
        <v>1769</v>
      </c>
      <c r="F1695" s="11">
        <v>3</v>
      </c>
      <c r="G1695" s="12">
        <v>766.47</v>
      </c>
      <c r="H1695" s="9">
        <v>0.18</v>
      </c>
      <c r="I1695" s="12" t="s">
        <v>1824</v>
      </c>
      <c r="J1695" s="9">
        <v>1885.5162</v>
      </c>
    </row>
    <row r="1696" spans="1:10" x14ac:dyDescent="0.3">
      <c r="A1696" s="22" t="s">
        <v>3505</v>
      </c>
      <c r="B1696" s="10">
        <v>45492</v>
      </c>
      <c r="C1696" s="12" t="s">
        <v>722</v>
      </c>
      <c r="D1696" s="12" t="s">
        <v>1660</v>
      </c>
      <c r="E1696" s="12" t="s">
        <v>1810</v>
      </c>
      <c r="F1696" s="11">
        <v>1</v>
      </c>
      <c r="G1696" s="12">
        <v>772.07</v>
      </c>
      <c r="H1696" s="9">
        <v>0.26</v>
      </c>
      <c r="I1696" s="12" t="s">
        <v>1826</v>
      </c>
      <c r="J1696" s="9">
        <v>571.33180000000004</v>
      </c>
    </row>
    <row r="1697" spans="1:10" x14ac:dyDescent="0.3">
      <c r="A1697" s="22" t="s">
        <v>3506</v>
      </c>
      <c r="B1697" s="10">
        <v>45292</v>
      </c>
      <c r="C1697" s="12" t="s">
        <v>881</v>
      </c>
      <c r="D1697" s="12" t="s">
        <v>1586</v>
      </c>
      <c r="E1697" s="12" t="s">
        <v>1773</v>
      </c>
      <c r="F1697" s="11">
        <v>3</v>
      </c>
      <c r="G1697" s="12">
        <v>108.31</v>
      </c>
      <c r="H1697" s="9">
        <v>0.26</v>
      </c>
      <c r="I1697" s="12" t="s">
        <v>1829</v>
      </c>
      <c r="J1697" s="9">
        <v>240.44820000000001</v>
      </c>
    </row>
    <row r="1698" spans="1:10" x14ac:dyDescent="0.3">
      <c r="A1698" s="22" t="s">
        <v>3507</v>
      </c>
      <c r="B1698" s="10">
        <v>45316</v>
      </c>
      <c r="C1698" s="12" t="s">
        <v>708</v>
      </c>
      <c r="D1698" s="12" t="s">
        <v>1706</v>
      </c>
      <c r="E1698" s="12" t="s">
        <v>1776</v>
      </c>
      <c r="F1698" s="11">
        <v>1</v>
      </c>
      <c r="G1698" s="12">
        <v>502.53</v>
      </c>
      <c r="H1698" s="9">
        <v>0</v>
      </c>
      <c r="I1698" s="12" t="s">
        <v>1826</v>
      </c>
      <c r="J1698" s="9">
        <v>502.53</v>
      </c>
    </row>
    <row r="1699" spans="1:10" x14ac:dyDescent="0.3">
      <c r="A1699" s="22" t="s">
        <v>3508</v>
      </c>
      <c r="B1699" s="10">
        <v>45548</v>
      </c>
      <c r="C1699" s="12" t="s">
        <v>278</v>
      </c>
      <c r="D1699" s="12" t="s">
        <v>1546</v>
      </c>
      <c r="E1699" s="12" t="s">
        <v>1804</v>
      </c>
      <c r="F1699" s="11">
        <v>2</v>
      </c>
      <c r="G1699" s="12">
        <v>508.52</v>
      </c>
      <c r="H1699" s="9">
        <v>0.11</v>
      </c>
      <c r="I1699" s="12" t="s">
        <v>1829</v>
      </c>
      <c r="J1699" s="9">
        <v>905.16559999999993</v>
      </c>
    </row>
    <row r="1700" spans="1:10" x14ac:dyDescent="0.3">
      <c r="A1700" s="22" t="s">
        <v>3509</v>
      </c>
      <c r="B1700" s="10">
        <v>45572</v>
      </c>
      <c r="C1700" s="12" t="s">
        <v>1443</v>
      </c>
      <c r="D1700" s="12" t="s">
        <v>1696</v>
      </c>
      <c r="E1700" s="12" t="s">
        <v>1766</v>
      </c>
      <c r="F1700" s="11">
        <v>1</v>
      </c>
      <c r="G1700" s="12">
        <v>492</v>
      </c>
      <c r="H1700" s="9">
        <v>0.26</v>
      </c>
      <c r="I1700" s="12" t="s">
        <v>1826</v>
      </c>
      <c r="J1700" s="9">
        <v>364.08</v>
      </c>
    </row>
    <row r="1701" spans="1:10" x14ac:dyDescent="0.3">
      <c r="A1701" s="22" t="s">
        <v>3510</v>
      </c>
      <c r="B1701" s="10">
        <v>45347</v>
      </c>
      <c r="C1701" s="12" t="s">
        <v>1492</v>
      </c>
      <c r="D1701" s="12" t="s">
        <v>1622</v>
      </c>
      <c r="E1701" s="12" t="s">
        <v>1799</v>
      </c>
      <c r="F1701" s="11">
        <v>4</v>
      </c>
      <c r="G1701" s="12">
        <v>746.36</v>
      </c>
      <c r="H1701" s="9">
        <v>0.02</v>
      </c>
      <c r="I1701" s="12" t="s">
        <v>1824</v>
      </c>
      <c r="J1701" s="9">
        <v>2925.7312000000002</v>
      </c>
    </row>
    <row r="1702" spans="1:10" x14ac:dyDescent="0.3">
      <c r="A1702" s="22" t="s">
        <v>3511</v>
      </c>
      <c r="B1702" s="10">
        <v>45823</v>
      </c>
      <c r="C1702" s="12" t="s">
        <v>1343</v>
      </c>
      <c r="D1702" s="12" t="s">
        <v>1572</v>
      </c>
      <c r="E1702" s="12" t="s">
        <v>1757</v>
      </c>
      <c r="F1702" s="11">
        <v>1</v>
      </c>
      <c r="G1702" s="12">
        <v>120.83</v>
      </c>
      <c r="H1702" s="9">
        <v>0.08</v>
      </c>
      <c r="I1702" s="12" t="s">
        <v>1824</v>
      </c>
      <c r="J1702" s="9">
        <v>111.1636</v>
      </c>
    </row>
    <row r="1703" spans="1:10" x14ac:dyDescent="0.3">
      <c r="A1703" s="22" t="s">
        <v>3512</v>
      </c>
      <c r="B1703" s="10">
        <v>45394</v>
      </c>
      <c r="C1703" s="12" t="s">
        <v>1243</v>
      </c>
      <c r="D1703" s="12" t="s">
        <v>1702</v>
      </c>
      <c r="E1703" s="12" t="s">
        <v>1810</v>
      </c>
      <c r="F1703" s="11">
        <v>2</v>
      </c>
      <c r="G1703" s="12">
        <v>68.31</v>
      </c>
      <c r="H1703" s="9">
        <v>0.28999999999999998</v>
      </c>
      <c r="I1703" s="12" t="s">
        <v>1829</v>
      </c>
      <c r="J1703" s="9">
        <v>97.000199999999992</v>
      </c>
    </row>
    <row r="1704" spans="1:10" x14ac:dyDescent="0.3">
      <c r="A1704" s="22" t="s">
        <v>3513</v>
      </c>
      <c r="B1704" s="10">
        <v>45265</v>
      </c>
      <c r="C1704" s="12" t="s">
        <v>230</v>
      </c>
      <c r="D1704" s="12" t="s">
        <v>1592</v>
      </c>
      <c r="E1704" s="12" t="s">
        <v>1810</v>
      </c>
      <c r="F1704" s="11">
        <v>2</v>
      </c>
      <c r="G1704" s="12">
        <v>761.71</v>
      </c>
      <c r="H1704" s="9">
        <v>0.02</v>
      </c>
      <c r="I1704" s="12" t="s">
        <v>1826</v>
      </c>
      <c r="J1704" s="9">
        <v>1492.9516000000001</v>
      </c>
    </row>
    <row r="1705" spans="1:10" x14ac:dyDescent="0.3">
      <c r="A1705" s="22" t="s">
        <v>3514</v>
      </c>
      <c r="B1705" s="10">
        <v>45261</v>
      </c>
      <c r="C1705" s="12" t="s">
        <v>244</v>
      </c>
      <c r="D1705" s="12" t="s">
        <v>1704</v>
      </c>
      <c r="E1705" s="12" t="s">
        <v>1766</v>
      </c>
      <c r="F1705" s="11">
        <v>4</v>
      </c>
      <c r="G1705" s="12">
        <v>346.37</v>
      </c>
      <c r="H1705" s="9">
        <v>0.18</v>
      </c>
      <c r="I1705" s="12" t="s">
        <v>1829</v>
      </c>
      <c r="J1705" s="9">
        <v>1136.0935999999999</v>
      </c>
    </row>
    <row r="1706" spans="1:10" x14ac:dyDescent="0.3">
      <c r="A1706" s="22" t="s">
        <v>3515</v>
      </c>
      <c r="B1706" s="10">
        <v>45702</v>
      </c>
      <c r="C1706" s="12" t="s">
        <v>40</v>
      </c>
      <c r="D1706" s="12" t="s">
        <v>1658</v>
      </c>
      <c r="E1706" s="12" t="s">
        <v>1794</v>
      </c>
      <c r="F1706" s="11">
        <v>1</v>
      </c>
      <c r="G1706" s="12">
        <v>846.3</v>
      </c>
      <c r="H1706" s="9">
        <v>0.14000000000000001</v>
      </c>
      <c r="I1706" s="12" t="s">
        <v>1826</v>
      </c>
      <c r="J1706" s="9">
        <v>727.81799999999998</v>
      </c>
    </row>
    <row r="1707" spans="1:10" x14ac:dyDescent="0.3">
      <c r="A1707" s="22" t="s">
        <v>3516</v>
      </c>
      <c r="B1707" s="10">
        <v>45624</v>
      </c>
      <c r="C1707" s="12" t="s">
        <v>1340</v>
      </c>
      <c r="D1707" s="12" t="s">
        <v>1543</v>
      </c>
      <c r="E1707" s="12" t="s">
        <v>1813</v>
      </c>
      <c r="F1707" s="11">
        <v>1</v>
      </c>
      <c r="G1707" s="12">
        <v>458.97</v>
      </c>
      <c r="H1707" s="9">
        <v>0.1</v>
      </c>
      <c r="I1707" s="12" t="s">
        <v>1826</v>
      </c>
      <c r="J1707" s="9">
        <v>413.07299999999998</v>
      </c>
    </row>
    <row r="1708" spans="1:10" x14ac:dyDescent="0.3">
      <c r="A1708" s="22" t="s">
        <v>3517</v>
      </c>
      <c r="B1708" s="10">
        <v>45736</v>
      </c>
      <c r="C1708" s="12" t="s">
        <v>917</v>
      </c>
      <c r="D1708" s="12" t="s">
        <v>1634</v>
      </c>
      <c r="E1708" s="12" t="s">
        <v>1779</v>
      </c>
      <c r="F1708" s="11">
        <v>2</v>
      </c>
      <c r="G1708" s="12">
        <v>536.61</v>
      </c>
      <c r="H1708" s="9">
        <v>0.14000000000000001</v>
      </c>
      <c r="I1708" s="12" t="s">
        <v>1824</v>
      </c>
      <c r="J1708" s="9">
        <v>922.9692</v>
      </c>
    </row>
    <row r="1709" spans="1:10" x14ac:dyDescent="0.3">
      <c r="A1709" s="22" t="s">
        <v>3518</v>
      </c>
      <c r="B1709" s="10">
        <v>45709</v>
      </c>
      <c r="C1709" s="12" t="s">
        <v>1304</v>
      </c>
      <c r="D1709" s="12" t="s">
        <v>1664</v>
      </c>
      <c r="E1709" s="12" t="s">
        <v>1752</v>
      </c>
      <c r="F1709" s="11">
        <v>3</v>
      </c>
      <c r="G1709" s="12">
        <v>130.41</v>
      </c>
      <c r="H1709" s="9">
        <v>0.14000000000000001</v>
      </c>
      <c r="I1709" s="12" t="s">
        <v>1826</v>
      </c>
      <c r="J1709" s="9">
        <v>336.45780000000002</v>
      </c>
    </row>
    <row r="1710" spans="1:10" x14ac:dyDescent="0.3">
      <c r="A1710" s="22" t="s">
        <v>3519</v>
      </c>
      <c r="B1710" s="10">
        <v>45738</v>
      </c>
      <c r="C1710" s="12" t="s">
        <v>1524</v>
      </c>
      <c r="D1710" s="12" t="s">
        <v>1726</v>
      </c>
      <c r="E1710" s="12" t="s">
        <v>1794</v>
      </c>
      <c r="F1710" s="11">
        <v>4</v>
      </c>
      <c r="G1710" s="12">
        <v>706.67</v>
      </c>
      <c r="H1710" s="9">
        <v>0.01</v>
      </c>
      <c r="I1710" s="12" t="s">
        <v>1824</v>
      </c>
      <c r="J1710" s="9">
        <v>2798.4132</v>
      </c>
    </row>
    <row r="1711" spans="1:10" x14ac:dyDescent="0.3">
      <c r="A1711" s="22" t="s">
        <v>3520</v>
      </c>
      <c r="B1711" s="10">
        <v>45685</v>
      </c>
      <c r="C1711" s="12" t="s">
        <v>1223</v>
      </c>
      <c r="D1711" s="12" t="s">
        <v>1602</v>
      </c>
      <c r="E1711" s="12" t="s">
        <v>1766</v>
      </c>
      <c r="F1711" s="11">
        <v>3</v>
      </c>
      <c r="G1711" s="12">
        <v>523.45000000000005</v>
      </c>
      <c r="H1711" s="9">
        <v>0.17</v>
      </c>
      <c r="I1711" s="12" t="s">
        <v>1824</v>
      </c>
      <c r="J1711" s="9">
        <v>1303.3905</v>
      </c>
    </row>
    <row r="1712" spans="1:10" x14ac:dyDescent="0.3">
      <c r="A1712" s="22" t="s">
        <v>3521</v>
      </c>
      <c r="B1712" s="10">
        <v>45701</v>
      </c>
      <c r="C1712" s="12" t="s">
        <v>48</v>
      </c>
      <c r="D1712" s="12" t="s">
        <v>1730</v>
      </c>
      <c r="E1712" s="12" t="s">
        <v>1810</v>
      </c>
      <c r="F1712" s="11">
        <v>3</v>
      </c>
      <c r="G1712" s="12">
        <v>482.2</v>
      </c>
      <c r="H1712" s="9">
        <v>0.23</v>
      </c>
      <c r="I1712" s="12" t="s">
        <v>1829</v>
      </c>
      <c r="J1712" s="9">
        <v>1113.8820000000001</v>
      </c>
    </row>
    <row r="1713" spans="1:10" x14ac:dyDescent="0.3">
      <c r="A1713" s="22" t="s">
        <v>3522</v>
      </c>
      <c r="B1713" s="10">
        <v>45745</v>
      </c>
      <c r="C1713" s="12" t="s">
        <v>428</v>
      </c>
      <c r="D1713" s="12" t="s">
        <v>1674</v>
      </c>
      <c r="E1713" s="12" t="s">
        <v>1773</v>
      </c>
      <c r="F1713" s="11">
        <v>4</v>
      </c>
      <c r="G1713" s="12">
        <v>688.86</v>
      </c>
      <c r="H1713" s="9">
        <v>0.02</v>
      </c>
      <c r="I1713" s="12" t="s">
        <v>1829</v>
      </c>
      <c r="J1713" s="9">
        <v>2700.3312000000001</v>
      </c>
    </row>
    <row r="1714" spans="1:10" x14ac:dyDescent="0.3">
      <c r="A1714" s="22" t="s">
        <v>3523</v>
      </c>
      <c r="B1714" s="10">
        <v>45214</v>
      </c>
      <c r="C1714" s="12" t="s">
        <v>100</v>
      </c>
      <c r="D1714" s="12" t="s">
        <v>1572</v>
      </c>
      <c r="E1714" s="12" t="s">
        <v>1752</v>
      </c>
      <c r="F1714" s="11">
        <v>1</v>
      </c>
      <c r="G1714" s="12">
        <v>145.47999999999999</v>
      </c>
      <c r="H1714" s="9">
        <v>0.1</v>
      </c>
      <c r="I1714" s="12" t="s">
        <v>1829</v>
      </c>
      <c r="J1714" s="9">
        <v>130.93199999999999</v>
      </c>
    </row>
    <row r="1715" spans="1:10" x14ac:dyDescent="0.3">
      <c r="A1715" s="22" t="s">
        <v>3524</v>
      </c>
      <c r="B1715" s="10">
        <v>45547</v>
      </c>
      <c r="C1715" s="12" t="s">
        <v>198</v>
      </c>
      <c r="D1715" s="12" t="s">
        <v>1610</v>
      </c>
      <c r="E1715" s="12" t="s">
        <v>1792</v>
      </c>
      <c r="F1715" s="11">
        <v>4</v>
      </c>
      <c r="G1715" s="12">
        <v>862.25</v>
      </c>
      <c r="H1715" s="9">
        <v>0.28000000000000003</v>
      </c>
      <c r="I1715" s="12" t="s">
        <v>1826</v>
      </c>
      <c r="J1715" s="9">
        <v>2483.2800000000002</v>
      </c>
    </row>
    <row r="1716" spans="1:10" x14ac:dyDescent="0.3">
      <c r="A1716" s="22" t="s">
        <v>3525</v>
      </c>
      <c r="B1716" s="10">
        <v>45296</v>
      </c>
      <c r="C1716" s="12" t="s">
        <v>926</v>
      </c>
      <c r="D1716" s="12" t="s">
        <v>1546</v>
      </c>
      <c r="E1716" s="12" t="s">
        <v>1799</v>
      </c>
      <c r="F1716" s="11">
        <v>4</v>
      </c>
      <c r="G1716" s="12">
        <v>146.12</v>
      </c>
      <c r="H1716" s="9">
        <v>0.12</v>
      </c>
      <c r="I1716" s="12" t="s">
        <v>1829</v>
      </c>
      <c r="J1716" s="9">
        <v>514.3424</v>
      </c>
    </row>
    <row r="1717" spans="1:10" x14ac:dyDescent="0.3">
      <c r="A1717" s="22" t="s">
        <v>3526</v>
      </c>
      <c r="B1717" s="10">
        <v>45549</v>
      </c>
      <c r="C1717" s="12" t="s">
        <v>1472</v>
      </c>
      <c r="D1717" s="12" t="s">
        <v>1610</v>
      </c>
      <c r="E1717" s="12" t="s">
        <v>1810</v>
      </c>
      <c r="F1717" s="11">
        <v>2</v>
      </c>
      <c r="G1717" s="12">
        <v>695.02</v>
      </c>
      <c r="H1717" s="9">
        <v>0.3</v>
      </c>
      <c r="I1717" s="12" t="s">
        <v>1829</v>
      </c>
      <c r="J1717" s="9">
        <v>973.02799999999991</v>
      </c>
    </row>
    <row r="1718" spans="1:10" x14ac:dyDescent="0.3">
      <c r="A1718" s="22" t="s">
        <v>3527</v>
      </c>
      <c r="B1718" s="10">
        <v>45231</v>
      </c>
      <c r="C1718" s="12" t="s">
        <v>711</v>
      </c>
      <c r="D1718" s="12" t="s">
        <v>1736</v>
      </c>
      <c r="E1718" s="12" t="s">
        <v>1789</v>
      </c>
      <c r="F1718" s="11">
        <v>2</v>
      </c>
      <c r="G1718" s="12">
        <v>886.67</v>
      </c>
      <c r="H1718" s="9">
        <v>0.24</v>
      </c>
      <c r="I1718" s="12" t="s">
        <v>1826</v>
      </c>
      <c r="J1718" s="9">
        <v>1347.7384</v>
      </c>
    </row>
    <row r="1719" spans="1:10" x14ac:dyDescent="0.3">
      <c r="A1719" s="22" t="s">
        <v>3528</v>
      </c>
      <c r="B1719" s="10">
        <v>45628</v>
      </c>
      <c r="C1719" s="12" t="s">
        <v>205</v>
      </c>
      <c r="D1719" s="12" t="s">
        <v>1680</v>
      </c>
      <c r="E1719" s="12" t="s">
        <v>1810</v>
      </c>
      <c r="F1719" s="11">
        <v>2</v>
      </c>
      <c r="G1719" s="12">
        <v>864.09</v>
      </c>
      <c r="H1719" s="9">
        <v>0.06</v>
      </c>
      <c r="I1719" s="12" t="s">
        <v>1829</v>
      </c>
      <c r="J1719" s="9">
        <v>1624.4892</v>
      </c>
    </row>
    <row r="1720" spans="1:10" x14ac:dyDescent="0.3">
      <c r="A1720" s="22" t="s">
        <v>3529</v>
      </c>
      <c r="B1720" s="10">
        <v>45862</v>
      </c>
      <c r="C1720" s="12" t="s">
        <v>23</v>
      </c>
      <c r="D1720" s="12" t="s">
        <v>1572</v>
      </c>
      <c r="E1720" s="12" t="s">
        <v>1786</v>
      </c>
      <c r="F1720" s="11">
        <v>1</v>
      </c>
      <c r="G1720" s="12">
        <v>437.65</v>
      </c>
      <c r="H1720" s="9">
        <v>0.02</v>
      </c>
      <c r="I1720" s="12" t="s">
        <v>1826</v>
      </c>
      <c r="J1720" s="9">
        <v>428.89699999999999</v>
      </c>
    </row>
    <row r="1721" spans="1:10" x14ac:dyDescent="0.3">
      <c r="A1721" s="22" t="s">
        <v>3530</v>
      </c>
      <c r="B1721" s="10">
        <v>45843</v>
      </c>
      <c r="C1721" s="12" t="s">
        <v>660</v>
      </c>
      <c r="D1721" s="12" t="s">
        <v>1620</v>
      </c>
      <c r="E1721" s="12" t="s">
        <v>1797</v>
      </c>
      <c r="F1721" s="11">
        <v>2</v>
      </c>
      <c r="G1721" s="12">
        <v>208.09</v>
      </c>
      <c r="H1721" s="9">
        <v>0.27</v>
      </c>
      <c r="I1721" s="12" t="s">
        <v>1824</v>
      </c>
      <c r="J1721" s="9">
        <v>303.81139999999999</v>
      </c>
    </row>
    <row r="1722" spans="1:10" x14ac:dyDescent="0.3">
      <c r="A1722" s="22" t="s">
        <v>3531</v>
      </c>
      <c r="B1722" s="10">
        <v>45482</v>
      </c>
      <c r="C1722" s="12" t="s">
        <v>205</v>
      </c>
      <c r="D1722" s="12" t="s">
        <v>1734</v>
      </c>
      <c r="E1722" s="12" t="s">
        <v>1807</v>
      </c>
      <c r="F1722" s="11">
        <v>4</v>
      </c>
      <c r="G1722" s="12">
        <v>825.78</v>
      </c>
      <c r="H1722" s="9">
        <v>0.02</v>
      </c>
      <c r="I1722" s="12" t="s">
        <v>1824</v>
      </c>
      <c r="J1722" s="9">
        <v>3237.0576000000001</v>
      </c>
    </row>
    <row r="1723" spans="1:10" x14ac:dyDescent="0.3">
      <c r="A1723" s="22" t="s">
        <v>3532</v>
      </c>
      <c r="B1723" s="10">
        <v>45313</v>
      </c>
      <c r="C1723" s="12" t="s">
        <v>405</v>
      </c>
      <c r="D1723" s="12" t="s">
        <v>1598</v>
      </c>
      <c r="E1723" s="12" t="s">
        <v>1807</v>
      </c>
      <c r="F1723" s="11">
        <v>3</v>
      </c>
      <c r="G1723" s="12">
        <v>849.77</v>
      </c>
      <c r="H1723" s="9">
        <v>0.12</v>
      </c>
      <c r="I1723" s="12" t="s">
        <v>1826</v>
      </c>
      <c r="J1723" s="9">
        <v>2243.3928000000001</v>
      </c>
    </row>
    <row r="1724" spans="1:10" x14ac:dyDescent="0.3">
      <c r="A1724" s="22" t="s">
        <v>3533</v>
      </c>
      <c r="B1724" s="10">
        <v>45314</v>
      </c>
      <c r="C1724" s="12" t="s">
        <v>1080</v>
      </c>
      <c r="D1724" s="12" t="s">
        <v>1668</v>
      </c>
      <c r="E1724" s="12" t="s">
        <v>1769</v>
      </c>
      <c r="F1724" s="11">
        <v>1</v>
      </c>
      <c r="G1724" s="12">
        <v>88.78</v>
      </c>
      <c r="H1724" s="9">
        <v>0.18</v>
      </c>
      <c r="I1724" s="12" t="s">
        <v>1824</v>
      </c>
      <c r="J1724" s="9">
        <v>72.799600000000012</v>
      </c>
    </row>
    <row r="1725" spans="1:10" x14ac:dyDescent="0.3">
      <c r="A1725" s="22" t="s">
        <v>3534</v>
      </c>
      <c r="B1725" s="10">
        <v>45526</v>
      </c>
      <c r="C1725" s="12" t="s">
        <v>628</v>
      </c>
      <c r="D1725" s="12" t="s">
        <v>1704</v>
      </c>
      <c r="E1725" s="12" t="s">
        <v>1769</v>
      </c>
      <c r="F1725" s="11">
        <v>4</v>
      </c>
      <c r="G1725" s="12">
        <v>507.22</v>
      </c>
      <c r="H1725" s="9">
        <v>0.14000000000000001</v>
      </c>
      <c r="I1725" s="12" t="s">
        <v>1826</v>
      </c>
      <c r="J1725" s="9">
        <v>1744.8368</v>
      </c>
    </row>
    <row r="1726" spans="1:10" x14ac:dyDescent="0.3">
      <c r="A1726" s="22" t="s">
        <v>3535</v>
      </c>
      <c r="B1726" s="10">
        <v>45887</v>
      </c>
      <c r="C1726" s="12" t="s">
        <v>996</v>
      </c>
      <c r="D1726" s="12" t="s">
        <v>1740</v>
      </c>
      <c r="E1726" s="12" t="s">
        <v>1752</v>
      </c>
      <c r="F1726" s="11">
        <v>3</v>
      </c>
      <c r="G1726" s="12">
        <v>330.98</v>
      </c>
      <c r="H1726" s="9">
        <v>0.11</v>
      </c>
      <c r="I1726" s="12" t="s">
        <v>1824</v>
      </c>
      <c r="J1726" s="9">
        <v>883.71660000000008</v>
      </c>
    </row>
    <row r="1727" spans="1:10" x14ac:dyDescent="0.3">
      <c r="A1727" s="22" t="s">
        <v>3536</v>
      </c>
      <c r="B1727" s="10">
        <v>45562</v>
      </c>
      <c r="C1727" s="12" t="s">
        <v>195</v>
      </c>
      <c r="D1727" s="12" t="s">
        <v>1622</v>
      </c>
      <c r="E1727" s="12" t="s">
        <v>1813</v>
      </c>
      <c r="F1727" s="11">
        <v>4</v>
      </c>
      <c r="G1727" s="12">
        <v>442.87</v>
      </c>
      <c r="H1727" s="9">
        <v>0.08</v>
      </c>
      <c r="I1727" s="12" t="s">
        <v>1824</v>
      </c>
      <c r="J1727" s="9">
        <v>1629.7616</v>
      </c>
    </row>
    <row r="1728" spans="1:10" x14ac:dyDescent="0.3">
      <c r="A1728" s="22" t="s">
        <v>3537</v>
      </c>
      <c r="B1728" s="10">
        <v>45880</v>
      </c>
      <c r="C1728" s="12" t="s">
        <v>48</v>
      </c>
      <c r="D1728" s="12" t="s">
        <v>1740</v>
      </c>
      <c r="E1728" s="12" t="s">
        <v>1761</v>
      </c>
      <c r="F1728" s="11">
        <v>2</v>
      </c>
      <c r="G1728" s="12">
        <v>939.66</v>
      </c>
      <c r="H1728" s="9">
        <v>0.14000000000000001</v>
      </c>
      <c r="I1728" s="12" t="s">
        <v>1826</v>
      </c>
      <c r="J1728" s="9">
        <v>1616.2152000000001</v>
      </c>
    </row>
    <row r="1729" spans="1:10" x14ac:dyDescent="0.3">
      <c r="A1729" s="22" t="s">
        <v>3538</v>
      </c>
      <c r="B1729" s="10">
        <v>45556</v>
      </c>
      <c r="C1729" s="12" t="s">
        <v>929</v>
      </c>
      <c r="D1729" s="12" t="s">
        <v>1694</v>
      </c>
      <c r="E1729" s="12" t="s">
        <v>1766</v>
      </c>
      <c r="F1729" s="11">
        <v>1</v>
      </c>
      <c r="G1729" s="12">
        <v>24.13</v>
      </c>
      <c r="H1729" s="9">
        <v>0</v>
      </c>
      <c r="I1729" s="12" t="s">
        <v>1824</v>
      </c>
      <c r="J1729" s="9">
        <v>24.13</v>
      </c>
    </row>
    <row r="1730" spans="1:10" x14ac:dyDescent="0.3">
      <c r="A1730" s="22" t="s">
        <v>3539</v>
      </c>
      <c r="B1730" s="10">
        <v>45355</v>
      </c>
      <c r="C1730" s="12" t="s">
        <v>1139</v>
      </c>
      <c r="D1730" s="12" t="s">
        <v>1630</v>
      </c>
      <c r="E1730" s="12" t="s">
        <v>1766</v>
      </c>
      <c r="F1730" s="11">
        <v>3</v>
      </c>
      <c r="G1730" s="12">
        <v>239.54</v>
      </c>
      <c r="H1730" s="9">
        <v>0.28999999999999998</v>
      </c>
      <c r="I1730" s="12" t="s">
        <v>1829</v>
      </c>
      <c r="J1730" s="9">
        <v>510.22019999999998</v>
      </c>
    </row>
    <row r="1731" spans="1:10" x14ac:dyDescent="0.3">
      <c r="A1731" s="22" t="s">
        <v>3540</v>
      </c>
      <c r="B1731" s="10">
        <v>45244</v>
      </c>
      <c r="C1731" s="12" t="s">
        <v>1484</v>
      </c>
      <c r="D1731" s="12" t="s">
        <v>1640</v>
      </c>
      <c r="E1731" s="12" t="s">
        <v>1799</v>
      </c>
      <c r="F1731" s="11">
        <v>1</v>
      </c>
      <c r="G1731" s="12">
        <v>588.53</v>
      </c>
      <c r="H1731" s="9">
        <v>0.1</v>
      </c>
      <c r="I1731" s="12" t="s">
        <v>1824</v>
      </c>
      <c r="J1731" s="9">
        <v>529.67700000000002</v>
      </c>
    </row>
    <row r="1732" spans="1:10" x14ac:dyDescent="0.3">
      <c r="A1732" s="22" t="s">
        <v>3541</v>
      </c>
      <c r="B1732" s="10">
        <v>45863</v>
      </c>
      <c r="C1732" s="12" t="s">
        <v>914</v>
      </c>
      <c r="D1732" s="12" t="s">
        <v>1668</v>
      </c>
      <c r="E1732" s="12" t="s">
        <v>1801</v>
      </c>
      <c r="F1732" s="11">
        <v>1</v>
      </c>
      <c r="G1732" s="12">
        <v>145.96</v>
      </c>
      <c r="H1732" s="9">
        <v>0.3</v>
      </c>
      <c r="I1732" s="12" t="s">
        <v>1824</v>
      </c>
      <c r="J1732" s="9">
        <v>102.172</v>
      </c>
    </row>
    <row r="1733" spans="1:10" x14ac:dyDescent="0.3">
      <c r="A1733" s="22" t="s">
        <v>3542</v>
      </c>
      <c r="B1733" s="10">
        <v>45573</v>
      </c>
      <c r="C1733" s="12" t="s">
        <v>360</v>
      </c>
      <c r="D1733" s="12" t="s">
        <v>1688</v>
      </c>
      <c r="E1733" s="12" t="s">
        <v>1769</v>
      </c>
      <c r="F1733" s="11">
        <v>4</v>
      </c>
      <c r="G1733" s="12">
        <v>640.91</v>
      </c>
      <c r="H1733" s="9">
        <v>0.06</v>
      </c>
      <c r="I1733" s="12" t="s">
        <v>1824</v>
      </c>
      <c r="J1733" s="9">
        <v>2409.8216000000002</v>
      </c>
    </row>
    <row r="1734" spans="1:10" x14ac:dyDescent="0.3">
      <c r="A1734" s="22" t="s">
        <v>3543</v>
      </c>
      <c r="B1734" s="10">
        <v>45792</v>
      </c>
      <c r="C1734" s="12" t="s">
        <v>164</v>
      </c>
      <c r="D1734" s="12" t="s">
        <v>1676</v>
      </c>
      <c r="E1734" s="12" t="s">
        <v>1792</v>
      </c>
      <c r="F1734" s="11">
        <v>3</v>
      </c>
      <c r="G1734" s="12">
        <v>773.86</v>
      </c>
      <c r="H1734" s="9">
        <v>0.22</v>
      </c>
      <c r="I1734" s="12" t="s">
        <v>1824</v>
      </c>
      <c r="J1734" s="9">
        <v>1810.8324</v>
      </c>
    </row>
    <row r="1735" spans="1:10" x14ac:dyDescent="0.3">
      <c r="A1735" s="22" t="s">
        <v>3544</v>
      </c>
      <c r="B1735" s="10">
        <v>45744</v>
      </c>
      <c r="C1735" s="12" t="s">
        <v>1428</v>
      </c>
      <c r="D1735" s="12" t="s">
        <v>1610</v>
      </c>
      <c r="E1735" s="12" t="s">
        <v>1801</v>
      </c>
      <c r="F1735" s="11">
        <v>2</v>
      </c>
      <c r="G1735" s="12">
        <v>31.28</v>
      </c>
      <c r="H1735" s="9">
        <v>0.2</v>
      </c>
      <c r="I1735" s="12" t="s">
        <v>1829</v>
      </c>
      <c r="J1735" s="9">
        <v>50.048000000000002</v>
      </c>
    </row>
    <row r="1736" spans="1:10" x14ac:dyDescent="0.3">
      <c r="A1736" s="22" t="s">
        <v>3545</v>
      </c>
      <c r="B1736" s="10">
        <v>45842</v>
      </c>
      <c r="C1736" s="12" t="s">
        <v>1166</v>
      </c>
      <c r="D1736" s="12" t="s">
        <v>1712</v>
      </c>
      <c r="E1736" s="12" t="s">
        <v>1776</v>
      </c>
      <c r="F1736" s="11">
        <v>4</v>
      </c>
      <c r="G1736" s="12">
        <v>389.22</v>
      </c>
      <c r="H1736" s="9">
        <v>0.18</v>
      </c>
      <c r="I1736" s="12" t="s">
        <v>1824</v>
      </c>
      <c r="J1736" s="9">
        <v>1276.6415999999999</v>
      </c>
    </row>
    <row r="1737" spans="1:10" x14ac:dyDescent="0.3">
      <c r="A1737" s="22" t="s">
        <v>3546</v>
      </c>
      <c r="B1737" s="10">
        <v>45502</v>
      </c>
      <c r="C1737" s="12" t="s">
        <v>71</v>
      </c>
      <c r="D1737" s="12" t="s">
        <v>1676</v>
      </c>
      <c r="E1737" s="12" t="s">
        <v>1801</v>
      </c>
      <c r="F1737" s="11">
        <v>3</v>
      </c>
      <c r="G1737" s="12">
        <v>543.44000000000005</v>
      </c>
      <c r="H1737" s="9">
        <v>0.13</v>
      </c>
      <c r="I1737" s="12" t="s">
        <v>1826</v>
      </c>
      <c r="J1737" s="9">
        <v>1418.3784000000001</v>
      </c>
    </row>
    <row r="1738" spans="1:10" x14ac:dyDescent="0.3">
      <c r="A1738" s="22" t="s">
        <v>3547</v>
      </c>
      <c r="B1738" s="10">
        <v>45296</v>
      </c>
      <c r="C1738" s="12" t="s">
        <v>821</v>
      </c>
      <c r="D1738" s="12" t="s">
        <v>1742</v>
      </c>
      <c r="E1738" s="12" t="s">
        <v>1813</v>
      </c>
      <c r="F1738" s="11">
        <v>4</v>
      </c>
      <c r="G1738" s="12">
        <v>715.42</v>
      </c>
      <c r="H1738" s="9">
        <v>0.28999999999999998</v>
      </c>
      <c r="I1738" s="12" t="s">
        <v>1826</v>
      </c>
      <c r="J1738" s="9">
        <v>2031.7927999999999</v>
      </c>
    </row>
    <row r="1739" spans="1:10" x14ac:dyDescent="0.3">
      <c r="A1739" s="22" t="s">
        <v>3548</v>
      </c>
      <c r="B1739" s="10">
        <v>45886</v>
      </c>
      <c r="C1739" s="12" t="s">
        <v>195</v>
      </c>
      <c r="D1739" s="12" t="s">
        <v>1572</v>
      </c>
      <c r="E1739" s="12" t="s">
        <v>1769</v>
      </c>
      <c r="F1739" s="11">
        <v>4</v>
      </c>
      <c r="G1739" s="12">
        <v>676.14</v>
      </c>
      <c r="H1739" s="9">
        <v>0.11</v>
      </c>
      <c r="I1739" s="12" t="s">
        <v>1829</v>
      </c>
      <c r="J1739" s="9">
        <v>2407.0583999999999</v>
      </c>
    </row>
    <row r="1740" spans="1:10" x14ac:dyDescent="0.3">
      <c r="A1740" s="22" t="s">
        <v>3549</v>
      </c>
      <c r="B1740" s="10">
        <v>45425</v>
      </c>
      <c r="C1740" s="12" t="s">
        <v>321</v>
      </c>
      <c r="D1740" s="12" t="s">
        <v>1626</v>
      </c>
      <c r="E1740" s="12" t="s">
        <v>1757</v>
      </c>
      <c r="F1740" s="11">
        <v>4</v>
      </c>
      <c r="G1740" s="12">
        <v>352.72</v>
      </c>
      <c r="H1740" s="9">
        <v>0.25</v>
      </c>
      <c r="I1740" s="12" t="s">
        <v>1824</v>
      </c>
      <c r="J1740" s="9">
        <v>1058.1600000000001</v>
      </c>
    </row>
    <row r="1741" spans="1:10" x14ac:dyDescent="0.3">
      <c r="A1741" s="22" t="s">
        <v>3550</v>
      </c>
      <c r="B1741" s="10">
        <v>45797</v>
      </c>
      <c r="C1741" s="12" t="s">
        <v>574</v>
      </c>
      <c r="D1741" s="12" t="s">
        <v>1570</v>
      </c>
      <c r="E1741" s="12" t="s">
        <v>1794</v>
      </c>
      <c r="F1741" s="11">
        <v>1</v>
      </c>
      <c r="G1741" s="12">
        <v>470.18</v>
      </c>
      <c r="H1741" s="9">
        <v>0.19</v>
      </c>
      <c r="I1741" s="12" t="s">
        <v>1826</v>
      </c>
      <c r="J1741" s="9">
        <v>380.84580000000011</v>
      </c>
    </row>
    <row r="1742" spans="1:10" x14ac:dyDescent="0.3">
      <c r="A1742" s="22" t="s">
        <v>3551</v>
      </c>
      <c r="B1742" s="10">
        <v>45898</v>
      </c>
      <c r="C1742" s="12" t="s">
        <v>740</v>
      </c>
      <c r="D1742" s="12" t="s">
        <v>1680</v>
      </c>
      <c r="E1742" s="12" t="s">
        <v>1792</v>
      </c>
      <c r="F1742" s="11">
        <v>1</v>
      </c>
      <c r="G1742" s="12">
        <v>891.79</v>
      </c>
      <c r="H1742" s="9">
        <v>0.03</v>
      </c>
      <c r="I1742" s="12" t="s">
        <v>1824</v>
      </c>
      <c r="J1742" s="9">
        <v>865.03629999999998</v>
      </c>
    </row>
    <row r="1743" spans="1:10" x14ac:dyDescent="0.3">
      <c r="A1743" s="22" t="s">
        <v>3552</v>
      </c>
      <c r="B1743" s="10">
        <v>45390</v>
      </c>
      <c r="C1743" s="12" t="s">
        <v>1092</v>
      </c>
      <c r="D1743" s="12" t="s">
        <v>1726</v>
      </c>
      <c r="E1743" s="12" t="s">
        <v>1807</v>
      </c>
      <c r="F1743" s="11">
        <v>2</v>
      </c>
      <c r="G1743" s="12">
        <v>433.07</v>
      </c>
      <c r="H1743" s="9">
        <v>0.25</v>
      </c>
      <c r="I1743" s="12" t="s">
        <v>1829</v>
      </c>
      <c r="J1743" s="9">
        <v>649.60500000000002</v>
      </c>
    </row>
    <row r="1744" spans="1:10" x14ac:dyDescent="0.3">
      <c r="A1744" s="22" t="s">
        <v>3553</v>
      </c>
      <c r="B1744" s="10">
        <v>45355</v>
      </c>
      <c r="C1744" s="12" t="s">
        <v>59</v>
      </c>
      <c r="D1744" s="12" t="s">
        <v>1680</v>
      </c>
      <c r="E1744" s="12" t="s">
        <v>1813</v>
      </c>
      <c r="F1744" s="11">
        <v>3</v>
      </c>
      <c r="G1744" s="12">
        <v>626.71</v>
      </c>
      <c r="H1744" s="9">
        <v>7.0000000000000007E-2</v>
      </c>
      <c r="I1744" s="12" t="s">
        <v>1829</v>
      </c>
      <c r="J1744" s="9">
        <v>1748.5209</v>
      </c>
    </row>
    <row r="1745" spans="1:10" x14ac:dyDescent="0.3">
      <c r="A1745" s="22" t="s">
        <v>3554</v>
      </c>
      <c r="B1745" s="10">
        <v>45916</v>
      </c>
      <c r="C1745" s="12" t="s">
        <v>278</v>
      </c>
      <c r="D1745" s="12" t="s">
        <v>1620</v>
      </c>
      <c r="E1745" s="12" t="s">
        <v>1752</v>
      </c>
      <c r="F1745" s="11">
        <v>2</v>
      </c>
      <c r="G1745" s="12">
        <v>324.18</v>
      </c>
      <c r="H1745" s="9">
        <v>0.06</v>
      </c>
      <c r="I1745" s="12" t="s">
        <v>1829</v>
      </c>
      <c r="J1745" s="9">
        <v>609.45839999999998</v>
      </c>
    </row>
    <row r="1746" spans="1:10" x14ac:dyDescent="0.3">
      <c r="A1746" s="22" t="s">
        <v>3555</v>
      </c>
      <c r="B1746" s="10">
        <v>45448</v>
      </c>
      <c r="C1746" s="12" t="s">
        <v>63</v>
      </c>
      <c r="D1746" s="12" t="s">
        <v>1576</v>
      </c>
      <c r="E1746" s="12" t="s">
        <v>1807</v>
      </c>
      <c r="F1746" s="11">
        <v>4</v>
      </c>
      <c r="G1746" s="12">
        <v>839.74</v>
      </c>
      <c r="H1746" s="9">
        <v>0.13</v>
      </c>
      <c r="I1746" s="12" t="s">
        <v>1826</v>
      </c>
      <c r="J1746" s="9">
        <v>2922.2952</v>
      </c>
    </row>
    <row r="1747" spans="1:10" x14ac:dyDescent="0.3">
      <c r="A1747" s="22" t="s">
        <v>3556</v>
      </c>
      <c r="B1747" s="10">
        <v>45402</v>
      </c>
      <c r="C1747" s="12" t="s">
        <v>523</v>
      </c>
      <c r="D1747" s="12" t="s">
        <v>1672</v>
      </c>
      <c r="E1747" s="12" t="s">
        <v>1801</v>
      </c>
      <c r="F1747" s="11">
        <v>3</v>
      </c>
      <c r="G1747" s="12">
        <v>252.63</v>
      </c>
      <c r="H1747" s="9">
        <v>0.28000000000000003</v>
      </c>
      <c r="I1747" s="12" t="s">
        <v>1824</v>
      </c>
      <c r="J1747" s="9">
        <v>545.68079999999998</v>
      </c>
    </row>
    <row r="1748" spans="1:10" x14ac:dyDescent="0.3">
      <c r="A1748" s="22" t="s">
        <v>3557</v>
      </c>
      <c r="B1748" s="10">
        <v>45581</v>
      </c>
      <c r="C1748" s="12" t="s">
        <v>815</v>
      </c>
      <c r="D1748" s="12" t="s">
        <v>1706</v>
      </c>
      <c r="E1748" s="12" t="s">
        <v>1813</v>
      </c>
      <c r="F1748" s="11">
        <v>2</v>
      </c>
      <c r="G1748" s="12">
        <v>60.53</v>
      </c>
      <c r="H1748" s="9">
        <v>0.18</v>
      </c>
      <c r="I1748" s="12" t="s">
        <v>1824</v>
      </c>
      <c r="J1748" s="9">
        <v>99.269200000000012</v>
      </c>
    </row>
    <row r="1749" spans="1:10" x14ac:dyDescent="0.3">
      <c r="A1749" s="22" t="s">
        <v>3558</v>
      </c>
      <c r="B1749" s="10">
        <v>45610</v>
      </c>
      <c r="C1749" s="12" t="s">
        <v>205</v>
      </c>
      <c r="D1749" s="12" t="s">
        <v>1716</v>
      </c>
      <c r="E1749" s="12" t="s">
        <v>1797</v>
      </c>
      <c r="F1749" s="11">
        <v>4</v>
      </c>
      <c r="G1749" s="12">
        <v>341.95</v>
      </c>
      <c r="H1749" s="9">
        <v>0.25</v>
      </c>
      <c r="I1749" s="12" t="s">
        <v>1824</v>
      </c>
      <c r="J1749" s="9">
        <v>1025.8499999999999</v>
      </c>
    </row>
    <row r="1750" spans="1:10" x14ac:dyDescent="0.3">
      <c r="A1750" s="22" t="s">
        <v>3559</v>
      </c>
      <c r="B1750" s="10">
        <v>45438</v>
      </c>
      <c r="C1750" s="12" t="s">
        <v>899</v>
      </c>
      <c r="D1750" s="12" t="s">
        <v>1592</v>
      </c>
      <c r="E1750" s="12" t="s">
        <v>1804</v>
      </c>
      <c r="F1750" s="11">
        <v>4</v>
      </c>
      <c r="G1750" s="12">
        <v>300.12</v>
      </c>
      <c r="H1750" s="9">
        <v>0.05</v>
      </c>
      <c r="I1750" s="12" t="s">
        <v>1826</v>
      </c>
      <c r="J1750" s="9">
        <v>1140.4559999999999</v>
      </c>
    </row>
    <row r="1751" spans="1:10" x14ac:dyDescent="0.3">
      <c r="A1751" s="22" t="s">
        <v>3560</v>
      </c>
      <c r="B1751" s="10">
        <v>45705</v>
      </c>
      <c r="C1751" s="12" t="s">
        <v>402</v>
      </c>
      <c r="D1751" s="12" t="s">
        <v>1604</v>
      </c>
      <c r="E1751" s="12" t="s">
        <v>1807</v>
      </c>
      <c r="F1751" s="11">
        <v>2</v>
      </c>
      <c r="G1751" s="12">
        <v>289.14</v>
      </c>
      <c r="H1751" s="9">
        <v>0.12</v>
      </c>
      <c r="I1751" s="12" t="s">
        <v>1829</v>
      </c>
      <c r="J1751" s="9">
        <v>508.88639999999998</v>
      </c>
    </row>
    <row r="1752" spans="1:10" x14ac:dyDescent="0.3">
      <c r="A1752" s="22" t="s">
        <v>3561</v>
      </c>
      <c r="B1752" s="10">
        <v>45695</v>
      </c>
      <c r="C1752" s="12" t="s">
        <v>175</v>
      </c>
      <c r="D1752" s="12" t="s">
        <v>1598</v>
      </c>
      <c r="E1752" s="12" t="s">
        <v>1752</v>
      </c>
      <c r="F1752" s="11">
        <v>2</v>
      </c>
      <c r="G1752" s="12">
        <v>596.84</v>
      </c>
      <c r="H1752" s="9">
        <v>0.01</v>
      </c>
      <c r="I1752" s="12" t="s">
        <v>1826</v>
      </c>
      <c r="J1752" s="9">
        <v>1181.7431999999999</v>
      </c>
    </row>
    <row r="1753" spans="1:10" x14ac:dyDescent="0.3">
      <c r="A1753" s="22" t="s">
        <v>3562</v>
      </c>
      <c r="B1753" s="10">
        <v>45571</v>
      </c>
      <c r="C1753" s="12" t="s">
        <v>1352</v>
      </c>
      <c r="D1753" s="12" t="s">
        <v>1586</v>
      </c>
      <c r="E1753" s="12" t="s">
        <v>1782</v>
      </c>
      <c r="F1753" s="11">
        <v>4</v>
      </c>
      <c r="G1753" s="12">
        <v>466.24</v>
      </c>
      <c r="H1753" s="9">
        <v>0.16</v>
      </c>
      <c r="I1753" s="12" t="s">
        <v>1824</v>
      </c>
      <c r="J1753" s="9">
        <v>1566.5663999999999</v>
      </c>
    </row>
    <row r="1754" spans="1:10" x14ac:dyDescent="0.3">
      <c r="A1754" s="22" t="s">
        <v>3563</v>
      </c>
      <c r="B1754" s="10">
        <v>45544</v>
      </c>
      <c r="C1754" s="12" t="s">
        <v>806</v>
      </c>
      <c r="D1754" s="12" t="s">
        <v>1574</v>
      </c>
      <c r="E1754" s="12" t="s">
        <v>1804</v>
      </c>
      <c r="F1754" s="11">
        <v>2</v>
      </c>
      <c r="G1754" s="12">
        <v>330.59</v>
      </c>
      <c r="H1754" s="9">
        <v>0.14000000000000001</v>
      </c>
      <c r="I1754" s="12" t="s">
        <v>1824</v>
      </c>
      <c r="J1754" s="9">
        <v>568.61479999999995</v>
      </c>
    </row>
    <row r="1755" spans="1:10" x14ac:dyDescent="0.3">
      <c r="A1755" s="22" t="s">
        <v>3564</v>
      </c>
      <c r="B1755" s="10">
        <v>45654</v>
      </c>
      <c r="C1755" s="12" t="s">
        <v>1516</v>
      </c>
      <c r="D1755" s="12" t="s">
        <v>1592</v>
      </c>
      <c r="E1755" s="12" t="s">
        <v>1776</v>
      </c>
      <c r="F1755" s="11">
        <v>2</v>
      </c>
      <c r="G1755" s="12">
        <v>616.42999999999995</v>
      </c>
      <c r="H1755" s="9">
        <v>0.02</v>
      </c>
      <c r="I1755" s="12" t="s">
        <v>1829</v>
      </c>
      <c r="J1755" s="9">
        <v>1208.2028</v>
      </c>
    </row>
    <row r="1756" spans="1:10" x14ac:dyDescent="0.3">
      <c r="A1756" s="22" t="s">
        <v>3565</v>
      </c>
      <c r="B1756" s="10">
        <v>45589</v>
      </c>
      <c r="C1756" s="12" t="s">
        <v>1254</v>
      </c>
      <c r="D1756" s="12" t="s">
        <v>1674</v>
      </c>
      <c r="E1756" s="12" t="s">
        <v>1776</v>
      </c>
      <c r="F1756" s="11">
        <v>3</v>
      </c>
      <c r="G1756" s="12">
        <v>195.89</v>
      </c>
      <c r="H1756" s="9">
        <v>0.16</v>
      </c>
      <c r="I1756" s="12" t="s">
        <v>1826</v>
      </c>
      <c r="J1756" s="9">
        <v>493.64280000000002</v>
      </c>
    </row>
    <row r="1757" spans="1:10" x14ac:dyDescent="0.3">
      <c r="A1757" s="22" t="s">
        <v>3566</v>
      </c>
      <c r="B1757" s="10">
        <v>45487</v>
      </c>
      <c r="C1757" s="12" t="s">
        <v>1077</v>
      </c>
      <c r="D1757" s="12" t="s">
        <v>1560</v>
      </c>
      <c r="E1757" s="12" t="s">
        <v>1789</v>
      </c>
      <c r="F1757" s="11">
        <v>4</v>
      </c>
      <c r="G1757" s="12">
        <v>614.76</v>
      </c>
      <c r="H1757" s="9">
        <v>0.16</v>
      </c>
      <c r="I1757" s="12" t="s">
        <v>1824</v>
      </c>
      <c r="J1757" s="9">
        <v>2065.5936000000002</v>
      </c>
    </row>
    <row r="1758" spans="1:10" x14ac:dyDescent="0.3">
      <c r="A1758" s="22" t="s">
        <v>3567</v>
      </c>
      <c r="B1758" s="10">
        <v>45418</v>
      </c>
      <c r="C1758" s="12" t="s">
        <v>1257</v>
      </c>
      <c r="D1758" s="12" t="s">
        <v>1706</v>
      </c>
      <c r="E1758" s="12" t="s">
        <v>1779</v>
      </c>
      <c r="F1758" s="11">
        <v>1</v>
      </c>
      <c r="G1758" s="12">
        <v>224.49</v>
      </c>
      <c r="H1758" s="9">
        <v>0.11</v>
      </c>
      <c r="I1758" s="12" t="s">
        <v>1826</v>
      </c>
      <c r="J1758" s="9">
        <v>199.7961</v>
      </c>
    </row>
    <row r="1759" spans="1:10" x14ac:dyDescent="0.3">
      <c r="A1759" s="22" t="s">
        <v>3568</v>
      </c>
      <c r="B1759" s="10">
        <v>45338</v>
      </c>
      <c r="C1759" s="12" t="s">
        <v>1115</v>
      </c>
      <c r="D1759" s="12" t="s">
        <v>1658</v>
      </c>
      <c r="E1759" s="12" t="s">
        <v>1794</v>
      </c>
      <c r="F1759" s="11">
        <v>1</v>
      </c>
      <c r="G1759" s="12">
        <v>967.76</v>
      </c>
      <c r="H1759" s="9">
        <v>0.09</v>
      </c>
      <c r="I1759" s="12" t="s">
        <v>1824</v>
      </c>
      <c r="J1759" s="9">
        <v>880.66160000000002</v>
      </c>
    </row>
    <row r="1760" spans="1:10" x14ac:dyDescent="0.3">
      <c r="A1760" s="22" t="s">
        <v>3569</v>
      </c>
      <c r="B1760" s="10">
        <v>45507</v>
      </c>
      <c r="C1760" s="12" t="s">
        <v>247</v>
      </c>
      <c r="D1760" s="12" t="s">
        <v>1630</v>
      </c>
      <c r="E1760" s="12" t="s">
        <v>1813</v>
      </c>
      <c r="F1760" s="11">
        <v>2</v>
      </c>
      <c r="G1760" s="12">
        <v>56.52</v>
      </c>
      <c r="H1760" s="9">
        <v>0.17</v>
      </c>
      <c r="I1760" s="12" t="s">
        <v>1826</v>
      </c>
      <c r="J1760" s="9">
        <v>93.8232</v>
      </c>
    </row>
    <row r="1761" spans="1:10" x14ac:dyDescent="0.3">
      <c r="A1761" s="22" t="s">
        <v>3570</v>
      </c>
      <c r="B1761" s="10">
        <v>45275</v>
      </c>
      <c r="C1761" s="12" t="s">
        <v>1507</v>
      </c>
      <c r="D1761" s="12" t="s">
        <v>1682</v>
      </c>
      <c r="E1761" s="12" t="s">
        <v>1757</v>
      </c>
      <c r="F1761" s="11">
        <v>4</v>
      </c>
      <c r="G1761" s="12">
        <v>921.84</v>
      </c>
      <c r="H1761" s="9">
        <v>0.04</v>
      </c>
      <c r="I1761" s="12" t="s">
        <v>1824</v>
      </c>
      <c r="J1761" s="9">
        <v>3539.8656000000001</v>
      </c>
    </row>
    <row r="1762" spans="1:10" x14ac:dyDescent="0.3">
      <c r="A1762" s="22" t="s">
        <v>3571</v>
      </c>
      <c r="B1762" s="10">
        <v>45319</v>
      </c>
      <c r="C1762" s="12" t="s">
        <v>1032</v>
      </c>
      <c r="D1762" s="12" t="s">
        <v>1720</v>
      </c>
      <c r="E1762" s="12" t="s">
        <v>1804</v>
      </c>
      <c r="F1762" s="11">
        <v>3</v>
      </c>
      <c r="G1762" s="12">
        <v>738.47</v>
      </c>
      <c r="H1762" s="9">
        <v>0.28000000000000003</v>
      </c>
      <c r="I1762" s="12" t="s">
        <v>1824</v>
      </c>
      <c r="J1762" s="9">
        <v>1595.0952</v>
      </c>
    </row>
    <row r="1763" spans="1:10" x14ac:dyDescent="0.3">
      <c r="A1763" s="22" t="s">
        <v>3572</v>
      </c>
      <c r="B1763" s="10">
        <v>45620</v>
      </c>
      <c r="C1763" s="12" t="s">
        <v>1032</v>
      </c>
      <c r="D1763" s="12" t="s">
        <v>1555</v>
      </c>
      <c r="E1763" s="12" t="s">
        <v>1752</v>
      </c>
      <c r="F1763" s="11">
        <v>4</v>
      </c>
      <c r="G1763" s="12">
        <v>477.83</v>
      </c>
      <c r="H1763" s="9">
        <v>0.05</v>
      </c>
      <c r="I1763" s="12" t="s">
        <v>1829</v>
      </c>
      <c r="J1763" s="9">
        <v>1815.7539999999999</v>
      </c>
    </row>
    <row r="1764" spans="1:10" x14ac:dyDescent="0.3">
      <c r="A1764" s="22" t="s">
        <v>3573</v>
      </c>
      <c r="B1764" s="10">
        <v>45831</v>
      </c>
      <c r="C1764" s="12" t="s">
        <v>559</v>
      </c>
      <c r="D1764" s="12" t="s">
        <v>1632</v>
      </c>
      <c r="E1764" s="12" t="s">
        <v>1794</v>
      </c>
      <c r="F1764" s="11">
        <v>3</v>
      </c>
      <c r="G1764" s="12">
        <v>605.83000000000004</v>
      </c>
      <c r="H1764" s="9">
        <v>0.28000000000000003</v>
      </c>
      <c r="I1764" s="12" t="s">
        <v>1829</v>
      </c>
      <c r="J1764" s="9">
        <v>1308.5927999999999</v>
      </c>
    </row>
    <row r="1765" spans="1:10" x14ac:dyDescent="0.3">
      <c r="A1765" s="22" t="s">
        <v>3574</v>
      </c>
      <c r="B1765" s="10">
        <v>45373</v>
      </c>
      <c r="C1765" s="12" t="s">
        <v>247</v>
      </c>
      <c r="D1765" s="12" t="s">
        <v>1634</v>
      </c>
      <c r="E1765" s="12" t="s">
        <v>1766</v>
      </c>
      <c r="F1765" s="11">
        <v>2</v>
      </c>
      <c r="G1765" s="12">
        <v>521.44000000000005</v>
      </c>
      <c r="H1765" s="9">
        <v>0.25</v>
      </c>
      <c r="I1765" s="12" t="s">
        <v>1829</v>
      </c>
      <c r="J1765" s="9">
        <v>782.16000000000008</v>
      </c>
    </row>
    <row r="1766" spans="1:10" x14ac:dyDescent="0.3">
      <c r="A1766" s="22" t="s">
        <v>3575</v>
      </c>
      <c r="B1766" s="10">
        <v>45863</v>
      </c>
      <c r="C1766" s="12" t="s">
        <v>1166</v>
      </c>
      <c r="D1766" s="12" t="s">
        <v>1568</v>
      </c>
      <c r="E1766" s="12" t="s">
        <v>1779</v>
      </c>
      <c r="F1766" s="11">
        <v>4</v>
      </c>
      <c r="G1766" s="12">
        <v>499.02</v>
      </c>
      <c r="H1766" s="9">
        <v>0.06</v>
      </c>
      <c r="I1766" s="12" t="s">
        <v>1824</v>
      </c>
      <c r="J1766" s="9">
        <v>1876.3152</v>
      </c>
    </row>
    <row r="1767" spans="1:10" x14ac:dyDescent="0.3">
      <c r="A1767" s="22" t="s">
        <v>3576</v>
      </c>
      <c r="B1767" s="10">
        <v>45758</v>
      </c>
      <c r="C1767" s="12" t="s">
        <v>514</v>
      </c>
      <c r="D1767" s="12" t="s">
        <v>1553</v>
      </c>
      <c r="E1767" s="12" t="s">
        <v>1810</v>
      </c>
      <c r="F1767" s="11">
        <v>4</v>
      </c>
      <c r="G1767" s="12">
        <v>299.45999999999998</v>
      </c>
      <c r="H1767" s="9">
        <v>0.18</v>
      </c>
      <c r="I1767" s="12" t="s">
        <v>1829</v>
      </c>
      <c r="J1767" s="9">
        <v>982.22879999999998</v>
      </c>
    </row>
    <row r="1768" spans="1:10" x14ac:dyDescent="0.3">
      <c r="A1768" s="22" t="s">
        <v>3577</v>
      </c>
      <c r="B1768" s="10">
        <v>45285</v>
      </c>
      <c r="C1768" s="12" t="s">
        <v>1411</v>
      </c>
      <c r="D1768" s="12" t="s">
        <v>1626</v>
      </c>
      <c r="E1768" s="12" t="s">
        <v>1752</v>
      </c>
      <c r="F1768" s="11">
        <v>1</v>
      </c>
      <c r="G1768" s="12">
        <v>609.29</v>
      </c>
      <c r="H1768" s="9">
        <v>0.15</v>
      </c>
      <c r="I1768" s="12" t="s">
        <v>1824</v>
      </c>
      <c r="J1768" s="9">
        <v>517.89649999999995</v>
      </c>
    </row>
    <row r="1769" spans="1:10" x14ac:dyDescent="0.3">
      <c r="A1769" s="22" t="s">
        <v>3578</v>
      </c>
      <c r="B1769" s="10">
        <v>45656</v>
      </c>
      <c r="C1769" s="12" t="s">
        <v>360</v>
      </c>
      <c r="D1769" s="12" t="s">
        <v>1549</v>
      </c>
      <c r="E1769" s="12" t="s">
        <v>1782</v>
      </c>
      <c r="F1769" s="11">
        <v>1</v>
      </c>
      <c r="G1769" s="12">
        <v>213.74</v>
      </c>
      <c r="H1769" s="9">
        <v>7.0000000000000007E-2</v>
      </c>
      <c r="I1769" s="12" t="s">
        <v>1829</v>
      </c>
      <c r="J1769" s="9">
        <v>198.7782</v>
      </c>
    </row>
    <row r="1770" spans="1:10" x14ac:dyDescent="0.3">
      <c r="A1770" s="22" t="s">
        <v>3579</v>
      </c>
      <c r="B1770" s="10">
        <v>45718</v>
      </c>
      <c r="C1770" s="12" t="s">
        <v>514</v>
      </c>
      <c r="D1770" s="12" t="s">
        <v>1658</v>
      </c>
      <c r="E1770" s="12" t="s">
        <v>1804</v>
      </c>
      <c r="F1770" s="11">
        <v>4</v>
      </c>
      <c r="G1770" s="12">
        <v>613.16999999999996</v>
      </c>
      <c r="H1770" s="9">
        <v>0.26</v>
      </c>
      <c r="I1770" s="12" t="s">
        <v>1824</v>
      </c>
      <c r="J1770" s="9">
        <v>1814.9831999999999</v>
      </c>
    </row>
    <row r="1771" spans="1:10" x14ac:dyDescent="0.3">
      <c r="A1771" s="22" t="s">
        <v>3580</v>
      </c>
      <c r="B1771" s="10">
        <v>45293</v>
      </c>
      <c r="C1771" s="12" t="s">
        <v>1118</v>
      </c>
      <c r="D1771" s="12" t="s">
        <v>1666</v>
      </c>
      <c r="E1771" s="12" t="s">
        <v>1792</v>
      </c>
      <c r="F1771" s="11">
        <v>2</v>
      </c>
      <c r="G1771" s="12">
        <v>687.36</v>
      </c>
      <c r="H1771" s="9">
        <v>7.0000000000000007E-2</v>
      </c>
      <c r="I1771" s="12" t="s">
        <v>1829</v>
      </c>
      <c r="J1771" s="9">
        <v>1278.4896000000001</v>
      </c>
    </row>
    <row r="1772" spans="1:10" x14ac:dyDescent="0.3">
      <c r="A1772" s="22" t="s">
        <v>3581</v>
      </c>
      <c r="B1772" s="10">
        <v>45915</v>
      </c>
      <c r="C1772" s="12" t="s">
        <v>1026</v>
      </c>
      <c r="D1772" s="12" t="s">
        <v>1682</v>
      </c>
      <c r="E1772" s="12" t="s">
        <v>1797</v>
      </c>
      <c r="F1772" s="11">
        <v>3</v>
      </c>
      <c r="G1772" s="12">
        <v>115.39</v>
      </c>
      <c r="H1772" s="9">
        <v>0.02</v>
      </c>
      <c r="I1772" s="12" t="s">
        <v>1826</v>
      </c>
      <c r="J1772" s="9">
        <v>339.2466</v>
      </c>
    </row>
    <row r="1773" spans="1:10" x14ac:dyDescent="0.3">
      <c r="A1773" s="22" t="s">
        <v>3582</v>
      </c>
      <c r="B1773" s="10">
        <v>45359</v>
      </c>
      <c r="C1773" s="12" t="s">
        <v>592</v>
      </c>
      <c r="D1773" s="12" t="s">
        <v>1596</v>
      </c>
      <c r="E1773" s="12" t="s">
        <v>1794</v>
      </c>
      <c r="F1773" s="11">
        <v>2</v>
      </c>
      <c r="G1773" s="12">
        <v>722.06</v>
      </c>
      <c r="H1773" s="9">
        <v>7.0000000000000007E-2</v>
      </c>
      <c r="I1773" s="12" t="s">
        <v>1824</v>
      </c>
      <c r="J1773" s="9">
        <v>1343.0316</v>
      </c>
    </row>
    <row r="1774" spans="1:10" x14ac:dyDescent="0.3">
      <c r="A1774" s="22" t="s">
        <v>3583</v>
      </c>
      <c r="B1774" s="10">
        <v>45652</v>
      </c>
      <c r="C1774" s="12" t="s">
        <v>1319</v>
      </c>
      <c r="D1774" s="12" t="s">
        <v>1560</v>
      </c>
      <c r="E1774" s="12" t="s">
        <v>1801</v>
      </c>
      <c r="F1774" s="11">
        <v>1</v>
      </c>
      <c r="G1774" s="12">
        <v>384.57</v>
      </c>
      <c r="H1774" s="9">
        <v>0.06</v>
      </c>
      <c r="I1774" s="12" t="s">
        <v>1826</v>
      </c>
      <c r="J1774" s="9">
        <v>361.49579999999997</v>
      </c>
    </row>
    <row r="1775" spans="1:10" x14ac:dyDescent="0.3">
      <c r="A1775" s="22" t="s">
        <v>3584</v>
      </c>
      <c r="B1775" s="10">
        <v>45735</v>
      </c>
      <c r="C1775" s="12" t="s">
        <v>684</v>
      </c>
      <c r="D1775" s="12" t="s">
        <v>1562</v>
      </c>
      <c r="E1775" s="12" t="s">
        <v>1797</v>
      </c>
      <c r="F1775" s="11">
        <v>2</v>
      </c>
      <c r="G1775" s="12">
        <v>194.09</v>
      </c>
      <c r="H1775" s="9">
        <v>0.18</v>
      </c>
      <c r="I1775" s="12" t="s">
        <v>1826</v>
      </c>
      <c r="J1775" s="9">
        <v>318.30759999999998</v>
      </c>
    </row>
    <row r="1776" spans="1:10" x14ac:dyDescent="0.3">
      <c r="A1776" s="22" t="s">
        <v>3585</v>
      </c>
      <c r="B1776" s="10">
        <v>45579</v>
      </c>
      <c r="C1776" s="12" t="s">
        <v>571</v>
      </c>
      <c r="D1776" s="12" t="s">
        <v>1724</v>
      </c>
      <c r="E1776" s="12" t="s">
        <v>1766</v>
      </c>
      <c r="F1776" s="11">
        <v>2</v>
      </c>
      <c r="G1776" s="12">
        <v>403.91</v>
      </c>
      <c r="H1776" s="9">
        <v>7.0000000000000007E-2</v>
      </c>
      <c r="I1776" s="12" t="s">
        <v>1824</v>
      </c>
      <c r="J1776" s="9">
        <v>751.27260000000001</v>
      </c>
    </row>
    <row r="1777" spans="1:10" x14ac:dyDescent="0.3">
      <c r="A1777" s="22" t="s">
        <v>3586</v>
      </c>
      <c r="B1777" s="10">
        <v>45721</v>
      </c>
      <c r="C1777" s="12" t="s">
        <v>278</v>
      </c>
      <c r="D1777" s="12" t="s">
        <v>1582</v>
      </c>
      <c r="E1777" s="12" t="s">
        <v>1799</v>
      </c>
      <c r="F1777" s="11">
        <v>1</v>
      </c>
      <c r="G1777" s="12">
        <v>878.69</v>
      </c>
      <c r="H1777" s="9">
        <v>0.3</v>
      </c>
      <c r="I1777" s="12" t="s">
        <v>1826</v>
      </c>
      <c r="J1777" s="9">
        <v>615.08299999999997</v>
      </c>
    </row>
    <row r="1778" spans="1:10" x14ac:dyDescent="0.3">
      <c r="A1778" s="22" t="s">
        <v>3587</v>
      </c>
      <c r="B1778" s="10">
        <v>45446</v>
      </c>
      <c r="C1778" s="12" t="s">
        <v>1190</v>
      </c>
      <c r="D1778" s="12" t="s">
        <v>1614</v>
      </c>
      <c r="E1778" s="12" t="s">
        <v>1801</v>
      </c>
      <c r="F1778" s="11">
        <v>1</v>
      </c>
      <c r="G1778" s="12">
        <v>161.16999999999999</v>
      </c>
      <c r="H1778" s="9">
        <v>0.05</v>
      </c>
      <c r="I1778" s="12" t="s">
        <v>1824</v>
      </c>
      <c r="J1778" s="9">
        <v>153.11150000000001</v>
      </c>
    </row>
    <row r="1779" spans="1:10" x14ac:dyDescent="0.3">
      <c r="A1779" s="22" t="s">
        <v>3588</v>
      </c>
      <c r="B1779" s="10">
        <v>45387</v>
      </c>
      <c r="C1779" s="12" t="s">
        <v>696</v>
      </c>
      <c r="D1779" s="12" t="s">
        <v>1694</v>
      </c>
      <c r="E1779" s="12" t="s">
        <v>1799</v>
      </c>
      <c r="F1779" s="11">
        <v>2</v>
      </c>
      <c r="G1779" s="12">
        <v>720.15</v>
      </c>
      <c r="H1779" s="9">
        <v>0.22</v>
      </c>
      <c r="I1779" s="12" t="s">
        <v>1829</v>
      </c>
      <c r="J1779" s="9">
        <v>1123.434</v>
      </c>
    </row>
    <row r="1780" spans="1:10" x14ac:dyDescent="0.3">
      <c r="A1780" s="22" t="s">
        <v>3589</v>
      </c>
      <c r="B1780" s="10">
        <v>45222</v>
      </c>
      <c r="C1780" s="12" t="s">
        <v>1089</v>
      </c>
      <c r="D1780" s="12" t="s">
        <v>1600</v>
      </c>
      <c r="E1780" s="12" t="s">
        <v>1782</v>
      </c>
      <c r="F1780" s="11">
        <v>1</v>
      </c>
      <c r="G1780" s="12">
        <v>361.8</v>
      </c>
      <c r="H1780" s="9">
        <v>0.02</v>
      </c>
      <c r="I1780" s="12" t="s">
        <v>1829</v>
      </c>
      <c r="J1780" s="9">
        <v>354.56400000000002</v>
      </c>
    </row>
    <row r="1781" spans="1:10" x14ac:dyDescent="0.3">
      <c r="A1781" s="22" t="s">
        <v>3590</v>
      </c>
      <c r="B1781" s="10">
        <v>45402</v>
      </c>
      <c r="C1781" s="12" t="s">
        <v>740</v>
      </c>
      <c r="D1781" s="12" t="s">
        <v>1738</v>
      </c>
      <c r="E1781" s="12" t="s">
        <v>1776</v>
      </c>
      <c r="F1781" s="11">
        <v>1</v>
      </c>
      <c r="G1781" s="12">
        <v>779.84</v>
      </c>
      <c r="H1781" s="9">
        <v>0.28999999999999998</v>
      </c>
      <c r="I1781" s="12" t="s">
        <v>1826</v>
      </c>
      <c r="J1781" s="9">
        <v>553.68640000000005</v>
      </c>
    </row>
    <row r="1782" spans="1:10" x14ac:dyDescent="0.3">
      <c r="A1782" s="22" t="s">
        <v>3591</v>
      </c>
      <c r="B1782" s="10">
        <v>45455</v>
      </c>
      <c r="C1782" s="12" t="s">
        <v>27</v>
      </c>
      <c r="D1782" s="12" t="s">
        <v>1740</v>
      </c>
      <c r="E1782" s="12" t="s">
        <v>1769</v>
      </c>
      <c r="F1782" s="11">
        <v>2</v>
      </c>
      <c r="G1782" s="12">
        <v>649.89</v>
      </c>
      <c r="H1782" s="9">
        <v>0.17</v>
      </c>
      <c r="I1782" s="12" t="s">
        <v>1829</v>
      </c>
      <c r="J1782" s="9">
        <v>1078.8173999999999</v>
      </c>
    </row>
    <row r="1783" spans="1:10" x14ac:dyDescent="0.3">
      <c r="A1783" s="22" t="s">
        <v>3592</v>
      </c>
      <c r="B1783" s="10">
        <v>45877</v>
      </c>
      <c r="C1783" s="12" t="s">
        <v>666</v>
      </c>
      <c r="D1783" s="12" t="s">
        <v>1654</v>
      </c>
      <c r="E1783" s="12" t="s">
        <v>1776</v>
      </c>
      <c r="F1783" s="11">
        <v>1</v>
      </c>
      <c r="G1783" s="12">
        <v>952.73</v>
      </c>
      <c r="H1783" s="9">
        <v>0.17</v>
      </c>
      <c r="I1783" s="12" t="s">
        <v>1824</v>
      </c>
      <c r="J1783" s="9">
        <v>790.76589999999999</v>
      </c>
    </row>
    <row r="1784" spans="1:10" x14ac:dyDescent="0.3">
      <c r="A1784" s="22" t="s">
        <v>3593</v>
      </c>
      <c r="B1784" s="10">
        <v>45875</v>
      </c>
      <c r="C1784" s="12" t="s">
        <v>304</v>
      </c>
      <c r="D1784" s="12" t="s">
        <v>1746</v>
      </c>
      <c r="E1784" s="12" t="s">
        <v>1804</v>
      </c>
      <c r="F1784" s="11">
        <v>4</v>
      </c>
      <c r="G1784" s="12">
        <v>820.78</v>
      </c>
      <c r="H1784" s="9">
        <v>0.25</v>
      </c>
      <c r="I1784" s="12" t="s">
        <v>1824</v>
      </c>
      <c r="J1784" s="9">
        <v>2462.34</v>
      </c>
    </row>
    <row r="1785" spans="1:10" x14ac:dyDescent="0.3">
      <c r="A1785" s="22" t="s">
        <v>3594</v>
      </c>
      <c r="B1785" s="10">
        <v>45592</v>
      </c>
      <c r="C1785" s="12" t="s">
        <v>1074</v>
      </c>
      <c r="D1785" s="12" t="s">
        <v>1624</v>
      </c>
      <c r="E1785" s="12" t="s">
        <v>1766</v>
      </c>
      <c r="F1785" s="11">
        <v>4</v>
      </c>
      <c r="G1785" s="12">
        <v>247.55</v>
      </c>
      <c r="H1785" s="9">
        <v>0.05</v>
      </c>
      <c r="I1785" s="12" t="s">
        <v>1824</v>
      </c>
      <c r="J1785" s="9">
        <v>940.69</v>
      </c>
    </row>
    <row r="1786" spans="1:10" x14ac:dyDescent="0.3">
      <c r="A1786" s="22" t="s">
        <v>3595</v>
      </c>
      <c r="B1786" s="10">
        <v>45369</v>
      </c>
      <c r="C1786" s="12" t="s">
        <v>732</v>
      </c>
      <c r="D1786" s="12" t="s">
        <v>1746</v>
      </c>
      <c r="E1786" s="12" t="s">
        <v>1782</v>
      </c>
      <c r="F1786" s="11">
        <v>3</v>
      </c>
      <c r="G1786" s="12">
        <v>561.44000000000005</v>
      </c>
      <c r="H1786" s="9">
        <v>0.2</v>
      </c>
      <c r="I1786" s="12" t="s">
        <v>1829</v>
      </c>
      <c r="J1786" s="9">
        <v>1347.4559999999999</v>
      </c>
    </row>
    <row r="1787" spans="1:10" x14ac:dyDescent="0.3">
      <c r="A1787" s="22" t="s">
        <v>3596</v>
      </c>
      <c r="B1787" s="10">
        <v>45249</v>
      </c>
      <c r="C1787" s="12" t="s">
        <v>893</v>
      </c>
      <c r="D1787" s="12" t="s">
        <v>1692</v>
      </c>
      <c r="E1787" s="12" t="s">
        <v>1782</v>
      </c>
      <c r="F1787" s="11">
        <v>4</v>
      </c>
      <c r="G1787" s="12">
        <v>214.37</v>
      </c>
      <c r="H1787" s="9">
        <v>0.11</v>
      </c>
      <c r="I1787" s="12" t="s">
        <v>1829</v>
      </c>
      <c r="J1787" s="9">
        <v>763.15719999999999</v>
      </c>
    </row>
    <row r="1788" spans="1:10" x14ac:dyDescent="0.3">
      <c r="A1788" s="22" t="s">
        <v>3597</v>
      </c>
      <c r="B1788" s="10">
        <v>45741</v>
      </c>
      <c r="C1788" s="12" t="s">
        <v>1295</v>
      </c>
      <c r="D1788" s="12" t="s">
        <v>1582</v>
      </c>
      <c r="E1788" s="12" t="s">
        <v>1804</v>
      </c>
      <c r="F1788" s="11">
        <v>3</v>
      </c>
      <c r="G1788" s="12">
        <v>123.74</v>
      </c>
      <c r="H1788" s="9">
        <v>0.23</v>
      </c>
      <c r="I1788" s="12" t="s">
        <v>1826</v>
      </c>
      <c r="J1788" s="9">
        <v>285.83940000000001</v>
      </c>
    </row>
    <row r="1789" spans="1:10" x14ac:dyDescent="0.3">
      <c r="A1789" s="22" t="s">
        <v>3598</v>
      </c>
      <c r="B1789" s="10">
        <v>45427</v>
      </c>
      <c r="C1789" s="12" t="s">
        <v>63</v>
      </c>
      <c r="D1789" s="12" t="s">
        <v>1682</v>
      </c>
      <c r="E1789" s="12" t="s">
        <v>1792</v>
      </c>
      <c r="F1789" s="11">
        <v>4</v>
      </c>
      <c r="G1789" s="12">
        <v>645.71</v>
      </c>
      <c r="H1789" s="9">
        <v>0.1</v>
      </c>
      <c r="I1789" s="12" t="s">
        <v>1826</v>
      </c>
      <c r="J1789" s="9">
        <v>2324.556</v>
      </c>
    </row>
    <row r="1790" spans="1:10" x14ac:dyDescent="0.3">
      <c r="A1790" s="22" t="s">
        <v>3599</v>
      </c>
      <c r="B1790" s="10">
        <v>45736</v>
      </c>
      <c r="C1790" s="12" t="s">
        <v>134</v>
      </c>
      <c r="D1790" s="12" t="s">
        <v>1590</v>
      </c>
      <c r="E1790" s="12" t="s">
        <v>1794</v>
      </c>
      <c r="F1790" s="11">
        <v>3</v>
      </c>
      <c r="G1790" s="12">
        <v>587.12</v>
      </c>
      <c r="H1790" s="9">
        <v>0.3</v>
      </c>
      <c r="I1790" s="12" t="s">
        <v>1824</v>
      </c>
      <c r="J1790" s="9">
        <v>1232.952</v>
      </c>
    </row>
    <row r="1791" spans="1:10" x14ac:dyDescent="0.3">
      <c r="A1791" s="22" t="s">
        <v>3600</v>
      </c>
      <c r="B1791" s="10">
        <v>45941</v>
      </c>
      <c r="C1791" s="12" t="s">
        <v>773</v>
      </c>
      <c r="D1791" s="12" t="s">
        <v>1598</v>
      </c>
      <c r="E1791" s="12" t="s">
        <v>1810</v>
      </c>
      <c r="F1791" s="11">
        <v>1</v>
      </c>
      <c r="G1791" s="12">
        <v>401.18</v>
      </c>
      <c r="H1791" s="9">
        <v>0.15</v>
      </c>
      <c r="I1791" s="12" t="s">
        <v>1829</v>
      </c>
      <c r="J1791" s="9">
        <v>341.00299999999999</v>
      </c>
    </row>
    <row r="1792" spans="1:10" x14ac:dyDescent="0.3">
      <c r="A1792" s="22" t="s">
        <v>3601</v>
      </c>
      <c r="B1792" s="10">
        <v>45486</v>
      </c>
      <c r="C1792" s="12" t="s">
        <v>1145</v>
      </c>
      <c r="D1792" s="12" t="s">
        <v>1664</v>
      </c>
      <c r="E1792" s="12" t="s">
        <v>1810</v>
      </c>
      <c r="F1792" s="11">
        <v>3</v>
      </c>
      <c r="G1792" s="12">
        <v>658.33</v>
      </c>
      <c r="H1792" s="9">
        <v>0.12</v>
      </c>
      <c r="I1792" s="12" t="s">
        <v>1829</v>
      </c>
      <c r="J1792" s="9">
        <v>1737.9911999999999</v>
      </c>
    </row>
    <row r="1793" spans="1:10" x14ac:dyDescent="0.3">
      <c r="A1793" s="22" t="s">
        <v>3602</v>
      </c>
      <c r="B1793" s="10">
        <v>45474</v>
      </c>
      <c r="C1793" s="12" t="s">
        <v>657</v>
      </c>
      <c r="D1793" s="12" t="s">
        <v>1646</v>
      </c>
      <c r="E1793" s="12" t="s">
        <v>1792</v>
      </c>
      <c r="F1793" s="11">
        <v>4</v>
      </c>
      <c r="G1793" s="12">
        <v>450.3</v>
      </c>
      <c r="H1793" s="9">
        <v>0.02</v>
      </c>
      <c r="I1793" s="12" t="s">
        <v>1824</v>
      </c>
      <c r="J1793" s="9">
        <v>1765.1759999999999</v>
      </c>
    </row>
    <row r="1794" spans="1:10" x14ac:dyDescent="0.3">
      <c r="A1794" s="22" t="s">
        <v>3603</v>
      </c>
      <c r="B1794" s="10">
        <v>45757</v>
      </c>
      <c r="C1794" s="12" t="s">
        <v>490</v>
      </c>
      <c r="D1794" s="12" t="s">
        <v>1736</v>
      </c>
      <c r="E1794" s="12" t="s">
        <v>1789</v>
      </c>
      <c r="F1794" s="11">
        <v>4</v>
      </c>
      <c r="G1794" s="12">
        <v>33.630000000000003</v>
      </c>
      <c r="H1794" s="9">
        <v>0.05</v>
      </c>
      <c r="I1794" s="12" t="s">
        <v>1824</v>
      </c>
      <c r="J1794" s="9">
        <v>127.794</v>
      </c>
    </row>
    <row r="1795" spans="1:10" x14ac:dyDescent="0.3">
      <c r="A1795" s="22" t="s">
        <v>3604</v>
      </c>
      <c r="B1795" s="10">
        <v>45475</v>
      </c>
      <c r="C1795" s="12" t="s">
        <v>141</v>
      </c>
      <c r="D1795" s="12" t="s">
        <v>1580</v>
      </c>
      <c r="E1795" s="12" t="s">
        <v>1752</v>
      </c>
      <c r="F1795" s="11">
        <v>3</v>
      </c>
      <c r="G1795" s="12">
        <v>168.89</v>
      </c>
      <c r="H1795" s="9">
        <v>0.03</v>
      </c>
      <c r="I1795" s="12" t="s">
        <v>1829</v>
      </c>
      <c r="J1795" s="9">
        <v>491.46989999999988</v>
      </c>
    </row>
    <row r="1796" spans="1:10" x14ac:dyDescent="0.3">
      <c r="A1796" s="22" t="s">
        <v>3605</v>
      </c>
      <c r="B1796" s="10">
        <v>45546</v>
      </c>
      <c r="C1796" s="12" t="s">
        <v>341</v>
      </c>
      <c r="D1796" s="12" t="s">
        <v>1668</v>
      </c>
      <c r="E1796" s="12" t="s">
        <v>1792</v>
      </c>
      <c r="F1796" s="11">
        <v>1</v>
      </c>
      <c r="G1796" s="12">
        <v>141.85</v>
      </c>
      <c r="H1796" s="9">
        <v>0.06</v>
      </c>
      <c r="I1796" s="12" t="s">
        <v>1826</v>
      </c>
      <c r="J1796" s="9">
        <v>133.339</v>
      </c>
    </row>
    <row r="1797" spans="1:10" x14ac:dyDescent="0.3">
      <c r="A1797" s="22" t="s">
        <v>3606</v>
      </c>
      <c r="B1797" s="10">
        <v>45520</v>
      </c>
      <c r="C1797" s="12" t="s">
        <v>966</v>
      </c>
      <c r="D1797" s="12" t="s">
        <v>1618</v>
      </c>
      <c r="E1797" s="12" t="s">
        <v>1779</v>
      </c>
      <c r="F1797" s="11">
        <v>1</v>
      </c>
      <c r="G1797" s="12">
        <v>617.4</v>
      </c>
      <c r="H1797" s="9">
        <v>0.21</v>
      </c>
      <c r="I1797" s="12" t="s">
        <v>1824</v>
      </c>
      <c r="J1797" s="9">
        <v>487.74599999999998</v>
      </c>
    </row>
    <row r="1798" spans="1:10" x14ac:dyDescent="0.3">
      <c r="A1798" s="22" t="s">
        <v>3607</v>
      </c>
      <c r="B1798" s="10">
        <v>45534</v>
      </c>
      <c r="C1798" s="12" t="s">
        <v>496</v>
      </c>
      <c r="D1798" s="12" t="s">
        <v>1654</v>
      </c>
      <c r="E1798" s="12" t="s">
        <v>1757</v>
      </c>
      <c r="F1798" s="11">
        <v>3</v>
      </c>
      <c r="G1798" s="12">
        <v>841.47</v>
      </c>
      <c r="H1798" s="9">
        <v>0.15</v>
      </c>
      <c r="I1798" s="12" t="s">
        <v>1829</v>
      </c>
      <c r="J1798" s="9">
        <v>2145.7485000000001</v>
      </c>
    </row>
    <row r="1799" spans="1:10" x14ac:dyDescent="0.3">
      <c r="A1799" s="22" t="s">
        <v>3608</v>
      </c>
      <c r="B1799" s="10">
        <v>45334</v>
      </c>
      <c r="C1799" s="12" t="s">
        <v>221</v>
      </c>
      <c r="D1799" s="12" t="s">
        <v>1590</v>
      </c>
      <c r="E1799" s="12" t="s">
        <v>1797</v>
      </c>
      <c r="F1799" s="11">
        <v>2</v>
      </c>
      <c r="G1799" s="12">
        <v>960.41</v>
      </c>
      <c r="H1799" s="9">
        <v>0.18</v>
      </c>
      <c r="I1799" s="12" t="s">
        <v>1824</v>
      </c>
      <c r="J1799" s="9">
        <v>1575.0724</v>
      </c>
    </row>
    <row r="1800" spans="1:10" x14ac:dyDescent="0.3">
      <c r="A1800" s="22" t="s">
        <v>3609</v>
      </c>
      <c r="B1800" s="10">
        <v>45289</v>
      </c>
      <c r="C1800" s="12" t="s">
        <v>1395</v>
      </c>
      <c r="D1800" s="12" t="s">
        <v>1698</v>
      </c>
      <c r="E1800" s="12" t="s">
        <v>1810</v>
      </c>
      <c r="F1800" s="11">
        <v>3</v>
      </c>
      <c r="G1800" s="12">
        <v>717.22</v>
      </c>
      <c r="H1800" s="9">
        <v>0.24</v>
      </c>
      <c r="I1800" s="12" t="s">
        <v>1826</v>
      </c>
      <c r="J1800" s="9">
        <v>1635.2616</v>
      </c>
    </row>
    <row r="1801" spans="1:10" x14ac:dyDescent="0.3">
      <c r="A1801" s="22" t="s">
        <v>3610</v>
      </c>
      <c r="B1801" s="10">
        <v>45832</v>
      </c>
      <c r="C1801" s="12" t="s">
        <v>402</v>
      </c>
      <c r="D1801" s="12" t="s">
        <v>1572</v>
      </c>
      <c r="E1801" s="12" t="s">
        <v>1752</v>
      </c>
      <c r="F1801" s="11">
        <v>1</v>
      </c>
      <c r="G1801" s="12">
        <v>281.83</v>
      </c>
      <c r="H1801" s="9">
        <v>0.16</v>
      </c>
      <c r="I1801" s="12" t="s">
        <v>1829</v>
      </c>
      <c r="J1801" s="9">
        <v>236.7372</v>
      </c>
    </row>
    <row r="1802" spans="1:10" x14ac:dyDescent="0.3">
      <c r="A1802" s="22" t="s">
        <v>3611</v>
      </c>
      <c r="B1802" s="10">
        <v>45400</v>
      </c>
      <c r="C1802" s="12" t="s">
        <v>666</v>
      </c>
      <c r="D1802" s="12" t="s">
        <v>1666</v>
      </c>
      <c r="E1802" s="12" t="s">
        <v>1799</v>
      </c>
      <c r="F1802" s="11">
        <v>1</v>
      </c>
      <c r="G1802" s="12">
        <v>509.08</v>
      </c>
      <c r="H1802" s="9">
        <v>0.04</v>
      </c>
      <c r="I1802" s="12" t="s">
        <v>1826</v>
      </c>
      <c r="J1802" s="9">
        <v>488.71679999999998</v>
      </c>
    </row>
    <row r="1803" spans="1:10" x14ac:dyDescent="0.3">
      <c r="A1803" s="22" t="s">
        <v>3612</v>
      </c>
      <c r="B1803" s="10">
        <v>45930</v>
      </c>
      <c r="C1803" s="12" t="s">
        <v>1246</v>
      </c>
      <c r="D1803" s="12" t="s">
        <v>1740</v>
      </c>
      <c r="E1803" s="12" t="s">
        <v>1761</v>
      </c>
      <c r="F1803" s="11">
        <v>4</v>
      </c>
      <c r="G1803" s="12">
        <v>827.09</v>
      </c>
      <c r="H1803" s="9">
        <v>0.3</v>
      </c>
      <c r="I1803" s="12" t="s">
        <v>1824</v>
      </c>
      <c r="J1803" s="9">
        <v>2315.8519999999999</v>
      </c>
    </row>
    <row r="1804" spans="1:10" x14ac:dyDescent="0.3">
      <c r="A1804" s="22" t="s">
        <v>3613</v>
      </c>
      <c r="B1804" s="10">
        <v>45935</v>
      </c>
      <c r="C1804" s="12" t="s">
        <v>684</v>
      </c>
      <c r="D1804" s="12" t="s">
        <v>1606</v>
      </c>
      <c r="E1804" s="12" t="s">
        <v>1769</v>
      </c>
      <c r="F1804" s="11">
        <v>2</v>
      </c>
      <c r="G1804" s="12">
        <v>823.36</v>
      </c>
      <c r="H1804" s="9">
        <v>0.23</v>
      </c>
      <c r="I1804" s="12" t="s">
        <v>1824</v>
      </c>
      <c r="J1804" s="9">
        <v>1267.9744000000001</v>
      </c>
    </row>
    <row r="1805" spans="1:10" x14ac:dyDescent="0.3">
      <c r="A1805" s="22" t="s">
        <v>3614</v>
      </c>
      <c r="B1805" s="10">
        <v>45814</v>
      </c>
      <c r="C1805" s="12" t="s">
        <v>467</v>
      </c>
      <c r="D1805" s="12" t="s">
        <v>1600</v>
      </c>
      <c r="E1805" s="12" t="s">
        <v>1773</v>
      </c>
      <c r="F1805" s="11">
        <v>4</v>
      </c>
      <c r="G1805" s="12">
        <v>282.18</v>
      </c>
      <c r="H1805" s="9">
        <v>0.13</v>
      </c>
      <c r="I1805" s="12" t="s">
        <v>1829</v>
      </c>
      <c r="J1805" s="9">
        <v>981.9864</v>
      </c>
    </row>
    <row r="1806" spans="1:10" x14ac:dyDescent="0.3">
      <c r="A1806" s="22" t="s">
        <v>3615</v>
      </c>
      <c r="B1806" s="10">
        <v>45323</v>
      </c>
      <c r="C1806" s="12" t="s">
        <v>571</v>
      </c>
      <c r="D1806" s="12" t="s">
        <v>1590</v>
      </c>
      <c r="E1806" s="12" t="s">
        <v>1757</v>
      </c>
      <c r="F1806" s="11">
        <v>1</v>
      </c>
      <c r="G1806" s="12">
        <v>486.39</v>
      </c>
      <c r="H1806" s="9">
        <v>0.09</v>
      </c>
      <c r="I1806" s="12" t="s">
        <v>1829</v>
      </c>
      <c r="J1806" s="9">
        <v>442.61489999999998</v>
      </c>
    </row>
    <row r="1807" spans="1:10" x14ac:dyDescent="0.3">
      <c r="A1807" s="22" t="s">
        <v>3616</v>
      </c>
      <c r="B1807" s="10">
        <v>45312</v>
      </c>
      <c r="C1807" s="12" t="s">
        <v>172</v>
      </c>
      <c r="D1807" s="12" t="s">
        <v>1584</v>
      </c>
      <c r="E1807" s="12" t="s">
        <v>1766</v>
      </c>
      <c r="F1807" s="11">
        <v>2</v>
      </c>
      <c r="G1807" s="12">
        <v>603.62</v>
      </c>
      <c r="H1807" s="9">
        <v>0.18</v>
      </c>
      <c r="I1807" s="12" t="s">
        <v>1829</v>
      </c>
      <c r="J1807" s="9">
        <v>989.93680000000006</v>
      </c>
    </row>
    <row r="1808" spans="1:10" x14ac:dyDescent="0.3">
      <c r="A1808" s="22" t="s">
        <v>3617</v>
      </c>
      <c r="B1808" s="10">
        <v>45554</v>
      </c>
      <c r="C1808" s="12" t="s">
        <v>496</v>
      </c>
      <c r="D1808" s="12" t="s">
        <v>1622</v>
      </c>
      <c r="E1808" s="12" t="s">
        <v>1782</v>
      </c>
      <c r="F1808" s="11">
        <v>3</v>
      </c>
      <c r="G1808" s="12">
        <v>204.17</v>
      </c>
      <c r="H1808" s="9">
        <v>0.1</v>
      </c>
      <c r="I1808" s="12" t="s">
        <v>1826</v>
      </c>
      <c r="J1808" s="9">
        <v>551.25900000000001</v>
      </c>
    </row>
    <row r="1809" spans="1:10" x14ac:dyDescent="0.3">
      <c r="A1809" s="22" t="s">
        <v>3618</v>
      </c>
      <c r="B1809" s="10">
        <v>45310</v>
      </c>
      <c r="C1809" s="12" t="s">
        <v>467</v>
      </c>
      <c r="D1809" s="12" t="s">
        <v>1562</v>
      </c>
      <c r="E1809" s="12" t="s">
        <v>1801</v>
      </c>
      <c r="F1809" s="11">
        <v>1</v>
      </c>
      <c r="G1809" s="12">
        <v>43.58</v>
      </c>
      <c r="H1809" s="9">
        <v>0.01</v>
      </c>
      <c r="I1809" s="12" t="s">
        <v>1829</v>
      </c>
      <c r="J1809" s="9">
        <v>43.144199999999998</v>
      </c>
    </row>
    <row r="1810" spans="1:10" x14ac:dyDescent="0.3">
      <c r="A1810" s="22" t="s">
        <v>3619</v>
      </c>
      <c r="B1810" s="10">
        <v>45594</v>
      </c>
      <c r="C1810" s="12" t="s">
        <v>1044</v>
      </c>
      <c r="D1810" s="12" t="s">
        <v>1642</v>
      </c>
      <c r="E1810" s="12" t="s">
        <v>1761</v>
      </c>
      <c r="F1810" s="11">
        <v>3</v>
      </c>
      <c r="G1810" s="12">
        <v>469.33</v>
      </c>
      <c r="H1810" s="9">
        <v>0.14000000000000001</v>
      </c>
      <c r="I1810" s="12" t="s">
        <v>1826</v>
      </c>
      <c r="J1810" s="9">
        <v>1210.8714</v>
      </c>
    </row>
    <row r="1811" spans="1:10" x14ac:dyDescent="0.3">
      <c r="A1811" s="22" t="s">
        <v>3620</v>
      </c>
      <c r="B1811" s="10">
        <v>45840</v>
      </c>
      <c r="C1811" s="12" t="s">
        <v>681</v>
      </c>
      <c r="D1811" s="12" t="s">
        <v>1562</v>
      </c>
      <c r="E1811" s="12" t="s">
        <v>1782</v>
      </c>
      <c r="F1811" s="11">
        <v>4</v>
      </c>
      <c r="G1811" s="12">
        <v>836.23</v>
      </c>
      <c r="H1811" s="9">
        <v>0.12</v>
      </c>
      <c r="I1811" s="12" t="s">
        <v>1824</v>
      </c>
      <c r="J1811" s="9">
        <v>2943.5295999999998</v>
      </c>
    </row>
    <row r="1812" spans="1:10" x14ac:dyDescent="0.3">
      <c r="A1812" s="22" t="s">
        <v>3621</v>
      </c>
      <c r="B1812" s="10">
        <v>45549</v>
      </c>
      <c r="C1812" s="12" t="s">
        <v>589</v>
      </c>
      <c r="D1812" s="12" t="s">
        <v>1682</v>
      </c>
      <c r="E1812" s="12" t="s">
        <v>1813</v>
      </c>
      <c r="F1812" s="11">
        <v>2</v>
      </c>
      <c r="G1812" s="12">
        <v>661.53</v>
      </c>
      <c r="H1812" s="9">
        <v>0.2</v>
      </c>
      <c r="I1812" s="12" t="s">
        <v>1826</v>
      </c>
      <c r="J1812" s="9">
        <v>1058.4480000000001</v>
      </c>
    </row>
    <row r="1813" spans="1:10" x14ac:dyDescent="0.3">
      <c r="A1813" s="22" t="s">
        <v>3622</v>
      </c>
      <c r="B1813" s="10">
        <v>45903</v>
      </c>
      <c r="C1813" s="12" t="s">
        <v>411</v>
      </c>
      <c r="D1813" s="12" t="s">
        <v>1660</v>
      </c>
      <c r="E1813" s="12" t="s">
        <v>1804</v>
      </c>
      <c r="F1813" s="11">
        <v>3</v>
      </c>
      <c r="G1813" s="12">
        <v>753.47</v>
      </c>
      <c r="H1813" s="9">
        <v>0.25</v>
      </c>
      <c r="I1813" s="12" t="s">
        <v>1826</v>
      </c>
      <c r="J1813" s="9">
        <v>1695.3074999999999</v>
      </c>
    </row>
    <row r="1814" spans="1:10" x14ac:dyDescent="0.3">
      <c r="A1814" s="22" t="s">
        <v>3623</v>
      </c>
      <c r="B1814" s="10">
        <v>45673</v>
      </c>
      <c r="C1814" s="12" t="s">
        <v>523</v>
      </c>
      <c r="D1814" s="12" t="s">
        <v>1676</v>
      </c>
      <c r="E1814" s="12" t="s">
        <v>1752</v>
      </c>
      <c r="F1814" s="11">
        <v>3</v>
      </c>
      <c r="G1814" s="12">
        <v>713.95</v>
      </c>
      <c r="H1814" s="9">
        <v>0</v>
      </c>
      <c r="I1814" s="12" t="s">
        <v>1824</v>
      </c>
      <c r="J1814" s="9">
        <v>2141.85</v>
      </c>
    </row>
    <row r="1815" spans="1:10" x14ac:dyDescent="0.3">
      <c r="A1815" s="22" t="s">
        <v>3624</v>
      </c>
      <c r="B1815" s="10">
        <v>45395</v>
      </c>
      <c r="C1815" s="12" t="s">
        <v>353</v>
      </c>
      <c r="D1815" s="12" t="s">
        <v>1570</v>
      </c>
      <c r="E1815" s="12" t="s">
        <v>1773</v>
      </c>
      <c r="F1815" s="11">
        <v>3</v>
      </c>
      <c r="G1815" s="12">
        <v>596</v>
      </c>
      <c r="H1815" s="9">
        <v>0.28000000000000003</v>
      </c>
      <c r="I1815" s="12" t="s">
        <v>1829</v>
      </c>
      <c r="J1815" s="9">
        <v>1287.3599999999999</v>
      </c>
    </row>
    <row r="1816" spans="1:10" x14ac:dyDescent="0.3">
      <c r="A1816" s="22" t="s">
        <v>3625</v>
      </c>
      <c r="B1816" s="10">
        <v>45379</v>
      </c>
      <c r="C1816" s="12" t="s">
        <v>1050</v>
      </c>
      <c r="D1816" s="12" t="s">
        <v>1565</v>
      </c>
      <c r="E1816" s="12" t="s">
        <v>1786</v>
      </c>
      <c r="F1816" s="11">
        <v>2</v>
      </c>
      <c r="G1816" s="12">
        <v>169.46</v>
      </c>
      <c r="H1816" s="9">
        <v>0.03</v>
      </c>
      <c r="I1816" s="12" t="s">
        <v>1826</v>
      </c>
      <c r="J1816" s="9">
        <v>328.75240000000002</v>
      </c>
    </row>
    <row r="1817" spans="1:10" x14ac:dyDescent="0.3">
      <c r="A1817" s="22" t="s">
        <v>3626</v>
      </c>
      <c r="B1817" s="10">
        <v>45860</v>
      </c>
      <c r="C1817" s="12" t="s">
        <v>948</v>
      </c>
      <c r="D1817" s="12" t="s">
        <v>1678</v>
      </c>
      <c r="E1817" s="12" t="s">
        <v>1799</v>
      </c>
      <c r="F1817" s="11">
        <v>4</v>
      </c>
      <c r="G1817" s="12">
        <v>611.91999999999996</v>
      </c>
      <c r="H1817" s="9">
        <v>0.2</v>
      </c>
      <c r="I1817" s="12" t="s">
        <v>1826</v>
      </c>
      <c r="J1817" s="9">
        <v>1958.144</v>
      </c>
    </row>
    <row r="1818" spans="1:10" x14ac:dyDescent="0.3">
      <c r="A1818" s="22" t="s">
        <v>3627</v>
      </c>
      <c r="B1818" s="10">
        <v>45704</v>
      </c>
      <c r="C1818" s="12" t="s">
        <v>23</v>
      </c>
      <c r="D1818" s="12" t="s">
        <v>1696</v>
      </c>
      <c r="E1818" s="12" t="s">
        <v>1801</v>
      </c>
      <c r="F1818" s="11">
        <v>2</v>
      </c>
      <c r="G1818" s="12">
        <v>25.3</v>
      </c>
      <c r="H1818" s="9">
        <v>0.21</v>
      </c>
      <c r="I1818" s="12" t="s">
        <v>1824</v>
      </c>
      <c r="J1818" s="9">
        <v>39.973999999999997</v>
      </c>
    </row>
    <row r="1819" spans="1:10" x14ac:dyDescent="0.3">
      <c r="A1819" s="22" t="s">
        <v>3628</v>
      </c>
      <c r="B1819" s="10">
        <v>45327</v>
      </c>
      <c r="C1819" s="12" t="s">
        <v>1343</v>
      </c>
      <c r="D1819" s="12" t="s">
        <v>1694</v>
      </c>
      <c r="E1819" s="12" t="s">
        <v>1789</v>
      </c>
      <c r="F1819" s="11">
        <v>4</v>
      </c>
      <c r="G1819" s="12">
        <v>166.93</v>
      </c>
      <c r="H1819" s="9">
        <v>0.02</v>
      </c>
      <c r="I1819" s="12" t="s">
        <v>1826</v>
      </c>
      <c r="J1819" s="9">
        <v>654.36559999999997</v>
      </c>
    </row>
    <row r="1820" spans="1:10" x14ac:dyDescent="0.3">
      <c r="A1820" s="22" t="s">
        <v>3629</v>
      </c>
      <c r="B1820" s="10">
        <v>45721</v>
      </c>
      <c r="C1820" s="12" t="s">
        <v>890</v>
      </c>
      <c r="D1820" s="12" t="s">
        <v>1668</v>
      </c>
      <c r="E1820" s="12" t="s">
        <v>1792</v>
      </c>
      <c r="F1820" s="11">
        <v>4</v>
      </c>
      <c r="G1820" s="12">
        <v>861.55</v>
      </c>
      <c r="H1820" s="9">
        <v>0.12</v>
      </c>
      <c r="I1820" s="12" t="s">
        <v>1824</v>
      </c>
      <c r="J1820" s="9">
        <v>3032.6559999999999</v>
      </c>
    </row>
    <row r="1821" spans="1:10" x14ac:dyDescent="0.3">
      <c r="A1821" s="22" t="s">
        <v>3630</v>
      </c>
      <c r="B1821" s="10">
        <v>45842</v>
      </c>
      <c r="C1821" s="12" t="s">
        <v>1127</v>
      </c>
      <c r="D1821" s="12" t="s">
        <v>1634</v>
      </c>
      <c r="E1821" s="12" t="s">
        <v>1773</v>
      </c>
      <c r="F1821" s="11">
        <v>3</v>
      </c>
      <c r="G1821" s="12">
        <v>56.17</v>
      </c>
      <c r="H1821" s="9">
        <v>0.01</v>
      </c>
      <c r="I1821" s="12" t="s">
        <v>1829</v>
      </c>
      <c r="J1821" s="9">
        <v>166.82490000000001</v>
      </c>
    </row>
    <row r="1822" spans="1:10" x14ac:dyDescent="0.3">
      <c r="A1822" s="22" t="s">
        <v>3631</v>
      </c>
      <c r="B1822" s="10">
        <v>45862</v>
      </c>
      <c r="C1822" s="12" t="s">
        <v>849</v>
      </c>
      <c r="D1822" s="12" t="s">
        <v>1578</v>
      </c>
      <c r="E1822" s="12" t="s">
        <v>1813</v>
      </c>
      <c r="F1822" s="11">
        <v>1</v>
      </c>
      <c r="G1822" s="12">
        <v>582.29</v>
      </c>
      <c r="H1822" s="9">
        <v>0.2</v>
      </c>
      <c r="I1822" s="12" t="s">
        <v>1824</v>
      </c>
      <c r="J1822" s="9">
        <v>465.83199999999999</v>
      </c>
    </row>
    <row r="1823" spans="1:10" x14ac:dyDescent="0.3">
      <c r="A1823" s="22" t="s">
        <v>3632</v>
      </c>
      <c r="B1823" s="10">
        <v>45681</v>
      </c>
      <c r="C1823" s="12" t="s">
        <v>833</v>
      </c>
      <c r="D1823" s="12" t="s">
        <v>1714</v>
      </c>
      <c r="E1823" s="12" t="s">
        <v>1752</v>
      </c>
      <c r="F1823" s="11">
        <v>3</v>
      </c>
      <c r="G1823" s="12">
        <v>63.96</v>
      </c>
      <c r="H1823" s="9">
        <v>0.02</v>
      </c>
      <c r="I1823" s="12" t="s">
        <v>1824</v>
      </c>
      <c r="J1823" s="9">
        <v>188.04239999999999</v>
      </c>
    </row>
    <row r="1824" spans="1:10" x14ac:dyDescent="0.3">
      <c r="A1824" s="22" t="s">
        <v>3633</v>
      </c>
      <c r="B1824" s="10">
        <v>45392</v>
      </c>
      <c r="C1824" s="12" t="s">
        <v>241</v>
      </c>
      <c r="D1824" s="12" t="s">
        <v>1565</v>
      </c>
      <c r="E1824" s="12" t="s">
        <v>1794</v>
      </c>
      <c r="F1824" s="11">
        <v>1</v>
      </c>
      <c r="G1824" s="12">
        <v>829.83</v>
      </c>
      <c r="H1824" s="9">
        <v>0.26</v>
      </c>
      <c r="I1824" s="12" t="s">
        <v>1829</v>
      </c>
      <c r="J1824" s="9">
        <v>614.07420000000002</v>
      </c>
    </row>
    <row r="1825" spans="1:10" x14ac:dyDescent="0.3">
      <c r="A1825" s="22" t="s">
        <v>3634</v>
      </c>
      <c r="B1825" s="10">
        <v>45586</v>
      </c>
      <c r="C1825" s="12" t="s">
        <v>1157</v>
      </c>
      <c r="D1825" s="12" t="s">
        <v>1616</v>
      </c>
      <c r="E1825" s="12" t="s">
        <v>1804</v>
      </c>
      <c r="F1825" s="11">
        <v>2</v>
      </c>
      <c r="G1825" s="12">
        <v>858.15</v>
      </c>
      <c r="H1825" s="9">
        <v>0.03</v>
      </c>
      <c r="I1825" s="12" t="s">
        <v>1824</v>
      </c>
      <c r="J1825" s="9">
        <v>1664.8109999999999</v>
      </c>
    </row>
    <row r="1826" spans="1:10" x14ac:dyDescent="0.3">
      <c r="A1826" s="22" t="s">
        <v>3635</v>
      </c>
      <c r="B1826" s="10">
        <v>45340</v>
      </c>
      <c r="C1826" s="12" t="s">
        <v>1124</v>
      </c>
      <c r="D1826" s="12" t="s">
        <v>1694</v>
      </c>
      <c r="E1826" s="12" t="s">
        <v>1797</v>
      </c>
      <c r="F1826" s="11">
        <v>3</v>
      </c>
      <c r="G1826" s="12">
        <v>717.32</v>
      </c>
      <c r="H1826" s="9">
        <v>0.23</v>
      </c>
      <c r="I1826" s="12" t="s">
        <v>1829</v>
      </c>
      <c r="J1826" s="9">
        <v>1657.0092</v>
      </c>
    </row>
    <row r="1827" spans="1:10" x14ac:dyDescent="0.3">
      <c r="A1827" s="22" t="s">
        <v>3636</v>
      </c>
      <c r="B1827" s="10">
        <v>45853</v>
      </c>
      <c r="C1827" s="12" t="s">
        <v>1328</v>
      </c>
      <c r="D1827" s="12" t="s">
        <v>1714</v>
      </c>
      <c r="E1827" s="12" t="s">
        <v>1794</v>
      </c>
      <c r="F1827" s="11">
        <v>1</v>
      </c>
      <c r="G1827" s="12">
        <v>163.19999999999999</v>
      </c>
      <c r="H1827" s="9">
        <v>0.22</v>
      </c>
      <c r="I1827" s="12" t="s">
        <v>1826</v>
      </c>
      <c r="J1827" s="9">
        <v>127.29600000000001</v>
      </c>
    </row>
    <row r="1828" spans="1:10" x14ac:dyDescent="0.3">
      <c r="A1828" s="22" t="s">
        <v>3637</v>
      </c>
      <c r="B1828" s="10">
        <v>45489</v>
      </c>
      <c r="C1828" s="12" t="s">
        <v>435</v>
      </c>
      <c r="D1828" s="12" t="s">
        <v>1710</v>
      </c>
      <c r="E1828" s="12" t="s">
        <v>1794</v>
      </c>
      <c r="F1828" s="11">
        <v>2</v>
      </c>
      <c r="G1828" s="12">
        <v>966.71</v>
      </c>
      <c r="H1828" s="9">
        <v>0.11</v>
      </c>
      <c r="I1828" s="12" t="s">
        <v>1824</v>
      </c>
      <c r="J1828" s="9">
        <v>1720.7438</v>
      </c>
    </row>
    <row r="1829" spans="1:10" x14ac:dyDescent="0.3">
      <c r="A1829" s="22" t="s">
        <v>3638</v>
      </c>
      <c r="B1829" s="10">
        <v>45761</v>
      </c>
      <c r="C1829" s="12" t="s">
        <v>1092</v>
      </c>
      <c r="D1829" s="12" t="s">
        <v>1618</v>
      </c>
      <c r="E1829" s="12" t="s">
        <v>1797</v>
      </c>
      <c r="F1829" s="11">
        <v>2</v>
      </c>
      <c r="G1829" s="12">
        <v>873.94</v>
      </c>
      <c r="H1829" s="9">
        <v>0.14000000000000001</v>
      </c>
      <c r="I1829" s="12" t="s">
        <v>1829</v>
      </c>
      <c r="J1829" s="9">
        <v>1503.1768</v>
      </c>
    </row>
    <row r="1830" spans="1:10" x14ac:dyDescent="0.3">
      <c r="A1830" s="22" t="s">
        <v>3639</v>
      </c>
      <c r="B1830" s="10">
        <v>45379</v>
      </c>
      <c r="C1830" s="12" t="s">
        <v>502</v>
      </c>
      <c r="D1830" s="12" t="s">
        <v>1543</v>
      </c>
      <c r="E1830" s="12" t="s">
        <v>1766</v>
      </c>
      <c r="F1830" s="11">
        <v>1</v>
      </c>
      <c r="G1830" s="12">
        <v>140.24</v>
      </c>
      <c r="H1830" s="9">
        <v>0.27</v>
      </c>
      <c r="I1830" s="12" t="s">
        <v>1824</v>
      </c>
      <c r="J1830" s="9">
        <v>102.37520000000001</v>
      </c>
    </row>
    <row r="1831" spans="1:10" x14ac:dyDescent="0.3">
      <c r="A1831" s="22" t="s">
        <v>3640</v>
      </c>
      <c r="B1831" s="10">
        <v>45716</v>
      </c>
      <c r="C1831" s="12" t="s">
        <v>657</v>
      </c>
      <c r="D1831" s="12" t="s">
        <v>1634</v>
      </c>
      <c r="E1831" s="12" t="s">
        <v>1773</v>
      </c>
      <c r="F1831" s="11">
        <v>2</v>
      </c>
      <c r="G1831" s="12">
        <v>549.91999999999996</v>
      </c>
      <c r="H1831" s="9">
        <v>0.28000000000000003</v>
      </c>
      <c r="I1831" s="12" t="s">
        <v>1824</v>
      </c>
      <c r="J1831" s="9">
        <v>791.88479999999993</v>
      </c>
    </row>
    <row r="1832" spans="1:10" x14ac:dyDescent="0.3">
      <c r="A1832" s="22" t="s">
        <v>3641</v>
      </c>
      <c r="B1832" s="10">
        <v>45364</v>
      </c>
      <c r="C1832" s="12" t="s">
        <v>390</v>
      </c>
      <c r="D1832" s="12" t="s">
        <v>1582</v>
      </c>
      <c r="E1832" s="12" t="s">
        <v>1773</v>
      </c>
      <c r="F1832" s="11">
        <v>4</v>
      </c>
      <c r="G1832" s="12">
        <v>715.88</v>
      </c>
      <c r="H1832" s="9">
        <v>0.19</v>
      </c>
      <c r="I1832" s="12" t="s">
        <v>1826</v>
      </c>
      <c r="J1832" s="9">
        <v>2319.4512</v>
      </c>
    </row>
    <row r="1833" spans="1:10" x14ac:dyDescent="0.3">
      <c r="A1833" s="22" t="s">
        <v>3642</v>
      </c>
      <c r="B1833" s="10">
        <v>45752</v>
      </c>
      <c r="C1833" s="12" t="s">
        <v>1160</v>
      </c>
      <c r="D1833" s="12" t="s">
        <v>1549</v>
      </c>
      <c r="E1833" s="12" t="s">
        <v>1782</v>
      </c>
      <c r="F1833" s="11">
        <v>3</v>
      </c>
      <c r="G1833" s="12">
        <v>591.9</v>
      </c>
      <c r="H1833" s="9">
        <v>0.27</v>
      </c>
      <c r="I1833" s="12" t="s">
        <v>1824</v>
      </c>
      <c r="J1833" s="9">
        <v>1296.261</v>
      </c>
    </row>
    <row r="1834" spans="1:10" x14ac:dyDescent="0.3">
      <c r="A1834" s="22" t="s">
        <v>3643</v>
      </c>
      <c r="B1834" s="10">
        <v>45883</v>
      </c>
      <c r="C1834" s="12" t="s">
        <v>1172</v>
      </c>
      <c r="D1834" s="12" t="s">
        <v>1592</v>
      </c>
      <c r="E1834" s="12" t="s">
        <v>1789</v>
      </c>
      <c r="F1834" s="11">
        <v>2</v>
      </c>
      <c r="G1834" s="12">
        <v>523.14</v>
      </c>
      <c r="H1834" s="9">
        <v>0.13</v>
      </c>
      <c r="I1834" s="12" t="s">
        <v>1826</v>
      </c>
      <c r="J1834" s="9">
        <v>910.2636</v>
      </c>
    </row>
    <row r="1835" spans="1:10" x14ac:dyDescent="0.3">
      <c r="A1835" s="22" t="s">
        <v>3644</v>
      </c>
      <c r="B1835" s="10">
        <v>45477</v>
      </c>
      <c r="C1835" s="12" t="s">
        <v>730</v>
      </c>
      <c r="D1835" s="12" t="s">
        <v>1686</v>
      </c>
      <c r="E1835" s="12" t="s">
        <v>1799</v>
      </c>
      <c r="F1835" s="11">
        <v>2</v>
      </c>
      <c r="G1835" s="12">
        <v>478.62</v>
      </c>
      <c r="H1835" s="9">
        <v>0.17</v>
      </c>
      <c r="I1835" s="12" t="s">
        <v>1829</v>
      </c>
      <c r="J1835" s="9">
        <v>794.50919999999996</v>
      </c>
    </row>
    <row r="1836" spans="1:10" x14ac:dyDescent="0.3">
      <c r="A1836" s="22" t="s">
        <v>3645</v>
      </c>
      <c r="B1836" s="10">
        <v>45556</v>
      </c>
      <c r="C1836" s="12" t="s">
        <v>945</v>
      </c>
      <c r="D1836" s="12" t="s">
        <v>1712</v>
      </c>
      <c r="E1836" s="12" t="s">
        <v>1757</v>
      </c>
      <c r="F1836" s="11">
        <v>4</v>
      </c>
      <c r="G1836" s="12">
        <v>740.5</v>
      </c>
      <c r="H1836" s="9">
        <v>0.17</v>
      </c>
      <c r="I1836" s="12" t="s">
        <v>1826</v>
      </c>
      <c r="J1836" s="9">
        <v>2458.46</v>
      </c>
    </row>
    <row r="1837" spans="1:10" x14ac:dyDescent="0.3">
      <c r="A1837" s="22" t="s">
        <v>3646</v>
      </c>
      <c r="B1837" s="10">
        <v>45465</v>
      </c>
      <c r="C1837" s="12" t="s">
        <v>393</v>
      </c>
      <c r="D1837" s="12" t="s">
        <v>1640</v>
      </c>
      <c r="E1837" s="12" t="s">
        <v>1761</v>
      </c>
      <c r="F1837" s="11">
        <v>1</v>
      </c>
      <c r="G1837" s="12">
        <v>780.24</v>
      </c>
      <c r="H1837" s="9">
        <v>0.04</v>
      </c>
      <c r="I1837" s="12" t="s">
        <v>1829</v>
      </c>
      <c r="J1837" s="9">
        <v>749.03039999999999</v>
      </c>
    </row>
    <row r="1838" spans="1:10" x14ac:dyDescent="0.3">
      <c r="A1838" s="22" t="s">
        <v>3647</v>
      </c>
      <c r="B1838" s="10">
        <v>45552</v>
      </c>
      <c r="C1838" s="12" t="s">
        <v>378</v>
      </c>
      <c r="D1838" s="12" t="s">
        <v>1688</v>
      </c>
      <c r="E1838" s="12" t="s">
        <v>1804</v>
      </c>
      <c r="F1838" s="11">
        <v>4</v>
      </c>
      <c r="G1838" s="12">
        <v>579.24</v>
      </c>
      <c r="H1838" s="9">
        <v>0.04</v>
      </c>
      <c r="I1838" s="12" t="s">
        <v>1829</v>
      </c>
      <c r="J1838" s="9">
        <v>2224.2815999999998</v>
      </c>
    </row>
    <row r="1839" spans="1:10" x14ac:dyDescent="0.3">
      <c r="A1839" s="22" t="s">
        <v>3648</v>
      </c>
      <c r="B1839" s="10">
        <v>45635</v>
      </c>
      <c r="C1839" s="12" t="s">
        <v>1160</v>
      </c>
      <c r="D1839" s="12" t="s">
        <v>1546</v>
      </c>
      <c r="E1839" s="12" t="s">
        <v>1761</v>
      </c>
      <c r="F1839" s="11">
        <v>3</v>
      </c>
      <c r="G1839" s="12">
        <v>268.95</v>
      </c>
      <c r="H1839" s="9">
        <v>0.04</v>
      </c>
      <c r="I1839" s="12" t="s">
        <v>1826</v>
      </c>
      <c r="J1839" s="9">
        <v>774.57599999999991</v>
      </c>
    </row>
    <row r="1840" spans="1:10" x14ac:dyDescent="0.3">
      <c r="A1840" s="22" t="s">
        <v>3649</v>
      </c>
      <c r="B1840" s="10">
        <v>45740</v>
      </c>
      <c r="C1840" s="12" t="s">
        <v>963</v>
      </c>
      <c r="D1840" s="12" t="s">
        <v>1555</v>
      </c>
      <c r="E1840" s="12" t="s">
        <v>1769</v>
      </c>
      <c r="F1840" s="11">
        <v>1</v>
      </c>
      <c r="G1840" s="12">
        <v>47.47</v>
      </c>
      <c r="H1840" s="9">
        <v>0.28000000000000003</v>
      </c>
      <c r="I1840" s="12" t="s">
        <v>1824</v>
      </c>
      <c r="J1840" s="9">
        <v>34.178400000000003</v>
      </c>
    </row>
    <row r="1841" spans="1:10" x14ac:dyDescent="0.3">
      <c r="A1841" s="22" t="s">
        <v>3650</v>
      </c>
      <c r="B1841" s="10">
        <v>45796</v>
      </c>
      <c r="C1841" s="12" t="s">
        <v>821</v>
      </c>
      <c r="D1841" s="12" t="s">
        <v>1614</v>
      </c>
      <c r="E1841" s="12" t="s">
        <v>1807</v>
      </c>
      <c r="F1841" s="11">
        <v>3</v>
      </c>
      <c r="G1841" s="12">
        <v>858.81</v>
      </c>
      <c r="H1841" s="9">
        <v>7.0000000000000007E-2</v>
      </c>
      <c r="I1841" s="12" t="s">
        <v>1824</v>
      </c>
      <c r="J1841" s="9">
        <v>2396.0799000000002</v>
      </c>
    </row>
    <row r="1842" spans="1:10" x14ac:dyDescent="0.3">
      <c r="A1842" s="22" t="s">
        <v>3651</v>
      </c>
      <c r="B1842" s="10">
        <v>45710</v>
      </c>
      <c r="C1842" s="12" t="s">
        <v>978</v>
      </c>
      <c r="D1842" s="12" t="s">
        <v>1586</v>
      </c>
      <c r="E1842" s="12" t="s">
        <v>1789</v>
      </c>
      <c r="F1842" s="11">
        <v>3</v>
      </c>
      <c r="G1842" s="12">
        <v>569.98</v>
      </c>
      <c r="H1842" s="9">
        <v>0.05</v>
      </c>
      <c r="I1842" s="12" t="s">
        <v>1824</v>
      </c>
      <c r="J1842" s="9">
        <v>1624.443</v>
      </c>
    </row>
    <row r="1843" spans="1:10" x14ac:dyDescent="0.3">
      <c r="A1843" s="22" t="s">
        <v>3652</v>
      </c>
      <c r="B1843" s="10">
        <v>45596</v>
      </c>
      <c r="C1843" s="12" t="s">
        <v>1029</v>
      </c>
      <c r="D1843" s="12" t="s">
        <v>1696</v>
      </c>
      <c r="E1843" s="12" t="s">
        <v>1794</v>
      </c>
      <c r="F1843" s="11">
        <v>3</v>
      </c>
      <c r="G1843" s="12">
        <v>306.52</v>
      </c>
      <c r="H1843" s="9">
        <v>0.01</v>
      </c>
      <c r="I1843" s="12" t="s">
        <v>1829</v>
      </c>
      <c r="J1843" s="9">
        <v>910.36439999999993</v>
      </c>
    </row>
    <row r="1844" spans="1:10" x14ac:dyDescent="0.3">
      <c r="A1844" s="22" t="s">
        <v>3653</v>
      </c>
      <c r="B1844" s="10">
        <v>45354</v>
      </c>
      <c r="C1844" s="12" t="s">
        <v>238</v>
      </c>
      <c r="D1844" s="12" t="s">
        <v>1660</v>
      </c>
      <c r="E1844" s="12" t="s">
        <v>1797</v>
      </c>
      <c r="F1844" s="11">
        <v>3</v>
      </c>
      <c r="G1844" s="12">
        <v>184.67</v>
      </c>
      <c r="H1844" s="9">
        <v>0.03</v>
      </c>
      <c r="I1844" s="12" t="s">
        <v>1829</v>
      </c>
      <c r="J1844" s="9">
        <v>537.38969999999995</v>
      </c>
    </row>
    <row r="1845" spans="1:10" x14ac:dyDescent="0.3">
      <c r="A1845" s="22" t="s">
        <v>3654</v>
      </c>
      <c r="B1845" s="10">
        <v>45428</v>
      </c>
      <c r="C1845" s="12" t="s">
        <v>1484</v>
      </c>
      <c r="D1845" s="12" t="s">
        <v>1600</v>
      </c>
      <c r="E1845" s="12" t="s">
        <v>1773</v>
      </c>
      <c r="F1845" s="11">
        <v>4</v>
      </c>
      <c r="G1845" s="12">
        <v>189.56</v>
      </c>
      <c r="H1845" s="9">
        <v>0</v>
      </c>
      <c r="I1845" s="12" t="s">
        <v>1829</v>
      </c>
      <c r="J1845" s="9">
        <v>758.24</v>
      </c>
    </row>
    <row r="1846" spans="1:10" x14ac:dyDescent="0.3">
      <c r="A1846" s="22" t="s">
        <v>3655</v>
      </c>
      <c r="B1846" s="10">
        <v>45511</v>
      </c>
      <c r="C1846" s="12" t="s">
        <v>678</v>
      </c>
      <c r="D1846" s="12" t="s">
        <v>1698</v>
      </c>
      <c r="E1846" s="12" t="s">
        <v>1773</v>
      </c>
      <c r="F1846" s="11">
        <v>1</v>
      </c>
      <c r="G1846" s="12">
        <v>805.24</v>
      </c>
      <c r="H1846" s="9">
        <v>0.04</v>
      </c>
      <c r="I1846" s="12" t="s">
        <v>1826</v>
      </c>
      <c r="J1846" s="9">
        <v>773.03039999999999</v>
      </c>
    </row>
    <row r="1847" spans="1:10" x14ac:dyDescent="0.3">
      <c r="A1847" s="22" t="s">
        <v>3656</v>
      </c>
      <c r="B1847" s="10">
        <v>45549</v>
      </c>
      <c r="C1847" s="12" t="s">
        <v>619</v>
      </c>
      <c r="D1847" s="12" t="s">
        <v>1656</v>
      </c>
      <c r="E1847" s="12" t="s">
        <v>1807</v>
      </c>
      <c r="F1847" s="11">
        <v>3</v>
      </c>
      <c r="G1847" s="12">
        <v>683.74</v>
      </c>
      <c r="H1847" s="9">
        <v>0.24</v>
      </c>
      <c r="I1847" s="12" t="s">
        <v>1824</v>
      </c>
      <c r="J1847" s="9">
        <v>1558.9272000000001</v>
      </c>
    </row>
    <row r="1848" spans="1:10" x14ac:dyDescent="0.3">
      <c r="A1848" s="22" t="s">
        <v>3657</v>
      </c>
      <c r="B1848" s="10">
        <v>45573</v>
      </c>
      <c r="C1848" s="12" t="s">
        <v>684</v>
      </c>
      <c r="D1848" s="12" t="s">
        <v>1660</v>
      </c>
      <c r="E1848" s="12" t="s">
        <v>1810</v>
      </c>
      <c r="F1848" s="11">
        <v>3</v>
      </c>
      <c r="G1848" s="12">
        <v>439.21</v>
      </c>
      <c r="H1848" s="9">
        <v>0.28000000000000003</v>
      </c>
      <c r="I1848" s="12" t="s">
        <v>1829</v>
      </c>
      <c r="J1848" s="9">
        <v>948.69359999999983</v>
      </c>
    </row>
    <row r="1849" spans="1:10" x14ac:dyDescent="0.3">
      <c r="A1849" s="22" t="s">
        <v>3658</v>
      </c>
      <c r="B1849" s="10">
        <v>45904</v>
      </c>
      <c r="C1849" s="12" t="s">
        <v>414</v>
      </c>
      <c r="D1849" s="12" t="s">
        <v>1680</v>
      </c>
      <c r="E1849" s="12" t="s">
        <v>1776</v>
      </c>
      <c r="F1849" s="11">
        <v>1</v>
      </c>
      <c r="G1849" s="12">
        <v>126.92</v>
      </c>
      <c r="H1849" s="9">
        <v>0.24</v>
      </c>
      <c r="I1849" s="12" t="s">
        <v>1829</v>
      </c>
      <c r="J1849" s="9">
        <v>96.459199999999996</v>
      </c>
    </row>
    <row r="1850" spans="1:10" x14ac:dyDescent="0.3">
      <c r="A1850" s="22" t="s">
        <v>3659</v>
      </c>
      <c r="B1850" s="10">
        <v>45489</v>
      </c>
      <c r="C1850" s="12" t="s">
        <v>27</v>
      </c>
      <c r="D1850" s="12" t="s">
        <v>1694</v>
      </c>
      <c r="E1850" s="12" t="s">
        <v>1769</v>
      </c>
      <c r="F1850" s="11">
        <v>4</v>
      </c>
      <c r="G1850" s="12">
        <v>834.7</v>
      </c>
      <c r="H1850" s="9">
        <v>0.14000000000000001</v>
      </c>
      <c r="I1850" s="12" t="s">
        <v>1824</v>
      </c>
      <c r="J1850" s="9">
        <v>2871.3679999999999</v>
      </c>
    </row>
    <row r="1851" spans="1:10" x14ac:dyDescent="0.3">
      <c r="A1851" s="22" t="s">
        <v>3660</v>
      </c>
      <c r="B1851" s="10">
        <v>45909</v>
      </c>
      <c r="C1851" s="12" t="s">
        <v>1071</v>
      </c>
      <c r="D1851" s="12" t="s">
        <v>1632</v>
      </c>
      <c r="E1851" s="12" t="s">
        <v>1792</v>
      </c>
      <c r="F1851" s="11">
        <v>2</v>
      </c>
      <c r="G1851" s="12">
        <v>271.88</v>
      </c>
      <c r="H1851" s="9">
        <v>0.11</v>
      </c>
      <c r="I1851" s="12" t="s">
        <v>1829</v>
      </c>
      <c r="J1851" s="9">
        <v>483.94639999999998</v>
      </c>
    </row>
    <row r="1852" spans="1:10" x14ac:dyDescent="0.3">
      <c r="A1852" s="22" t="s">
        <v>3661</v>
      </c>
      <c r="B1852" s="10">
        <v>45720</v>
      </c>
      <c r="C1852" s="12" t="s">
        <v>1478</v>
      </c>
      <c r="D1852" s="12" t="s">
        <v>1570</v>
      </c>
      <c r="E1852" s="12" t="s">
        <v>1757</v>
      </c>
      <c r="F1852" s="11">
        <v>4</v>
      </c>
      <c r="G1852" s="12">
        <v>972.14</v>
      </c>
      <c r="H1852" s="9">
        <v>0.25</v>
      </c>
      <c r="I1852" s="12" t="s">
        <v>1824</v>
      </c>
      <c r="J1852" s="9">
        <v>2916.42</v>
      </c>
    </row>
    <row r="1853" spans="1:10" x14ac:dyDescent="0.3">
      <c r="A1853" s="22" t="s">
        <v>3662</v>
      </c>
      <c r="B1853" s="10">
        <v>45831</v>
      </c>
      <c r="C1853" s="12" t="s">
        <v>335</v>
      </c>
      <c r="D1853" s="12" t="s">
        <v>1634</v>
      </c>
      <c r="E1853" s="12" t="s">
        <v>1769</v>
      </c>
      <c r="F1853" s="11">
        <v>3</v>
      </c>
      <c r="G1853" s="12">
        <v>523.66</v>
      </c>
      <c r="H1853" s="9">
        <v>0.27</v>
      </c>
      <c r="I1853" s="12" t="s">
        <v>1826</v>
      </c>
      <c r="J1853" s="9">
        <v>1146.8154</v>
      </c>
    </row>
    <row r="1854" spans="1:10" x14ac:dyDescent="0.3">
      <c r="A1854" s="22" t="s">
        <v>3663</v>
      </c>
      <c r="B1854" s="10">
        <v>45602</v>
      </c>
      <c r="C1854" s="12" t="s">
        <v>499</v>
      </c>
      <c r="D1854" s="12" t="s">
        <v>1676</v>
      </c>
      <c r="E1854" s="12" t="s">
        <v>1761</v>
      </c>
      <c r="F1854" s="11">
        <v>4</v>
      </c>
      <c r="G1854" s="12">
        <v>838.99</v>
      </c>
      <c r="H1854" s="9">
        <v>0.16</v>
      </c>
      <c r="I1854" s="12" t="s">
        <v>1824</v>
      </c>
      <c r="J1854" s="9">
        <v>2819.0064000000002</v>
      </c>
    </row>
    <row r="1855" spans="1:10" x14ac:dyDescent="0.3">
      <c r="A1855" s="22" t="s">
        <v>3664</v>
      </c>
      <c r="B1855" s="10">
        <v>45722</v>
      </c>
      <c r="C1855" s="12" t="s">
        <v>461</v>
      </c>
      <c r="D1855" s="12" t="s">
        <v>1570</v>
      </c>
      <c r="E1855" s="12" t="s">
        <v>1807</v>
      </c>
      <c r="F1855" s="11">
        <v>4</v>
      </c>
      <c r="G1855" s="12">
        <v>838.7</v>
      </c>
      <c r="H1855" s="9">
        <v>0.21</v>
      </c>
      <c r="I1855" s="12" t="s">
        <v>1829</v>
      </c>
      <c r="J1855" s="9">
        <v>2650.2919999999999</v>
      </c>
    </row>
    <row r="1856" spans="1:10" x14ac:dyDescent="0.3">
      <c r="A1856" s="22" t="s">
        <v>3665</v>
      </c>
      <c r="B1856" s="10">
        <v>45794</v>
      </c>
      <c r="C1856" s="12" t="s">
        <v>1304</v>
      </c>
      <c r="D1856" s="12" t="s">
        <v>1696</v>
      </c>
      <c r="E1856" s="12" t="s">
        <v>1782</v>
      </c>
      <c r="F1856" s="11">
        <v>3</v>
      </c>
      <c r="G1856" s="12">
        <v>943.24</v>
      </c>
      <c r="H1856" s="9">
        <v>0.21</v>
      </c>
      <c r="I1856" s="12" t="s">
        <v>1824</v>
      </c>
      <c r="J1856" s="9">
        <v>2235.4787999999999</v>
      </c>
    </row>
    <row r="1857" spans="1:10" x14ac:dyDescent="0.3">
      <c r="A1857" s="22" t="s">
        <v>3666</v>
      </c>
      <c r="B1857" s="10">
        <v>45659</v>
      </c>
      <c r="C1857" s="12" t="s">
        <v>945</v>
      </c>
      <c r="D1857" s="12" t="s">
        <v>1543</v>
      </c>
      <c r="E1857" s="12" t="s">
        <v>1807</v>
      </c>
      <c r="F1857" s="11">
        <v>2</v>
      </c>
      <c r="G1857" s="12">
        <v>310.33</v>
      </c>
      <c r="H1857" s="9">
        <v>0.26</v>
      </c>
      <c r="I1857" s="12" t="s">
        <v>1824</v>
      </c>
      <c r="J1857" s="9">
        <v>459.28840000000002</v>
      </c>
    </row>
    <row r="1858" spans="1:10" x14ac:dyDescent="0.3">
      <c r="A1858" s="22" t="s">
        <v>3667</v>
      </c>
      <c r="B1858" s="10">
        <v>45501</v>
      </c>
      <c r="C1858" s="12" t="s">
        <v>1086</v>
      </c>
      <c r="D1858" s="12" t="s">
        <v>1638</v>
      </c>
      <c r="E1858" s="12" t="s">
        <v>1752</v>
      </c>
      <c r="F1858" s="11">
        <v>3</v>
      </c>
      <c r="G1858" s="12">
        <v>201.05</v>
      </c>
      <c r="H1858" s="9">
        <v>0.23</v>
      </c>
      <c r="I1858" s="12" t="s">
        <v>1826</v>
      </c>
      <c r="J1858" s="9">
        <v>464.42550000000011</v>
      </c>
    </row>
    <row r="1859" spans="1:10" x14ac:dyDescent="0.3">
      <c r="A1859" s="22" t="s">
        <v>3668</v>
      </c>
      <c r="B1859" s="10">
        <v>45408</v>
      </c>
      <c r="C1859" s="12" t="s">
        <v>806</v>
      </c>
      <c r="D1859" s="12" t="s">
        <v>1664</v>
      </c>
      <c r="E1859" s="12" t="s">
        <v>1807</v>
      </c>
      <c r="F1859" s="11">
        <v>1</v>
      </c>
      <c r="G1859" s="12">
        <v>803.37</v>
      </c>
      <c r="H1859" s="9">
        <v>0.3</v>
      </c>
      <c r="I1859" s="12" t="s">
        <v>1826</v>
      </c>
      <c r="J1859" s="9">
        <v>562.35899999999992</v>
      </c>
    </row>
    <row r="1860" spans="1:10" x14ac:dyDescent="0.3">
      <c r="A1860" s="22" t="s">
        <v>3669</v>
      </c>
      <c r="B1860" s="10">
        <v>45886</v>
      </c>
      <c r="C1860" s="12" t="s">
        <v>144</v>
      </c>
      <c r="D1860" s="12" t="s">
        <v>1670</v>
      </c>
      <c r="E1860" s="12" t="s">
        <v>1801</v>
      </c>
      <c r="F1860" s="11">
        <v>3</v>
      </c>
      <c r="G1860" s="12">
        <v>259.98</v>
      </c>
      <c r="H1860" s="9">
        <v>7.0000000000000007E-2</v>
      </c>
      <c r="I1860" s="12" t="s">
        <v>1829</v>
      </c>
      <c r="J1860" s="9">
        <v>725.3442</v>
      </c>
    </row>
    <row r="1861" spans="1:10" x14ac:dyDescent="0.3">
      <c r="A1861" s="22" t="s">
        <v>3670</v>
      </c>
      <c r="B1861" s="10">
        <v>45426</v>
      </c>
      <c r="C1861" s="12" t="s">
        <v>428</v>
      </c>
      <c r="D1861" s="12" t="s">
        <v>1549</v>
      </c>
      <c r="E1861" s="12" t="s">
        <v>1766</v>
      </c>
      <c r="F1861" s="11">
        <v>4</v>
      </c>
      <c r="G1861" s="12">
        <v>591.9</v>
      </c>
      <c r="H1861" s="9">
        <v>0.2</v>
      </c>
      <c r="I1861" s="12" t="s">
        <v>1826</v>
      </c>
      <c r="J1861" s="9">
        <v>1894.08</v>
      </c>
    </row>
    <row r="1862" spans="1:10" x14ac:dyDescent="0.3">
      <c r="A1862" s="22" t="s">
        <v>3671</v>
      </c>
      <c r="B1862" s="10">
        <v>45730</v>
      </c>
      <c r="C1862" s="12" t="s">
        <v>127</v>
      </c>
      <c r="D1862" s="12" t="s">
        <v>1668</v>
      </c>
      <c r="E1862" s="12" t="s">
        <v>1794</v>
      </c>
      <c r="F1862" s="11">
        <v>2</v>
      </c>
      <c r="G1862" s="12">
        <v>396.9</v>
      </c>
      <c r="H1862" s="9">
        <v>0.18</v>
      </c>
      <c r="I1862" s="12" t="s">
        <v>1826</v>
      </c>
      <c r="J1862" s="9">
        <v>650.91600000000005</v>
      </c>
    </row>
    <row r="1863" spans="1:10" x14ac:dyDescent="0.3">
      <c r="A1863" s="22" t="s">
        <v>3672</v>
      </c>
      <c r="B1863" s="10">
        <v>45731</v>
      </c>
      <c r="C1863" s="12" t="s">
        <v>1400</v>
      </c>
      <c r="D1863" s="12" t="s">
        <v>1744</v>
      </c>
      <c r="E1863" s="12" t="s">
        <v>1761</v>
      </c>
      <c r="F1863" s="11">
        <v>1</v>
      </c>
      <c r="G1863" s="12">
        <v>176.84</v>
      </c>
      <c r="H1863" s="9">
        <v>0.19</v>
      </c>
      <c r="I1863" s="12" t="s">
        <v>1824</v>
      </c>
      <c r="J1863" s="9">
        <v>143.24039999999999</v>
      </c>
    </row>
    <row r="1864" spans="1:10" x14ac:dyDescent="0.3">
      <c r="A1864" s="22" t="s">
        <v>3673</v>
      </c>
      <c r="B1864" s="10">
        <v>45272</v>
      </c>
      <c r="C1864" s="12" t="s">
        <v>812</v>
      </c>
      <c r="D1864" s="12" t="s">
        <v>1600</v>
      </c>
      <c r="E1864" s="12" t="s">
        <v>1752</v>
      </c>
      <c r="F1864" s="11">
        <v>2</v>
      </c>
      <c r="G1864" s="12">
        <v>614.21</v>
      </c>
      <c r="H1864" s="9">
        <v>0.11</v>
      </c>
      <c r="I1864" s="12" t="s">
        <v>1826</v>
      </c>
      <c r="J1864" s="9">
        <v>1093.2937999999999</v>
      </c>
    </row>
    <row r="1865" spans="1:10" x14ac:dyDescent="0.3">
      <c r="A1865" s="22" t="s">
        <v>3674</v>
      </c>
      <c r="B1865" s="10">
        <v>45584</v>
      </c>
      <c r="C1865" s="12" t="s">
        <v>381</v>
      </c>
      <c r="D1865" s="12" t="s">
        <v>1551</v>
      </c>
      <c r="E1865" s="12" t="s">
        <v>1779</v>
      </c>
      <c r="F1865" s="11">
        <v>3</v>
      </c>
      <c r="G1865" s="12">
        <v>604.66</v>
      </c>
      <c r="H1865" s="9">
        <v>0.18</v>
      </c>
      <c r="I1865" s="12" t="s">
        <v>1829</v>
      </c>
      <c r="J1865" s="9">
        <v>1487.4636</v>
      </c>
    </row>
    <row r="1866" spans="1:10" x14ac:dyDescent="0.3">
      <c r="A1866" s="22" t="s">
        <v>3675</v>
      </c>
      <c r="B1866" s="10">
        <v>45534</v>
      </c>
      <c r="C1866" s="12" t="s">
        <v>1530</v>
      </c>
      <c r="D1866" s="12" t="s">
        <v>1549</v>
      </c>
      <c r="E1866" s="12" t="s">
        <v>1794</v>
      </c>
      <c r="F1866" s="11">
        <v>3</v>
      </c>
      <c r="G1866" s="12">
        <v>24.29</v>
      </c>
      <c r="H1866" s="9">
        <v>0.12</v>
      </c>
      <c r="I1866" s="12" t="s">
        <v>1826</v>
      </c>
      <c r="J1866" s="9">
        <v>64.125600000000006</v>
      </c>
    </row>
    <row r="1867" spans="1:10" x14ac:dyDescent="0.3">
      <c r="A1867" s="22" t="s">
        <v>3676</v>
      </c>
      <c r="B1867" s="10">
        <v>45482</v>
      </c>
      <c r="C1867" s="12" t="s">
        <v>419</v>
      </c>
      <c r="D1867" s="12" t="s">
        <v>1674</v>
      </c>
      <c r="E1867" s="12" t="s">
        <v>1792</v>
      </c>
      <c r="F1867" s="11">
        <v>1</v>
      </c>
      <c r="G1867" s="12">
        <v>503.95</v>
      </c>
      <c r="H1867" s="9">
        <v>0.24</v>
      </c>
      <c r="I1867" s="12" t="s">
        <v>1826</v>
      </c>
      <c r="J1867" s="9">
        <v>383.00200000000001</v>
      </c>
    </row>
    <row r="1868" spans="1:10" x14ac:dyDescent="0.3">
      <c r="A1868" s="22" t="s">
        <v>3677</v>
      </c>
      <c r="B1868" s="10">
        <v>45475</v>
      </c>
      <c r="C1868" s="12" t="s">
        <v>1005</v>
      </c>
      <c r="D1868" s="12" t="s">
        <v>1650</v>
      </c>
      <c r="E1868" s="12" t="s">
        <v>1799</v>
      </c>
      <c r="F1868" s="11">
        <v>4</v>
      </c>
      <c r="G1868" s="12">
        <v>860.78</v>
      </c>
      <c r="H1868" s="9">
        <v>0.03</v>
      </c>
      <c r="I1868" s="12" t="s">
        <v>1824</v>
      </c>
      <c r="J1868" s="9">
        <v>3339.8263999999999</v>
      </c>
    </row>
    <row r="1869" spans="1:10" x14ac:dyDescent="0.3">
      <c r="A1869" s="22" t="s">
        <v>3678</v>
      </c>
      <c r="B1869" s="10">
        <v>45234</v>
      </c>
      <c r="C1869" s="12" t="s">
        <v>646</v>
      </c>
      <c r="D1869" s="12" t="s">
        <v>1632</v>
      </c>
      <c r="E1869" s="12" t="s">
        <v>1766</v>
      </c>
      <c r="F1869" s="11">
        <v>3</v>
      </c>
      <c r="G1869" s="12">
        <v>41.97</v>
      </c>
      <c r="H1869" s="9">
        <v>0.03</v>
      </c>
      <c r="I1869" s="12" t="s">
        <v>1829</v>
      </c>
      <c r="J1869" s="9">
        <v>122.1327</v>
      </c>
    </row>
    <row r="1870" spans="1:10" x14ac:dyDescent="0.3">
      <c r="A1870" s="22" t="s">
        <v>3679</v>
      </c>
      <c r="B1870" s="10">
        <v>45397</v>
      </c>
      <c r="C1870" s="12" t="s">
        <v>134</v>
      </c>
      <c r="D1870" s="12" t="s">
        <v>1578</v>
      </c>
      <c r="E1870" s="12" t="s">
        <v>1773</v>
      </c>
      <c r="F1870" s="11">
        <v>1</v>
      </c>
      <c r="G1870" s="12">
        <v>649.59</v>
      </c>
      <c r="H1870" s="9">
        <v>0.12</v>
      </c>
      <c r="I1870" s="12" t="s">
        <v>1829</v>
      </c>
      <c r="J1870" s="9">
        <v>571.63920000000007</v>
      </c>
    </row>
    <row r="1871" spans="1:10" x14ac:dyDescent="0.3">
      <c r="A1871" s="22" t="s">
        <v>3680</v>
      </c>
      <c r="B1871" s="10">
        <v>45502</v>
      </c>
      <c r="C1871" s="12" t="s">
        <v>202</v>
      </c>
      <c r="D1871" s="12" t="s">
        <v>1674</v>
      </c>
      <c r="E1871" s="12" t="s">
        <v>1786</v>
      </c>
      <c r="F1871" s="11">
        <v>2</v>
      </c>
      <c r="G1871" s="12">
        <v>386.09</v>
      </c>
      <c r="H1871" s="9">
        <v>0.19</v>
      </c>
      <c r="I1871" s="12" t="s">
        <v>1826</v>
      </c>
      <c r="J1871" s="9">
        <v>625.46579999999994</v>
      </c>
    </row>
    <row r="1872" spans="1:10" x14ac:dyDescent="0.3">
      <c r="A1872" s="22" t="s">
        <v>3681</v>
      </c>
      <c r="B1872" s="10">
        <v>45644</v>
      </c>
      <c r="C1872" s="12" t="s">
        <v>353</v>
      </c>
      <c r="D1872" s="12" t="s">
        <v>1650</v>
      </c>
      <c r="E1872" s="12" t="s">
        <v>1794</v>
      </c>
      <c r="F1872" s="11">
        <v>1</v>
      </c>
      <c r="G1872" s="12">
        <v>891.62</v>
      </c>
      <c r="H1872" s="9">
        <v>0.06</v>
      </c>
      <c r="I1872" s="12" t="s">
        <v>1826</v>
      </c>
      <c r="J1872" s="9">
        <v>838.12279999999998</v>
      </c>
    </row>
    <row r="1873" spans="1:10" x14ac:dyDescent="0.3">
      <c r="A1873" s="22" t="s">
        <v>3682</v>
      </c>
      <c r="B1873" s="10">
        <v>45617</v>
      </c>
      <c r="C1873" s="12" t="s">
        <v>1190</v>
      </c>
      <c r="D1873" s="12" t="s">
        <v>1676</v>
      </c>
      <c r="E1873" s="12" t="s">
        <v>1801</v>
      </c>
      <c r="F1873" s="11">
        <v>2</v>
      </c>
      <c r="G1873" s="12">
        <v>558.9</v>
      </c>
      <c r="H1873" s="9">
        <v>0.05</v>
      </c>
      <c r="I1873" s="12" t="s">
        <v>1829</v>
      </c>
      <c r="J1873" s="9">
        <v>1061.9100000000001</v>
      </c>
    </row>
    <row r="1874" spans="1:10" x14ac:dyDescent="0.3">
      <c r="A1874" s="22" t="s">
        <v>3683</v>
      </c>
      <c r="B1874" s="10">
        <v>45797</v>
      </c>
      <c r="C1874" s="12" t="s">
        <v>1104</v>
      </c>
      <c r="D1874" s="12" t="s">
        <v>1546</v>
      </c>
      <c r="E1874" s="12" t="s">
        <v>1766</v>
      </c>
      <c r="F1874" s="11">
        <v>2</v>
      </c>
      <c r="G1874" s="12">
        <v>99.04</v>
      </c>
      <c r="H1874" s="9">
        <v>0.26</v>
      </c>
      <c r="I1874" s="12" t="s">
        <v>1829</v>
      </c>
      <c r="J1874" s="9">
        <v>146.57919999999999</v>
      </c>
    </row>
    <row r="1875" spans="1:10" x14ac:dyDescent="0.3">
      <c r="A1875" s="22" t="s">
        <v>3684</v>
      </c>
      <c r="B1875" s="10">
        <v>45740</v>
      </c>
      <c r="C1875" s="12" t="s">
        <v>923</v>
      </c>
      <c r="D1875" s="12" t="s">
        <v>1551</v>
      </c>
      <c r="E1875" s="12" t="s">
        <v>1782</v>
      </c>
      <c r="F1875" s="11">
        <v>4</v>
      </c>
      <c r="G1875" s="12">
        <v>625.13</v>
      </c>
      <c r="H1875" s="9">
        <v>0.06</v>
      </c>
      <c r="I1875" s="12" t="s">
        <v>1824</v>
      </c>
      <c r="J1875" s="9">
        <v>2350.4888000000001</v>
      </c>
    </row>
    <row r="1876" spans="1:10" x14ac:dyDescent="0.3">
      <c r="A1876" s="22" t="s">
        <v>3685</v>
      </c>
      <c r="B1876" s="10">
        <v>45824</v>
      </c>
      <c r="C1876" s="12" t="s">
        <v>144</v>
      </c>
      <c r="D1876" s="12" t="s">
        <v>1628</v>
      </c>
      <c r="E1876" s="12" t="s">
        <v>1810</v>
      </c>
      <c r="F1876" s="11">
        <v>4</v>
      </c>
      <c r="G1876" s="12">
        <v>38.380000000000003</v>
      </c>
      <c r="H1876" s="9">
        <v>0.16</v>
      </c>
      <c r="I1876" s="12" t="s">
        <v>1829</v>
      </c>
      <c r="J1876" s="9">
        <v>128.95679999999999</v>
      </c>
    </row>
    <row r="1877" spans="1:10" x14ac:dyDescent="0.3">
      <c r="A1877" s="22" t="s">
        <v>3686</v>
      </c>
      <c r="B1877" s="10">
        <v>45404</v>
      </c>
      <c r="C1877" s="12" t="s">
        <v>1513</v>
      </c>
      <c r="D1877" s="12" t="s">
        <v>1736</v>
      </c>
      <c r="E1877" s="12" t="s">
        <v>1789</v>
      </c>
      <c r="F1877" s="11">
        <v>4</v>
      </c>
      <c r="G1877" s="12">
        <v>731.72</v>
      </c>
      <c r="H1877" s="9">
        <v>0.22</v>
      </c>
      <c r="I1877" s="12" t="s">
        <v>1829</v>
      </c>
      <c r="J1877" s="9">
        <v>2282.9663999999998</v>
      </c>
    </row>
    <row r="1878" spans="1:10" x14ac:dyDescent="0.3">
      <c r="A1878" s="22" t="s">
        <v>3687</v>
      </c>
      <c r="B1878" s="10">
        <v>45916</v>
      </c>
      <c r="C1878" s="12" t="s">
        <v>1411</v>
      </c>
      <c r="D1878" s="12" t="s">
        <v>1710</v>
      </c>
      <c r="E1878" s="12" t="s">
        <v>1813</v>
      </c>
      <c r="F1878" s="11">
        <v>3</v>
      </c>
      <c r="G1878" s="12">
        <v>825.33</v>
      </c>
      <c r="H1878" s="9">
        <v>0.21</v>
      </c>
      <c r="I1878" s="12" t="s">
        <v>1824</v>
      </c>
      <c r="J1878" s="9">
        <v>1956.0320999999999</v>
      </c>
    </row>
    <row r="1879" spans="1:10" x14ac:dyDescent="0.3">
      <c r="A1879" s="22" t="s">
        <v>3688</v>
      </c>
      <c r="B1879" s="10">
        <v>45269</v>
      </c>
      <c r="C1879" s="12" t="s">
        <v>221</v>
      </c>
      <c r="D1879" s="12" t="s">
        <v>1688</v>
      </c>
      <c r="E1879" s="12" t="s">
        <v>1799</v>
      </c>
      <c r="F1879" s="11">
        <v>2</v>
      </c>
      <c r="G1879" s="12">
        <v>47.3</v>
      </c>
      <c r="H1879" s="9">
        <v>0.01</v>
      </c>
      <c r="I1879" s="12" t="s">
        <v>1826</v>
      </c>
      <c r="J1879" s="9">
        <v>93.653999999999996</v>
      </c>
    </row>
    <row r="1880" spans="1:10" x14ac:dyDescent="0.3">
      <c r="A1880" s="22" t="s">
        <v>3689</v>
      </c>
      <c r="B1880" s="10">
        <v>45493</v>
      </c>
      <c r="C1880" s="12" t="s">
        <v>568</v>
      </c>
      <c r="D1880" s="12" t="s">
        <v>1692</v>
      </c>
      <c r="E1880" s="12" t="s">
        <v>1807</v>
      </c>
      <c r="F1880" s="11">
        <v>1</v>
      </c>
      <c r="G1880" s="12">
        <v>389.12</v>
      </c>
      <c r="H1880" s="9">
        <v>0.18</v>
      </c>
      <c r="I1880" s="12" t="s">
        <v>1826</v>
      </c>
      <c r="J1880" s="9">
        <v>319.07839999999999</v>
      </c>
    </row>
    <row r="1881" spans="1:10" x14ac:dyDescent="0.3">
      <c r="A1881" s="22" t="s">
        <v>3690</v>
      </c>
      <c r="B1881" s="10">
        <v>45558</v>
      </c>
      <c r="C1881" s="12" t="s">
        <v>1414</v>
      </c>
      <c r="D1881" s="12" t="s">
        <v>1712</v>
      </c>
      <c r="E1881" s="12" t="s">
        <v>1810</v>
      </c>
      <c r="F1881" s="11">
        <v>3</v>
      </c>
      <c r="G1881" s="12">
        <v>543.83000000000004</v>
      </c>
      <c r="H1881" s="9">
        <v>0.05</v>
      </c>
      <c r="I1881" s="12" t="s">
        <v>1824</v>
      </c>
      <c r="J1881" s="9">
        <v>1549.9155000000001</v>
      </c>
    </row>
    <row r="1882" spans="1:10" x14ac:dyDescent="0.3">
      <c r="A1882" s="22" t="s">
        <v>3691</v>
      </c>
      <c r="B1882" s="10">
        <v>45423</v>
      </c>
      <c r="C1882" s="12" t="s">
        <v>103</v>
      </c>
      <c r="D1882" s="12" t="s">
        <v>1576</v>
      </c>
      <c r="E1882" s="12" t="s">
        <v>1757</v>
      </c>
      <c r="F1882" s="11">
        <v>2</v>
      </c>
      <c r="G1882" s="12">
        <v>660.27</v>
      </c>
      <c r="H1882" s="9">
        <v>0.01</v>
      </c>
      <c r="I1882" s="12" t="s">
        <v>1826</v>
      </c>
      <c r="J1882" s="9">
        <v>1307.3345999999999</v>
      </c>
    </row>
    <row r="1883" spans="1:10" x14ac:dyDescent="0.3">
      <c r="A1883" s="22" t="s">
        <v>3692</v>
      </c>
      <c r="B1883" s="10">
        <v>45780</v>
      </c>
      <c r="C1883" s="12" t="s">
        <v>1346</v>
      </c>
      <c r="D1883" s="12" t="s">
        <v>1574</v>
      </c>
      <c r="E1883" s="12" t="s">
        <v>1782</v>
      </c>
      <c r="F1883" s="11">
        <v>4</v>
      </c>
      <c r="G1883" s="12">
        <v>729.31</v>
      </c>
      <c r="H1883" s="9">
        <v>0.03</v>
      </c>
      <c r="I1883" s="12" t="s">
        <v>1824</v>
      </c>
      <c r="J1883" s="9">
        <v>2829.7228</v>
      </c>
    </row>
    <row r="1884" spans="1:10" x14ac:dyDescent="0.3">
      <c r="A1884" s="22" t="s">
        <v>3693</v>
      </c>
      <c r="B1884" s="10">
        <v>45345</v>
      </c>
      <c r="C1884" s="12" t="s">
        <v>1307</v>
      </c>
      <c r="D1884" s="12" t="s">
        <v>1722</v>
      </c>
      <c r="E1884" s="12" t="s">
        <v>1776</v>
      </c>
      <c r="F1884" s="11">
        <v>2</v>
      </c>
      <c r="G1884" s="12">
        <v>152.91</v>
      </c>
      <c r="H1884" s="9">
        <v>0.24</v>
      </c>
      <c r="I1884" s="12" t="s">
        <v>1826</v>
      </c>
      <c r="J1884" s="9">
        <v>232.42320000000001</v>
      </c>
    </row>
    <row r="1885" spans="1:10" x14ac:dyDescent="0.3">
      <c r="A1885" s="22" t="s">
        <v>3694</v>
      </c>
      <c r="B1885" s="10">
        <v>45344</v>
      </c>
      <c r="C1885" s="12" t="s">
        <v>1422</v>
      </c>
      <c r="D1885" s="12" t="s">
        <v>1696</v>
      </c>
      <c r="E1885" s="12" t="s">
        <v>1801</v>
      </c>
      <c r="F1885" s="11">
        <v>4</v>
      </c>
      <c r="G1885" s="12">
        <v>592.14</v>
      </c>
      <c r="H1885" s="9">
        <v>0.12</v>
      </c>
      <c r="I1885" s="12" t="s">
        <v>1829</v>
      </c>
      <c r="J1885" s="9">
        <v>2084.3328000000001</v>
      </c>
    </row>
    <row r="1886" spans="1:10" x14ac:dyDescent="0.3">
      <c r="A1886" s="22" t="s">
        <v>3695</v>
      </c>
      <c r="B1886" s="10">
        <v>45525</v>
      </c>
      <c r="C1886" s="12" t="s">
        <v>230</v>
      </c>
      <c r="D1886" s="12" t="s">
        <v>1704</v>
      </c>
      <c r="E1886" s="12" t="s">
        <v>1794</v>
      </c>
      <c r="F1886" s="11">
        <v>1</v>
      </c>
      <c r="G1886" s="12">
        <v>984.37</v>
      </c>
      <c r="H1886" s="9">
        <v>0</v>
      </c>
      <c r="I1886" s="12" t="s">
        <v>1826</v>
      </c>
      <c r="J1886" s="9">
        <v>984.37</v>
      </c>
    </row>
    <row r="1887" spans="1:10" x14ac:dyDescent="0.3">
      <c r="A1887" s="22" t="s">
        <v>3696</v>
      </c>
      <c r="B1887" s="10">
        <v>45329</v>
      </c>
      <c r="C1887" s="12" t="s">
        <v>926</v>
      </c>
      <c r="D1887" s="12" t="s">
        <v>1546</v>
      </c>
      <c r="E1887" s="12" t="s">
        <v>1794</v>
      </c>
      <c r="F1887" s="11">
        <v>2</v>
      </c>
      <c r="G1887" s="12">
        <v>237.59</v>
      </c>
      <c r="H1887" s="9">
        <v>0.12</v>
      </c>
      <c r="I1887" s="12" t="s">
        <v>1824</v>
      </c>
      <c r="J1887" s="9">
        <v>418.15839999999997</v>
      </c>
    </row>
    <row r="1888" spans="1:10" x14ac:dyDescent="0.3">
      <c r="A1888" s="22" t="s">
        <v>3697</v>
      </c>
      <c r="B1888" s="10">
        <v>45250</v>
      </c>
      <c r="C1888" s="12" t="s">
        <v>1337</v>
      </c>
      <c r="D1888" s="12" t="s">
        <v>1598</v>
      </c>
      <c r="E1888" s="12" t="s">
        <v>1782</v>
      </c>
      <c r="F1888" s="11">
        <v>1</v>
      </c>
      <c r="G1888" s="12">
        <v>52.06</v>
      </c>
      <c r="H1888" s="9">
        <v>0.27</v>
      </c>
      <c r="I1888" s="12" t="s">
        <v>1829</v>
      </c>
      <c r="J1888" s="9">
        <v>38.003799999999998</v>
      </c>
    </row>
    <row r="1889" spans="1:10" x14ac:dyDescent="0.3">
      <c r="A1889" s="22" t="s">
        <v>3698</v>
      </c>
      <c r="B1889" s="10">
        <v>45691</v>
      </c>
      <c r="C1889" s="12" t="s">
        <v>1405</v>
      </c>
      <c r="D1889" s="12" t="s">
        <v>1551</v>
      </c>
      <c r="E1889" s="12" t="s">
        <v>1757</v>
      </c>
      <c r="F1889" s="11">
        <v>2</v>
      </c>
      <c r="G1889" s="12">
        <v>594.63</v>
      </c>
      <c r="H1889" s="9">
        <v>0.12</v>
      </c>
      <c r="I1889" s="12" t="s">
        <v>1824</v>
      </c>
      <c r="J1889" s="9">
        <v>1046.5488</v>
      </c>
    </row>
    <row r="1890" spans="1:10" x14ac:dyDescent="0.3">
      <c r="A1890" s="22" t="s">
        <v>3699</v>
      </c>
      <c r="B1890" s="10">
        <v>45644</v>
      </c>
      <c r="C1890" s="12" t="s">
        <v>556</v>
      </c>
      <c r="D1890" s="12" t="s">
        <v>1551</v>
      </c>
      <c r="E1890" s="12" t="s">
        <v>1752</v>
      </c>
      <c r="F1890" s="11">
        <v>3</v>
      </c>
      <c r="G1890" s="12">
        <v>476.1</v>
      </c>
      <c r="H1890" s="9">
        <v>0.05</v>
      </c>
      <c r="I1890" s="12" t="s">
        <v>1829</v>
      </c>
      <c r="J1890" s="9">
        <v>1356.885</v>
      </c>
    </row>
    <row r="1891" spans="1:10" x14ac:dyDescent="0.3">
      <c r="A1891" s="22" t="s">
        <v>3700</v>
      </c>
      <c r="B1891" s="10">
        <v>45514</v>
      </c>
      <c r="C1891" s="12" t="s">
        <v>227</v>
      </c>
      <c r="D1891" s="12" t="s">
        <v>1670</v>
      </c>
      <c r="E1891" s="12" t="s">
        <v>1776</v>
      </c>
      <c r="F1891" s="11">
        <v>1</v>
      </c>
      <c r="G1891" s="12">
        <v>546.47</v>
      </c>
      <c r="H1891" s="9">
        <v>0.08</v>
      </c>
      <c r="I1891" s="12" t="s">
        <v>1829</v>
      </c>
      <c r="J1891" s="9">
        <v>502.75240000000002</v>
      </c>
    </row>
    <row r="1892" spans="1:10" x14ac:dyDescent="0.3">
      <c r="A1892" s="22" t="s">
        <v>3701</v>
      </c>
      <c r="B1892" s="10">
        <v>45760</v>
      </c>
      <c r="C1892" s="12" t="s">
        <v>582</v>
      </c>
      <c r="D1892" s="12" t="s">
        <v>1698</v>
      </c>
      <c r="E1892" s="12" t="s">
        <v>1794</v>
      </c>
      <c r="F1892" s="11">
        <v>1</v>
      </c>
      <c r="G1892" s="12">
        <v>979.49</v>
      </c>
      <c r="H1892" s="9">
        <v>0.19</v>
      </c>
      <c r="I1892" s="12" t="s">
        <v>1829</v>
      </c>
      <c r="J1892" s="9">
        <v>793.38690000000008</v>
      </c>
    </row>
    <row r="1893" spans="1:10" x14ac:dyDescent="0.3">
      <c r="A1893" s="22" t="s">
        <v>3702</v>
      </c>
      <c r="B1893" s="10">
        <v>45289</v>
      </c>
      <c r="C1893" s="12" t="s">
        <v>634</v>
      </c>
      <c r="D1893" s="12" t="s">
        <v>1582</v>
      </c>
      <c r="E1893" s="12" t="s">
        <v>1761</v>
      </c>
      <c r="F1893" s="11">
        <v>3</v>
      </c>
      <c r="G1893" s="12">
        <v>988.53</v>
      </c>
      <c r="H1893" s="9">
        <v>0.3</v>
      </c>
      <c r="I1893" s="12" t="s">
        <v>1829</v>
      </c>
      <c r="J1893" s="9">
        <v>2075.913</v>
      </c>
    </row>
    <row r="1894" spans="1:10" x14ac:dyDescent="0.3">
      <c r="A1894" s="22" t="s">
        <v>3703</v>
      </c>
      <c r="B1894" s="10">
        <v>45704</v>
      </c>
      <c r="C1894" s="12" t="s">
        <v>815</v>
      </c>
      <c r="D1894" s="12" t="s">
        <v>1700</v>
      </c>
      <c r="E1894" s="12" t="s">
        <v>1766</v>
      </c>
      <c r="F1894" s="11">
        <v>4</v>
      </c>
      <c r="G1894" s="12">
        <v>849.29</v>
      </c>
      <c r="H1894" s="9">
        <v>0.26</v>
      </c>
      <c r="I1894" s="12" t="s">
        <v>1824</v>
      </c>
      <c r="J1894" s="9">
        <v>2513.8984</v>
      </c>
    </row>
    <row r="1895" spans="1:10" x14ac:dyDescent="0.3">
      <c r="A1895" s="22" t="s">
        <v>3704</v>
      </c>
      <c r="B1895" s="10">
        <v>45318</v>
      </c>
      <c r="C1895" s="12" t="s">
        <v>1077</v>
      </c>
      <c r="D1895" s="12" t="s">
        <v>1738</v>
      </c>
      <c r="E1895" s="12" t="s">
        <v>1799</v>
      </c>
      <c r="F1895" s="11">
        <v>2</v>
      </c>
      <c r="G1895" s="12">
        <v>452.29</v>
      </c>
      <c r="H1895" s="9">
        <v>0.01</v>
      </c>
      <c r="I1895" s="12" t="s">
        <v>1829</v>
      </c>
      <c r="J1895" s="9">
        <v>895.53420000000006</v>
      </c>
    </row>
    <row r="1896" spans="1:10" x14ac:dyDescent="0.3">
      <c r="A1896" s="22" t="s">
        <v>3705</v>
      </c>
      <c r="B1896" s="10">
        <v>45495</v>
      </c>
      <c r="C1896" s="12" t="s">
        <v>1377</v>
      </c>
      <c r="D1896" s="12" t="s">
        <v>1656</v>
      </c>
      <c r="E1896" s="12" t="s">
        <v>1810</v>
      </c>
      <c r="F1896" s="11">
        <v>2</v>
      </c>
      <c r="G1896" s="12">
        <v>810.81</v>
      </c>
      <c r="H1896" s="9">
        <v>0.11</v>
      </c>
      <c r="I1896" s="12" t="s">
        <v>1829</v>
      </c>
      <c r="J1896" s="9">
        <v>1443.2418</v>
      </c>
    </row>
    <row r="1897" spans="1:10" x14ac:dyDescent="0.3">
      <c r="A1897" s="22" t="s">
        <v>3706</v>
      </c>
      <c r="B1897" s="10">
        <v>45560</v>
      </c>
      <c r="C1897" s="12" t="s">
        <v>127</v>
      </c>
      <c r="D1897" s="12" t="s">
        <v>1670</v>
      </c>
      <c r="E1897" s="12" t="s">
        <v>1782</v>
      </c>
      <c r="F1897" s="11">
        <v>1</v>
      </c>
      <c r="G1897" s="12">
        <v>846.67</v>
      </c>
      <c r="H1897" s="9">
        <v>0.1</v>
      </c>
      <c r="I1897" s="12" t="s">
        <v>1829</v>
      </c>
      <c r="J1897" s="9">
        <v>762.00299999999993</v>
      </c>
    </row>
    <row r="1898" spans="1:10" x14ac:dyDescent="0.3">
      <c r="A1898" s="22" t="s">
        <v>3707</v>
      </c>
      <c r="B1898" s="10">
        <v>45367</v>
      </c>
      <c r="C1898" s="12" t="s">
        <v>78</v>
      </c>
      <c r="D1898" s="12" t="s">
        <v>1596</v>
      </c>
      <c r="E1898" s="12" t="s">
        <v>1776</v>
      </c>
      <c r="F1898" s="11">
        <v>4</v>
      </c>
      <c r="G1898" s="12">
        <v>73.55</v>
      </c>
      <c r="H1898" s="9">
        <v>0.24</v>
      </c>
      <c r="I1898" s="12" t="s">
        <v>1829</v>
      </c>
      <c r="J1898" s="9">
        <v>223.59200000000001</v>
      </c>
    </row>
    <row r="1899" spans="1:10" x14ac:dyDescent="0.3">
      <c r="A1899" s="22" t="s">
        <v>3708</v>
      </c>
      <c r="B1899" s="10">
        <v>45861</v>
      </c>
      <c r="C1899" s="12" t="s">
        <v>884</v>
      </c>
      <c r="D1899" s="12" t="s">
        <v>1732</v>
      </c>
      <c r="E1899" s="12" t="s">
        <v>1776</v>
      </c>
      <c r="F1899" s="11">
        <v>1</v>
      </c>
      <c r="G1899" s="12">
        <v>882.03</v>
      </c>
      <c r="H1899" s="9">
        <v>0.04</v>
      </c>
      <c r="I1899" s="12" t="s">
        <v>1829</v>
      </c>
      <c r="J1899" s="9">
        <v>846.74879999999996</v>
      </c>
    </row>
    <row r="1900" spans="1:10" x14ac:dyDescent="0.3">
      <c r="A1900" s="22" t="s">
        <v>3709</v>
      </c>
      <c r="B1900" s="10">
        <v>45589</v>
      </c>
      <c r="C1900" s="12" t="s">
        <v>44</v>
      </c>
      <c r="D1900" s="12" t="s">
        <v>1592</v>
      </c>
      <c r="E1900" s="12" t="s">
        <v>1799</v>
      </c>
      <c r="F1900" s="11">
        <v>1</v>
      </c>
      <c r="G1900" s="12">
        <v>958.44</v>
      </c>
      <c r="H1900" s="9">
        <v>0.21</v>
      </c>
      <c r="I1900" s="12" t="s">
        <v>1824</v>
      </c>
      <c r="J1900" s="9">
        <v>757.16760000000011</v>
      </c>
    </row>
    <row r="1901" spans="1:10" x14ac:dyDescent="0.3">
      <c r="A1901" s="22" t="s">
        <v>3710</v>
      </c>
      <c r="B1901" s="10">
        <v>45560</v>
      </c>
      <c r="C1901" s="12" t="s">
        <v>44</v>
      </c>
      <c r="D1901" s="12" t="s">
        <v>1746</v>
      </c>
      <c r="E1901" s="12" t="s">
        <v>1761</v>
      </c>
      <c r="F1901" s="11">
        <v>1</v>
      </c>
      <c r="G1901" s="12">
        <v>716.29</v>
      </c>
      <c r="H1901" s="9">
        <v>0.01</v>
      </c>
      <c r="I1901" s="12" t="s">
        <v>1826</v>
      </c>
      <c r="J1901" s="9">
        <v>709.12709999999993</v>
      </c>
    </row>
    <row r="1902" spans="1:10" x14ac:dyDescent="0.3">
      <c r="A1902" s="22" t="s">
        <v>3711</v>
      </c>
      <c r="B1902" s="10">
        <v>45408</v>
      </c>
      <c r="C1902" s="12" t="s">
        <v>1017</v>
      </c>
      <c r="D1902" s="12" t="s">
        <v>1565</v>
      </c>
      <c r="E1902" s="12" t="s">
        <v>1804</v>
      </c>
      <c r="F1902" s="11">
        <v>2</v>
      </c>
      <c r="G1902" s="12">
        <v>409.14</v>
      </c>
      <c r="H1902" s="9">
        <v>0.01</v>
      </c>
      <c r="I1902" s="12" t="s">
        <v>1826</v>
      </c>
      <c r="J1902" s="9">
        <v>810.09719999999993</v>
      </c>
    </row>
    <row r="1903" spans="1:10" x14ac:dyDescent="0.3">
      <c r="A1903" s="22" t="s">
        <v>3712</v>
      </c>
      <c r="B1903" s="10">
        <v>45714</v>
      </c>
      <c r="C1903" s="12" t="s">
        <v>304</v>
      </c>
      <c r="D1903" s="12" t="s">
        <v>1746</v>
      </c>
      <c r="E1903" s="12" t="s">
        <v>1786</v>
      </c>
      <c r="F1903" s="11">
        <v>4</v>
      </c>
      <c r="G1903" s="12">
        <v>261.73</v>
      </c>
      <c r="H1903" s="9">
        <v>0.1</v>
      </c>
      <c r="I1903" s="12" t="s">
        <v>1826</v>
      </c>
      <c r="J1903" s="9">
        <v>942.22800000000007</v>
      </c>
    </row>
    <row r="1904" spans="1:10" x14ac:dyDescent="0.3">
      <c r="A1904" s="22" t="s">
        <v>3713</v>
      </c>
      <c r="B1904" s="10">
        <v>45661</v>
      </c>
      <c r="C1904" s="12" t="s">
        <v>1437</v>
      </c>
      <c r="D1904" s="12" t="s">
        <v>1572</v>
      </c>
      <c r="E1904" s="12" t="s">
        <v>1752</v>
      </c>
      <c r="F1904" s="11">
        <v>2</v>
      </c>
      <c r="G1904" s="12">
        <v>687.35</v>
      </c>
      <c r="H1904" s="9">
        <v>0.2</v>
      </c>
      <c r="I1904" s="12" t="s">
        <v>1829</v>
      </c>
      <c r="J1904" s="9">
        <v>1099.76</v>
      </c>
    </row>
    <row r="1905" spans="1:10" x14ac:dyDescent="0.3">
      <c r="A1905" s="22" t="s">
        <v>3714</v>
      </c>
      <c r="B1905" s="10">
        <v>45921</v>
      </c>
      <c r="C1905" s="12" t="s">
        <v>675</v>
      </c>
      <c r="D1905" s="12" t="s">
        <v>1716</v>
      </c>
      <c r="E1905" s="12" t="s">
        <v>1782</v>
      </c>
      <c r="F1905" s="11">
        <v>2</v>
      </c>
      <c r="G1905" s="12">
        <v>30.14</v>
      </c>
      <c r="H1905" s="9">
        <v>0.21</v>
      </c>
      <c r="I1905" s="12" t="s">
        <v>1824</v>
      </c>
      <c r="J1905" s="9">
        <v>47.621200000000002</v>
      </c>
    </row>
    <row r="1906" spans="1:10" x14ac:dyDescent="0.3">
      <c r="A1906" s="22" t="s">
        <v>3715</v>
      </c>
      <c r="B1906" s="10">
        <v>45651</v>
      </c>
      <c r="C1906" s="12" t="s">
        <v>353</v>
      </c>
      <c r="D1906" s="12" t="s">
        <v>1616</v>
      </c>
      <c r="E1906" s="12" t="s">
        <v>1782</v>
      </c>
      <c r="F1906" s="11">
        <v>3</v>
      </c>
      <c r="G1906" s="12">
        <v>570.12</v>
      </c>
      <c r="H1906" s="9">
        <v>0.12</v>
      </c>
      <c r="I1906" s="12" t="s">
        <v>1826</v>
      </c>
      <c r="J1906" s="9">
        <v>1505.1168</v>
      </c>
    </row>
    <row r="1907" spans="1:10" x14ac:dyDescent="0.3">
      <c r="A1907" s="22" t="s">
        <v>3716</v>
      </c>
      <c r="B1907" s="10">
        <v>45883</v>
      </c>
      <c r="C1907" s="12" t="s">
        <v>893</v>
      </c>
      <c r="D1907" s="12" t="s">
        <v>1702</v>
      </c>
      <c r="E1907" s="12" t="s">
        <v>1813</v>
      </c>
      <c r="F1907" s="11">
        <v>3</v>
      </c>
      <c r="G1907" s="12">
        <v>401.87</v>
      </c>
      <c r="H1907" s="9">
        <v>0.28999999999999998</v>
      </c>
      <c r="I1907" s="12" t="s">
        <v>1829</v>
      </c>
      <c r="J1907" s="9">
        <v>855.98310000000004</v>
      </c>
    </row>
    <row r="1908" spans="1:10" x14ac:dyDescent="0.3">
      <c r="A1908" s="22" t="s">
        <v>3717</v>
      </c>
      <c r="B1908" s="10">
        <v>45624</v>
      </c>
      <c r="C1908" s="12" t="s">
        <v>1524</v>
      </c>
      <c r="D1908" s="12" t="s">
        <v>1706</v>
      </c>
      <c r="E1908" s="12" t="s">
        <v>1794</v>
      </c>
      <c r="F1908" s="11">
        <v>4</v>
      </c>
      <c r="G1908" s="12">
        <v>619.35</v>
      </c>
      <c r="H1908" s="9">
        <v>0.3</v>
      </c>
      <c r="I1908" s="12" t="s">
        <v>1824</v>
      </c>
      <c r="J1908" s="9">
        <v>1734.18</v>
      </c>
    </row>
    <row r="1909" spans="1:10" x14ac:dyDescent="0.3">
      <c r="A1909" s="22" t="s">
        <v>3718</v>
      </c>
      <c r="B1909" s="10">
        <v>45276</v>
      </c>
      <c r="C1909" s="12" t="s">
        <v>791</v>
      </c>
      <c r="D1909" s="12" t="s">
        <v>1640</v>
      </c>
      <c r="E1909" s="12" t="s">
        <v>1807</v>
      </c>
      <c r="F1909" s="11">
        <v>4</v>
      </c>
      <c r="G1909" s="12">
        <v>569.36</v>
      </c>
      <c r="H1909" s="9">
        <v>0.27</v>
      </c>
      <c r="I1909" s="12" t="s">
        <v>1826</v>
      </c>
      <c r="J1909" s="9">
        <v>1662.5311999999999</v>
      </c>
    </row>
    <row r="1910" spans="1:10" x14ac:dyDescent="0.3">
      <c r="A1910" s="22" t="s">
        <v>3719</v>
      </c>
      <c r="B1910" s="10">
        <v>45344</v>
      </c>
      <c r="C1910" s="12" t="s">
        <v>1466</v>
      </c>
      <c r="D1910" s="12" t="s">
        <v>1602</v>
      </c>
      <c r="E1910" s="12" t="s">
        <v>1769</v>
      </c>
      <c r="F1910" s="11">
        <v>2</v>
      </c>
      <c r="G1910" s="12">
        <v>846.35</v>
      </c>
      <c r="H1910" s="9">
        <v>0.3</v>
      </c>
      <c r="I1910" s="12" t="s">
        <v>1829</v>
      </c>
      <c r="J1910" s="9">
        <v>1184.8900000000001</v>
      </c>
    </row>
    <row r="1911" spans="1:10" x14ac:dyDescent="0.3">
      <c r="A1911" s="22" t="s">
        <v>3720</v>
      </c>
      <c r="B1911" s="10">
        <v>45849</v>
      </c>
      <c r="C1911" s="12" t="s">
        <v>1346</v>
      </c>
      <c r="D1911" s="12" t="s">
        <v>1608</v>
      </c>
      <c r="E1911" s="12" t="s">
        <v>1761</v>
      </c>
      <c r="F1911" s="11">
        <v>1</v>
      </c>
      <c r="G1911" s="12">
        <v>788.45</v>
      </c>
      <c r="H1911" s="9">
        <v>0.28999999999999998</v>
      </c>
      <c r="I1911" s="12" t="s">
        <v>1826</v>
      </c>
      <c r="J1911" s="9">
        <v>559.79949999999997</v>
      </c>
    </row>
    <row r="1912" spans="1:10" x14ac:dyDescent="0.3">
      <c r="A1912" s="22" t="s">
        <v>3721</v>
      </c>
      <c r="B1912" s="10">
        <v>45880</v>
      </c>
      <c r="C1912" s="12" t="s">
        <v>1127</v>
      </c>
      <c r="D1912" s="12" t="s">
        <v>1618</v>
      </c>
      <c r="E1912" s="12" t="s">
        <v>1794</v>
      </c>
      <c r="F1912" s="11">
        <v>2</v>
      </c>
      <c r="G1912" s="12">
        <v>338.81</v>
      </c>
      <c r="H1912" s="9">
        <v>7.0000000000000007E-2</v>
      </c>
      <c r="I1912" s="12" t="s">
        <v>1829</v>
      </c>
      <c r="J1912" s="9">
        <v>630.1866</v>
      </c>
    </row>
    <row r="1913" spans="1:10" x14ac:dyDescent="0.3">
      <c r="A1913" s="22" t="s">
        <v>3722</v>
      </c>
      <c r="B1913" s="10">
        <v>45907</v>
      </c>
      <c r="C1913" s="12" t="s">
        <v>110</v>
      </c>
      <c r="D1913" s="12" t="s">
        <v>1576</v>
      </c>
      <c r="E1913" s="12" t="s">
        <v>1773</v>
      </c>
      <c r="F1913" s="11">
        <v>4</v>
      </c>
      <c r="G1913" s="12">
        <v>94.48</v>
      </c>
      <c r="H1913" s="9">
        <v>0.06</v>
      </c>
      <c r="I1913" s="12" t="s">
        <v>1829</v>
      </c>
      <c r="J1913" s="9">
        <v>355.2448</v>
      </c>
    </row>
    <row r="1914" spans="1:10" x14ac:dyDescent="0.3">
      <c r="A1914" s="22" t="s">
        <v>3723</v>
      </c>
      <c r="B1914" s="10">
        <v>45545</v>
      </c>
      <c r="C1914" s="12" t="s">
        <v>1469</v>
      </c>
      <c r="D1914" s="12" t="s">
        <v>1586</v>
      </c>
      <c r="E1914" s="12" t="s">
        <v>1797</v>
      </c>
      <c r="F1914" s="11">
        <v>3</v>
      </c>
      <c r="G1914" s="12">
        <v>941.85</v>
      </c>
      <c r="H1914" s="9">
        <v>0.16</v>
      </c>
      <c r="I1914" s="12" t="s">
        <v>1826</v>
      </c>
      <c r="J1914" s="9">
        <v>2373.462</v>
      </c>
    </row>
    <row r="1915" spans="1:10" x14ac:dyDescent="0.3">
      <c r="A1915" s="22" t="s">
        <v>3724</v>
      </c>
      <c r="B1915" s="10">
        <v>45257</v>
      </c>
      <c r="C1915" s="12" t="s">
        <v>538</v>
      </c>
      <c r="D1915" s="12" t="s">
        <v>1638</v>
      </c>
      <c r="E1915" s="12" t="s">
        <v>1773</v>
      </c>
      <c r="F1915" s="11">
        <v>2</v>
      </c>
      <c r="G1915" s="12">
        <v>336.97</v>
      </c>
      <c r="H1915" s="9">
        <v>0.14000000000000001</v>
      </c>
      <c r="I1915" s="12" t="s">
        <v>1826</v>
      </c>
      <c r="J1915" s="9">
        <v>579.58840000000009</v>
      </c>
    </row>
    <row r="1916" spans="1:10" x14ac:dyDescent="0.3">
      <c r="A1916" s="22" t="s">
        <v>3725</v>
      </c>
      <c r="B1916" s="10">
        <v>45466</v>
      </c>
      <c r="C1916" s="12" t="s">
        <v>978</v>
      </c>
      <c r="D1916" s="12" t="s">
        <v>1555</v>
      </c>
      <c r="E1916" s="12" t="s">
        <v>1773</v>
      </c>
      <c r="F1916" s="11">
        <v>2</v>
      </c>
      <c r="G1916" s="12">
        <v>344.16</v>
      </c>
      <c r="H1916" s="9">
        <v>0.09</v>
      </c>
      <c r="I1916" s="12" t="s">
        <v>1826</v>
      </c>
      <c r="J1916" s="9">
        <v>626.37120000000004</v>
      </c>
    </row>
    <row r="1917" spans="1:10" x14ac:dyDescent="0.3">
      <c r="A1917" s="22" t="s">
        <v>3726</v>
      </c>
      <c r="B1917" s="10">
        <v>45847</v>
      </c>
      <c r="C1917" s="12" t="s">
        <v>948</v>
      </c>
      <c r="D1917" s="12" t="s">
        <v>1644</v>
      </c>
      <c r="E1917" s="12" t="s">
        <v>1786</v>
      </c>
      <c r="F1917" s="11">
        <v>1</v>
      </c>
      <c r="G1917" s="12">
        <v>841.53</v>
      </c>
      <c r="H1917" s="9">
        <v>0.15</v>
      </c>
      <c r="I1917" s="12" t="s">
        <v>1824</v>
      </c>
      <c r="J1917" s="9">
        <v>715.30049999999994</v>
      </c>
    </row>
    <row r="1918" spans="1:10" x14ac:dyDescent="0.3">
      <c r="A1918" s="22" t="s">
        <v>3727</v>
      </c>
      <c r="B1918" s="10">
        <v>45825</v>
      </c>
      <c r="C1918" s="12" t="s">
        <v>1316</v>
      </c>
      <c r="D1918" s="12" t="s">
        <v>1714</v>
      </c>
      <c r="E1918" s="12" t="s">
        <v>1807</v>
      </c>
      <c r="F1918" s="11">
        <v>3</v>
      </c>
      <c r="G1918" s="12">
        <v>63.36</v>
      </c>
      <c r="H1918" s="9">
        <v>0.28999999999999998</v>
      </c>
      <c r="I1918" s="12" t="s">
        <v>1829</v>
      </c>
      <c r="J1918" s="9">
        <v>134.95679999999999</v>
      </c>
    </row>
    <row r="1919" spans="1:10" x14ac:dyDescent="0.3">
      <c r="A1919" s="22" t="s">
        <v>3728</v>
      </c>
      <c r="B1919" s="10">
        <v>45839</v>
      </c>
      <c r="C1919" s="12" t="s">
        <v>1524</v>
      </c>
      <c r="D1919" s="12" t="s">
        <v>1704</v>
      </c>
      <c r="E1919" s="12" t="s">
        <v>1782</v>
      </c>
      <c r="F1919" s="11">
        <v>2</v>
      </c>
      <c r="G1919" s="12">
        <v>552.49</v>
      </c>
      <c r="H1919" s="9">
        <v>0.1</v>
      </c>
      <c r="I1919" s="12" t="s">
        <v>1824</v>
      </c>
      <c r="J1919" s="9">
        <v>994.48200000000008</v>
      </c>
    </row>
    <row r="1920" spans="1:10" x14ac:dyDescent="0.3">
      <c r="A1920" s="22" t="s">
        <v>3729</v>
      </c>
      <c r="B1920" s="10">
        <v>45720</v>
      </c>
      <c r="C1920" s="12" t="s">
        <v>758</v>
      </c>
      <c r="D1920" s="12" t="s">
        <v>1596</v>
      </c>
      <c r="E1920" s="12" t="s">
        <v>1776</v>
      </c>
      <c r="F1920" s="11">
        <v>3</v>
      </c>
      <c r="G1920" s="12">
        <v>447.38</v>
      </c>
      <c r="H1920" s="9">
        <v>0.03</v>
      </c>
      <c r="I1920" s="12" t="s">
        <v>1824</v>
      </c>
      <c r="J1920" s="9">
        <v>1301.8758</v>
      </c>
    </row>
    <row r="1921" spans="1:10" x14ac:dyDescent="0.3">
      <c r="A1921" s="22" t="s">
        <v>3730</v>
      </c>
      <c r="B1921" s="10">
        <v>45250</v>
      </c>
      <c r="C1921" s="12" t="s">
        <v>1392</v>
      </c>
      <c r="D1921" s="12" t="s">
        <v>1694</v>
      </c>
      <c r="E1921" s="12" t="s">
        <v>1813</v>
      </c>
      <c r="F1921" s="11">
        <v>1</v>
      </c>
      <c r="G1921" s="12">
        <v>727.7</v>
      </c>
      <c r="H1921" s="9">
        <v>0.21</v>
      </c>
      <c r="I1921" s="12" t="s">
        <v>1829</v>
      </c>
      <c r="J1921" s="9">
        <v>574.88300000000004</v>
      </c>
    </row>
    <row r="1922" spans="1:10" x14ac:dyDescent="0.3">
      <c r="A1922" s="22" t="s">
        <v>3731</v>
      </c>
      <c r="B1922" s="10">
        <v>45258</v>
      </c>
      <c r="C1922" s="12" t="s">
        <v>1352</v>
      </c>
      <c r="D1922" s="12" t="s">
        <v>1650</v>
      </c>
      <c r="E1922" s="12" t="s">
        <v>1779</v>
      </c>
      <c r="F1922" s="11">
        <v>4</v>
      </c>
      <c r="G1922" s="12">
        <v>581.34</v>
      </c>
      <c r="H1922" s="9">
        <v>0.08</v>
      </c>
      <c r="I1922" s="12" t="s">
        <v>1824</v>
      </c>
      <c r="J1922" s="9">
        <v>2139.3312000000001</v>
      </c>
    </row>
    <row r="1923" spans="1:10" x14ac:dyDescent="0.3">
      <c r="A1923" s="22" t="s">
        <v>3732</v>
      </c>
      <c r="B1923" s="10">
        <v>45793</v>
      </c>
      <c r="C1923" s="12" t="s">
        <v>344</v>
      </c>
      <c r="D1923" s="12" t="s">
        <v>1680</v>
      </c>
      <c r="E1923" s="12" t="s">
        <v>1757</v>
      </c>
      <c r="F1923" s="11">
        <v>1</v>
      </c>
      <c r="G1923" s="12">
        <v>338.83</v>
      </c>
      <c r="H1923" s="9">
        <v>0.19</v>
      </c>
      <c r="I1923" s="12" t="s">
        <v>1826</v>
      </c>
      <c r="J1923" s="9">
        <v>274.45229999999998</v>
      </c>
    </row>
    <row r="1924" spans="1:10" x14ac:dyDescent="0.3">
      <c r="A1924" s="22" t="s">
        <v>3733</v>
      </c>
      <c r="B1924" s="10">
        <v>45265</v>
      </c>
      <c r="C1924" s="12" t="s">
        <v>905</v>
      </c>
      <c r="D1924" s="12" t="s">
        <v>1646</v>
      </c>
      <c r="E1924" s="12" t="s">
        <v>1797</v>
      </c>
      <c r="F1924" s="11">
        <v>4</v>
      </c>
      <c r="G1924" s="12">
        <v>568.80999999999995</v>
      </c>
      <c r="H1924" s="9">
        <v>0.25</v>
      </c>
      <c r="I1924" s="12" t="s">
        <v>1824</v>
      </c>
      <c r="J1924" s="9">
        <v>1706.43</v>
      </c>
    </row>
    <row r="1925" spans="1:10" x14ac:dyDescent="0.3">
      <c r="A1925" s="22" t="s">
        <v>3734</v>
      </c>
      <c r="B1925" s="10">
        <v>45607</v>
      </c>
      <c r="C1925" s="12" t="s">
        <v>1172</v>
      </c>
      <c r="D1925" s="12" t="s">
        <v>1670</v>
      </c>
      <c r="E1925" s="12" t="s">
        <v>1807</v>
      </c>
      <c r="F1925" s="11">
        <v>2</v>
      </c>
      <c r="G1925" s="12">
        <v>352.63</v>
      </c>
      <c r="H1925" s="9">
        <v>0.15</v>
      </c>
      <c r="I1925" s="12" t="s">
        <v>1826</v>
      </c>
      <c r="J1925" s="9">
        <v>599.471</v>
      </c>
    </row>
    <row r="1926" spans="1:10" x14ac:dyDescent="0.3">
      <c r="A1926" s="22" t="s">
        <v>3735</v>
      </c>
      <c r="B1926" s="10">
        <v>45382</v>
      </c>
      <c r="C1926" s="12" t="s">
        <v>523</v>
      </c>
      <c r="D1926" s="12" t="s">
        <v>1740</v>
      </c>
      <c r="E1926" s="12" t="s">
        <v>1797</v>
      </c>
      <c r="F1926" s="11">
        <v>2</v>
      </c>
      <c r="G1926" s="12">
        <v>629.86</v>
      </c>
      <c r="H1926" s="9">
        <v>0.15</v>
      </c>
      <c r="I1926" s="12" t="s">
        <v>1826</v>
      </c>
      <c r="J1926" s="9">
        <v>1070.7619999999999</v>
      </c>
    </row>
    <row r="1927" spans="1:10" x14ac:dyDescent="0.3">
      <c r="A1927" s="22" t="s">
        <v>3736</v>
      </c>
      <c r="B1927" s="10">
        <v>45793</v>
      </c>
      <c r="C1927" s="12" t="s">
        <v>1516</v>
      </c>
      <c r="D1927" s="12" t="s">
        <v>1744</v>
      </c>
      <c r="E1927" s="12" t="s">
        <v>1766</v>
      </c>
      <c r="F1927" s="11">
        <v>3</v>
      </c>
      <c r="G1927" s="12">
        <v>212.08</v>
      </c>
      <c r="H1927" s="9">
        <v>7.0000000000000007E-2</v>
      </c>
      <c r="I1927" s="12" t="s">
        <v>1824</v>
      </c>
      <c r="J1927" s="9">
        <v>591.70319999999992</v>
      </c>
    </row>
    <row r="1928" spans="1:10" x14ac:dyDescent="0.3">
      <c r="A1928" s="22" t="s">
        <v>3737</v>
      </c>
      <c r="B1928" s="10">
        <v>45590</v>
      </c>
      <c r="C1928" s="12" t="s">
        <v>538</v>
      </c>
      <c r="D1928" s="12" t="s">
        <v>1662</v>
      </c>
      <c r="E1928" s="12" t="s">
        <v>1761</v>
      </c>
      <c r="F1928" s="11">
        <v>3</v>
      </c>
      <c r="G1928" s="12">
        <v>878.62</v>
      </c>
      <c r="H1928" s="9">
        <v>0.05</v>
      </c>
      <c r="I1928" s="12" t="s">
        <v>1826</v>
      </c>
      <c r="J1928" s="9">
        <v>2504.067</v>
      </c>
    </row>
    <row r="1929" spans="1:10" x14ac:dyDescent="0.3">
      <c r="A1929" s="22" t="s">
        <v>3738</v>
      </c>
      <c r="B1929" s="10">
        <v>45679</v>
      </c>
      <c r="C1929" s="12" t="s">
        <v>833</v>
      </c>
      <c r="D1929" s="12" t="s">
        <v>1708</v>
      </c>
      <c r="E1929" s="12" t="s">
        <v>1789</v>
      </c>
      <c r="F1929" s="11">
        <v>4</v>
      </c>
      <c r="G1929" s="12">
        <v>87.83</v>
      </c>
      <c r="H1929" s="9">
        <v>0.23</v>
      </c>
      <c r="I1929" s="12" t="s">
        <v>1826</v>
      </c>
      <c r="J1929" s="9">
        <v>270.51639999999998</v>
      </c>
    </row>
    <row r="1930" spans="1:10" x14ac:dyDescent="0.3">
      <c r="A1930" s="22" t="s">
        <v>3739</v>
      </c>
      <c r="B1930" s="10">
        <v>45814</v>
      </c>
      <c r="C1930" s="12" t="s">
        <v>875</v>
      </c>
      <c r="D1930" s="12" t="s">
        <v>1660</v>
      </c>
      <c r="E1930" s="12" t="s">
        <v>1786</v>
      </c>
      <c r="F1930" s="11">
        <v>3</v>
      </c>
      <c r="G1930" s="12">
        <v>442.64</v>
      </c>
      <c r="H1930" s="9">
        <v>0.15</v>
      </c>
      <c r="I1930" s="12" t="s">
        <v>1829</v>
      </c>
      <c r="J1930" s="9">
        <v>1128.732</v>
      </c>
    </row>
    <row r="1931" spans="1:10" x14ac:dyDescent="0.3">
      <c r="A1931" s="22" t="s">
        <v>3740</v>
      </c>
      <c r="B1931" s="10">
        <v>45795</v>
      </c>
      <c r="C1931" s="12" t="s">
        <v>335</v>
      </c>
      <c r="D1931" s="12" t="s">
        <v>1624</v>
      </c>
      <c r="E1931" s="12" t="s">
        <v>1761</v>
      </c>
      <c r="F1931" s="11">
        <v>3</v>
      </c>
      <c r="G1931" s="12">
        <v>410.04</v>
      </c>
      <c r="H1931" s="9">
        <v>0.09</v>
      </c>
      <c r="I1931" s="12" t="s">
        <v>1829</v>
      </c>
      <c r="J1931" s="9">
        <v>1119.4092000000001</v>
      </c>
    </row>
    <row r="1932" spans="1:10" x14ac:dyDescent="0.3">
      <c r="A1932" s="22" t="s">
        <v>3741</v>
      </c>
      <c r="B1932" s="10">
        <v>45797</v>
      </c>
      <c r="C1932" s="12" t="s">
        <v>455</v>
      </c>
      <c r="D1932" s="12" t="s">
        <v>1736</v>
      </c>
      <c r="E1932" s="12" t="s">
        <v>1807</v>
      </c>
      <c r="F1932" s="11">
        <v>1</v>
      </c>
      <c r="G1932" s="12">
        <v>355.31</v>
      </c>
      <c r="H1932" s="9">
        <v>0.27</v>
      </c>
      <c r="I1932" s="12" t="s">
        <v>1824</v>
      </c>
      <c r="J1932" s="9">
        <v>259.37630000000001</v>
      </c>
    </row>
    <row r="1933" spans="1:10" x14ac:dyDescent="0.3">
      <c r="A1933" s="22" t="s">
        <v>3742</v>
      </c>
      <c r="B1933" s="10">
        <v>45607</v>
      </c>
      <c r="C1933" s="12" t="s">
        <v>1175</v>
      </c>
      <c r="D1933" s="12" t="s">
        <v>1565</v>
      </c>
      <c r="E1933" s="12" t="s">
        <v>1797</v>
      </c>
      <c r="F1933" s="11">
        <v>4</v>
      </c>
      <c r="G1933" s="12">
        <v>243.13</v>
      </c>
      <c r="H1933" s="9">
        <v>0.25</v>
      </c>
      <c r="I1933" s="12" t="s">
        <v>1829</v>
      </c>
      <c r="J1933" s="9">
        <v>729.39</v>
      </c>
    </row>
    <row r="1934" spans="1:10" x14ac:dyDescent="0.3">
      <c r="A1934" s="22" t="s">
        <v>3743</v>
      </c>
      <c r="B1934" s="10">
        <v>45614</v>
      </c>
      <c r="C1934" s="12" t="s">
        <v>737</v>
      </c>
      <c r="D1934" s="12" t="s">
        <v>1666</v>
      </c>
      <c r="E1934" s="12" t="s">
        <v>1792</v>
      </c>
      <c r="F1934" s="11">
        <v>2</v>
      </c>
      <c r="G1934" s="12">
        <v>410.63</v>
      </c>
      <c r="H1934" s="9">
        <v>0.28000000000000003</v>
      </c>
      <c r="I1934" s="12" t="s">
        <v>1829</v>
      </c>
      <c r="J1934" s="9">
        <v>591.30719999999997</v>
      </c>
    </row>
    <row r="1935" spans="1:10" x14ac:dyDescent="0.3">
      <c r="A1935" s="22" t="s">
        <v>3744</v>
      </c>
      <c r="B1935" s="10">
        <v>45293</v>
      </c>
      <c r="C1935" s="12" t="s">
        <v>1319</v>
      </c>
      <c r="D1935" s="12" t="s">
        <v>1736</v>
      </c>
      <c r="E1935" s="12" t="s">
        <v>1789</v>
      </c>
      <c r="F1935" s="11">
        <v>4</v>
      </c>
      <c r="G1935" s="12">
        <v>101.25</v>
      </c>
      <c r="H1935" s="9">
        <v>0.16</v>
      </c>
      <c r="I1935" s="12" t="s">
        <v>1826</v>
      </c>
      <c r="J1935" s="9">
        <v>340.2</v>
      </c>
    </row>
    <row r="1936" spans="1:10" x14ac:dyDescent="0.3">
      <c r="A1936" s="22" t="s">
        <v>3745</v>
      </c>
      <c r="B1936" s="10">
        <v>45301</v>
      </c>
      <c r="C1936" s="12" t="s">
        <v>730</v>
      </c>
      <c r="D1936" s="12" t="s">
        <v>1560</v>
      </c>
      <c r="E1936" s="12" t="s">
        <v>1807</v>
      </c>
      <c r="F1936" s="11">
        <v>4</v>
      </c>
      <c r="G1936" s="12">
        <v>716.39</v>
      </c>
      <c r="H1936" s="9">
        <v>0.03</v>
      </c>
      <c r="I1936" s="12" t="s">
        <v>1826</v>
      </c>
      <c r="J1936" s="9">
        <v>2779.5931999999998</v>
      </c>
    </row>
    <row r="1937" spans="1:10" x14ac:dyDescent="0.3">
      <c r="A1937" s="22" t="s">
        <v>3746</v>
      </c>
      <c r="B1937" s="10">
        <v>45311</v>
      </c>
      <c r="C1937" s="12" t="s">
        <v>338</v>
      </c>
      <c r="D1937" s="12" t="s">
        <v>1694</v>
      </c>
      <c r="E1937" s="12" t="s">
        <v>1757</v>
      </c>
      <c r="F1937" s="11">
        <v>1</v>
      </c>
      <c r="G1937" s="12">
        <v>721.74</v>
      </c>
      <c r="H1937" s="9">
        <v>0.24</v>
      </c>
      <c r="I1937" s="12" t="s">
        <v>1826</v>
      </c>
      <c r="J1937" s="9">
        <v>548.52240000000006</v>
      </c>
    </row>
    <row r="1938" spans="1:10" x14ac:dyDescent="0.3">
      <c r="A1938" s="22" t="s">
        <v>3747</v>
      </c>
      <c r="B1938" s="10">
        <v>45702</v>
      </c>
      <c r="C1938" s="12" t="s">
        <v>205</v>
      </c>
      <c r="D1938" s="12" t="s">
        <v>1672</v>
      </c>
      <c r="E1938" s="12" t="s">
        <v>1792</v>
      </c>
      <c r="F1938" s="11">
        <v>2</v>
      </c>
      <c r="G1938" s="12">
        <v>527.91</v>
      </c>
      <c r="H1938" s="9">
        <v>0.02</v>
      </c>
      <c r="I1938" s="12" t="s">
        <v>1824</v>
      </c>
      <c r="J1938" s="9">
        <v>1034.7036000000001</v>
      </c>
    </row>
    <row r="1939" spans="1:10" x14ac:dyDescent="0.3">
      <c r="A1939" s="22" t="s">
        <v>3748</v>
      </c>
      <c r="B1939" s="10">
        <v>45525</v>
      </c>
      <c r="C1939" s="12" t="s">
        <v>1005</v>
      </c>
      <c r="D1939" s="12" t="s">
        <v>1652</v>
      </c>
      <c r="E1939" s="12" t="s">
        <v>1797</v>
      </c>
      <c r="F1939" s="11">
        <v>2</v>
      </c>
      <c r="G1939" s="12">
        <v>945.92</v>
      </c>
      <c r="H1939" s="9">
        <v>0.19</v>
      </c>
      <c r="I1939" s="12" t="s">
        <v>1829</v>
      </c>
      <c r="J1939" s="9">
        <v>1532.3904</v>
      </c>
    </row>
    <row r="1940" spans="1:10" x14ac:dyDescent="0.3">
      <c r="A1940" s="22" t="s">
        <v>3749</v>
      </c>
      <c r="B1940" s="10">
        <v>45780</v>
      </c>
      <c r="C1940" s="12" t="s">
        <v>295</v>
      </c>
      <c r="D1940" s="12" t="s">
        <v>1660</v>
      </c>
      <c r="E1940" s="12" t="s">
        <v>1807</v>
      </c>
      <c r="F1940" s="11">
        <v>2</v>
      </c>
      <c r="G1940" s="12">
        <v>981.35</v>
      </c>
      <c r="H1940" s="9">
        <v>0.16</v>
      </c>
      <c r="I1940" s="12" t="s">
        <v>1826</v>
      </c>
      <c r="J1940" s="9">
        <v>1648.6679999999999</v>
      </c>
    </row>
    <row r="1941" spans="1:10" x14ac:dyDescent="0.3">
      <c r="A1941" s="22" t="s">
        <v>3750</v>
      </c>
      <c r="B1941" s="10">
        <v>45819</v>
      </c>
      <c r="C1941" s="12" t="s">
        <v>722</v>
      </c>
      <c r="D1941" s="12" t="s">
        <v>1666</v>
      </c>
      <c r="E1941" s="12" t="s">
        <v>1766</v>
      </c>
      <c r="F1941" s="11">
        <v>1</v>
      </c>
      <c r="G1941" s="12">
        <v>913.99</v>
      </c>
      <c r="H1941" s="9">
        <v>0.14000000000000001</v>
      </c>
      <c r="I1941" s="12" t="s">
        <v>1824</v>
      </c>
      <c r="J1941" s="9">
        <v>786.03139999999996</v>
      </c>
    </row>
    <row r="1942" spans="1:10" x14ac:dyDescent="0.3">
      <c r="A1942" s="22" t="s">
        <v>3751</v>
      </c>
      <c r="B1942" s="10">
        <v>45863</v>
      </c>
      <c r="C1942" s="12" t="s">
        <v>55</v>
      </c>
      <c r="D1942" s="12" t="s">
        <v>1680</v>
      </c>
      <c r="E1942" s="12" t="s">
        <v>1782</v>
      </c>
      <c r="F1942" s="11">
        <v>4</v>
      </c>
      <c r="G1942" s="12">
        <v>270.69</v>
      </c>
      <c r="H1942" s="9">
        <v>0.18</v>
      </c>
      <c r="I1942" s="12" t="s">
        <v>1826</v>
      </c>
      <c r="J1942" s="9">
        <v>887.86320000000001</v>
      </c>
    </row>
    <row r="1943" spans="1:10" x14ac:dyDescent="0.3">
      <c r="A1943" s="22" t="s">
        <v>3752</v>
      </c>
      <c r="B1943" s="10">
        <v>45687</v>
      </c>
      <c r="C1943" s="12" t="s">
        <v>538</v>
      </c>
      <c r="D1943" s="12" t="s">
        <v>1702</v>
      </c>
      <c r="E1943" s="12" t="s">
        <v>1776</v>
      </c>
      <c r="F1943" s="11">
        <v>3</v>
      </c>
      <c r="G1943" s="12">
        <v>998.58</v>
      </c>
      <c r="H1943" s="9">
        <v>0.02</v>
      </c>
      <c r="I1943" s="12" t="s">
        <v>1824</v>
      </c>
      <c r="J1943" s="9">
        <v>2935.8252000000002</v>
      </c>
    </row>
    <row r="1944" spans="1:10" x14ac:dyDescent="0.3">
      <c r="A1944" s="22" t="s">
        <v>3753</v>
      </c>
      <c r="B1944" s="10">
        <v>45806</v>
      </c>
      <c r="C1944" s="12" t="s">
        <v>1408</v>
      </c>
      <c r="D1944" s="12" t="s">
        <v>1622</v>
      </c>
      <c r="E1944" s="12" t="s">
        <v>1786</v>
      </c>
      <c r="F1944" s="11">
        <v>3</v>
      </c>
      <c r="G1944" s="12">
        <v>765.12</v>
      </c>
      <c r="H1944" s="9">
        <v>0.18</v>
      </c>
      <c r="I1944" s="12" t="s">
        <v>1824</v>
      </c>
      <c r="J1944" s="9">
        <v>1882.1952000000001</v>
      </c>
    </row>
    <row r="1945" spans="1:10" x14ac:dyDescent="0.3">
      <c r="A1945" s="22" t="s">
        <v>3754</v>
      </c>
      <c r="B1945" s="10">
        <v>45216</v>
      </c>
      <c r="C1945" s="12" t="s">
        <v>264</v>
      </c>
      <c r="D1945" s="12" t="s">
        <v>1676</v>
      </c>
      <c r="E1945" s="12" t="s">
        <v>1813</v>
      </c>
      <c r="F1945" s="11">
        <v>3</v>
      </c>
      <c r="G1945" s="12">
        <v>449.99</v>
      </c>
      <c r="H1945" s="9">
        <v>0.17</v>
      </c>
      <c r="I1945" s="12" t="s">
        <v>1829</v>
      </c>
      <c r="J1945" s="9">
        <v>1120.4751000000001</v>
      </c>
    </row>
    <row r="1946" spans="1:10" x14ac:dyDescent="0.3">
      <c r="A1946" s="22" t="s">
        <v>3755</v>
      </c>
      <c r="B1946" s="10">
        <v>45639</v>
      </c>
      <c r="C1946" s="12" t="s">
        <v>806</v>
      </c>
      <c r="D1946" s="12" t="s">
        <v>1634</v>
      </c>
      <c r="E1946" s="12" t="s">
        <v>1792</v>
      </c>
      <c r="F1946" s="11">
        <v>2</v>
      </c>
      <c r="G1946" s="12">
        <v>249.02</v>
      </c>
      <c r="H1946" s="9">
        <v>0.01</v>
      </c>
      <c r="I1946" s="12" t="s">
        <v>1829</v>
      </c>
      <c r="J1946" s="9">
        <v>493.05959999999999</v>
      </c>
    </row>
    <row r="1947" spans="1:10" x14ac:dyDescent="0.3">
      <c r="A1947" s="22" t="s">
        <v>3756</v>
      </c>
      <c r="B1947" s="10">
        <v>45454</v>
      </c>
      <c r="C1947" s="12" t="s">
        <v>467</v>
      </c>
      <c r="D1947" s="12" t="s">
        <v>1662</v>
      </c>
      <c r="E1947" s="12" t="s">
        <v>1813</v>
      </c>
      <c r="F1947" s="11">
        <v>3</v>
      </c>
      <c r="G1947" s="12">
        <v>223.64</v>
      </c>
      <c r="H1947" s="9">
        <v>0.05</v>
      </c>
      <c r="I1947" s="12" t="s">
        <v>1824</v>
      </c>
      <c r="J1947" s="9">
        <v>637.37399999999991</v>
      </c>
    </row>
    <row r="1948" spans="1:10" x14ac:dyDescent="0.3">
      <c r="A1948" s="22" t="s">
        <v>3757</v>
      </c>
      <c r="B1948" s="10">
        <v>45934</v>
      </c>
      <c r="C1948" s="12" t="s">
        <v>375</v>
      </c>
      <c r="D1948" s="12" t="s">
        <v>1596</v>
      </c>
      <c r="E1948" s="12" t="s">
        <v>1769</v>
      </c>
      <c r="F1948" s="11">
        <v>2</v>
      </c>
      <c r="G1948" s="12">
        <v>92.94</v>
      </c>
      <c r="H1948" s="9">
        <v>0.12</v>
      </c>
      <c r="I1948" s="12" t="s">
        <v>1824</v>
      </c>
      <c r="J1948" s="9">
        <v>163.5744</v>
      </c>
    </row>
    <row r="1949" spans="1:10" x14ac:dyDescent="0.3">
      <c r="A1949" s="22" t="s">
        <v>3758</v>
      </c>
      <c r="B1949" s="10">
        <v>45401</v>
      </c>
      <c r="C1949" s="12" t="s">
        <v>1130</v>
      </c>
      <c r="D1949" s="12" t="s">
        <v>1580</v>
      </c>
      <c r="E1949" s="12" t="s">
        <v>1761</v>
      </c>
      <c r="F1949" s="11">
        <v>4</v>
      </c>
      <c r="G1949" s="12">
        <v>268.3</v>
      </c>
      <c r="H1949" s="9">
        <v>0.02</v>
      </c>
      <c r="I1949" s="12" t="s">
        <v>1829</v>
      </c>
      <c r="J1949" s="9">
        <v>1051.7360000000001</v>
      </c>
    </row>
    <row r="1950" spans="1:10" x14ac:dyDescent="0.3">
      <c r="A1950" s="22" t="s">
        <v>3759</v>
      </c>
      <c r="B1950" s="10">
        <v>45770</v>
      </c>
      <c r="C1950" s="12" t="s">
        <v>1368</v>
      </c>
      <c r="D1950" s="12" t="s">
        <v>1666</v>
      </c>
      <c r="E1950" s="12" t="s">
        <v>1813</v>
      </c>
      <c r="F1950" s="11">
        <v>4</v>
      </c>
      <c r="G1950" s="12">
        <v>835.61</v>
      </c>
      <c r="H1950" s="9">
        <v>0.03</v>
      </c>
      <c r="I1950" s="12" t="s">
        <v>1824</v>
      </c>
      <c r="J1950" s="9">
        <v>3242.1668</v>
      </c>
    </row>
    <row r="1951" spans="1:10" x14ac:dyDescent="0.3">
      <c r="A1951" s="22" t="s">
        <v>3760</v>
      </c>
      <c r="B1951" s="10">
        <v>45405</v>
      </c>
      <c r="C1951" s="12" t="s">
        <v>1193</v>
      </c>
      <c r="D1951" s="12" t="s">
        <v>1684</v>
      </c>
      <c r="E1951" s="12" t="s">
        <v>1773</v>
      </c>
      <c r="F1951" s="11">
        <v>3</v>
      </c>
      <c r="G1951" s="12">
        <v>120.97</v>
      </c>
      <c r="H1951" s="9">
        <v>0.11</v>
      </c>
      <c r="I1951" s="12" t="s">
        <v>1824</v>
      </c>
      <c r="J1951" s="9">
        <v>322.98989999999998</v>
      </c>
    </row>
    <row r="1952" spans="1:10" x14ac:dyDescent="0.3">
      <c r="A1952" s="22" t="s">
        <v>3761</v>
      </c>
      <c r="B1952" s="10">
        <v>45424</v>
      </c>
      <c r="C1952" s="12" t="s">
        <v>124</v>
      </c>
      <c r="D1952" s="12" t="s">
        <v>1628</v>
      </c>
      <c r="E1952" s="12" t="s">
        <v>1786</v>
      </c>
      <c r="F1952" s="11">
        <v>2</v>
      </c>
      <c r="G1952" s="12">
        <v>26.36</v>
      </c>
      <c r="H1952" s="9">
        <v>0.03</v>
      </c>
      <c r="I1952" s="12" t="s">
        <v>1829</v>
      </c>
      <c r="J1952" s="9">
        <v>51.138399999999997</v>
      </c>
    </row>
    <row r="1953" spans="1:10" x14ac:dyDescent="0.3">
      <c r="A1953" s="22" t="s">
        <v>3762</v>
      </c>
      <c r="B1953" s="10">
        <v>45881</v>
      </c>
      <c r="C1953" s="12" t="s">
        <v>134</v>
      </c>
      <c r="D1953" s="12" t="s">
        <v>1702</v>
      </c>
      <c r="E1953" s="12" t="s">
        <v>1776</v>
      </c>
      <c r="F1953" s="11">
        <v>1</v>
      </c>
      <c r="G1953" s="12">
        <v>918.87</v>
      </c>
      <c r="H1953" s="9">
        <v>0.11</v>
      </c>
      <c r="I1953" s="12" t="s">
        <v>1826</v>
      </c>
      <c r="J1953" s="9">
        <v>817.79430000000002</v>
      </c>
    </row>
    <row r="1954" spans="1:10" x14ac:dyDescent="0.3">
      <c r="A1954" s="22" t="s">
        <v>3763</v>
      </c>
      <c r="B1954" s="10">
        <v>45794</v>
      </c>
      <c r="C1954" s="12" t="s">
        <v>127</v>
      </c>
      <c r="D1954" s="12" t="s">
        <v>1682</v>
      </c>
      <c r="E1954" s="12" t="s">
        <v>1792</v>
      </c>
      <c r="F1954" s="11">
        <v>2</v>
      </c>
      <c r="G1954" s="12">
        <v>924.73</v>
      </c>
      <c r="H1954" s="9">
        <v>0.28999999999999998</v>
      </c>
      <c r="I1954" s="12" t="s">
        <v>1826</v>
      </c>
      <c r="J1954" s="9">
        <v>1313.1166000000001</v>
      </c>
    </row>
    <row r="1955" spans="1:10" x14ac:dyDescent="0.3">
      <c r="A1955" s="22" t="s">
        <v>3764</v>
      </c>
      <c r="B1955" s="10">
        <v>45665</v>
      </c>
      <c r="C1955" s="12" t="s">
        <v>93</v>
      </c>
      <c r="D1955" s="12" t="s">
        <v>1572</v>
      </c>
      <c r="E1955" s="12" t="s">
        <v>1789</v>
      </c>
      <c r="F1955" s="11">
        <v>3</v>
      </c>
      <c r="G1955" s="12">
        <v>195.31</v>
      </c>
      <c r="H1955" s="9">
        <v>0.13</v>
      </c>
      <c r="I1955" s="12" t="s">
        <v>1829</v>
      </c>
      <c r="J1955" s="9">
        <v>509.75909999999999</v>
      </c>
    </row>
    <row r="1956" spans="1:10" x14ac:dyDescent="0.3">
      <c r="A1956" s="22" t="s">
        <v>3765</v>
      </c>
      <c r="B1956" s="10">
        <v>45793</v>
      </c>
      <c r="C1956" s="12" t="s">
        <v>481</v>
      </c>
      <c r="D1956" s="12" t="s">
        <v>1624</v>
      </c>
      <c r="E1956" s="12" t="s">
        <v>1782</v>
      </c>
      <c r="F1956" s="11">
        <v>1</v>
      </c>
      <c r="G1956" s="12">
        <v>91.38</v>
      </c>
      <c r="H1956" s="9">
        <v>0.14000000000000001</v>
      </c>
      <c r="I1956" s="12" t="s">
        <v>1824</v>
      </c>
      <c r="J1956" s="9">
        <v>78.586799999999997</v>
      </c>
    </row>
    <row r="1957" spans="1:10" x14ac:dyDescent="0.3">
      <c r="A1957" s="22" t="s">
        <v>3766</v>
      </c>
      <c r="B1957" s="10">
        <v>45563</v>
      </c>
      <c r="C1957" s="12" t="s">
        <v>1487</v>
      </c>
      <c r="D1957" s="12" t="s">
        <v>1720</v>
      </c>
      <c r="E1957" s="12" t="s">
        <v>1792</v>
      </c>
      <c r="F1957" s="11">
        <v>2</v>
      </c>
      <c r="G1957" s="12">
        <v>494.35</v>
      </c>
      <c r="H1957" s="9">
        <v>0.1</v>
      </c>
      <c r="I1957" s="12" t="s">
        <v>1824</v>
      </c>
      <c r="J1957" s="9">
        <v>889.83</v>
      </c>
    </row>
    <row r="1958" spans="1:10" x14ac:dyDescent="0.3">
      <c r="A1958" s="22" t="s">
        <v>3767</v>
      </c>
      <c r="B1958" s="10">
        <v>45577</v>
      </c>
      <c r="C1958" s="12" t="s">
        <v>815</v>
      </c>
      <c r="D1958" s="12" t="s">
        <v>1596</v>
      </c>
      <c r="E1958" s="12" t="s">
        <v>1789</v>
      </c>
      <c r="F1958" s="11">
        <v>1</v>
      </c>
      <c r="G1958" s="12">
        <v>412.2</v>
      </c>
      <c r="H1958" s="9">
        <v>0.11</v>
      </c>
      <c r="I1958" s="12" t="s">
        <v>1824</v>
      </c>
      <c r="J1958" s="9">
        <v>366.858</v>
      </c>
    </row>
    <row r="1959" spans="1:10" x14ac:dyDescent="0.3">
      <c r="A1959" s="22" t="s">
        <v>3768</v>
      </c>
      <c r="B1959" s="10">
        <v>45466</v>
      </c>
      <c r="C1959" s="12" t="s">
        <v>1229</v>
      </c>
      <c r="D1959" s="12" t="s">
        <v>1706</v>
      </c>
      <c r="E1959" s="12" t="s">
        <v>1804</v>
      </c>
      <c r="F1959" s="11">
        <v>1</v>
      </c>
      <c r="G1959" s="12">
        <v>650.47</v>
      </c>
      <c r="H1959" s="9">
        <v>0.13</v>
      </c>
      <c r="I1959" s="12" t="s">
        <v>1826</v>
      </c>
      <c r="J1959" s="9">
        <v>565.90890000000002</v>
      </c>
    </row>
    <row r="1960" spans="1:10" x14ac:dyDescent="0.3">
      <c r="A1960" s="22" t="s">
        <v>3769</v>
      </c>
      <c r="B1960" s="10">
        <v>45256</v>
      </c>
      <c r="C1960" s="12" t="s">
        <v>520</v>
      </c>
      <c r="D1960" s="12" t="s">
        <v>1576</v>
      </c>
      <c r="E1960" s="12" t="s">
        <v>1794</v>
      </c>
      <c r="F1960" s="11">
        <v>1</v>
      </c>
      <c r="G1960" s="12">
        <v>68.209999999999994</v>
      </c>
      <c r="H1960" s="9">
        <v>0.05</v>
      </c>
      <c r="I1960" s="12" t="s">
        <v>1826</v>
      </c>
      <c r="J1960" s="9">
        <v>64.799499999999995</v>
      </c>
    </row>
    <row r="1961" spans="1:10" x14ac:dyDescent="0.3">
      <c r="A1961" s="22" t="s">
        <v>3770</v>
      </c>
      <c r="B1961" s="10">
        <v>45886</v>
      </c>
      <c r="C1961" s="12" t="s">
        <v>461</v>
      </c>
      <c r="D1961" s="12" t="s">
        <v>1654</v>
      </c>
      <c r="E1961" s="12" t="s">
        <v>1779</v>
      </c>
      <c r="F1961" s="11">
        <v>2</v>
      </c>
      <c r="G1961" s="12">
        <v>842.89</v>
      </c>
      <c r="H1961" s="9">
        <v>0.25</v>
      </c>
      <c r="I1961" s="12" t="s">
        <v>1829</v>
      </c>
      <c r="J1961" s="9">
        <v>1264.335</v>
      </c>
    </row>
    <row r="1962" spans="1:10" x14ac:dyDescent="0.3">
      <c r="A1962" s="22" t="s">
        <v>3771</v>
      </c>
      <c r="B1962" s="10">
        <v>45390</v>
      </c>
      <c r="C1962" s="12" t="s">
        <v>948</v>
      </c>
      <c r="D1962" s="12" t="s">
        <v>1555</v>
      </c>
      <c r="E1962" s="12" t="s">
        <v>1769</v>
      </c>
      <c r="F1962" s="11">
        <v>2</v>
      </c>
      <c r="G1962" s="12">
        <v>227.95</v>
      </c>
      <c r="H1962" s="9">
        <v>0.24</v>
      </c>
      <c r="I1962" s="12" t="s">
        <v>1829</v>
      </c>
      <c r="J1962" s="9">
        <v>346.48399999999998</v>
      </c>
    </row>
    <row r="1963" spans="1:10" x14ac:dyDescent="0.3">
      <c r="A1963" s="22" t="s">
        <v>3772</v>
      </c>
      <c r="B1963" s="10">
        <v>45388</v>
      </c>
      <c r="C1963" s="12" t="s">
        <v>631</v>
      </c>
      <c r="D1963" s="12" t="s">
        <v>1680</v>
      </c>
      <c r="E1963" s="12" t="s">
        <v>1794</v>
      </c>
      <c r="F1963" s="11">
        <v>3</v>
      </c>
      <c r="G1963" s="12">
        <v>685.97</v>
      </c>
      <c r="H1963" s="9">
        <v>0.24</v>
      </c>
      <c r="I1963" s="12" t="s">
        <v>1826</v>
      </c>
      <c r="J1963" s="9">
        <v>1564.0116</v>
      </c>
    </row>
    <row r="1964" spans="1:10" x14ac:dyDescent="0.3">
      <c r="A1964" s="22" t="s">
        <v>3773</v>
      </c>
      <c r="B1964" s="10">
        <v>45793</v>
      </c>
      <c r="C1964" s="12" t="s">
        <v>1142</v>
      </c>
      <c r="D1964" s="12" t="s">
        <v>1606</v>
      </c>
      <c r="E1964" s="12" t="s">
        <v>1761</v>
      </c>
      <c r="F1964" s="11">
        <v>1</v>
      </c>
      <c r="G1964" s="12">
        <v>722.57</v>
      </c>
      <c r="H1964" s="9">
        <v>0.18</v>
      </c>
      <c r="I1964" s="12" t="s">
        <v>1824</v>
      </c>
      <c r="J1964" s="9">
        <v>592.50740000000008</v>
      </c>
    </row>
    <row r="1965" spans="1:10" x14ac:dyDescent="0.3">
      <c r="A1965" s="22" t="s">
        <v>3774</v>
      </c>
      <c r="B1965" s="10">
        <v>45615</v>
      </c>
      <c r="C1965" s="12" t="s">
        <v>475</v>
      </c>
      <c r="D1965" s="12" t="s">
        <v>1618</v>
      </c>
      <c r="E1965" s="12" t="s">
        <v>1773</v>
      </c>
      <c r="F1965" s="11">
        <v>3</v>
      </c>
      <c r="G1965" s="12">
        <v>585.54999999999995</v>
      </c>
      <c r="H1965" s="9">
        <v>0.14000000000000001</v>
      </c>
      <c r="I1965" s="12" t="s">
        <v>1829</v>
      </c>
      <c r="J1965" s="9">
        <v>1510.7190000000001</v>
      </c>
    </row>
    <row r="1966" spans="1:10" x14ac:dyDescent="0.3">
      <c r="A1966" s="22" t="s">
        <v>3775</v>
      </c>
      <c r="B1966" s="10">
        <v>45666</v>
      </c>
      <c r="C1966" s="12" t="s">
        <v>975</v>
      </c>
      <c r="D1966" s="12" t="s">
        <v>1640</v>
      </c>
      <c r="E1966" s="12" t="s">
        <v>1797</v>
      </c>
      <c r="F1966" s="11">
        <v>2</v>
      </c>
      <c r="G1966" s="12">
        <v>635.80999999999995</v>
      </c>
      <c r="H1966" s="9">
        <v>0.13</v>
      </c>
      <c r="I1966" s="12" t="s">
        <v>1826</v>
      </c>
      <c r="J1966" s="9">
        <v>1106.3094000000001</v>
      </c>
    </row>
    <row r="1967" spans="1:10" x14ac:dyDescent="0.3">
      <c r="A1967" s="22" t="s">
        <v>3776</v>
      </c>
      <c r="B1967" s="10">
        <v>45644</v>
      </c>
      <c r="C1967" s="12" t="s">
        <v>881</v>
      </c>
      <c r="D1967" s="12" t="s">
        <v>1576</v>
      </c>
      <c r="E1967" s="12" t="s">
        <v>1769</v>
      </c>
      <c r="F1967" s="11">
        <v>2</v>
      </c>
      <c r="G1967" s="12">
        <v>353.74</v>
      </c>
      <c r="H1967" s="9">
        <v>0.01</v>
      </c>
      <c r="I1967" s="12" t="s">
        <v>1824</v>
      </c>
      <c r="J1967" s="9">
        <v>700.40520000000004</v>
      </c>
    </row>
    <row r="1968" spans="1:10" x14ac:dyDescent="0.3">
      <c r="A1968" s="22" t="s">
        <v>3777</v>
      </c>
      <c r="B1968" s="10">
        <v>45648</v>
      </c>
      <c r="C1968" s="12" t="s">
        <v>842</v>
      </c>
      <c r="D1968" s="12" t="s">
        <v>1620</v>
      </c>
      <c r="E1968" s="12" t="s">
        <v>1779</v>
      </c>
      <c r="F1968" s="11">
        <v>1</v>
      </c>
      <c r="G1968" s="12">
        <v>377.52</v>
      </c>
      <c r="H1968" s="9">
        <v>0.15</v>
      </c>
      <c r="I1968" s="12" t="s">
        <v>1824</v>
      </c>
      <c r="J1968" s="9">
        <v>320.892</v>
      </c>
    </row>
    <row r="1969" spans="1:10" x14ac:dyDescent="0.3">
      <c r="A1969" s="22" t="s">
        <v>3778</v>
      </c>
      <c r="B1969" s="10">
        <v>45500</v>
      </c>
      <c r="C1969" s="12" t="s">
        <v>669</v>
      </c>
      <c r="D1969" s="12" t="s">
        <v>1684</v>
      </c>
      <c r="E1969" s="12" t="s">
        <v>1761</v>
      </c>
      <c r="F1969" s="11">
        <v>3</v>
      </c>
      <c r="G1969" s="12">
        <v>901.49</v>
      </c>
      <c r="H1969" s="9">
        <v>0</v>
      </c>
      <c r="I1969" s="12" t="s">
        <v>1824</v>
      </c>
      <c r="J1969" s="9">
        <v>2704.47</v>
      </c>
    </row>
    <row r="1970" spans="1:10" x14ac:dyDescent="0.3">
      <c r="A1970" s="22" t="s">
        <v>3779</v>
      </c>
      <c r="B1970" s="10">
        <v>45806</v>
      </c>
      <c r="C1970" s="12" t="s">
        <v>654</v>
      </c>
      <c r="D1970" s="12" t="s">
        <v>1608</v>
      </c>
      <c r="E1970" s="12" t="s">
        <v>1773</v>
      </c>
      <c r="F1970" s="11">
        <v>1</v>
      </c>
      <c r="G1970" s="12">
        <v>563.01</v>
      </c>
      <c r="H1970" s="9">
        <v>0.1</v>
      </c>
      <c r="I1970" s="12" t="s">
        <v>1824</v>
      </c>
      <c r="J1970" s="9">
        <v>506.709</v>
      </c>
    </row>
    <row r="1971" spans="1:10" x14ac:dyDescent="0.3">
      <c r="A1971" s="22" t="s">
        <v>3780</v>
      </c>
      <c r="B1971" s="10">
        <v>45365</v>
      </c>
      <c r="C1971" s="12" t="s">
        <v>198</v>
      </c>
      <c r="D1971" s="12" t="s">
        <v>1688</v>
      </c>
      <c r="E1971" s="12" t="s">
        <v>1776</v>
      </c>
      <c r="F1971" s="11">
        <v>4</v>
      </c>
      <c r="G1971" s="12">
        <v>167.25</v>
      </c>
      <c r="H1971" s="9">
        <v>0.11</v>
      </c>
      <c r="I1971" s="12" t="s">
        <v>1824</v>
      </c>
      <c r="J1971" s="9">
        <v>595.41</v>
      </c>
    </row>
    <row r="1972" spans="1:10" x14ac:dyDescent="0.3">
      <c r="A1972" s="22" t="s">
        <v>3781</v>
      </c>
      <c r="B1972" s="10">
        <v>45229</v>
      </c>
      <c r="C1972" s="12" t="s">
        <v>1403</v>
      </c>
      <c r="D1972" s="12" t="s">
        <v>1668</v>
      </c>
      <c r="E1972" s="12" t="s">
        <v>1810</v>
      </c>
      <c r="F1972" s="11">
        <v>3</v>
      </c>
      <c r="G1972" s="12">
        <v>345.43</v>
      </c>
      <c r="H1972" s="9">
        <v>0.08</v>
      </c>
      <c r="I1972" s="12" t="s">
        <v>1829</v>
      </c>
      <c r="J1972" s="9">
        <v>953.38679999999999</v>
      </c>
    </row>
    <row r="1973" spans="1:10" x14ac:dyDescent="0.3">
      <c r="A1973" s="22" t="s">
        <v>3782</v>
      </c>
      <c r="B1973" s="10">
        <v>45349</v>
      </c>
      <c r="C1973" s="12" t="s">
        <v>972</v>
      </c>
      <c r="D1973" s="12" t="s">
        <v>1712</v>
      </c>
      <c r="E1973" s="12" t="s">
        <v>1786</v>
      </c>
      <c r="F1973" s="11">
        <v>4</v>
      </c>
      <c r="G1973" s="12">
        <v>752.48</v>
      </c>
      <c r="H1973" s="9">
        <v>0.23</v>
      </c>
      <c r="I1973" s="12" t="s">
        <v>1824</v>
      </c>
      <c r="J1973" s="9">
        <v>2317.6383999999998</v>
      </c>
    </row>
    <row r="1974" spans="1:10" x14ac:dyDescent="0.3">
      <c r="A1974" s="22" t="s">
        <v>3783</v>
      </c>
      <c r="B1974" s="10">
        <v>45886</v>
      </c>
      <c r="C1974" s="12" t="s">
        <v>1389</v>
      </c>
      <c r="D1974" s="12" t="s">
        <v>1662</v>
      </c>
      <c r="E1974" s="12" t="s">
        <v>1813</v>
      </c>
      <c r="F1974" s="11">
        <v>1</v>
      </c>
      <c r="G1974" s="12">
        <v>120.02</v>
      </c>
      <c r="H1974" s="9">
        <v>0.26</v>
      </c>
      <c r="I1974" s="12" t="s">
        <v>1824</v>
      </c>
      <c r="J1974" s="9">
        <v>88.814799999999991</v>
      </c>
    </row>
    <row r="1975" spans="1:10" x14ac:dyDescent="0.3">
      <c r="A1975" s="22" t="s">
        <v>3784</v>
      </c>
      <c r="B1975" s="10">
        <v>45359</v>
      </c>
      <c r="C1975" s="12" t="s">
        <v>1017</v>
      </c>
      <c r="D1975" s="12" t="s">
        <v>1630</v>
      </c>
      <c r="E1975" s="12" t="s">
        <v>1782</v>
      </c>
      <c r="F1975" s="11">
        <v>3</v>
      </c>
      <c r="G1975" s="12">
        <v>146.71</v>
      </c>
      <c r="H1975" s="9">
        <v>0.28000000000000003</v>
      </c>
      <c r="I1975" s="12" t="s">
        <v>1824</v>
      </c>
      <c r="J1975" s="9">
        <v>316.89359999999999</v>
      </c>
    </row>
    <row r="1976" spans="1:10" x14ac:dyDescent="0.3">
      <c r="A1976" s="22" t="s">
        <v>3785</v>
      </c>
      <c r="B1976" s="10">
        <v>45730</v>
      </c>
      <c r="C1976" s="12" t="s">
        <v>298</v>
      </c>
      <c r="D1976" s="12" t="s">
        <v>1676</v>
      </c>
      <c r="E1976" s="12" t="s">
        <v>1752</v>
      </c>
      <c r="F1976" s="11">
        <v>2</v>
      </c>
      <c r="G1976" s="12">
        <v>358.87</v>
      </c>
      <c r="H1976" s="9">
        <v>0.24</v>
      </c>
      <c r="I1976" s="12" t="s">
        <v>1824</v>
      </c>
      <c r="J1976" s="9">
        <v>545.48239999999998</v>
      </c>
    </row>
    <row r="1977" spans="1:10" x14ac:dyDescent="0.3">
      <c r="A1977" s="22" t="s">
        <v>3786</v>
      </c>
      <c r="B1977" s="10">
        <v>45456</v>
      </c>
      <c r="C1977" s="12" t="s">
        <v>773</v>
      </c>
      <c r="D1977" s="12" t="s">
        <v>1652</v>
      </c>
      <c r="E1977" s="12" t="s">
        <v>1766</v>
      </c>
      <c r="F1977" s="11">
        <v>4</v>
      </c>
      <c r="G1977" s="12">
        <v>212.75</v>
      </c>
      <c r="H1977" s="9">
        <v>0.11</v>
      </c>
      <c r="I1977" s="12" t="s">
        <v>1829</v>
      </c>
      <c r="J1977" s="9">
        <v>757.39</v>
      </c>
    </row>
    <row r="1978" spans="1:10" x14ac:dyDescent="0.3">
      <c r="A1978" s="22" t="s">
        <v>3787</v>
      </c>
      <c r="B1978" s="10">
        <v>45450</v>
      </c>
      <c r="C1978" s="12" t="s">
        <v>1029</v>
      </c>
      <c r="D1978" s="12" t="s">
        <v>1638</v>
      </c>
      <c r="E1978" s="12" t="s">
        <v>1792</v>
      </c>
      <c r="F1978" s="11">
        <v>1</v>
      </c>
      <c r="G1978" s="12">
        <v>183.47</v>
      </c>
      <c r="H1978" s="9">
        <v>0.17</v>
      </c>
      <c r="I1978" s="12" t="s">
        <v>1826</v>
      </c>
      <c r="J1978" s="9">
        <v>152.2801</v>
      </c>
    </row>
    <row r="1979" spans="1:10" x14ac:dyDescent="0.3">
      <c r="A1979" s="22" t="s">
        <v>3788</v>
      </c>
      <c r="B1979" s="10">
        <v>45493</v>
      </c>
      <c r="C1979" s="12" t="s">
        <v>251</v>
      </c>
      <c r="D1979" s="12" t="s">
        <v>1726</v>
      </c>
      <c r="E1979" s="12" t="s">
        <v>1801</v>
      </c>
      <c r="F1979" s="11">
        <v>4</v>
      </c>
      <c r="G1979" s="12">
        <v>569.98</v>
      </c>
      <c r="H1979" s="9">
        <v>0.23</v>
      </c>
      <c r="I1979" s="12" t="s">
        <v>1824</v>
      </c>
      <c r="J1979" s="9">
        <v>1755.5383999999999</v>
      </c>
    </row>
    <row r="1980" spans="1:10" x14ac:dyDescent="0.3">
      <c r="A1980" s="22" t="s">
        <v>3789</v>
      </c>
      <c r="B1980" s="10">
        <v>45274</v>
      </c>
      <c r="C1980" s="12" t="s">
        <v>1455</v>
      </c>
      <c r="D1980" s="12" t="s">
        <v>1590</v>
      </c>
      <c r="E1980" s="12" t="s">
        <v>1794</v>
      </c>
      <c r="F1980" s="11">
        <v>3</v>
      </c>
      <c r="G1980" s="12">
        <v>984.12</v>
      </c>
      <c r="H1980" s="9">
        <v>0.27</v>
      </c>
      <c r="I1980" s="12" t="s">
        <v>1824</v>
      </c>
      <c r="J1980" s="9">
        <v>2155.2228</v>
      </c>
    </row>
    <row r="1981" spans="1:10" x14ac:dyDescent="0.3">
      <c r="A1981" s="22" t="s">
        <v>3790</v>
      </c>
      <c r="B1981" s="10">
        <v>45844</v>
      </c>
      <c r="C1981" s="12" t="s">
        <v>1458</v>
      </c>
      <c r="D1981" s="12" t="s">
        <v>1716</v>
      </c>
      <c r="E1981" s="12" t="s">
        <v>1782</v>
      </c>
      <c r="F1981" s="11">
        <v>1</v>
      </c>
      <c r="G1981" s="12">
        <v>905.23</v>
      </c>
      <c r="H1981" s="9">
        <v>0</v>
      </c>
      <c r="I1981" s="12" t="s">
        <v>1824</v>
      </c>
      <c r="J1981" s="9">
        <v>905.23</v>
      </c>
    </row>
    <row r="1982" spans="1:10" x14ac:dyDescent="0.3">
      <c r="A1982" s="22" t="s">
        <v>3791</v>
      </c>
      <c r="B1982" s="10">
        <v>45264</v>
      </c>
      <c r="C1982" s="12" t="s">
        <v>613</v>
      </c>
      <c r="D1982" s="12" t="s">
        <v>1746</v>
      </c>
      <c r="E1982" s="12" t="s">
        <v>1813</v>
      </c>
      <c r="F1982" s="11">
        <v>3</v>
      </c>
      <c r="G1982" s="12">
        <v>112.77</v>
      </c>
      <c r="H1982" s="9">
        <v>0.19</v>
      </c>
      <c r="I1982" s="12" t="s">
        <v>1824</v>
      </c>
      <c r="J1982" s="9">
        <v>274.03109999999998</v>
      </c>
    </row>
    <row r="1983" spans="1:10" x14ac:dyDescent="0.3">
      <c r="A1983" s="22" t="s">
        <v>3792</v>
      </c>
      <c r="B1983" s="10">
        <v>45773</v>
      </c>
      <c r="C1983" s="12" t="s">
        <v>538</v>
      </c>
      <c r="D1983" s="12" t="s">
        <v>1618</v>
      </c>
      <c r="E1983" s="12" t="s">
        <v>1782</v>
      </c>
      <c r="F1983" s="11">
        <v>3</v>
      </c>
      <c r="G1983" s="12">
        <v>875.99</v>
      </c>
      <c r="H1983" s="9">
        <v>0.09</v>
      </c>
      <c r="I1983" s="12" t="s">
        <v>1826</v>
      </c>
      <c r="J1983" s="9">
        <v>2391.4526999999998</v>
      </c>
    </row>
    <row r="1984" spans="1:10" x14ac:dyDescent="0.3">
      <c r="A1984" s="22" t="s">
        <v>3793</v>
      </c>
      <c r="B1984" s="10">
        <v>45460</v>
      </c>
      <c r="C1984" s="12" t="s">
        <v>441</v>
      </c>
      <c r="D1984" s="12" t="s">
        <v>1726</v>
      </c>
      <c r="E1984" s="12" t="s">
        <v>1789</v>
      </c>
      <c r="F1984" s="11">
        <v>2</v>
      </c>
      <c r="G1984" s="12">
        <v>685.31</v>
      </c>
      <c r="H1984" s="9">
        <v>0.26</v>
      </c>
      <c r="I1984" s="12" t="s">
        <v>1826</v>
      </c>
      <c r="J1984" s="9">
        <v>1014.2588</v>
      </c>
    </row>
    <row r="1985" spans="1:10" x14ac:dyDescent="0.3">
      <c r="A1985" s="22" t="s">
        <v>3794</v>
      </c>
      <c r="B1985" s="10">
        <v>45607</v>
      </c>
      <c r="C1985" s="12" t="s">
        <v>198</v>
      </c>
      <c r="D1985" s="12" t="s">
        <v>1670</v>
      </c>
      <c r="E1985" s="12" t="s">
        <v>1792</v>
      </c>
      <c r="F1985" s="11">
        <v>3</v>
      </c>
      <c r="G1985" s="12">
        <v>945.37</v>
      </c>
      <c r="H1985" s="9">
        <v>0.05</v>
      </c>
      <c r="I1985" s="12" t="s">
        <v>1824</v>
      </c>
      <c r="J1985" s="9">
        <v>2694.3045000000002</v>
      </c>
    </row>
    <row r="1986" spans="1:10" x14ac:dyDescent="0.3">
      <c r="A1986" s="22" t="s">
        <v>3795</v>
      </c>
      <c r="B1986" s="10">
        <v>45267</v>
      </c>
      <c r="C1986" s="12" t="s">
        <v>100</v>
      </c>
      <c r="D1986" s="12" t="s">
        <v>1700</v>
      </c>
      <c r="E1986" s="12" t="s">
        <v>1813</v>
      </c>
      <c r="F1986" s="11">
        <v>3</v>
      </c>
      <c r="G1986" s="12">
        <v>68.45</v>
      </c>
      <c r="H1986" s="9">
        <v>0.17</v>
      </c>
      <c r="I1986" s="12" t="s">
        <v>1826</v>
      </c>
      <c r="J1986" s="9">
        <v>170.44049999999999</v>
      </c>
    </row>
    <row r="1987" spans="1:10" x14ac:dyDescent="0.3">
      <c r="G1987" s="1">
        <f>SUM(G2:G1986)</f>
        <v>1019759.8899999997</v>
      </c>
      <c r="H1987">
        <f>SUM(H2:H1986)</f>
        <v>294.4100000000002</v>
      </c>
      <c r="J1987">
        <f>SUM(J2:J1986)</f>
        <v>2155273.7476000008</v>
      </c>
    </row>
    <row r="1997" spans="1:10" x14ac:dyDescent="0.3">
      <c r="I1997"/>
    </row>
  </sheetData>
  <autoFilter ref="A1:J1987" xr:uid="{00000000-0001-0000-0300-000000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A538-920E-469A-AB7D-732CEA400FA0}">
  <dimension ref="A3:E20"/>
  <sheetViews>
    <sheetView workbookViewId="0">
      <selection activeCell="B9" sqref="A3:E20"/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4" width="6.33203125" bestFit="1" customWidth="1"/>
    <col min="5" max="5" width="10.77734375" bestFit="1" customWidth="1"/>
    <col min="6" max="6" width="5.21875" bestFit="1" customWidth="1"/>
    <col min="7" max="7" width="11" bestFit="1" customWidth="1"/>
    <col min="8" max="8" width="8.33203125" bestFit="1" customWidth="1"/>
    <col min="9" max="9" width="5.21875" bestFit="1" customWidth="1"/>
    <col min="10" max="10" width="11" bestFit="1" customWidth="1"/>
    <col min="11" max="11" width="10.77734375" bestFit="1" customWidth="1"/>
    <col min="12" max="12" width="5.88671875" bestFit="1" customWidth="1"/>
    <col min="13" max="13" width="6.33203125" bestFit="1" customWidth="1"/>
    <col min="14" max="14" width="7.33203125" bestFit="1" customWidth="1"/>
    <col min="15" max="15" width="5.109375" bestFit="1" customWidth="1"/>
    <col min="16" max="16" width="6.77734375" bestFit="1" customWidth="1"/>
    <col min="17" max="18" width="8.88671875" bestFit="1" customWidth="1"/>
    <col min="19" max="19" width="6.33203125" bestFit="1" customWidth="1"/>
    <col min="20" max="20" width="9.109375" bestFit="1" customWidth="1"/>
    <col min="21" max="21" width="13.44140625" bestFit="1" customWidth="1"/>
    <col min="22" max="22" width="8.77734375" bestFit="1" customWidth="1"/>
    <col min="23" max="23" width="10" bestFit="1" customWidth="1"/>
    <col min="24" max="24" width="9.88671875" bestFit="1" customWidth="1"/>
    <col min="25" max="25" width="8.109375" bestFit="1" customWidth="1"/>
    <col min="26" max="26" width="8.77734375" bestFit="1" customWidth="1"/>
    <col min="27" max="27" width="8.88671875" bestFit="1" customWidth="1"/>
    <col min="28" max="28" width="7.44140625" bestFit="1" customWidth="1"/>
    <col min="29" max="29" width="14.33203125" bestFit="1" customWidth="1"/>
    <col min="30" max="30" width="10.33203125" bestFit="1" customWidth="1"/>
    <col min="31" max="31" width="11.33203125" bestFit="1" customWidth="1"/>
    <col min="32" max="32" width="9" bestFit="1" customWidth="1"/>
    <col min="33" max="33" width="13.33203125" bestFit="1" customWidth="1"/>
    <col min="34" max="34" width="12.33203125" bestFit="1" customWidth="1"/>
    <col min="35" max="35" width="5" bestFit="1" customWidth="1"/>
    <col min="36" max="36" width="9.6640625" bestFit="1" customWidth="1"/>
    <col min="37" max="37" width="7.21875" bestFit="1" customWidth="1"/>
    <col min="38" max="38" width="12.109375" bestFit="1" customWidth="1"/>
    <col min="39" max="39" width="11.88671875" bestFit="1" customWidth="1"/>
    <col min="40" max="40" width="13.44140625" bestFit="1" customWidth="1"/>
    <col min="41" max="41" width="12.44140625" bestFit="1" customWidth="1"/>
    <col min="42" max="42" width="9.77734375" bestFit="1" customWidth="1"/>
    <col min="43" max="43" width="5.109375" bestFit="1" customWidth="1"/>
    <col min="44" max="44" width="8.44140625" bestFit="1" customWidth="1"/>
    <col min="45" max="45" width="7.33203125" bestFit="1" customWidth="1"/>
    <col min="46" max="46" width="11.109375" bestFit="1" customWidth="1"/>
    <col min="47" max="47" width="12" bestFit="1" customWidth="1"/>
    <col min="48" max="48" width="9.44140625" bestFit="1" customWidth="1"/>
    <col min="49" max="49" width="16.6640625" bestFit="1" customWidth="1"/>
    <col min="50" max="50" width="8.44140625" bestFit="1" customWidth="1"/>
    <col min="51" max="51" width="6.44140625" bestFit="1" customWidth="1"/>
    <col min="52" max="52" width="7.33203125" bestFit="1" customWidth="1"/>
    <col min="53" max="53" width="8.5546875" bestFit="1" customWidth="1"/>
    <col min="54" max="54" width="9" bestFit="1" customWidth="1"/>
    <col min="55" max="55" width="8.6640625" bestFit="1" customWidth="1"/>
    <col min="56" max="56" width="11.109375" bestFit="1" customWidth="1"/>
    <col min="57" max="57" width="8.77734375" bestFit="1" customWidth="1"/>
    <col min="58" max="58" width="6.6640625" bestFit="1" customWidth="1"/>
    <col min="59" max="59" width="7.44140625" bestFit="1" customWidth="1"/>
    <col min="60" max="60" width="6.5546875" bestFit="1" customWidth="1"/>
    <col min="61" max="61" width="5.88671875" bestFit="1" customWidth="1"/>
    <col min="62" max="62" width="6.33203125" bestFit="1" customWidth="1"/>
    <col min="63" max="63" width="7.33203125" bestFit="1" customWidth="1"/>
    <col min="64" max="64" width="5.109375" bestFit="1" customWidth="1"/>
    <col min="65" max="65" width="6.77734375" bestFit="1" customWidth="1"/>
    <col min="66" max="67" width="8.88671875" bestFit="1" customWidth="1"/>
    <col min="68" max="68" width="6.33203125" bestFit="1" customWidth="1"/>
    <col min="69" max="69" width="9.109375" bestFit="1" customWidth="1"/>
    <col min="70" max="70" width="8.77734375" bestFit="1" customWidth="1"/>
    <col min="71" max="71" width="10" bestFit="1" customWidth="1"/>
    <col min="72" max="72" width="9.88671875" bestFit="1" customWidth="1"/>
    <col min="73" max="73" width="8.109375" bestFit="1" customWidth="1"/>
    <col min="74" max="74" width="8.77734375" bestFit="1" customWidth="1"/>
    <col min="75" max="75" width="8.88671875" bestFit="1" customWidth="1"/>
    <col min="76" max="76" width="7.44140625" bestFit="1" customWidth="1"/>
    <col min="77" max="77" width="14.33203125" bestFit="1" customWidth="1"/>
    <col min="78" max="78" width="10.33203125" bestFit="1" customWidth="1"/>
    <col min="79" max="79" width="11.33203125" bestFit="1" customWidth="1"/>
    <col min="80" max="80" width="9" bestFit="1" customWidth="1"/>
    <col min="81" max="81" width="13.33203125" bestFit="1" customWidth="1"/>
    <col min="82" max="82" width="12.33203125" bestFit="1" customWidth="1"/>
    <col min="83" max="83" width="5" bestFit="1" customWidth="1"/>
    <col min="84" max="84" width="9.6640625" bestFit="1" customWidth="1"/>
    <col min="85" max="85" width="7.21875" bestFit="1" customWidth="1"/>
    <col min="86" max="86" width="12.109375" bestFit="1" customWidth="1"/>
    <col min="87" max="87" width="11.88671875" bestFit="1" customWidth="1"/>
    <col min="88" max="88" width="13.44140625" bestFit="1" customWidth="1"/>
    <col min="89" max="89" width="12.44140625" bestFit="1" customWidth="1"/>
    <col min="90" max="90" width="9.77734375" bestFit="1" customWidth="1"/>
    <col min="91" max="91" width="5.6640625" bestFit="1" customWidth="1"/>
    <col min="92" max="92" width="5.109375" bestFit="1" customWidth="1"/>
    <col min="93" max="93" width="8.44140625" bestFit="1" customWidth="1"/>
    <col min="94" max="94" width="7.33203125" bestFit="1" customWidth="1"/>
    <col min="95" max="95" width="11.109375" bestFit="1" customWidth="1"/>
    <col min="96" max="96" width="12" bestFit="1" customWidth="1"/>
    <col min="97" max="97" width="9.44140625" bestFit="1" customWidth="1"/>
    <col min="98" max="98" width="9.109375" bestFit="1" customWidth="1"/>
    <col min="99" max="99" width="11" bestFit="1" customWidth="1"/>
    <col min="100" max="100" width="8.44140625" bestFit="1" customWidth="1"/>
    <col min="101" max="101" width="6.44140625" bestFit="1" customWidth="1"/>
    <col min="102" max="102" width="7.33203125" bestFit="1" customWidth="1"/>
    <col min="103" max="103" width="8.5546875" bestFit="1" customWidth="1"/>
    <col min="104" max="104" width="9" bestFit="1" customWidth="1"/>
    <col min="105" max="105" width="8.6640625" bestFit="1" customWidth="1"/>
    <col min="106" max="106" width="11.109375" bestFit="1" customWidth="1"/>
    <col min="107" max="107" width="8.77734375" bestFit="1" customWidth="1"/>
    <col min="108" max="108" width="6.6640625" bestFit="1" customWidth="1"/>
    <col min="109" max="109" width="7.44140625" bestFit="1" customWidth="1"/>
    <col min="110" max="110" width="5.88671875" bestFit="1" customWidth="1"/>
    <col min="111" max="111" width="6.33203125" bestFit="1" customWidth="1"/>
    <col min="112" max="112" width="7.33203125" bestFit="1" customWidth="1"/>
    <col min="113" max="113" width="5.109375" bestFit="1" customWidth="1"/>
    <col min="114" max="114" width="6.77734375" bestFit="1" customWidth="1"/>
    <col min="115" max="116" width="8.88671875" bestFit="1" customWidth="1"/>
    <col min="117" max="117" width="6.33203125" bestFit="1" customWidth="1"/>
    <col min="118" max="118" width="9.109375" bestFit="1" customWidth="1"/>
    <col min="119" max="119" width="8.77734375" bestFit="1" customWidth="1"/>
    <col min="120" max="120" width="10" bestFit="1" customWidth="1"/>
    <col min="121" max="121" width="9.88671875" bestFit="1" customWidth="1"/>
    <col min="122" max="122" width="8.109375" bestFit="1" customWidth="1"/>
    <col min="123" max="123" width="8.77734375" bestFit="1" customWidth="1"/>
    <col min="124" max="124" width="8.88671875" bestFit="1" customWidth="1"/>
    <col min="125" max="125" width="7.44140625" bestFit="1" customWidth="1"/>
    <col min="126" max="126" width="14.33203125" bestFit="1" customWidth="1"/>
    <col min="127" max="127" width="10.33203125" bestFit="1" customWidth="1"/>
    <col min="128" max="128" width="11.33203125" bestFit="1" customWidth="1"/>
    <col min="129" max="129" width="9" bestFit="1" customWidth="1"/>
    <col min="130" max="130" width="13.33203125" bestFit="1" customWidth="1"/>
    <col min="131" max="131" width="12.33203125" bestFit="1" customWidth="1"/>
    <col min="132" max="132" width="5" bestFit="1" customWidth="1"/>
    <col min="133" max="133" width="9.6640625" bestFit="1" customWidth="1"/>
    <col min="134" max="134" width="7.21875" bestFit="1" customWidth="1"/>
    <col min="135" max="135" width="12.109375" bestFit="1" customWidth="1"/>
    <col min="136" max="136" width="11.88671875" bestFit="1" customWidth="1"/>
    <col min="137" max="137" width="13.44140625" bestFit="1" customWidth="1"/>
    <col min="138" max="138" width="12.44140625" bestFit="1" customWidth="1"/>
    <col min="139" max="139" width="9.77734375" bestFit="1" customWidth="1"/>
    <col min="140" max="140" width="5.6640625" bestFit="1" customWidth="1"/>
    <col min="141" max="141" width="5.109375" bestFit="1" customWidth="1"/>
    <col min="142" max="142" width="8.44140625" bestFit="1" customWidth="1"/>
    <col min="143" max="143" width="7.33203125" bestFit="1" customWidth="1"/>
    <col min="144" max="144" width="11.109375" bestFit="1" customWidth="1"/>
    <col min="145" max="145" width="12" bestFit="1" customWidth="1"/>
    <col min="146" max="146" width="9.44140625" bestFit="1" customWidth="1"/>
    <col min="147" max="147" width="9.109375" bestFit="1" customWidth="1"/>
    <col min="148" max="148" width="11" bestFit="1" customWidth="1"/>
    <col min="149" max="149" width="10.77734375" bestFit="1" customWidth="1"/>
    <col min="150" max="150" width="17.21875" bestFit="1" customWidth="1"/>
    <col min="151" max="151" width="14.6640625" bestFit="1" customWidth="1"/>
    <col min="152" max="152" width="17" bestFit="1" customWidth="1"/>
    <col min="153" max="153" width="14.21875" bestFit="1" customWidth="1"/>
    <col min="154" max="154" width="17" bestFit="1" customWidth="1"/>
    <col min="155" max="155" width="9.6640625" bestFit="1" customWidth="1"/>
    <col min="156" max="156" width="12.109375" bestFit="1" customWidth="1"/>
    <col min="157" max="157" width="13.5546875" bestFit="1" customWidth="1"/>
    <col min="158" max="158" width="11.33203125" bestFit="1" customWidth="1"/>
    <col min="159" max="159" width="14.44140625" bestFit="1" customWidth="1"/>
    <col min="160" max="160" width="9.88671875" bestFit="1" customWidth="1"/>
    <col min="161" max="161" width="11.44140625" bestFit="1" customWidth="1"/>
    <col min="162" max="162" width="11.21875" bestFit="1" customWidth="1"/>
    <col min="163" max="163" width="12.33203125" bestFit="1" customWidth="1"/>
    <col min="164" max="164" width="12.44140625" bestFit="1" customWidth="1"/>
    <col min="165" max="165" width="10.5546875" bestFit="1" customWidth="1"/>
    <col min="166" max="166" width="12" bestFit="1" customWidth="1"/>
    <col min="167" max="167" width="13.77734375" bestFit="1" customWidth="1"/>
    <col min="168" max="168" width="12.77734375" bestFit="1" customWidth="1"/>
    <col min="169" max="169" width="8.77734375" bestFit="1" customWidth="1"/>
    <col min="170" max="170" width="10.5546875" bestFit="1" customWidth="1"/>
    <col min="171" max="171" width="11.44140625" bestFit="1" customWidth="1"/>
    <col min="172" max="172" width="11.33203125" bestFit="1" customWidth="1"/>
    <col min="173" max="173" width="10.88671875" bestFit="1" customWidth="1"/>
    <col min="174" max="174" width="10" bestFit="1" customWidth="1"/>
    <col min="175" max="175" width="15.88671875" bestFit="1" customWidth="1"/>
    <col min="176" max="176" width="11.21875" bestFit="1" customWidth="1"/>
    <col min="177" max="177" width="11.77734375" bestFit="1" customWidth="1"/>
    <col min="178" max="178" width="11.5546875" bestFit="1" customWidth="1"/>
    <col min="179" max="179" width="10.21875" bestFit="1" customWidth="1"/>
    <col min="180" max="180" width="10.44140625" bestFit="1" customWidth="1"/>
    <col min="181" max="181" width="19" bestFit="1" customWidth="1"/>
    <col min="182" max="182" width="11.109375" bestFit="1" customWidth="1"/>
    <col min="183" max="183" width="16.33203125" bestFit="1" customWidth="1"/>
    <col min="184" max="185" width="12.6640625" bestFit="1" customWidth="1"/>
    <col min="186" max="186" width="13.5546875" bestFit="1" customWidth="1"/>
    <col min="187" max="187" width="12.6640625" bestFit="1" customWidth="1"/>
    <col min="188" max="188" width="13.6640625" bestFit="1" customWidth="1"/>
    <col min="189" max="189" width="9.5546875" bestFit="1" customWidth="1"/>
    <col min="190" max="190" width="13.109375" bestFit="1" customWidth="1"/>
    <col min="191" max="191" width="10.77734375" bestFit="1" customWidth="1"/>
    <col min="192" max="192" width="13.77734375" bestFit="1" customWidth="1"/>
    <col min="193" max="193" width="10.109375" bestFit="1" customWidth="1"/>
    <col min="194" max="194" width="12.21875" bestFit="1" customWidth="1"/>
    <col min="195" max="195" width="17.77734375" bestFit="1" customWidth="1"/>
    <col min="196" max="196" width="12.88671875" bestFit="1" customWidth="1"/>
    <col min="197" max="197" width="17.5546875" bestFit="1" customWidth="1"/>
    <col min="198" max="198" width="15.5546875" bestFit="1" customWidth="1"/>
    <col min="199" max="199" width="10.88671875" bestFit="1" customWidth="1"/>
    <col min="200" max="200" width="14.109375" bestFit="1" customWidth="1"/>
    <col min="201" max="201" width="16.44140625" bestFit="1" customWidth="1"/>
    <col min="202" max="202" width="10.109375" bestFit="1" customWidth="1"/>
    <col min="203" max="203" width="14.88671875" bestFit="1" customWidth="1"/>
    <col min="204" max="204" width="15.44140625" bestFit="1" customWidth="1"/>
    <col min="205" max="205" width="13.77734375" bestFit="1" customWidth="1"/>
    <col min="206" max="206" width="13.109375" bestFit="1" customWidth="1"/>
    <col min="207" max="207" width="12.6640625" bestFit="1" customWidth="1"/>
    <col min="208" max="208" width="16.33203125" bestFit="1" customWidth="1"/>
    <col min="209" max="209" width="20.109375" bestFit="1" customWidth="1"/>
    <col min="210" max="210" width="19.5546875" bestFit="1" customWidth="1"/>
    <col min="211" max="211" width="10.88671875" bestFit="1" customWidth="1"/>
    <col min="212" max="212" width="14" bestFit="1" customWidth="1"/>
    <col min="213" max="213" width="16.6640625" bestFit="1" customWidth="1"/>
    <col min="214" max="214" width="11.6640625" bestFit="1" customWidth="1"/>
    <col min="215" max="215" width="8.77734375" bestFit="1" customWidth="1"/>
    <col min="216" max="216" width="14.21875" bestFit="1" customWidth="1"/>
    <col min="217" max="217" width="11.44140625" bestFit="1" customWidth="1"/>
    <col min="218" max="218" width="9.109375" bestFit="1" customWidth="1"/>
    <col min="219" max="219" width="10.109375" bestFit="1" customWidth="1"/>
    <col min="220" max="220" width="11.88671875" bestFit="1" customWidth="1"/>
    <col min="221" max="221" width="11.33203125" bestFit="1" customWidth="1"/>
    <col min="222" max="222" width="12.5546875" bestFit="1" customWidth="1"/>
    <col min="223" max="223" width="11.5546875" bestFit="1" customWidth="1"/>
    <col min="224" max="224" width="12" bestFit="1" customWidth="1"/>
    <col min="225" max="225" width="11.44140625" bestFit="1" customWidth="1"/>
    <col min="226" max="226" width="9.77734375" bestFit="1" customWidth="1"/>
    <col min="227" max="227" width="12.5546875" bestFit="1" customWidth="1"/>
    <col min="228" max="228" width="16.77734375" bestFit="1" customWidth="1"/>
    <col min="229" max="229" width="8.6640625" bestFit="1" customWidth="1"/>
    <col min="230" max="230" width="8.77734375" bestFit="1" customWidth="1"/>
    <col min="231" max="231" width="9.77734375" bestFit="1" customWidth="1"/>
    <col min="232" max="232" width="10.33203125" bestFit="1" customWidth="1"/>
    <col min="233" max="233" width="11.5546875" bestFit="1" customWidth="1"/>
    <col min="234" max="234" width="10.33203125" bestFit="1" customWidth="1"/>
    <col min="235" max="235" width="9.88671875" bestFit="1" customWidth="1"/>
    <col min="236" max="236" width="9.77734375" bestFit="1" customWidth="1"/>
    <col min="237" max="237" width="11.5546875" bestFit="1" customWidth="1"/>
    <col min="238" max="238" width="17.88671875" bestFit="1" customWidth="1"/>
    <col min="239" max="239" width="8.5546875" bestFit="1" customWidth="1"/>
    <col min="240" max="240" width="9.6640625" bestFit="1" customWidth="1"/>
    <col min="241" max="241" width="9.44140625" bestFit="1" customWidth="1"/>
    <col min="242" max="242" width="12.5546875" bestFit="1" customWidth="1"/>
    <col min="243" max="243" width="11.33203125" bestFit="1" customWidth="1"/>
    <col min="244" max="244" width="10.21875" bestFit="1" customWidth="1"/>
    <col min="245" max="245" width="11.21875" bestFit="1" customWidth="1"/>
    <col min="246" max="246" width="10.5546875" bestFit="1" customWidth="1"/>
    <col min="247" max="247" width="10.77734375" bestFit="1" customWidth="1"/>
    <col min="248" max="248" width="13.5546875" bestFit="1" customWidth="1"/>
    <col min="249" max="249" width="11.5546875" bestFit="1" customWidth="1"/>
    <col min="250" max="250" width="9.109375" bestFit="1" customWidth="1"/>
    <col min="251" max="251" width="15.6640625" bestFit="1" customWidth="1"/>
    <col min="252" max="252" width="11.88671875" bestFit="1" customWidth="1"/>
    <col min="253" max="253" width="11.33203125" bestFit="1" customWidth="1"/>
    <col min="254" max="254" width="12.44140625" bestFit="1" customWidth="1"/>
    <col min="255" max="255" width="9.5546875" bestFit="1" customWidth="1"/>
    <col min="256" max="256" width="12" bestFit="1" customWidth="1"/>
    <col min="257" max="257" width="11.5546875" bestFit="1" customWidth="1"/>
    <col min="258" max="258" width="11.77734375" bestFit="1" customWidth="1"/>
    <col min="259" max="259" width="8.77734375" bestFit="1" customWidth="1"/>
    <col min="261" max="261" width="8.33203125" bestFit="1" customWidth="1"/>
    <col min="262" max="262" width="9.21875" bestFit="1" customWidth="1"/>
    <col min="263" max="263" width="13.88671875" bestFit="1" customWidth="1"/>
    <col min="264" max="264" width="15.6640625" bestFit="1" customWidth="1"/>
    <col min="265" max="265" width="12.88671875" bestFit="1" customWidth="1"/>
    <col min="266" max="266" width="12.77734375" bestFit="1" customWidth="1"/>
    <col min="267" max="267" width="17" bestFit="1" customWidth="1"/>
    <col min="268" max="268" width="11.77734375" bestFit="1" customWidth="1"/>
    <col min="269" max="269" width="15.21875" bestFit="1" customWidth="1"/>
    <col min="270" max="270" width="14.21875" bestFit="1" customWidth="1"/>
    <col min="271" max="271" width="12.6640625" bestFit="1" customWidth="1"/>
    <col min="272" max="272" width="15.77734375" bestFit="1" customWidth="1"/>
    <col min="273" max="273" width="14.88671875" bestFit="1" customWidth="1"/>
    <col min="274" max="274" width="12" bestFit="1" customWidth="1"/>
    <col min="275" max="275" width="16.33203125" bestFit="1" customWidth="1"/>
    <col min="276" max="276" width="15.6640625" bestFit="1" customWidth="1"/>
    <col min="277" max="277" width="10.6640625" bestFit="1" customWidth="1"/>
    <col min="278" max="278" width="7.88671875" bestFit="1" customWidth="1"/>
    <col min="279" max="279" width="8.6640625" bestFit="1" customWidth="1"/>
    <col min="280" max="280" width="9" bestFit="1" customWidth="1"/>
    <col min="281" max="281" width="11.5546875" bestFit="1" customWidth="1"/>
    <col min="282" max="282" width="11.21875" bestFit="1" customWidth="1"/>
    <col min="283" max="283" width="9.6640625" bestFit="1" customWidth="1"/>
    <col min="284" max="284" width="10.77734375" bestFit="1" customWidth="1"/>
    <col min="285" max="285" width="10.33203125" bestFit="1" customWidth="1"/>
    <col min="286" max="286" width="8.5546875" bestFit="1" customWidth="1"/>
    <col min="287" max="287" width="13.33203125" bestFit="1" customWidth="1"/>
    <col min="288" max="288" width="15.77734375" bestFit="1" customWidth="1"/>
    <col min="289" max="289" width="14" bestFit="1" customWidth="1"/>
    <col min="290" max="290" width="14.77734375" bestFit="1" customWidth="1"/>
    <col min="291" max="291" width="9.44140625" bestFit="1" customWidth="1"/>
    <col min="292" max="292" width="15.6640625" bestFit="1" customWidth="1"/>
    <col min="293" max="293" width="15.44140625" bestFit="1" customWidth="1"/>
    <col min="294" max="294" width="15.6640625" bestFit="1" customWidth="1"/>
    <col min="295" max="295" width="9.88671875" bestFit="1" customWidth="1"/>
    <col min="296" max="296" width="9.33203125" bestFit="1" customWidth="1"/>
    <col min="297" max="297" width="8.77734375" bestFit="1" customWidth="1"/>
    <col min="298" max="298" width="11.44140625" bestFit="1" customWidth="1"/>
    <col min="299" max="299" width="12.109375" bestFit="1" customWidth="1"/>
    <col min="300" max="300" width="20" bestFit="1" customWidth="1"/>
    <col min="301" max="301" width="14.33203125" bestFit="1" customWidth="1"/>
    <col min="302" max="302" width="17.44140625" bestFit="1" customWidth="1"/>
    <col min="303" max="303" width="11.5546875" bestFit="1" customWidth="1"/>
    <col min="304" max="306" width="14.33203125" bestFit="1" customWidth="1"/>
    <col min="307" max="307" width="13.33203125" bestFit="1" customWidth="1"/>
    <col min="308" max="308" width="15.88671875" bestFit="1" customWidth="1"/>
    <col min="309" max="309" width="11.109375" bestFit="1" customWidth="1"/>
    <col min="310" max="310" width="13.109375" bestFit="1" customWidth="1"/>
    <col min="311" max="311" width="14.21875" bestFit="1" customWidth="1"/>
    <col min="312" max="312" width="13.77734375" bestFit="1" customWidth="1"/>
    <col min="313" max="313" width="13.109375" bestFit="1" customWidth="1"/>
    <col min="314" max="314" width="20.44140625" bestFit="1" customWidth="1"/>
    <col min="315" max="315" width="13.5546875" bestFit="1" customWidth="1"/>
    <col min="316" max="316" width="11.5546875" bestFit="1" customWidth="1"/>
    <col min="317" max="317" width="12.6640625" bestFit="1" customWidth="1"/>
    <col min="318" max="318" width="13.6640625" bestFit="1" customWidth="1"/>
    <col min="319" max="319" width="14.88671875" bestFit="1" customWidth="1"/>
    <col min="321" max="321" width="8.6640625" bestFit="1" customWidth="1"/>
    <col min="322" max="322" width="10.77734375" bestFit="1" customWidth="1"/>
    <col min="323" max="323" width="9.44140625" bestFit="1" customWidth="1"/>
    <col min="324" max="324" width="9.77734375" bestFit="1" customWidth="1"/>
    <col min="325" max="325" width="9.33203125" bestFit="1" customWidth="1"/>
    <col min="326" max="326" width="13.109375" bestFit="1" customWidth="1"/>
    <col min="327" max="327" width="14.5546875" bestFit="1" customWidth="1"/>
    <col min="328" max="328" width="16.77734375" bestFit="1" customWidth="1"/>
    <col min="329" max="329" width="14.44140625" bestFit="1" customWidth="1"/>
    <col min="330" max="330" width="14.109375" bestFit="1" customWidth="1"/>
    <col min="331" max="331" width="11.6640625" bestFit="1" customWidth="1"/>
    <col min="332" max="332" width="10.44140625" bestFit="1" customWidth="1"/>
    <col min="333" max="333" width="12.21875" bestFit="1" customWidth="1"/>
    <col min="334" max="334" width="9" bestFit="1" customWidth="1"/>
    <col min="335" max="335" width="10.44140625" bestFit="1" customWidth="1"/>
    <col min="336" max="336" width="9.44140625" bestFit="1" customWidth="1"/>
    <col min="337" max="337" width="12.44140625" bestFit="1" customWidth="1"/>
    <col min="338" max="338" width="10.88671875" bestFit="1" customWidth="1"/>
    <col min="339" max="339" width="9.21875" bestFit="1" customWidth="1"/>
    <col min="340" max="340" width="11.33203125" bestFit="1" customWidth="1"/>
    <col min="341" max="341" width="13.109375" bestFit="1" customWidth="1"/>
    <col min="342" max="342" width="12.44140625" bestFit="1" customWidth="1"/>
    <col min="343" max="343" width="15.5546875" bestFit="1" customWidth="1"/>
    <col min="344" max="344" width="16.5546875" bestFit="1" customWidth="1"/>
    <col min="345" max="345" width="17.6640625" bestFit="1" customWidth="1"/>
    <col min="346" max="346" width="12.109375" bestFit="1" customWidth="1"/>
    <col min="347" max="347" width="11.77734375" bestFit="1" customWidth="1"/>
    <col min="348" max="348" width="14" bestFit="1" customWidth="1"/>
    <col min="349" max="349" width="19.44140625" bestFit="1" customWidth="1"/>
    <col min="350" max="350" width="11.44140625" bestFit="1" customWidth="1"/>
    <col min="351" max="351" width="11.5546875" bestFit="1" customWidth="1"/>
    <col min="352" max="352" width="8.44140625" bestFit="1" customWidth="1"/>
    <col min="353" max="353" width="10" bestFit="1" customWidth="1"/>
    <col min="354" max="354" width="12" bestFit="1" customWidth="1"/>
    <col min="355" max="355" width="10.88671875" bestFit="1" customWidth="1"/>
    <col min="356" max="356" width="12.33203125" bestFit="1" customWidth="1"/>
    <col min="357" max="357" width="15.21875" bestFit="1" customWidth="1"/>
    <col min="358" max="358" width="10" bestFit="1" customWidth="1"/>
    <col min="359" max="359" width="13.77734375" bestFit="1" customWidth="1"/>
    <col min="360" max="360" width="15.44140625" bestFit="1" customWidth="1"/>
    <col min="361" max="361" width="11.44140625" bestFit="1" customWidth="1"/>
    <col min="362" max="362" width="10.6640625" bestFit="1" customWidth="1"/>
    <col min="363" max="363" width="16.109375" bestFit="1" customWidth="1"/>
    <col min="364" max="364" width="15.88671875" bestFit="1" customWidth="1"/>
    <col min="365" max="365" width="12.6640625" bestFit="1" customWidth="1"/>
    <col min="366" max="366" width="10.44140625" bestFit="1" customWidth="1"/>
    <col min="367" max="367" width="16.109375" bestFit="1" customWidth="1"/>
    <col min="368" max="368" width="9.109375" bestFit="1" customWidth="1"/>
    <col min="369" max="369" width="9.5546875" bestFit="1" customWidth="1"/>
    <col min="370" max="370" width="11.77734375" bestFit="1" customWidth="1"/>
    <col min="371" max="371" width="14.77734375" bestFit="1" customWidth="1"/>
    <col min="372" max="372" width="11" bestFit="1" customWidth="1"/>
    <col min="373" max="373" width="11.21875" bestFit="1" customWidth="1"/>
    <col min="374" max="374" width="11.77734375" bestFit="1" customWidth="1"/>
    <col min="375" max="375" width="10.5546875" bestFit="1" customWidth="1"/>
    <col min="376" max="376" width="11.44140625" bestFit="1" customWidth="1"/>
    <col min="377" max="377" width="9.44140625" bestFit="1" customWidth="1"/>
    <col min="378" max="378" width="10.33203125" bestFit="1" customWidth="1"/>
    <col min="379" max="379" width="10.5546875" bestFit="1" customWidth="1"/>
    <col min="380" max="380" width="10.44140625" bestFit="1" customWidth="1"/>
    <col min="381" max="381" width="11.5546875" bestFit="1" customWidth="1"/>
    <col min="382" max="382" width="14.5546875" bestFit="1" customWidth="1"/>
    <col min="383" max="383" width="15.5546875" bestFit="1" customWidth="1"/>
    <col min="384" max="384" width="17.88671875" bestFit="1" customWidth="1"/>
    <col min="385" max="386" width="11" bestFit="1" customWidth="1"/>
    <col min="387" max="387" width="13.33203125" bestFit="1" customWidth="1"/>
    <col min="388" max="388" width="9.5546875" bestFit="1" customWidth="1"/>
    <col min="389" max="389" width="17.88671875" bestFit="1" customWidth="1"/>
    <col min="390" max="390" width="11.21875" bestFit="1" customWidth="1"/>
    <col min="391" max="391" width="14.6640625" bestFit="1" customWidth="1"/>
    <col min="392" max="392" width="12.109375" bestFit="1" customWidth="1"/>
    <col min="393" max="393" width="10.109375" bestFit="1" customWidth="1"/>
    <col min="394" max="394" width="8.6640625" bestFit="1" customWidth="1"/>
    <col min="395" max="395" width="8.77734375" bestFit="1" customWidth="1"/>
    <col min="396" max="396" width="7.88671875" bestFit="1" customWidth="1"/>
    <col min="397" max="397" width="10.77734375" bestFit="1" customWidth="1"/>
    <col min="398" max="398" width="11.21875" bestFit="1" customWidth="1"/>
    <col min="399" max="399" width="11.6640625" bestFit="1" customWidth="1"/>
    <col min="400" max="400" width="10.21875" bestFit="1" customWidth="1"/>
    <col min="401" max="401" width="10.44140625" bestFit="1" customWidth="1"/>
    <col min="402" max="402" width="14" bestFit="1" customWidth="1"/>
    <col min="403" max="403" width="8.5546875" bestFit="1" customWidth="1"/>
    <col min="404" max="404" width="13.44140625" bestFit="1" customWidth="1"/>
    <col min="405" max="405" width="12" bestFit="1" customWidth="1"/>
    <col min="406" max="406" width="10.21875" bestFit="1" customWidth="1"/>
    <col min="407" max="407" width="7.5546875" bestFit="1" customWidth="1"/>
    <col min="408" max="408" width="12" bestFit="1" customWidth="1"/>
    <col min="409" max="409" width="9.33203125" bestFit="1" customWidth="1"/>
    <col min="410" max="410" width="9.109375" bestFit="1" customWidth="1"/>
    <col min="411" max="411" width="10.21875" bestFit="1" customWidth="1"/>
    <col min="412" max="412" width="11" bestFit="1" customWidth="1"/>
    <col min="413" max="413" width="8.44140625" bestFit="1" customWidth="1"/>
    <col min="414" max="414" width="9.33203125" bestFit="1" customWidth="1"/>
    <col min="415" max="415" width="18.33203125" bestFit="1" customWidth="1"/>
    <col min="416" max="416" width="9.21875" bestFit="1" customWidth="1"/>
    <col min="417" max="417" width="15.77734375" bestFit="1" customWidth="1"/>
    <col min="418" max="418" width="15.21875" bestFit="1" customWidth="1"/>
    <col min="419" max="419" width="15.6640625" bestFit="1" customWidth="1"/>
    <col min="420" max="420" width="12" bestFit="1" customWidth="1"/>
    <col min="421" max="421" width="10.5546875" bestFit="1" customWidth="1"/>
    <col min="422" max="422" width="17.21875" bestFit="1" customWidth="1"/>
    <col min="423" max="423" width="14.77734375" bestFit="1" customWidth="1"/>
    <col min="424" max="424" width="14.33203125" bestFit="1" customWidth="1"/>
    <col min="425" max="425" width="12.33203125" bestFit="1" customWidth="1"/>
    <col min="426" max="426" width="7.33203125" bestFit="1" customWidth="1"/>
    <col min="428" max="428" width="11.21875" bestFit="1" customWidth="1"/>
    <col min="429" max="430" width="12.109375" bestFit="1" customWidth="1"/>
    <col min="431" max="431" width="15.77734375" bestFit="1" customWidth="1"/>
    <col min="432" max="433" width="10" bestFit="1" customWidth="1"/>
    <col min="434" max="434" width="11.5546875" bestFit="1" customWidth="1"/>
    <col min="435" max="435" width="10.88671875" bestFit="1" customWidth="1"/>
    <col min="436" max="436" width="11" bestFit="1" customWidth="1"/>
    <col min="438" max="438" width="10.33203125" bestFit="1" customWidth="1"/>
    <col min="439" max="439" width="13.5546875" bestFit="1" customWidth="1"/>
    <col min="440" max="440" width="15.33203125" bestFit="1" customWidth="1"/>
    <col min="441" max="441" width="17.33203125" bestFit="1" customWidth="1"/>
    <col min="442" max="442" width="14.77734375" bestFit="1" customWidth="1"/>
    <col min="443" max="443" width="13.5546875" bestFit="1" customWidth="1"/>
    <col min="444" max="444" width="14.5546875" bestFit="1" customWidth="1"/>
    <col min="445" max="445" width="14.109375" bestFit="1" customWidth="1"/>
    <col min="446" max="446" width="16.21875" bestFit="1" customWidth="1"/>
    <col min="447" max="447" width="17.21875" bestFit="1" customWidth="1"/>
    <col min="448" max="448" width="18.109375" bestFit="1" customWidth="1"/>
    <col min="449" max="449" width="13.5546875" bestFit="1" customWidth="1"/>
    <col min="450" max="450" width="9.5546875" bestFit="1" customWidth="1"/>
    <col min="451" max="451" width="12.5546875" bestFit="1" customWidth="1"/>
    <col min="452" max="452" width="14.33203125" bestFit="1" customWidth="1"/>
    <col min="453" max="453" width="18" bestFit="1" customWidth="1"/>
    <col min="454" max="454" width="10" bestFit="1" customWidth="1"/>
    <col min="455" max="455" width="10.33203125" bestFit="1" customWidth="1"/>
    <col min="456" max="456" width="12.5546875" bestFit="1" customWidth="1"/>
    <col min="457" max="457" width="10.33203125" bestFit="1" customWidth="1"/>
    <col min="458" max="458" width="10.6640625" bestFit="1" customWidth="1"/>
    <col min="459" max="459" width="15.44140625" bestFit="1" customWidth="1"/>
    <col min="460" max="460" width="15.21875" bestFit="1" customWidth="1"/>
    <col min="461" max="461" width="10.109375" bestFit="1" customWidth="1"/>
    <col min="462" max="462" width="8.109375" bestFit="1" customWidth="1"/>
    <col min="463" max="463" width="11.33203125" bestFit="1" customWidth="1"/>
    <col min="464" max="464" width="15.44140625" bestFit="1" customWidth="1"/>
    <col min="465" max="465" width="12.33203125" bestFit="1" customWidth="1"/>
    <col min="466" max="466" width="13.5546875" bestFit="1" customWidth="1"/>
    <col min="467" max="467" width="13.21875" bestFit="1" customWidth="1"/>
    <col min="468" max="468" width="15.109375" bestFit="1" customWidth="1"/>
    <col min="469" max="469" width="10.21875" bestFit="1" customWidth="1"/>
    <col min="470" max="470" width="14.109375" bestFit="1" customWidth="1"/>
    <col min="471" max="471" width="14.6640625" bestFit="1" customWidth="1"/>
    <col min="472" max="472" width="9.5546875" bestFit="1" customWidth="1"/>
    <col min="473" max="473" width="15" bestFit="1" customWidth="1"/>
    <col min="474" max="474" width="19" bestFit="1" customWidth="1"/>
    <col min="475" max="475" width="16.6640625" bestFit="1" customWidth="1"/>
    <col min="476" max="476" width="12.21875" bestFit="1" customWidth="1"/>
    <col min="477" max="477" width="15.88671875" bestFit="1" customWidth="1"/>
    <col min="478" max="478" width="15" bestFit="1" customWidth="1"/>
    <col min="479" max="479" width="21.44140625" bestFit="1" customWidth="1"/>
    <col min="480" max="480" width="16.33203125" bestFit="1" customWidth="1"/>
    <col min="481" max="481" width="11.21875" bestFit="1" customWidth="1"/>
    <col min="482" max="482" width="14.88671875" bestFit="1" customWidth="1"/>
    <col min="483" max="483" width="11" bestFit="1" customWidth="1"/>
    <col min="484" max="484" width="12.109375" bestFit="1" customWidth="1"/>
    <col min="485" max="485" width="12.6640625" bestFit="1" customWidth="1"/>
    <col min="486" max="486" width="10.21875" bestFit="1" customWidth="1"/>
    <col min="487" max="487" width="9.5546875" bestFit="1" customWidth="1"/>
    <col min="488" max="488" width="10.77734375" bestFit="1" customWidth="1"/>
    <col min="489" max="489" width="10.44140625" bestFit="1" customWidth="1"/>
    <col min="490" max="490" width="9.6640625" bestFit="1" customWidth="1"/>
    <col min="491" max="491" width="15.88671875" bestFit="1" customWidth="1"/>
    <col min="492" max="492" width="9.33203125" bestFit="1" customWidth="1"/>
    <col min="493" max="493" width="10.33203125" bestFit="1" customWidth="1"/>
    <col min="494" max="494" width="11.44140625" bestFit="1" customWidth="1"/>
    <col min="495" max="495" width="15.109375" bestFit="1" customWidth="1"/>
    <col min="496" max="496" width="12" bestFit="1" customWidth="1"/>
    <col min="497" max="497" width="12.88671875" bestFit="1" customWidth="1"/>
    <col min="498" max="498" width="9.77734375" bestFit="1" customWidth="1"/>
    <col min="499" max="499" width="11.77734375" bestFit="1" customWidth="1"/>
    <col min="500" max="500" width="11" bestFit="1" customWidth="1"/>
    <col min="501" max="501" width="10.77734375" bestFit="1" customWidth="1"/>
  </cols>
  <sheetData>
    <row r="3" spans="1:5" x14ac:dyDescent="0.3">
      <c r="A3" s="21" t="s">
        <v>3959</v>
      </c>
      <c r="B3" s="21" t="s">
        <v>3956</v>
      </c>
      <c r="C3" s="22"/>
      <c r="D3" s="22"/>
      <c r="E3" s="22"/>
    </row>
    <row r="4" spans="1:5" x14ac:dyDescent="0.3">
      <c r="A4" s="21" t="s">
        <v>3929</v>
      </c>
      <c r="B4" s="22" t="s">
        <v>3958</v>
      </c>
      <c r="C4" s="22" t="s">
        <v>3934</v>
      </c>
      <c r="D4" s="22" t="s">
        <v>3935</v>
      </c>
      <c r="E4" s="22" t="s">
        <v>3930</v>
      </c>
    </row>
    <row r="5" spans="1:5" x14ac:dyDescent="0.3">
      <c r="A5" s="22" t="s">
        <v>26</v>
      </c>
      <c r="B5" s="37">
        <v>56</v>
      </c>
      <c r="C5" s="37">
        <v>39</v>
      </c>
      <c r="D5" s="37">
        <v>30</v>
      </c>
      <c r="E5" s="37">
        <v>125</v>
      </c>
    </row>
    <row r="6" spans="1:5" x14ac:dyDescent="0.3">
      <c r="A6" s="22" t="s">
        <v>16</v>
      </c>
      <c r="B6" s="37">
        <v>25</v>
      </c>
      <c r="C6" s="37">
        <v>19</v>
      </c>
      <c r="D6" s="37">
        <v>16</v>
      </c>
      <c r="E6" s="37">
        <v>60</v>
      </c>
    </row>
    <row r="7" spans="1:5" x14ac:dyDescent="0.3">
      <c r="A7" s="22" t="s">
        <v>9</v>
      </c>
      <c r="B7" s="37">
        <v>31</v>
      </c>
      <c r="C7" s="37">
        <v>20</v>
      </c>
      <c r="D7" s="37">
        <v>14</v>
      </c>
      <c r="E7" s="37">
        <v>65</v>
      </c>
    </row>
    <row r="8" spans="1:5" x14ac:dyDescent="0.3">
      <c r="A8" s="22" t="s">
        <v>13</v>
      </c>
      <c r="B8" s="37">
        <v>52</v>
      </c>
      <c r="C8" s="37">
        <v>36</v>
      </c>
      <c r="D8" s="37">
        <v>34</v>
      </c>
      <c r="E8" s="37">
        <v>122</v>
      </c>
    </row>
    <row r="9" spans="1:5" x14ac:dyDescent="0.3">
      <c r="A9" s="22" t="s">
        <v>16</v>
      </c>
      <c r="B9" s="37">
        <v>31</v>
      </c>
      <c r="C9" s="37">
        <v>21</v>
      </c>
      <c r="D9" s="37">
        <v>16</v>
      </c>
      <c r="E9" s="37">
        <v>68</v>
      </c>
    </row>
    <row r="10" spans="1:5" x14ac:dyDescent="0.3">
      <c r="A10" s="22" t="s">
        <v>9</v>
      </c>
      <c r="B10" s="37">
        <v>21</v>
      </c>
      <c r="C10" s="37">
        <v>15</v>
      </c>
      <c r="D10" s="37">
        <v>18</v>
      </c>
      <c r="E10" s="37">
        <v>54</v>
      </c>
    </row>
    <row r="11" spans="1:5" x14ac:dyDescent="0.3">
      <c r="A11" s="22" t="s">
        <v>19</v>
      </c>
      <c r="B11" s="37">
        <v>59</v>
      </c>
      <c r="C11" s="37">
        <v>52</v>
      </c>
      <c r="D11" s="37">
        <v>34</v>
      </c>
      <c r="E11" s="37">
        <v>145</v>
      </c>
    </row>
    <row r="12" spans="1:5" x14ac:dyDescent="0.3">
      <c r="A12" s="22" t="s">
        <v>16</v>
      </c>
      <c r="B12" s="37">
        <v>32</v>
      </c>
      <c r="C12" s="37">
        <v>29</v>
      </c>
      <c r="D12" s="37">
        <v>21</v>
      </c>
      <c r="E12" s="37">
        <v>82</v>
      </c>
    </row>
    <row r="13" spans="1:5" x14ac:dyDescent="0.3">
      <c r="A13" s="22" t="s">
        <v>9</v>
      </c>
      <c r="B13" s="37">
        <v>27</v>
      </c>
      <c r="C13" s="37">
        <v>23</v>
      </c>
      <c r="D13" s="37">
        <v>13</v>
      </c>
      <c r="E13" s="37">
        <v>63</v>
      </c>
    </row>
    <row r="14" spans="1:5" x14ac:dyDescent="0.3">
      <c r="A14" s="22" t="s">
        <v>31</v>
      </c>
      <c r="B14" s="37">
        <v>43</v>
      </c>
      <c r="C14" s="37">
        <v>32</v>
      </c>
      <c r="D14" s="37">
        <v>29</v>
      </c>
      <c r="E14" s="37">
        <v>104</v>
      </c>
    </row>
    <row r="15" spans="1:5" x14ac:dyDescent="0.3">
      <c r="A15" s="22" t="s">
        <v>16</v>
      </c>
      <c r="B15" s="37">
        <v>16</v>
      </c>
      <c r="C15" s="37">
        <v>17</v>
      </c>
      <c r="D15" s="37">
        <v>18</v>
      </c>
      <c r="E15" s="37">
        <v>51</v>
      </c>
    </row>
    <row r="16" spans="1:5" x14ac:dyDescent="0.3">
      <c r="A16" s="22" t="s">
        <v>9</v>
      </c>
      <c r="B16" s="37">
        <v>27</v>
      </c>
      <c r="C16" s="37">
        <v>15</v>
      </c>
      <c r="D16" s="37">
        <v>11</v>
      </c>
      <c r="E16" s="37">
        <v>53</v>
      </c>
    </row>
    <row r="17" spans="1:5" x14ac:dyDescent="0.3">
      <c r="A17" s="22" t="s">
        <v>3928</v>
      </c>
      <c r="B17" s="37">
        <v>2</v>
      </c>
      <c r="C17" s="37">
        <v>1</v>
      </c>
      <c r="D17" s="37">
        <v>1</v>
      </c>
      <c r="E17" s="37">
        <v>4</v>
      </c>
    </row>
    <row r="18" spans="1:5" x14ac:dyDescent="0.3">
      <c r="A18" s="22" t="s">
        <v>16</v>
      </c>
      <c r="B18" s="37"/>
      <c r="C18" s="37"/>
      <c r="D18" s="37">
        <v>1</v>
      </c>
      <c r="E18" s="37">
        <v>1</v>
      </c>
    </row>
    <row r="19" spans="1:5" x14ac:dyDescent="0.3">
      <c r="A19" s="22" t="s">
        <v>9</v>
      </c>
      <c r="B19" s="37">
        <v>2</v>
      </c>
      <c r="C19" s="37">
        <v>1</v>
      </c>
      <c r="D19" s="37"/>
      <c r="E19" s="37">
        <v>3</v>
      </c>
    </row>
    <row r="20" spans="1:5" x14ac:dyDescent="0.3">
      <c r="A20" s="22" t="s">
        <v>3930</v>
      </c>
      <c r="B20" s="37">
        <v>212</v>
      </c>
      <c r="C20" s="37">
        <v>160</v>
      </c>
      <c r="D20" s="37">
        <v>128</v>
      </c>
      <c r="E20" s="37">
        <v>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315F-78EA-4A13-B6F3-14511E103E30}">
  <dimension ref="A3:E7"/>
  <sheetViews>
    <sheetView workbookViewId="0">
      <selection activeCell="A4" sqref="A3:E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6.33203125" bestFit="1" customWidth="1"/>
    <col min="5" max="5" width="10.77734375" bestFit="1" customWidth="1"/>
    <col min="6" max="6" width="9" bestFit="1" customWidth="1"/>
    <col min="7" max="7" width="11.109375" bestFit="1" customWidth="1"/>
    <col min="8" max="8" width="8.77734375" bestFit="1" customWidth="1"/>
    <col min="9" max="9" width="6.6640625" bestFit="1" customWidth="1"/>
    <col min="10" max="10" width="7.44140625" bestFit="1" customWidth="1"/>
    <col min="11" max="11" width="6.5546875" bestFit="1" customWidth="1"/>
    <col min="12" max="12" width="5.88671875" bestFit="1" customWidth="1"/>
    <col min="13" max="13" width="6.33203125" bestFit="1" customWidth="1"/>
    <col min="14" max="14" width="7.33203125" bestFit="1" customWidth="1"/>
    <col min="15" max="15" width="5.109375" bestFit="1" customWidth="1"/>
    <col min="16" max="16" width="6.77734375" bestFit="1" customWidth="1"/>
    <col min="17" max="18" width="8.88671875" bestFit="1" customWidth="1"/>
    <col min="19" max="19" width="6.33203125" bestFit="1" customWidth="1"/>
    <col min="20" max="20" width="9.109375" bestFit="1" customWidth="1"/>
    <col min="21" max="21" width="13.44140625" bestFit="1" customWidth="1"/>
    <col min="22" max="22" width="8.77734375" bestFit="1" customWidth="1"/>
    <col min="23" max="23" width="10" bestFit="1" customWidth="1"/>
    <col min="24" max="24" width="9.88671875" bestFit="1" customWidth="1"/>
    <col min="25" max="25" width="8.109375" bestFit="1" customWidth="1"/>
    <col min="26" max="26" width="8.77734375" bestFit="1" customWidth="1"/>
    <col min="27" max="27" width="8.88671875" bestFit="1" customWidth="1"/>
    <col min="28" max="28" width="7.44140625" bestFit="1" customWidth="1"/>
    <col min="29" max="29" width="14.33203125" bestFit="1" customWidth="1"/>
    <col min="30" max="30" width="10.33203125" bestFit="1" customWidth="1"/>
    <col min="31" max="31" width="11.33203125" bestFit="1" customWidth="1"/>
    <col min="32" max="32" width="9" bestFit="1" customWidth="1"/>
    <col min="33" max="33" width="13.33203125" bestFit="1" customWidth="1"/>
    <col min="34" max="34" width="12.33203125" bestFit="1" customWidth="1"/>
    <col min="35" max="35" width="5" bestFit="1" customWidth="1"/>
    <col min="36" max="36" width="9.6640625" bestFit="1" customWidth="1"/>
    <col min="37" max="37" width="7.21875" bestFit="1" customWidth="1"/>
    <col min="38" max="38" width="12.109375" bestFit="1" customWidth="1"/>
    <col min="39" max="39" width="11.88671875" bestFit="1" customWidth="1"/>
    <col min="40" max="40" width="13.44140625" bestFit="1" customWidth="1"/>
    <col min="41" max="41" width="12.44140625" bestFit="1" customWidth="1"/>
    <col min="42" max="42" width="9.77734375" bestFit="1" customWidth="1"/>
    <col min="43" max="43" width="5.109375" bestFit="1" customWidth="1"/>
    <col min="44" max="44" width="8.44140625" bestFit="1" customWidth="1"/>
    <col min="45" max="45" width="7.33203125" bestFit="1" customWidth="1"/>
    <col min="46" max="46" width="11.109375" bestFit="1" customWidth="1"/>
    <col min="47" max="47" width="12" bestFit="1" customWidth="1"/>
    <col min="48" max="48" width="9.44140625" bestFit="1" customWidth="1"/>
    <col min="49" max="49" width="16.6640625" bestFit="1" customWidth="1"/>
    <col min="50" max="50" width="8.44140625" bestFit="1" customWidth="1"/>
    <col min="51" max="51" width="6.44140625" bestFit="1" customWidth="1"/>
    <col min="52" max="52" width="7.33203125" bestFit="1" customWidth="1"/>
    <col min="53" max="53" width="8.5546875" bestFit="1" customWidth="1"/>
    <col min="54" max="54" width="9" bestFit="1" customWidth="1"/>
    <col min="55" max="55" width="8.6640625" bestFit="1" customWidth="1"/>
    <col min="56" max="56" width="11.109375" bestFit="1" customWidth="1"/>
    <col min="57" max="57" width="8.77734375" bestFit="1" customWidth="1"/>
    <col min="58" max="58" width="6.6640625" bestFit="1" customWidth="1"/>
    <col min="59" max="59" width="7.44140625" bestFit="1" customWidth="1"/>
    <col min="60" max="60" width="6.5546875" bestFit="1" customWidth="1"/>
    <col min="61" max="61" width="5.88671875" bestFit="1" customWidth="1"/>
    <col min="62" max="62" width="6.33203125" bestFit="1" customWidth="1"/>
    <col min="63" max="63" width="7.33203125" bestFit="1" customWidth="1"/>
    <col min="64" max="64" width="5.109375" bestFit="1" customWidth="1"/>
    <col min="65" max="65" width="6.77734375" bestFit="1" customWidth="1"/>
    <col min="66" max="67" width="8.88671875" bestFit="1" customWidth="1"/>
    <col min="68" max="68" width="6.33203125" bestFit="1" customWidth="1"/>
    <col min="69" max="69" width="9.109375" bestFit="1" customWidth="1"/>
    <col min="70" max="70" width="8.77734375" bestFit="1" customWidth="1"/>
    <col min="71" max="71" width="10" bestFit="1" customWidth="1"/>
    <col min="72" max="72" width="9.88671875" bestFit="1" customWidth="1"/>
    <col min="73" max="73" width="8.109375" bestFit="1" customWidth="1"/>
    <col min="74" max="74" width="8.77734375" bestFit="1" customWidth="1"/>
    <col min="75" max="75" width="8.88671875" bestFit="1" customWidth="1"/>
    <col min="76" max="76" width="7.44140625" bestFit="1" customWidth="1"/>
    <col min="77" max="77" width="14.33203125" bestFit="1" customWidth="1"/>
    <col min="78" max="78" width="10.33203125" bestFit="1" customWidth="1"/>
    <col min="79" max="79" width="11.33203125" bestFit="1" customWidth="1"/>
    <col min="80" max="80" width="9" bestFit="1" customWidth="1"/>
    <col min="81" max="81" width="13.33203125" bestFit="1" customWidth="1"/>
    <col min="82" max="82" width="12.33203125" bestFit="1" customWidth="1"/>
    <col min="83" max="83" width="5" bestFit="1" customWidth="1"/>
    <col min="84" max="84" width="9.6640625" bestFit="1" customWidth="1"/>
    <col min="85" max="85" width="7.21875" bestFit="1" customWidth="1"/>
    <col min="86" max="86" width="12.109375" bestFit="1" customWidth="1"/>
    <col min="87" max="87" width="11.88671875" bestFit="1" customWidth="1"/>
    <col min="88" max="88" width="13.44140625" bestFit="1" customWidth="1"/>
    <col min="89" max="89" width="12.44140625" bestFit="1" customWidth="1"/>
    <col min="90" max="90" width="9.77734375" bestFit="1" customWidth="1"/>
    <col min="91" max="91" width="5.6640625" bestFit="1" customWidth="1"/>
    <col min="92" max="92" width="5.109375" bestFit="1" customWidth="1"/>
    <col min="93" max="93" width="8.44140625" bestFit="1" customWidth="1"/>
    <col min="94" max="94" width="7.33203125" bestFit="1" customWidth="1"/>
    <col min="95" max="95" width="11.109375" bestFit="1" customWidth="1"/>
    <col min="96" max="96" width="12" bestFit="1" customWidth="1"/>
    <col min="97" max="97" width="9.44140625" bestFit="1" customWidth="1"/>
    <col min="98" max="98" width="9.109375" bestFit="1" customWidth="1"/>
    <col min="99" max="99" width="11" bestFit="1" customWidth="1"/>
    <col min="100" max="100" width="8.44140625" bestFit="1" customWidth="1"/>
    <col min="101" max="101" width="6.44140625" bestFit="1" customWidth="1"/>
    <col min="102" max="102" width="7.33203125" bestFit="1" customWidth="1"/>
    <col min="103" max="103" width="8.5546875" bestFit="1" customWidth="1"/>
    <col min="104" max="104" width="9" bestFit="1" customWidth="1"/>
    <col min="105" max="105" width="8.6640625" bestFit="1" customWidth="1"/>
    <col min="106" max="106" width="11.109375" bestFit="1" customWidth="1"/>
    <col min="107" max="107" width="8.77734375" bestFit="1" customWidth="1"/>
    <col min="108" max="108" width="6.6640625" bestFit="1" customWidth="1"/>
    <col min="109" max="109" width="7.44140625" bestFit="1" customWidth="1"/>
    <col min="110" max="110" width="5.88671875" bestFit="1" customWidth="1"/>
    <col min="111" max="111" width="6.33203125" bestFit="1" customWidth="1"/>
    <col min="112" max="112" width="7.33203125" bestFit="1" customWidth="1"/>
    <col min="113" max="113" width="5.109375" bestFit="1" customWidth="1"/>
    <col min="114" max="114" width="6.77734375" bestFit="1" customWidth="1"/>
    <col min="115" max="116" width="8.88671875" bestFit="1" customWidth="1"/>
    <col min="117" max="117" width="6.33203125" bestFit="1" customWidth="1"/>
    <col min="118" max="118" width="9.109375" bestFit="1" customWidth="1"/>
    <col min="119" max="119" width="8.77734375" bestFit="1" customWidth="1"/>
    <col min="120" max="120" width="10" bestFit="1" customWidth="1"/>
    <col min="121" max="121" width="9.88671875" bestFit="1" customWidth="1"/>
    <col min="122" max="122" width="8.109375" bestFit="1" customWidth="1"/>
    <col min="123" max="123" width="8.77734375" bestFit="1" customWidth="1"/>
    <col min="124" max="124" width="8.88671875" bestFit="1" customWidth="1"/>
    <col min="125" max="125" width="7.44140625" bestFit="1" customWidth="1"/>
    <col min="126" max="126" width="14.33203125" bestFit="1" customWidth="1"/>
    <col min="127" max="127" width="10.33203125" bestFit="1" customWidth="1"/>
    <col min="128" max="128" width="11.33203125" bestFit="1" customWidth="1"/>
    <col min="129" max="129" width="9" bestFit="1" customWidth="1"/>
    <col min="130" max="130" width="13.33203125" bestFit="1" customWidth="1"/>
    <col min="131" max="131" width="12.33203125" bestFit="1" customWidth="1"/>
    <col min="132" max="132" width="5" bestFit="1" customWidth="1"/>
    <col min="133" max="133" width="9.6640625" bestFit="1" customWidth="1"/>
    <col min="134" max="134" width="7.21875" bestFit="1" customWidth="1"/>
    <col min="135" max="135" width="12.109375" bestFit="1" customWidth="1"/>
    <col min="136" max="136" width="11.88671875" bestFit="1" customWidth="1"/>
    <col min="137" max="137" width="13.44140625" bestFit="1" customWidth="1"/>
    <col min="138" max="138" width="12.44140625" bestFit="1" customWidth="1"/>
    <col min="139" max="139" width="9.77734375" bestFit="1" customWidth="1"/>
    <col min="140" max="140" width="5.6640625" bestFit="1" customWidth="1"/>
    <col min="141" max="141" width="5.109375" bestFit="1" customWidth="1"/>
    <col min="142" max="142" width="8.44140625" bestFit="1" customWidth="1"/>
    <col min="143" max="143" width="7.33203125" bestFit="1" customWidth="1"/>
    <col min="144" max="144" width="11.109375" bestFit="1" customWidth="1"/>
    <col min="145" max="145" width="12" bestFit="1" customWidth="1"/>
    <col min="146" max="146" width="9.44140625" bestFit="1" customWidth="1"/>
    <col min="147" max="147" width="9.109375" bestFit="1" customWidth="1"/>
    <col min="148" max="148" width="11" bestFit="1" customWidth="1"/>
    <col min="149" max="149" width="10.77734375" bestFit="1" customWidth="1"/>
    <col min="150" max="150" width="17.21875" bestFit="1" customWidth="1"/>
    <col min="151" max="151" width="14.6640625" bestFit="1" customWidth="1"/>
    <col min="152" max="152" width="17" bestFit="1" customWidth="1"/>
    <col min="153" max="153" width="14.21875" bestFit="1" customWidth="1"/>
    <col min="154" max="154" width="17" bestFit="1" customWidth="1"/>
    <col min="155" max="155" width="9.6640625" bestFit="1" customWidth="1"/>
    <col min="156" max="156" width="12.109375" bestFit="1" customWidth="1"/>
    <col min="157" max="157" width="13.5546875" bestFit="1" customWidth="1"/>
    <col min="158" max="158" width="11.33203125" bestFit="1" customWidth="1"/>
    <col min="159" max="159" width="14.44140625" bestFit="1" customWidth="1"/>
    <col min="160" max="160" width="9.88671875" bestFit="1" customWidth="1"/>
    <col min="161" max="161" width="11.44140625" bestFit="1" customWidth="1"/>
    <col min="162" max="162" width="11.21875" bestFit="1" customWidth="1"/>
    <col min="163" max="163" width="12.33203125" bestFit="1" customWidth="1"/>
    <col min="164" max="164" width="12.44140625" bestFit="1" customWidth="1"/>
    <col min="165" max="165" width="10.5546875" bestFit="1" customWidth="1"/>
    <col min="166" max="166" width="12" bestFit="1" customWidth="1"/>
    <col min="167" max="167" width="13.77734375" bestFit="1" customWidth="1"/>
    <col min="168" max="168" width="12.77734375" bestFit="1" customWidth="1"/>
    <col min="169" max="169" width="8.77734375" bestFit="1" customWidth="1"/>
    <col min="170" max="170" width="10.5546875" bestFit="1" customWidth="1"/>
    <col min="171" max="171" width="11.44140625" bestFit="1" customWidth="1"/>
    <col min="172" max="172" width="11.33203125" bestFit="1" customWidth="1"/>
    <col min="173" max="173" width="10.88671875" bestFit="1" customWidth="1"/>
    <col min="174" max="174" width="10" bestFit="1" customWidth="1"/>
    <col min="175" max="175" width="15.88671875" bestFit="1" customWidth="1"/>
    <col min="176" max="176" width="11.21875" bestFit="1" customWidth="1"/>
    <col min="177" max="177" width="11.77734375" bestFit="1" customWidth="1"/>
    <col min="178" max="178" width="11.5546875" bestFit="1" customWidth="1"/>
    <col min="179" max="179" width="10.21875" bestFit="1" customWidth="1"/>
    <col min="180" max="180" width="10.44140625" bestFit="1" customWidth="1"/>
    <col min="181" max="181" width="19" bestFit="1" customWidth="1"/>
    <col min="182" max="182" width="11.109375" bestFit="1" customWidth="1"/>
    <col min="183" max="183" width="16.33203125" bestFit="1" customWidth="1"/>
    <col min="184" max="185" width="12.6640625" bestFit="1" customWidth="1"/>
    <col min="186" max="186" width="13.5546875" bestFit="1" customWidth="1"/>
    <col min="187" max="187" width="12.6640625" bestFit="1" customWidth="1"/>
    <col min="188" max="188" width="13.6640625" bestFit="1" customWidth="1"/>
    <col min="189" max="189" width="9.5546875" bestFit="1" customWidth="1"/>
    <col min="190" max="190" width="13.109375" bestFit="1" customWidth="1"/>
    <col min="191" max="191" width="10.77734375" bestFit="1" customWidth="1"/>
    <col min="192" max="192" width="13.77734375" bestFit="1" customWidth="1"/>
    <col min="193" max="193" width="10.109375" bestFit="1" customWidth="1"/>
    <col min="194" max="194" width="12.21875" bestFit="1" customWidth="1"/>
    <col min="195" max="195" width="17.77734375" bestFit="1" customWidth="1"/>
    <col min="196" max="196" width="12.88671875" bestFit="1" customWidth="1"/>
    <col min="197" max="197" width="17.5546875" bestFit="1" customWidth="1"/>
    <col min="198" max="198" width="15.5546875" bestFit="1" customWidth="1"/>
    <col min="199" max="199" width="10.88671875" bestFit="1" customWidth="1"/>
    <col min="200" max="200" width="14.109375" bestFit="1" customWidth="1"/>
    <col min="201" max="201" width="16.44140625" bestFit="1" customWidth="1"/>
    <col min="202" max="202" width="10.109375" bestFit="1" customWidth="1"/>
    <col min="203" max="203" width="14.88671875" bestFit="1" customWidth="1"/>
    <col min="204" max="204" width="15.44140625" bestFit="1" customWidth="1"/>
    <col min="205" max="205" width="13.77734375" bestFit="1" customWidth="1"/>
    <col min="206" max="206" width="13.109375" bestFit="1" customWidth="1"/>
    <col min="207" max="207" width="12.6640625" bestFit="1" customWidth="1"/>
    <col min="208" max="208" width="16.33203125" bestFit="1" customWidth="1"/>
    <col min="209" max="209" width="20.109375" bestFit="1" customWidth="1"/>
    <col min="210" max="210" width="19.5546875" bestFit="1" customWidth="1"/>
    <col min="211" max="211" width="10.88671875" bestFit="1" customWidth="1"/>
    <col min="212" max="212" width="14" bestFit="1" customWidth="1"/>
    <col min="213" max="213" width="16.6640625" bestFit="1" customWidth="1"/>
    <col min="214" max="214" width="11.6640625" bestFit="1" customWidth="1"/>
    <col min="215" max="215" width="8.77734375" bestFit="1" customWidth="1"/>
    <col min="216" max="216" width="14.21875" bestFit="1" customWidth="1"/>
    <col min="217" max="217" width="11.44140625" bestFit="1" customWidth="1"/>
    <col min="218" max="218" width="9.109375" bestFit="1" customWidth="1"/>
    <col min="219" max="219" width="10.109375" bestFit="1" customWidth="1"/>
    <col min="220" max="220" width="11.88671875" bestFit="1" customWidth="1"/>
    <col min="221" max="221" width="11.33203125" bestFit="1" customWidth="1"/>
    <col min="222" max="222" width="12.5546875" bestFit="1" customWidth="1"/>
    <col min="223" max="223" width="11.5546875" bestFit="1" customWidth="1"/>
    <col min="224" max="224" width="12" bestFit="1" customWidth="1"/>
    <col min="225" max="225" width="11.44140625" bestFit="1" customWidth="1"/>
    <col min="226" max="226" width="9.77734375" bestFit="1" customWidth="1"/>
    <col min="227" max="227" width="12.5546875" bestFit="1" customWidth="1"/>
    <col min="228" max="228" width="16.77734375" bestFit="1" customWidth="1"/>
    <col min="229" max="229" width="8.6640625" bestFit="1" customWidth="1"/>
    <col min="230" max="230" width="8.77734375" bestFit="1" customWidth="1"/>
    <col min="231" max="231" width="9.77734375" bestFit="1" customWidth="1"/>
    <col min="232" max="232" width="10.33203125" bestFit="1" customWidth="1"/>
    <col min="233" max="233" width="11.5546875" bestFit="1" customWidth="1"/>
    <col min="234" max="234" width="10.33203125" bestFit="1" customWidth="1"/>
    <col min="235" max="235" width="9.88671875" bestFit="1" customWidth="1"/>
    <col min="236" max="236" width="9.77734375" bestFit="1" customWidth="1"/>
    <col min="237" max="237" width="11.5546875" bestFit="1" customWidth="1"/>
    <col min="238" max="238" width="17.88671875" bestFit="1" customWidth="1"/>
    <col min="239" max="239" width="8.5546875" bestFit="1" customWidth="1"/>
    <col min="240" max="240" width="9.6640625" bestFit="1" customWidth="1"/>
    <col min="241" max="241" width="9.44140625" bestFit="1" customWidth="1"/>
    <col min="242" max="242" width="12.5546875" bestFit="1" customWidth="1"/>
    <col min="243" max="243" width="11.33203125" bestFit="1" customWidth="1"/>
    <col min="244" max="244" width="10.21875" bestFit="1" customWidth="1"/>
    <col min="245" max="245" width="11.21875" bestFit="1" customWidth="1"/>
    <col min="246" max="246" width="10.5546875" bestFit="1" customWidth="1"/>
    <col min="247" max="247" width="10.77734375" bestFit="1" customWidth="1"/>
    <col min="248" max="248" width="13.5546875" bestFit="1" customWidth="1"/>
    <col min="249" max="249" width="11.5546875" bestFit="1" customWidth="1"/>
    <col min="250" max="250" width="9.109375" bestFit="1" customWidth="1"/>
    <col min="251" max="251" width="15.6640625" bestFit="1" customWidth="1"/>
    <col min="252" max="252" width="11.88671875" bestFit="1" customWidth="1"/>
    <col min="253" max="253" width="11.33203125" bestFit="1" customWidth="1"/>
    <col min="254" max="254" width="12.44140625" bestFit="1" customWidth="1"/>
    <col min="255" max="255" width="9.5546875" bestFit="1" customWidth="1"/>
    <col min="256" max="256" width="12" bestFit="1" customWidth="1"/>
    <col min="257" max="257" width="11.5546875" bestFit="1" customWidth="1"/>
    <col min="258" max="258" width="11.77734375" bestFit="1" customWidth="1"/>
    <col min="259" max="259" width="8.77734375" bestFit="1" customWidth="1"/>
    <col min="261" max="261" width="8.33203125" bestFit="1" customWidth="1"/>
    <col min="262" max="262" width="9.21875" bestFit="1" customWidth="1"/>
    <col min="263" max="263" width="13.88671875" bestFit="1" customWidth="1"/>
    <col min="264" max="264" width="15.6640625" bestFit="1" customWidth="1"/>
    <col min="265" max="265" width="12.88671875" bestFit="1" customWidth="1"/>
    <col min="266" max="266" width="12.77734375" bestFit="1" customWidth="1"/>
    <col min="267" max="267" width="17" bestFit="1" customWidth="1"/>
    <col min="268" max="268" width="11.77734375" bestFit="1" customWidth="1"/>
    <col min="269" max="269" width="15.21875" bestFit="1" customWidth="1"/>
    <col min="270" max="270" width="14.21875" bestFit="1" customWidth="1"/>
    <col min="271" max="271" width="12.6640625" bestFit="1" customWidth="1"/>
    <col min="272" max="272" width="15.77734375" bestFit="1" customWidth="1"/>
    <col min="273" max="273" width="14.88671875" bestFit="1" customWidth="1"/>
    <col min="274" max="274" width="12" bestFit="1" customWidth="1"/>
    <col min="275" max="275" width="16.33203125" bestFit="1" customWidth="1"/>
    <col min="276" max="276" width="15.6640625" bestFit="1" customWidth="1"/>
    <col min="277" max="277" width="10.6640625" bestFit="1" customWidth="1"/>
    <col min="278" max="278" width="7.88671875" bestFit="1" customWidth="1"/>
    <col min="279" max="279" width="8.6640625" bestFit="1" customWidth="1"/>
    <col min="280" max="280" width="9" bestFit="1" customWidth="1"/>
    <col min="281" max="281" width="11.5546875" bestFit="1" customWidth="1"/>
    <col min="282" max="282" width="11.21875" bestFit="1" customWidth="1"/>
    <col min="283" max="283" width="9.6640625" bestFit="1" customWidth="1"/>
    <col min="284" max="284" width="10.77734375" bestFit="1" customWidth="1"/>
    <col min="285" max="285" width="10.33203125" bestFit="1" customWidth="1"/>
    <col min="286" max="286" width="8.5546875" bestFit="1" customWidth="1"/>
    <col min="287" max="287" width="13.33203125" bestFit="1" customWidth="1"/>
    <col min="288" max="288" width="15.77734375" bestFit="1" customWidth="1"/>
    <col min="289" max="289" width="14" bestFit="1" customWidth="1"/>
    <col min="290" max="290" width="14.77734375" bestFit="1" customWidth="1"/>
    <col min="291" max="291" width="9.44140625" bestFit="1" customWidth="1"/>
    <col min="292" max="292" width="15.6640625" bestFit="1" customWidth="1"/>
    <col min="293" max="293" width="15.44140625" bestFit="1" customWidth="1"/>
    <col min="294" max="294" width="15.6640625" bestFit="1" customWidth="1"/>
    <col min="295" max="295" width="9.88671875" bestFit="1" customWidth="1"/>
    <col min="296" max="296" width="9.33203125" bestFit="1" customWidth="1"/>
    <col min="297" max="297" width="8.77734375" bestFit="1" customWidth="1"/>
    <col min="298" max="298" width="11.44140625" bestFit="1" customWidth="1"/>
    <col min="299" max="299" width="12.109375" bestFit="1" customWidth="1"/>
    <col min="300" max="300" width="20" bestFit="1" customWidth="1"/>
    <col min="301" max="301" width="14.33203125" bestFit="1" customWidth="1"/>
    <col min="302" max="302" width="17.44140625" bestFit="1" customWidth="1"/>
    <col min="303" max="303" width="11.5546875" bestFit="1" customWidth="1"/>
    <col min="304" max="306" width="14.33203125" bestFit="1" customWidth="1"/>
    <col min="307" max="307" width="13.33203125" bestFit="1" customWidth="1"/>
    <col min="308" max="308" width="15.88671875" bestFit="1" customWidth="1"/>
    <col min="309" max="309" width="11.109375" bestFit="1" customWidth="1"/>
    <col min="310" max="310" width="13.109375" bestFit="1" customWidth="1"/>
    <col min="311" max="311" width="14.21875" bestFit="1" customWidth="1"/>
    <col min="312" max="312" width="13.77734375" bestFit="1" customWidth="1"/>
    <col min="313" max="313" width="13.109375" bestFit="1" customWidth="1"/>
    <col min="314" max="314" width="20.44140625" bestFit="1" customWidth="1"/>
    <col min="315" max="315" width="13.5546875" bestFit="1" customWidth="1"/>
    <col min="316" max="316" width="11.5546875" bestFit="1" customWidth="1"/>
    <col min="317" max="317" width="12.6640625" bestFit="1" customWidth="1"/>
    <col min="318" max="318" width="13.6640625" bestFit="1" customWidth="1"/>
    <col min="319" max="319" width="14.88671875" bestFit="1" customWidth="1"/>
    <col min="321" max="321" width="8.6640625" bestFit="1" customWidth="1"/>
    <col min="322" max="322" width="10.77734375" bestFit="1" customWidth="1"/>
    <col min="323" max="323" width="9.44140625" bestFit="1" customWidth="1"/>
    <col min="324" max="324" width="9.77734375" bestFit="1" customWidth="1"/>
    <col min="325" max="325" width="9.33203125" bestFit="1" customWidth="1"/>
    <col min="326" max="326" width="13.109375" bestFit="1" customWidth="1"/>
    <col min="327" max="327" width="14.5546875" bestFit="1" customWidth="1"/>
    <col min="328" max="328" width="16.77734375" bestFit="1" customWidth="1"/>
    <col min="329" max="329" width="14.44140625" bestFit="1" customWidth="1"/>
    <col min="330" max="330" width="14.109375" bestFit="1" customWidth="1"/>
    <col min="331" max="331" width="11.6640625" bestFit="1" customWidth="1"/>
    <col min="332" max="332" width="10.44140625" bestFit="1" customWidth="1"/>
    <col min="333" max="333" width="12.21875" bestFit="1" customWidth="1"/>
    <col min="334" max="334" width="9" bestFit="1" customWidth="1"/>
    <col min="335" max="335" width="10.44140625" bestFit="1" customWidth="1"/>
    <col min="336" max="336" width="9.44140625" bestFit="1" customWidth="1"/>
    <col min="337" max="337" width="12.44140625" bestFit="1" customWidth="1"/>
    <col min="338" max="338" width="10.88671875" bestFit="1" customWidth="1"/>
    <col min="339" max="339" width="9.21875" bestFit="1" customWidth="1"/>
    <col min="340" max="340" width="11.33203125" bestFit="1" customWidth="1"/>
    <col min="341" max="341" width="13.109375" bestFit="1" customWidth="1"/>
    <col min="342" max="342" width="12.44140625" bestFit="1" customWidth="1"/>
    <col min="343" max="343" width="15.5546875" bestFit="1" customWidth="1"/>
    <col min="344" max="344" width="16.5546875" bestFit="1" customWidth="1"/>
    <col min="345" max="345" width="17.6640625" bestFit="1" customWidth="1"/>
    <col min="346" max="346" width="12.109375" bestFit="1" customWidth="1"/>
    <col min="347" max="347" width="11.77734375" bestFit="1" customWidth="1"/>
    <col min="348" max="348" width="14" bestFit="1" customWidth="1"/>
    <col min="349" max="349" width="19.44140625" bestFit="1" customWidth="1"/>
    <col min="350" max="350" width="11.44140625" bestFit="1" customWidth="1"/>
    <col min="351" max="351" width="11.5546875" bestFit="1" customWidth="1"/>
    <col min="352" max="352" width="8.44140625" bestFit="1" customWidth="1"/>
    <col min="353" max="353" width="10" bestFit="1" customWidth="1"/>
    <col min="354" max="354" width="12" bestFit="1" customWidth="1"/>
    <col min="355" max="355" width="10.88671875" bestFit="1" customWidth="1"/>
    <col min="356" max="356" width="12.33203125" bestFit="1" customWidth="1"/>
    <col min="357" max="357" width="15.21875" bestFit="1" customWidth="1"/>
    <col min="358" max="358" width="10" bestFit="1" customWidth="1"/>
    <col min="359" max="359" width="13.77734375" bestFit="1" customWidth="1"/>
    <col min="360" max="360" width="15.44140625" bestFit="1" customWidth="1"/>
    <col min="361" max="361" width="11.44140625" bestFit="1" customWidth="1"/>
    <col min="362" max="362" width="10.6640625" bestFit="1" customWidth="1"/>
    <col min="363" max="363" width="16.109375" bestFit="1" customWidth="1"/>
    <col min="364" max="364" width="15.88671875" bestFit="1" customWidth="1"/>
    <col min="365" max="365" width="12.6640625" bestFit="1" customWidth="1"/>
    <col min="366" max="366" width="10.44140625" bestFit="1" customWidth="1"/>
    <col min="367" max="367" width="16.109375" bestFit="1" customWidth="1"/>
    <col min="368" max="368" width="9.109375" bestFit="1" customWidth="1"/>
    <col min="369" max="369" width="9.5546875" bestFit="1" customWidth="1"/>
    <col min="370" max="370" width="11.77734375" bestFit="1" customWidth="1"/>
    <col min="371" max="371" width="14.77734375" bestFit="1" customWidth="1"/>
    <col min="372" max="372" width="11" bestFit="1" customWidth="1"/>
    <col min="373" max="373" width="11.21875" bestFit="1" customWidth="1"/>
    <col min="374" max="374" width="11.77734375" bestFit="1" customWidth="1"/>
    <col min="375" max="375" width="10.5546875" bestFit="1" customWidth="1"/>
    <col min="376" max="376" width="11.44140625" bestFit="1" customWidth="1"/>
    <col min="377" max="377" width="9.44140625" bestFit="1" customWidth="1"/>
    <col min="378" max="378" width="10.33203125" bestFit="1" customWidth="1"/>
    <col min="379" max="379" width="10.5546875" bestFit="1" customWidth="1"/>
    <col min="380" max="380" width="10.44140625" bestFit="1" customWidth="1"/>
    <col min="381" max="381" width="11.5546875" bestFit="1" customWidth="1"/>
    <col min="382" max="382" width="14.5546875" bestFit="1" customWidth="1"/>
    <col min="383" max="383" width="15.5546875" bestFit="1" customWidth="1"/>
    <col min="384" max="384" width="17.88671875" bestFit="1" customWidth="1"/>
    <col min="385" max="386" width="11" bestFit="1" customWidth="1"/>
    <col min="387" max="387" width="13.33203125" bestFit="1" customWidth="1"/>
    <col min="388" max="388" width="9.5546875" bestFit="1" customWidth="1"/>
    <col min="389" max="389" width="17.88671875" bestFit="1" customWidth="1"/>
    <col min="390" max="390" width="11.21875" bestFit="1" customWidth="1"/>
    <col min="391" max="391" width="14.6640625" bestFit="1" customWidth="1"/>
    <col min="392" max="392" width="12.109375" bestFit="1" customWidth="1"/>
    <col min="393" max="393" width="10.109375" bestFit="1" customWidth="1"/>
    <col min="394" max="394" width="8.6640625" bestFit="1" customWidth="1"/>
    <col min="395" max="395" width="8.77734375" bestFit="1" customWidth="1"/>
    <col min="396" max="396" width="7.88671875" bestFit="1" customWidth="1"/>
    <col min="397" max="397" width="10.77734375" bestFit="1" customWidth="1"/>
    <col min="398" max="398" width="11.21875" bestFit="1" customWidth="1"/>
    <col min="399" max="399" width="11.6640625" bestFit="1" customWidth="1"/>
    <col min="400" max="400" width="10.21875" bestFit="1" customWidth="1"/>
    <col min="401" max="401" width="10.44140625" bestFit="1" customWidth="1"/>
    <col min="402" max="402" width="14" bestFit="1" customWidth="1"/>
    <col min="403" max="403" width="8.5546875" bestFit="1" customWidth="1"/>
    <col min="404" max="404" width="13.44140625" bestFit="1" customWidth="1"/>
    <col min="405" max="405" width="12" bestFit="1" customWidth="1"/>
    <col min="406" max="406" width="10.21875" bestFit="1" customWidth="1"/>
    <col min="407" max="407" width="7.5546875" bestFit="1" customWidth="1"/>
    <col min="408" max="408" width="12" bestFit="1" customWidth="1"/>
    <col min="409" max="409" width="9.33203125" bestFit="1" customWidth="1"/>
    <col min="410" max="410" width="9.109375" bestFit="1" customWidth="1"/>
    <col min="411" max="411" width="10.21875" bestFit="1" customWidth="1"/>
    <col min="412" max="412" width="11" bestFit="1" customWidth="1"/>
    <col min="413" max="413" width="8.44140625" bestFit="1" customWidth="1"/>
    <col min="414" max="414" width="9.33203125" bestFit="1" customWidth="1"/>
    <col min="415" max="415" width="18.33203125" bestFit="1" customWidth="1"/>
    <col min="416" max="416" width="9.21875" bestFit="1" customWidth="1"/>
    <col min="417" max="417" width="15.77734375" bestFit="1" customWidth="1"/>
    <col min="418" max="418" width="15.21875" bestFit="1" customWidth="1"/>
    <col min="419" max="419" width="15.6640625" bestFit="1" customWidth="1"/>
    <col min="420" max="420" width="12" bestFit="1" customWidth="1"/>
    <col min="421" max="421" width="10.5546875" bestFit="1" customWidth="1"/>
    <col min="422" max="422" width="17.21875" bestFit="1" customWidth="1"/>
    <col min="423" max="423" width="14.77734375" bestFit="1" customWidth="1"/>
    <col min="424" max="424" width="14.33203125" bestFit="1" customWidth="1"/>
    <col min="425" max="425" width="12.33203125" bestFit="1" customWidth="1"/>
    <col min="426" max="426" width="7.33203125" bestFit="1" customWidth="1"/>
    <col min="428" max="428" width="11.21875" bestFit="1" customWidth="1"/>
    <col min="429" max="430" width="12.109375" bestFit="1" customWidth="1"/>
    <col min="431" max="431" width="15.77734375" bestFit="1" customWidth="1"/>
    <col min="432" max="433" width="10" bestFit="1" customWidth="1"/>
    <col min="434" max="434" width="11.5546875" bestFit="1" customWidth="1"/>
    <col min="435" max="435" width="10.88671875" bestFit="1" customWidth="1"/>
    <col min="436" max="436" width="11" bestFit="1" customWidth="1"/>
    <col min="438" max="438" width="10.33203125" bestFit="1" customWidth="1"/>
    <col min="439" max="439" width="13.5546875" bestFit="1" customWidth="1"/>
    <col min="440" max="440" width="15.33203125" bestFit="1" customWidth="1"/>
    <col min="441" max="441" width="17.33203125" bestFit="1" customWidth="1"/>
    <col min="442" max="442" width="14.77734375" bestFit="1" customWidth="1"/>
    <col min="443" max="443" width="13.5546875" bestFit="1" customWidth="1"/>
    <col min="444" max="444" width="14.5546875" bestFit="1" customWidth="1"/>
    <col min="445" max="445" width="14.109375" bestFit="1" customWidth="1"/>
    <col min="446" max="446" width="16.21875" bestFit="1" customWidth="1"/>
    <col min="447" max="447" width="17.21875" bestFit="1" customWidth="1"/>
    <col min="448" max="448" width="18.109375" bestFit="1" customWidth="1"/>
    <col min="449" max="449" width="13.5546875" bestFit="1" customWidth="1"/>
    <col min="450" max="450" width="9.5546875" bestFit="1" customWidth="1"/>
    <col min="451" max="451" width="12.5546875" bestFit="1" customWidth="1"/>
    <col min="452" max="452" width="14.33203125" bestFit="1" customWidth="1"/>
    <col min="453" max="453" width="18" bestFit="1" customWidth="1"/>
    <col min="454" max="454" width="10" bestFit="1" customWidth="1"/>
    <col min="455" max="455" width="10.33203125" bestFit="1" customWidth="1"/>
    <col min="456" max="456" width="12.5546875" bestFit="1" customWidth="1"/>
    <col min="457" max="457" width="10.33203125" bestFit="1" customWidth="1"/>
    <col min="458" max="458" width="10.6640625" bestFit="1" customWidth="1"/>
    <col min="459" max="459" width="15.44140625" bestFit="1" customWidth="1"/>
    <col min="460" max="460" width="15.21875" bestFit="1" customWidth="1"/>
    <col min="461" max="461" width="10.109375" bestFit="1" customWidth="1"/>
    <col min="462" max="462" width="8.109375" bestFit="1" customWidth="1"/>
    <col min="463" max="463" width="11.33203125" bestFit="1" customWidth="1"/>
    <col min="464" max="464" width="15.44140625" bestFit="1" customWidth="1"/>
    <col min="465" max="465" width="12.33203125" bestFit="1" customWidth="1"/>
    <col min="466" max="466" width="13.5546875" bestFit="1" customWidth="1"/>
    <col min="467" max="467" width="13.21875" bestFit="1" customWidth="1"/>
    <col min="468" max="468" width="15.109375" bestFit="1" customWidth="1"/>
    <col min="469" max="469" width="10.21875" bestFit="1" customWidth="1"/>
    <col min="470" max="470" width="14.109375" bestFit="1" customWidth="1"/>
    <col min="471" max="471" width="14.6640625" bestFit="1" customWidth="1"/>
    <col min="472" max="472" width="9.5546875" bestFit="1" customWidth="1"/>
    <col min="473" max="473" width="15" bestFit="1" customWidth="1"/>
    <col min="474" max="474" width="19" bestFit="1" customWidth="1"/>
    <col min="475" max="475" width="16.6640625" bestFit="1" customWidth="1"/>
    <col min="476" max="476" width="12.21875" bestFit="1" customWidth="1"/>
    <col min="477" max="477" width="15.88671875" bestFit="1" customWidth="1"/>
    <col min="478" max="478" width="15" bestFit="1" customWidth="1"/>
    <col min="479" max="479" width="21.44140625" bestFit="1" customWidth="1"/>
    <col min="480" max="480" width="16.33203125" bestFit="1" customWidth="1"/>
    <col min="481" max="481" width="11.21875" bestFit="1" customWidth="1"/>
    <col min="482" max="482" width="14.88671875" bestFit="1" customWidth="1"/>
    <col min="483" max="483" width="11" bestFit="1" customWidth="1"/>
    <col min="484" max="484" width="12.109375" bestFit="1" customWidth="1"/>
    <col min="485" max="485" width="12.6640625" bestFit="1" customWidth="1"/>
    <col min="486" max="486" width="10.21875" bestFit="1" customWidth="1"/>
    <col min="487" max="487" width="9.5546875" bestFit="1" customWidth="1"/>
    <col min="488" max="488" width="10.77734375" bestFit="1" customWidth="1"/>
    <col min="489" max="489" width="10.44140625" bestFit="1" customWidth="1"/>
    <col min="490" max="490" width="9.6640625" bestFit="1" customWidth="1"/>
    <col min="491" max="491" width="15.88671875" bestFit="1" customWidth="1"/>
    <col min="492" max="492" width="9.33203125" bestFit="1" customWidth="1"/>
    <col min="493" max="493" width="10.33203125" bestFit="1" customWidth="1"/>
    <col min="494" max="494" width="11.44140625" bestFit="1" customWidth="1"/>
    <col min="495" max="495" width="15.109375" bestFit="1" customWidth="1"/>
    <col min="496" max="496" width="12" bestFit="1" customWidth="1"/>
    <col min="497" max="497" width="12.88671875" bestFit="1" customWidth="1"/>
    <col min="498" max="498" width="9.77734375" bestFit="1" customWidth="1"/>
    <col min="499" max="499" width="11.77734375" bestFit="1" customWidth="1"/>
    <col min="500" max="500" width="11" bestFit="1" customWidth="1"/>
    <col min="501" max="501" width="10.77734375" bestFit="1" customWidth="1"/>
  </cols>
  <sheetData>
    <row r="3" spans="1:5" x14ac:dyDescent="0.3">
      <c r="A3" s="19" t="s">
        <v>3962</v>
      </c>
      <c r="B3" s="19" t="s">
        <v>3956</v>
      </c>
    </row>
    <row r="4" spans="1:5" x14ac:dyDescent="0.3">
      <c r="A4" s="19" t="s">
        <v>3929</v>
      </c>
      <c r="B4" t="s">
        <v>3958</v>
      </c>
      <c r="C4" t="s">
        <v>3934</v>
      </c>
      <c r="D4" t="s">
        <v>3935</v>
      </c>
      <c r="E4" t="s">
        <v>3930</v>
      </c>
    </row>
    <row r="5" spans="1:5" x14ac:dyDescent="0.3">
      <c r="A5" s="20" t="s">
        <v>16</v>
      </c>
      <c r="B5" s="36">
        <v>4251</v>
      </c>
      <c r="C5" s="36">
        <v>5003</v>
      </c>
      <c r="D5" s="36">
        <v>1712</v>
      </c>
      <c r="E5" s="36">
        <v>10966</v>
      </c>
    </row>
    <row r="6" spans="1:5" x14ac:dyDescent="0.3">
      <c r="A6" s="20" t="s">
        <v>9</v>
      </c>
      <c r="B6" s="36">
        <v>4284</v>
      </c>
      <c r="C6" s="36">
        <v>4220</v>
      </c>
      <c r="D6" s="36">
        <v>1343</v>
      </c>
      <c r="E6" s="36">
        <v>9847</v>
      </c>
    </row>
    <row r="7" spans="1:5" x14ac:dyDescent="0.3">
      <c r="A7" s="20" t="s">
        <v>3930</v>
      </c>
      <c r="B7" s="36">
        <v>8535</v>
      </c>
      <c r="C7" s="36">
        <v>9223</v>
      </c>
      <c r="D7" s="36">
        <v>3055</v>
      </c>
      <c r="E7" s="36">
        <v>20813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BBE4-4E1D-44DE-B328-A6554C45C55D}">
  <sheetPr>
    <tabColor theme="6" tint="0.59999389629810485"/>
  </sheetPr>
  <dimension ref="A1:I501"/>
  <sheetViews>
    <sheetView workbookViewId="0">
      <selection activeCell="D11" sqref="A1:I501"/>
    </sheetView>
  </sheetViews>
  <sheetFormatPr defaultRowHeight="14.4" x14ac:dyDescent="0.3"/>
  <cols>
    <col min="1" max="1" width="11.6640625" customWidth="1"/>
    <col min="2" max="2" width="17.5546875" customWidth="1"/>
    <col min="4" max="4" width="11.109375" customWidth="1"/>
    <col min="6" max="6" width="20.88671875" customWidth="1"/>
    <col min="7" max="7" width="18.21875" customWidth="1"/>
    <col min="8" max="8" width="14.77734375" customWidth="1"/>
    <col min="9" max="9" width="13.21875" customWidth="1"/>
  </cols>
  <sheetData>
    <row r="1" spans="1:9" x14ac:dyDescent="0.3">
      <c r="A1" s="38" t="s">
        <v>3936</v>
      </c>
      <c r="B1" s="39" t="s">
        <v>1</v>
      </c>
      <c r="C1" s="40" t="s">
        <v>2</v>
      </c>
      <c r="D1" s="40" t="s">
        <v>3952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</row>
    <row r="2" spans="1:9" x14ac:dyDescent="0.3">
      <c r="A2" s="41" t="s">
        <v>8</v>
      </c>
      <c r="B2" s="42" t="str">
        <f>PROPER(Table3[[#This Row],[Name]])</f>
        <v xml:space="preserve">Sheena Bonilla  </v>
      </c>
      <c r="C2" s="43">
        <f>VLOOKUP(B2,Customer_Dim!B:C,2,0)</f>
        <v>55</v>
      </c>
      <c r="D2" s="43" t="str">
        <f>IF(C2&lt;30,"Young",IF(C2&lt;=50,"Middle-Aged","Senior"))</f>
        <v>Senior</v>
      </c>
      <c r="E2" s="43" t="str" cm="1">
        <f t="array" ref="E2:G2">_xlfn.XLOOKUP(A2,Table3[Customer_ID],Table3[[Gender]:[State]])</f>
        <v>Male</v>
      </c>
      <c r="F2" s="43" t="str">
        <v>Donaldton</v>
      </c>
      <c r="G2" s="43" t="str">
        <v>North Carolina</v>
      </c>
      <c r="H2" s="43" t="str">
        <f>IF(OR(Customer_Dim!G2="usa",G2="United States of America"),"USA")</f>
        <v>USA</v>
      </c>
      <c r="I2" s="43" t="s">
        <v>3928</v>
      </c>
    </row>
    <row r="3" spans="1:9" x14ac:dyDescent="0.3">
      <c r="A3" s="41" t="s">
        <v>14</v>
      </c>
      <c r="B3" s="42" t="str">
        <f>PROPER(Table3[[#This Row],[Name]])</f>
        <v>Eugene Nelson</v>
      </c>
      <c r="C3" s="43">
        <f>VLOOKUP(B3,Customer_Dim!B:C,2,0)</f>
        <v>26</v>
      </c>
      <c r="D3" s="43" t="str">
        <f t="shared" ref="D3:D66" si="0">IF(C3&lt;30,"Young",IF(C3&lt;=50,"Middle-Aged","Senior"))</f>
        <v>Young</v>
      </c>
      <c r="E3" s="43" t="str" cm="1">
        <f t="array" ref="E3:G3">_xlfn.XLOOKUP(A3,Table3[Customer_ID],Table3[[Gender]:[State]])</f>
        <v>Female</v>
      </c>
      <c r="F3" s="43" t="str">
        <v>Phillipsmouth</v>
      </c>
      <c r="G3" s="43" t="str">
        <v>North Dakota</v>
      </c>
      <c r="H3" s="43" t="str">
        <f>IF(OR(Customer_Dim!G3="usa",G3="United States of America"),"USA")</f>
        <v>USA</v>
      </c>
      <c r="I3" s="43" t="str">
        <f>VLOOKUP(A3,Customer_Dim!A:H,8,0)</f>
        <v>Platinum</v>
      </c>
    </row>
    <row r="4" spans="1:9" x14ac:dyDescent="0.3">
      <c r="A4" s="41" t="s">
        <v>20</v>
      </c>
      <c r="B4" s="42" t="str">
        <f>PROPER(Table3[[#This Row],[Name]])</f>
        <v>Dr. Benjamin Price</v>
      </c>
      <c r="C4" s="43">
        <f>VLOOKUP(B4,Customer_Dim!B:C,2,0)</f>
        <v>29</v>
      </c>
      <c r="D4" s="43" t="str">
        <f t="shared" si="0"/>
        <v>Young</v>
      </c>
      <c r="E4" s="43" t="str" cm="1">
        <f t="array" ref="E4:G4">_xlfn.XLOOKUP(A4,Table3[Customer_ID],Table3[[Gender]:[State]])</f>
        <v>Female</v>
      </c>
      <c r="F4" s="43" t="str">
        <v>Kylebury</v>
      </c>
      <c r="G4" s="43" t="str">
        <v>Alabama</v>
      </c>
      <c r="H4" s="43" t="str">
        <f>IF(OR(Customer_Dim!G4="usa",G4="United States of America"),"USA")</f>
        <v>USA</v>
      </c>
      <c r="I4" s="43" t="str">
        <f>VLOOKUP(A4,Customer_Dim!A:H,8,0)</f>
        <v>Platinum</v>
      </c>
    </row>
    <row r="5" spans="1:9" x14ac:dyDescent="0.3">
      <c r="A5" s="41" t="s">
        <v>23</v>
      </c>
      <c r="B5" s="42" t="str">
        <f>PROPER(Table3[[#This Row],[Name]])</f>
        <v>Jeremy Harris</v>
      </c>
      <c r="C5" s="43">
        <f>VLOOKUP(B5,Customer_Dim!B:C,2,0)</f>
        <v>59</v>
      </c>
      <c r="D5" s="43" t="str">
        <f t="shared" si="0"/>
        <v>Senior</v>
      </c>
      <c r="E5" s="43" t="str" cm="1">
        <f t="array" ref="E5:G5">_xlfn.XLOOKUP(A5,Table3[Customer_ID],Table3[[Gender]:[State]])</f>
        <v>Female</v>
      </c>
      <c r="F5" s="43" t="str">
        <v>Thomastown</v>
      </c>
      <c r="G5" s="43" t="str">
        <v>Ohio</v>
      </c>
      <c r="H5" s="43" t="str">
        <f>IF(OR(Customer_Dim!G5="usa",G5="United States of America"),"USA")</f>
        <v>USA</v>
      </c>
      <c r="I5" s="43" t="str">
        <f>VLOOKUP(A5,Customer_Dim!A:H,8,0)</f>
        <v>Bronze</v>
      </c>
    </row>
    <row r="6" spans="1:9" x14ac:dyDescent="0.3">
      <c r="A6" s="41" t="s">
        <v>27</v>
      </c>
      <c r="B6" s="42" t="str">
        <f>PROPER(Table3[[#This Row],[Name]])</f>
        <v>Caroline Collins</v>
      </c>
      <c r="C6" s="43">
        <f>VLOOKUP(B6,Customer_Dim!B:C,2,0)</f>
        <v>64</v>
      </c>
      <c r="D6" s="43" t="str">
        <f t="shared" si="0"/>
        <v>Senior</v>
      </c>
      <c r="E6" s="43" t="str" cm="1">
        <f t="array" ref="E6:G6">_xlfn.XLOOKUP(A6,Table3[Customer_ID],Table3[[Gender]:[State]])</f>
        <v>Female</v>
      </c>
      <c r="F6" s="43" t="str">
        <v>Nicholasshire</v>
      </c>
      <c r="G6" s="43" t="str">
        <v>California</v>
      </c>
      <c r="H6" s="43" t="str">
        <f>IF(OR(Customer_Dim!G6="usa",G6="United States of America"),"USA")</f>
        <v>USA</v>
      </c>
      <c r="I6" s="43" t="str">
        <f>VLOOKUP(A6,Customer_Dim!A:H,8,0)</f>
        <v>Silver</v>
      </c>
    </row>
    <row r="7" spans="1:9" x14ac:dyDescent="0.3">
      <c r="A7" s="41" t="s">
        <v>32</v>
      </c>
      <c r="B7" s="42" t="str">
        <f>PROPER(Table3[[#This Row],[Name]])</f>
        <v>Christine Vaughn</v>
      </c>
      <c r="C7" s="43">
        <f>VLOOKUP(B7,Customer_Dim!B:C,2,0)</f>
        <v>24</v>
      </c>
      <c r="D7" s="43" t="str">
        <f t="shared" si="0"/>
        <v>Young</v>
      </c>
      <c r="E7" s="43" t="str" cm="1">
        <f t="array" ref="E7:G7">_xlfn.XLOOKUP(A7,Table3[Customer_ID],Table3[[Gender]:[State]])</f>
        <v>Male</v>
      </c>
      <c r="F7" s="43" t="str">
        <v>East Amandamouth</v>
      </c>
      <c r="G7" s="43" t="str">
        <v>Oregon</v>
      </c>
      <c r="H7" s="43" t="str">
        <f>IF(OR(Customer_Dim!G7="usa",G7="United States of America"),"USA")</f>
        <v>USA</v>
      </c>
      <c r="I7" s="43" t="str">
        <f>VLOOKUP(A7,Customer_Dim!A:H,8,0)</f>
        <v>Bronze</v>
      </c>
    </row>
    <row r="8" spans="1:9" x14ac:dyDescent="0.3">
      <c r="A8" s="41" t="s">
        <v>36</v>
      </c>
      <c r="B8" s="42" t="str">
        <f>PROPER(Table3[[#This Row],[Name]])</f>
        <v>Amber Jackson</v>
      </c>
      <c r="C8" s="43">
        <f>VLOOKUP(B8,Customer_Dim!B:C,2,0)</f>
        <v>29</v>
      </c>
      <c r="D8" s="43" t="str">
        <f t="shared" si="0"/>
        <v>Young</v>
      </c>
      <c r="E8" s="43" t="str" cm="1">
        <f t="array" ref="E8:G8">_xlfn.XLOOKUP(A8,Table3[Customer_ID],Table3[[Gender]:[State]])</f>
        <v>Female</v>
      </c>
      <c r="F8" s="43" t="str">
        <v>Deborahborough</v>
      </c>
      <c r="G8" s="43" t="str">
        <v>South Dakota</v>
      </c>
      <c r="H8" s="43" t="str">
        <f>IF(OR(Customer_Dim!G8="usa",G8="United States of America"),"USA")</f>
        <v>USA</v>
      </c>
      <c r="I8" s="43" t="str">
        <f>VLOOKUP(A8,Customer_Dim!A:H,8,0)</f>
        <v>Platinum</v>
      </c>
    </row>
    <row r="9" spans="1:9" x14ac:dyDescent="0.3">
      <c r="A9" s="41" t="s">
        <v>40</v>
      </c>
      <c r="B9" s="42" t="str">
        <f>PROPER(Table3[[#This Row],[Name]])</f>
        <v>Daniel Boyd</v>
      </c>
      <c r="C9" s="43">
        <f>VLOOKUP(B9,Customer_Dim!B:C,2,0)</f>
        <v>29</v>
      </c>
      <c r="D9" s="43" t="str">
        <f t="shared" si="0"/>
        <v>Young</v>
      </c>
      <c r="E9" s="43" t="str" cm="1">
        <f t="array" ref="E9:G9">_xlfn.XLOOKUP(A9,Table3[Customer_ID],Table3[[Gender]:[State]])</f>
        <v>Female</v>
      </c>
      <c r="F9" s="43" t="str">
        <v>West Pamelafurt</v>
      </c>
      <c r="G9" s="43" t="str">
        <v>West Virginia</v>
      </c>
      <c r="H9" s="43" t="str">
        <f>IF(OR(Customer_Dim!G9="usa",G9="United States of America"),"USA")</f>
        <v>USA</v>
      </c>
      <c r="I9" s="43" t="str">
        <f>VLOOKUP(A9,Customer_Dim!A:H,8,0)</f>
        <v>Bronze</v>
      </c>
    </row>
    <row r="10" spans="1:9" x14ac:dyDescent="0.3">
      <c r="A10" s="41" t="s">
        <v>44</v>
      </c>
      <c r="B10" s="42" t="str">
        <f>PROPER(Table3[[#This Row],[Name]])</f>
        <v>Melissa Howard</v>
      </c>
      <c r="C10" s="43">
        <f>VLOOKUP(B10,Customer_Dim!B:C,2,0)</f>
        <v>53</v>
      </c>
      <c r="D10" s="43" t="str">
        <f t="shared" si="0"/>
        <v>Senior</v>
      </c>
      <c r="E10" s="43" t="str" cm="1">
        <f t="array" ref="E10:G10">_xlfn.XLOOKUP(A10,Table3[Customer_ID],Table3[[Gender]:[State]])</f>
        <v>Female</v>
      </c>
      <c r="F10" s="43" t="str">
        <v>Maynardton</v>
      </c>
      <c r="G10" s="43" t="str">
        <v>New Hampshire</v>
      </c>
      <c r="H10" s="43" t="str">
        <f>IF(OR(Customer_Dim!G10="usa",G10="United States of America"),"USA")</f>
        <v>USA</v>
      </c>
      <c r="I10" s="43" t="str">
        <f>VLOOKUP(A10,Customer_Dim!A:H,8,0)</f>
        <v>Gold</v>
      </c>
    </row>
    <row r="11" spans="1:9" x14ac:dyDescent="0.3">
      <c r="A11" s="41" t="s">
        <v>48</v>
      </c>
      <c r="B11" s="42" t="str">
        <f>PROPER(Table3[[#This Row],[Name]])</f>
        <v>Ms. Maria Leach</v>
      </c>
      <c r="C11" s="43">
        <f>VLOOKUP(B11,Customer_Dim!B:C,2,0)</f>
        <v>64</v>
      </c>
      <c r="D11" s="43" t="str">
        <f t="shared" si="0"/>
        <v>Senior</v>
      </c>
      <c r="E11" s="43" t="str" cm="1">
        <f t="array" ref="E11:G11">_xlfn.XLOOKUP(A11,Table3[Customer_ID],Table3[[Gender]:[State]])</f>
        <v>Male</v>
      </c>
      <c r="F11" s="43" t="str">
        <v>Melissashire</v>
      </c>
      <c r="G11" s="43" t="str">
        <v>Pennsylvania</v>
      </c>
      <c r="H11" s="43" t="str">
        <f>IF(OR(Customer_Dim!G11="usa",G11="United States of America"),"USA")</f>
        <v>USA</v>
      </c>
      <c r="I11" s="43" t="str">
        <f>VLOOKUP(A11,Customer_Dim!A:H,8,0)</f>
        <v>Platinum</v>
      </c>
    </row>
    <row r="12" spans="1:9" x14ac:dyDescent="0.3">
      <c r="A12" s="41" t="s">
        <v>52</v>
      </c>
      <c r="B12" s="42" t="str">
        <f>PROPER(Table3[[#This Row],[Name]])</f>
        <v>Dominic Page</v>
      </c>
      <c r="C12" s="43">
        <f>VLOOKUP(B12,Customer_Dim!B:C,2,0)</f>
        <v>53</v>
      </c>
      <c r="D12" s="43" t="str">
        <f t="shared" si="0"/>
        <v>Senior</v>
      </c>
      <c r="E12" s="43" t="str" cm="1">
        <f t="array" ref="E12:G12">_xlfn.XLOOKUP(A12,Table3[Customer_ID],Table3[[Gender]:[State]])</f>
        <v>Male</v>
      </c>
      <c r="F12" s="43" t="str">
        <v>Port Michaelburgh</v>
      </c>
      <c r="G12" s="43" t="str">
        <v>Pennsylvania</v>
      </c>
      <c r="H12" s="43" t="str">
        <f>IF(OR(Customer_Dim!G12="usa",G12="United States of America"),"USA")</f>
        <v>USA</v>
      </c>
      <c r="I12" s="43" t="str">
        <f>VLOOKUP(A12,Customer_Dim!A:H,8,0)</f>
        <v>Bronze</v>
      </c>
    </row>
    <row r="13" spans="1:9" x14ac:dyDescent="0.3">
      <c r="A13" s="41" t="s">
        <v>55</v>
      </c>
      <c r="B13" s="42" t="str">
        <f>PROPER(Table3[[#This Row],[Name]])</f>
        <v>Brian Lopez</v>
      </c>
      <c r="C13" s="43">
        <f>VLOOKUP(B13,Customer_Dim!B:C,2,0)</f>
        <v>28</v>
      </c>
      <c r="D13" s="43" t="str">
        <f t="shared" si="0"/>
        <v>Young</v>
      </c>
      <c r="E13" s="43" t="str" cm="1">
        <f t="array" ref="E13:G13">_xlfn.XLOOKUP(A13,Table3[Customer_ID],Table3[[Gender]:[State]])</f>
        <v>Female</v>
      </c>
      <c r="F13" s="43" t="str">
        <v>East Krista</v>
      </c>
      <c r="G13" s="43" t="str">
        <v>New York</v>
      </c>
      <c r="H13" s="43" t="str">
        <f>IF(OR(Customer_Dim!G13="usa",G13="United States of America"),"USA")</f>
        <v>USA</v>
      </c>
      <c r="I13" s="43" t="str">
        <f>VLOOKUP(A13,Customer_Dim!A:H,8,0)</f>
        <v>Gold</v>
      </c>
    </row>
    <row r="14" spans="1:9" x14ac:dyDescent="0.3">
      <c r="A14" s="41" t="s">
        <v>59</v>
      </c>
      <c r="B14" s="42" t="str">
        <f>PROPER(Table3[[#This Row],[Name]])</f>
        <v>Kenneth Lambert</v>
      </c>
      <c r="C14" s="43">
        <f>VLOOKUP(B14,Customer_Dim!B:C,2,0)</f>
        <v>55</v>
      </c>
      <c r="D14" s="43" t="str">
        <f t="shared" si="0"/>
        <v>Senior</v>
      </c>
      <c r="E14" s="43" t="str" cm="1">
        <f t="array" ref="E14:G14">_xlfn.XLOOKUP(A14,Table3[Customer_ID],Table3[[Gender]:[State]])</f>
        <v>Female</v>
      </c>
      <c r="F14" s="43" t="str">
        <v>North Kathryn</v>
      </c>
      <c r="G14" s="43" t="str">
        <v>Kansas</v>
      </c>
      <c r="H14" s="43" t="str">
        <f>IF(OR(Customer_Dim!G14="usa",G14="United States of America"),"USA")</f>
        <v>USA</v>
      </c>
      <c r="I14" s="43" t="str">
        <f>VLOOKUP(A14,Customer_Dim!A:H,8,0)</f>
        <v>Platinum</v>
      </c>
    </row>
    <row r="15" spans="1:9" x14ac:dyDescent="0.3">
      <c r="A15" s="41" t="s">
        <v>63</v>
      </c>
      <c r="B15" s="42" t="str">
        <f>PROPER(Table3[[#This Row],[Name]])</f>
        <v>Nathan Hernandez</v>
      </c>
      <c r="C15" s="43">
        <f>VLOOKUP(B15,Customer_Dim!B:C,2,0)</f>
        <v>32</v>
      </c>
      <c r="D15" s="43" t="str">
        <f t="shared" si="0"/>
        <v>Middle-Aged</v>
      </c>
      <c r="E15" s="43" t="str" cm="1">
        <f t="array" ref="E15:G15">_xlfn.XLOOKUP(A15,Table3[Customer_ID],Table3[[Gender]:[State]])</f>
        <v>Female</v>
      </c>
      <c r="F15" s="43" t="str">
        <v>New Becky</v>
      </c>
      <c r="G15" s="43" t="str">
        <v>Montana</v>
      </c>
      <c r="H15" s="43" t="str">
        <f>IF(OR(Customer_Dim!G15="usa",G15="United States of America"),"USA")</f>
        <v>USA</v>
      </c>
      <c r="I15" s="43" t="str">
        <f>VLOOKUP(A15,Customer_Dim!A:H,8,0)</f>
        <v>Silver</v>
      </c>
    </row>
    <row r="16" spans="1:9" x14ac:dyDescent="0.3">
      <c r="A16" s="41" t="s">
        <v>67</v>
      </c>
      <c r="B16" s="42" t="str">
        <f>PROPER(Table3[[#This Row],[Name]])</f>
        <v>Ashley Cohen</v>
      </c>
      <c r="C16" s="43">
        <f>VLOOKUP(B16,Customer_Dim!B:C,2,0)</f>
        <v>53</v>
      </c>
      <c r="D16" s="43" t="str">
        <f t="shared" si="0"/>
        <v>Senior</v>
      </c>
      <c r="E16" s="43" t="str" cm="1">
        <f t="array" ref="E16:G16">_xlfn.XLOOKUP(A16,Table3[Customer_ID],Table3[[Gender]:[State]])</f>
        <v>Female</v>
      </c>
      <c r="F16" s="43" t="str">
        <v>Lake Kristamouth</v>
      </c>
      <c r="G16" s="43" t="str">
        <v>Nebraska</v>
      </c>
      <c r="H16" s="43" t="str">
        <f>IF(OR(Customer_Dim!G16="usa",G16="United States of America"),"USA")</f>
        <v>USA</v>
      </c>
      <c r="I16" s="43" t="str">
        <f>VLOOKUP(A16,Customer_Dim!A:H,8,0)</f>
        <v>Silver</v>
      </c>
    </row>
    <row r="17" spans="1:9" x14ac:dyDescent="0.3">
      <c r="A17" s="41" t="s">
        <v>71</v>
      </c>
      <c r="B17" s="42" t="str">
        <f>PROPER(Table3[[#This Row],[Name]])</f>
        <v>Laura Alvarez</v>
      </c>
      <c r="C17" s="43">
        <f>VLOOKUP(B17,Customer_Dim!B:C,2,0)</f>
        <v>49</v>
      </c>
      <c r="D17" s="43" t="str">
        <f t="shared" si="0"/>
        <v>Middle-Aged</v>
      </c>
      <c r="E17" s="43" t="str" cm="1">
        <f t="array" ref="E17:G17">_xlfn.XLOOKUP(A17,Table3[Customer_ID],Table3[[Gender]:[State]])</f>
        <v>Female</v>
      </c>
      <c r="F17" s="43" t="str">
        <v>Lawsonhaven</v>
      </c>
      <c r="G17" s="43" t="str">
        <v>Washington</v>
      </c>
      <c r="H17" s="43" t="str">
        <f>IF(OR(Customer_Dim!G17="usa",G17="United States of America"),"USA")</f>
        <v>USA</v>
      </c>
      <c r="I17" s="43" t="str">
        <f>VLOOKUP(A17,Customer_Dim!A:H,8,0)</f>
        <v>Platinum</v>
      </c>
    </row>
    <row r="18" spans="1:9" x14ac:dyDescent="0.3">
      <c r="A18" s="41" t="s">
        <v>75</v>
      </c>
      <c r="B18" s="42" t="str">
        <f>PROPER(Table3[[#This Row],[Name]])</f>
        <v>John Scott</v>
      </c>
      <c r="C18" s="43">
        <f>VLOOKUP(B18,Customer_Dim!B:C,2,0)</f>
        <v>24</v>
      </c>
      <c r="D18" s="43" t="str">
        <f t="shared" si="0"/>
        <v>Young</v>
      </c>
      <c r="E18" s="43" t="str" cm="1">
        <f t="array" ref="E18:G18">_xlfn.XLOOKUP(A18,Table3[Customer_ID],Table3[[Gender]:[State]])</f>
        <v>Female</v>
      </c>
      <c r="F18" s="43" t="str">
        <v>South Christopher</v>
      </c>
      <c r="G18" s="43" t="str">
        <v>Pennsylvania</v>
      </c>
      <c r="H18" s="43" t="str">
        <f>IF(OR(Customer_Dim!G18="usa",G18="United States of America"),"USA")</f>
        <v>USA</v>
      </c>
      <c r="I18" s="43" t="str">
        <f>VLOOKUP(A18,Customer_Dim!A:H,8,0)</f>
        <v>Bronze</v>
      </c>
    </row>
    <row r="19" spans="1:9" x14ac:dyDescent="0.3">
      <c r="A19" s="41" t="s">
        <v>78</v>
      </c>
      <c r="B19" s="42" t="str">
        <f>PROPER(Table3[[#This Row],[Name]])</f>
        <v>Adam Cruz</v>
      </c>
      <c r="C19" s="43">
        <f>VLOOKUP(B19,Customer_Dim!B:C,2,0)</f>
        <v>60</v>
      </c>
      <c r="D19" s="43" t="str">
        <f t="shared" si="0"/>
        <v>Senior</v>
      </c>
      <c r="E19" s="43" t="str" cm="1">
        <f t="array" ref="E19:G19">_xlfn.XLOOKUP(A19,Table3[Customer_ID],Table3[[Gender]:[State]])</f>
        <v>Female</v>
      </c>
      <c r="F19" s="43" t="str">
        <v>Brandonville</v>
      </c>
      <c r="G19" s="43" t="str">
        <v>Georgia</v>
      </c>
      <c r="H19" s="43" t="str">
        <f>IF(OR(Customer_Dim!G19="usa",G19="United States of America"),"USA")</f>
        <v>USA</v>
      </c>
      <c r="I19" s="43" t="str">
        <f>VLOOKUP(A19,Customer_Dim!A:H,8,0)</f>
        <v>Platinum</v>
      </c>
    </row>
    <row r="20" spans="1:9" x14ac:dyDescent="0.3">
      <c r="A20" s="41" t="s">
        <v>82</v>
      </c>
      <c r="B20" s="42" t="str">
        <f>PROPER(Table3[[#This Row],[Name]])</f>
        <v>Rhonda Moss</v>
      </c>
      <c r="C20" s="43">
        <f>VLOOKUP(B20,Customer_Dim!B:C,2,0)</f>
        <v>43</v>
      </c>
      <c r="D20" s="43" t="str">
        <f t="shared" si="0"/>
        <v>Middle-Aged</v>
      </c>
      <c r="E20" s="43" t="str" cm="1">
        <f t="array" ref="E20:G20">_xlfn.XLOOKUP(A20,Table3[Customer_ID],Table3[[Gender]:[State]])</f>
        <v>Male</v>
      </c>
      <c r="F20" s="43" t="str">
        <v>South William</v>
      </c>
      <c r="G20" s="43" t="str">
        <v>Kansas</v>
      </c>
      <c r="H20" s="43" t="str">
        <f>IF(OR(Customer_Dim!G20="usa",G20="United States of America"),"USA")</f>
        <v>USA</v>
      </c>
      <c r="I20" s="43" t="s">
        <v>3928</v>
      </c>
    </row>
    <row r="21" spans="1:9" x14ac:dyDescent="0.3">
      <c r="A21" s="41" t="s">
        <v>85</v>
      </c>
      <c r="B21" s="42" t="str">
        <f>PROPER(Table3[[#This Row],[Name]])</f>
        <v>Michael Torres</v>
      </c>
      <c r="C21" s="43">
        <f>VLOOKUP(B21,Customer_Dim!B:C,2,0)</f>
        <v>46</v>
      </c>
      <c r="D21" s="43" t="str">
        <f t="shared" si="0"/>
        <v>Middle-Aged</v>
      </c>
      <c r="E21" s="43" t="str" cm="1">
        <f t="array" ref="E21:G21">_xlfn.XLOOKUP(A21,Table3[Customer_ID],Table3[[Gender]:[State]])</f>
        <v>Female</v>
      </c>
      <c r="F21" s="43" t="str">
        <v>Gonzalezfort</v>
      </c>
      <c r="G21" s="43" t="str">
        <v>New Jersey</v>
      </c>
      <c r="H21" s="43" t="str">
        <f>IF(OR(Customer_Dim!G21="usa",G21="United States of America"),"USA")</f>
        <v>USA</v>
      </c>
      <c r="I21" s="43" t="str">
        <f>VLOOKUP(A21,Customer_Dim!A:H,8,0)</f>
        <v>Platinum</v>
      </c>
    </row>
    <row r="22" spans="1:9" x14ac:dyDescent="0.3">
      <c r="A22" s="41" t="s">
        <v>89</v>
      </c>
      <c r="B22" s="42" t="str">
        <f>PROPER(Table3[[#This Row],[Name]])</f>
        <v>Bridget Allen</v>
      </c>
      <c r="C22" s="43">
        <f>VLOOKUP(B22,Customer_Dim!B:C,2,0)</f>
        <v>59</v>
      </c>
      <c r="D22" s="43" t="str">
        <f t="shared" si="0"/>
        <v>Senior</v>
      </c>
      <c r="E22" s="43" t="str" cm="1">
        <f t="array" ref="E22:G22">_xlfn.XLOOKUP(A22,Table3[Customer_ID],Table3[[Gender]:[State]])</f>
        <v>Male</v>
      </c>
      <c r="F22" s="43" t="str">
        <v>Lake Shaneburgh</v>
      </c>
      <c r="G22" s="43" t="str">
        <v>Delaware</v>
      </c>
      <c r="H22" s="43" t="str">
        <f>IF(OR(Customer_Dim!G22="usa",G22="United States of America"),"USA")</f>
        <v>USA</v>
      </c>
      <c r="I22" s="43" t="str">
        <f>VLOOKUP(A22,Customer_Dim!A:H,8,0)</f>
        <v>Silver</v>
      </c>
    </row>
    <row r="23" spans="1:9" x14ac:dyDescent="0.3">
      <c r="A23" s="41" t="s">
        <v>93</v>
      </c>
      <c r="B23" s="42" t="str">
        <f>PROPER(Table3[[#This Row],[Name]])</f>
        <v>Jeff Martinez</v>
      </c>
      <c r="C23" s="43">
        <f>VLOOKUP(B23,Customer_Dim!B:C,2,0)</f>
        <v>36</v>
      </c>
      <c r="D23" s="43" t="str">
        <f t="shared" si="0"/>
        <v>Middle-Aged</v>
      </c>
      <c r="E23" s="43" t="str" cm="1">
        <f t="array" ref="E23:G23">_xlfn.XLOOKUP(A23,Table3[Customer_ID],Table3[[Gender]:[State]])</f>
        <v>Female</v>
      </c>
      <c r="F23" s="43" t="str">
        <v>Smithburgh</v>
      </c>
      <c r="G23" s="43" t="str">
        <v>Oklahoma</v>
      </c>
      <c r="H23" s="43" t="str">
        <f>IF(OR(Customer_Dim!G23="usa",G23="United States of America"),"USA")</f>
        <v>USA</v>
      </c>
      <c r="I23" s="43" t="str">
        <f>VLOOKUP(A23,Customer_Dim!A:H,8,0)</f>
        <v>Gold</v>
      </c>
    </row>
    <row r="24" spans="1:9" x14ac:dyDescent="0.3">
      <c r="A24" s="41" t="s">
        <v>97</v>
      </c>
      <c r="B24" s="42" t="str">
        <f>PROPER(Table3[[#This Row],[Name]])</f>
        <v>Paul Fox</v>
      </c>
      <c r="C24" s="43">
        <f>VLOOKUP(B24,Customer_Dim!B:C,2,0)</f>
        <v>33</v>
      </c>
      <c r="D24" s="43" t="str">
        <f t="shared" si="0"/>
        <v>Middle-Aged</v>
      </c>
      <c r="E24" s="43" t="str" cm="1">
        <f t="array" ref="E24:G24">_xlfn.XLOOKUP(A24,Table3[Customer_ID],Table3[[Gender]:[State]])</f>
        <v>Female</v>
      </c>
      <c r="F24" s="43" t="str">
        <v>Michaelton</v>
      </c>
      <c r="G24" s="43" t="str">
        <v>Hawaii</v>
      </c>
      <c r="H24" s="43" t="str">
        <f>IF(OR(Customer_Dim!G24="usa",G24="United States of America"),"USA")</f>
        <v>USA</v>
      </c>
      <c r="I24" s="43" t="str">
        <f>VLOOKUP(A24,Customer_Dim!A:H,8,0)</f>
        <v>Silver</v>
      </c>
    </row>
    <row r="25" spans="1:9" x14ac:dyDescent="0.3">
      <c r="A25" s="41" t="s">
        <v>100</v>
      </c>
      <c r="B25" s="42" t="str">
        <f>PROPER(Table3[[#This Row],[Name]])</f>
        <v>Jonathan Steele</v>
      </c>
      <c r="C25" s="43">
        <f>VLOOKUP(B25,Customer_Dim!B:C,2,0)</f>
        <v>52</v>
      </c>
      <c r="D25" s="43" t="str">
        <f t="shared" si="0"/>
        <v>Senior</v>
      </c>
      <c r="E25" s="43" t="str" cm="1">
        <f t="array" ref="E25:G25">_xlfn.XLOOKUP(A25,Table3[Customer_ID],Table3[[Gender]:[State]])</f>
        <v>Female</v>
      </c>
      <c r="F25" s="43" t="str">
        <v>Molinabury</v>
      </c>
      <c r="G25" s="43" t="str">
        <v>Oregon</v>
      </c>
      <c r="H25" s="43" t="str">
        <f>IF(OR(Customer_Dim!G25="usa",G25="United States of America"),"USA")</f>
        <v>USA</v>
      </c>
      <c r="I25" s="43" t="str">
        <f>VLOOKUP(A25,Customer_Dim!A:H,8,0)</f>
        <v>Silver</v>
      </c>
    </row>
    <row r="26" spans="1:9" x14ac:dyDescent="0.3">
      <c r="A26" s="41" t="s">
        <v>103</v>
      </c>
      <c r="B26" s="42" t="str">
        <f>PROPER(Table3[[#This Row],[Name]])</f>
        <v>Heather Collins</v>
      </c>
      <c r="C26" s="43">
        <f>VLOOKUP(B26,Customer_Dim!B:C,2,0)</f>
        <v>40</v>
      </c>
      <c r="D26" s="43" t="str">
        <f t="shared" si="0"/>
        <v>Middle-Aged</v>
      </c>
      <c r="E26" s="43" t="str" cm="1">
        <f t="array" ref="E26:G26">_xlfn.XLOOKUP(A26,Table3[Customer_ID],Table3[[Gender]:[State]])</f>
        <v>Male</v>
      </c>
      <c r="F26" s="43" t="str">
        <v>Rogerschester</v>
      </c>
      <c r="G26" s="43" t="str">
        <v>Idaho</v>
      </c>
      <c r="H26" s="43" t="str">
        <f>IF(OR(Customer_Dim!G26="usa",G26="United States of America"),"USA")</f>
        <v>USA</v>
      </c>
      <c r="I26" s="43" t="str">
        <f>VLOOKUP(A26,Customer_Dim!A:H,8,0)</f>
        <v>Platinum</v>
      </c>
    </row>
    <row r="27" spans="1:9" x14ac:dyDescent="0.3">
      <c r="A27" s="41" t="s">
        <v>107</v>
      </c>
      <c r="B27" s="42" t="str">
        <f>PROPER(Table3[[#This Row],[Name]])</f>
        <v>Diana Taylor</v>
      </c>
      <c r="C27" s="43">
        <f>VLOOKUP(B27,Customer_Dim!B:C,2,0)</f>
        <v>59</v>
      </c>
      <c r="D27" s="43" t="str">
        <f t="shared" si="0"/>
        <v>Senior</v>
      </c>
      <c r="E27" s="43" t="str" cm="1">
        <f t="array" ref="E27:G27">_xlfn.XLOOKUP(A27,Table3[Customer_ID],Table3[[Gender]:[State]])</f>
        <v>Female</v>
      </c>
      <c r="F27" s="43" t="str">
        <v>Vasqueztown</v>
      </c>
      <c r="G27" s="43" t="str">
        <v>California</v>
      </c>
      <c r="H27" s="43" t="str">
        <f>IF(OR(Customer_Dim!G27="usa",G27="United States of America"),"USA")</f>
        <v>USA</v>
      </c>
      <c r="I27" s="43" t="str">
        <f>VLOOKUP(A27,Customer_Dim!A:H,8,0)</f>
        <v>Bronze</v>
      </c>
    </row>
    <row r="28" spans="1:9" x14ac:dyDescent="0.3">
      <c r="A28" s="41" t="s">
        <v>110</v>
      </c>
      <c r="B28" s="42" t="str">
        <f>PROPER(Table3[[#This Row],[Name]])</f>
        <v>Amber Carlson</v>
      </c>
      <c r="C28" s="43">
        <f>VLOOKUP(B28,Customer_Dim!B:C,2,0)</f>
        <v>18</v>
      </c>
      <c r="D28" s="43" t="str">
        <f t="shared" si="0"/>
        <v>Young</v>
      </c>
      <c r="E28" s="43" t="str" cm="1">
        <f t="array" ref="E28:G28">_xlfn.XLOOKUP(A28,Table3[Customer_ID],Table3[[Gender]:[State]])</f>
        <v>Female</v>
      </c>
      <c r="F28" s="43" t="str">
        <v>East Michellemouth</v>
      </c>
      <c r="G28" s="43" t="str">
        <v>Missouri</v>
      </c>
      <c r="H28" s="43" t="str">
        <f>IF(OR(Customer_Dim!G28="usa",G28="United States of America"),"USA")</f>
        <v>USA</v>
      </c>
      <c r="I28" s="43" t="str">
        <f>VLOOKUP(A28,Customer_Dim!A:H,8,0)</f>
        <v>Gold</v>
      </c>
    </row>
    <row r="29" spans="1:9" x14ac:dyDescent="0.3">
      <c r="A29" s="41" t="s">
        <v>114</v>
      </c>
      <c r="B29" s="42" t="str">
        <f>PROPER(Table3[[#This Row],[Name]])</f>
        <v>Leslie Johnson</v>
      </c>
      <c r="C29" s="43">
        <f>VLOOKUP(B29,Customer_Dim!B:C,2,0)</f>
        <v>31</v>
      </c>
      <c r="D29" s="43" t="str">
        <f t="shared" si="0"/>
        <v>Middle-Aged</v>
      </c>
      <c r="E29" s="43" t="str" cm="1">
        <f t="array" ref="E29:G29">_xlfn.XLOOKUP(A29,Table3[Customer_ID],Table3[[Gender]:[State]])</f>
        <v>Male</v>
      </c>
      <c r="F29" s="43" t="str">
        <v>Mollyshire</v>
      </c>
      <c r="G29" s="43" t="str">
        <v>Utah</v>
      </c>
      <c r="H29" s="43" t="str">
        <f>IF(OR(Customer_Dim!G29="usa",G29="United States of America"),"USA")</f>
        <v>USA</v>
      </c>
      <c r="I29" s="43" t="s">
        <v>3928</v>
      </c>
    </row>
    <row r="30" spans="1:9" x14ac:dyDescent="0.3">
      <c r="A30" s="41" t="s">
        <v>118</v>
      </c>
      <c r="B30" s="42" t="str">
        <f>PROPER(Table3[[#This Row],[Name]])</f>
        <v>Joshua Ryan</v>
      </c>
      <c r="C30" s="43">
        <f>VLOOKUP(B30,Customer_Dim!B:C,2,0)</f>
        <v>27</v>
      </c>
      <c r="D30" s="43" t="str">
        <f t="shared" si="0"/>
        <v>Young</v>
      </c>
      <c r="E30" s="43" t="str" cm="1">
        <f t="array" ref="E30:G30">_xlfn.XLOOKUP(A30,Table3[Customer_ID],Table3[[Gender]:[State]])</f>
        <v>Female</v>
      </c>
      <c r="F30" s="43" t="str">
        <v>New David</v>
      </c>
      <c r="G30" s="43" t="str">
        <v>New Jersey</v>
      </c>
      <c r="H30" s="43" t="str">
        <f>IF(OR(Customer_Dim!G30="usa",G30="United States of America"),"USA")</f>
        <v>USA</v>
      </c>
      <c r="I30" s="43" t="str">
        <f>VLOOKUP(A30,Customer_Dim!A:H,8,0)</f>
        <v>Platinum</v>
      </c>
    </row>
    <row r="31" spans="1:9" x14ac:dyDescent="0.3">
      <c r="A31" s="41" t="s">
        <v>121</v>
      </c>
      <c r="B31" s="42" t="str">
        <f>PROPER(Table3[[#This Row],[Name]])</f>
        <v>David Arnold</v>
      </c>
      <c r="C31" s="43">
        <f>VLOOKUP(B31,Customer_Dim!B:C,2,0)</f>
        <v>54</v>
      </c>
      <c r="D31" s="43" t="str">
        <f t="shared" si="0"/>
        <v>Senior</v>
      </c>
      <c r="E31" s="43" t="str" cm="1">
        <f t="array" ref="E31:G31">_xlfn.XLOOKUP(A31,Table3[Customer_ID],Table3[[Gender]:[State]])</f>
        <v>Female</v>
      </c>
      <c r="F31" s="43" t="str">
        <v>East Jennifer</v>
      </c>
      <c r="G31" s="43" t="str">
        <v>California</v>
      </c>
      <c r="H31" s="43" t="str">
        <f>IF(OR(Customer_Dim!G31="usa",G31="United States of America"),"USA")</f>
        <v>USA</v>
      </c>
      <c r="I31" s="43" t="str">
        <f>VLOOKUP(A31,Customer_Dim!A:H,8,0)</f>
        <v>Silver</v>
      </c>
    </row>
    <row r="32" spans="1:9" x14ac:dyDescent="0.3">
      <c r="A32" s="41" t="s">
        <v>124</v>
      </c>
      <c r="B32" s="42" t="str">
        <f>PROPER(Table3[[#This Row],[Name]])</f>
        <v>Jessica Acevedo</v>
      </c>
      <c r="C32" s="43">
        <f>VLOOKUP(B32,Customer_Dim!B:C,2,0)</f>
        <v>64</v>
      </c>
      <c r="D32" s="43" t="str">
        <f t="shared" si="0"/>
        <v>Senior</v>
      </c>
      <c r="E32" s="43" t="str" cm="1">
        <f t="array" ref="E32:G32">_xlfn.XLOOKUP(A32,Table3[Customer_ID],Table3[[Gender]:[State]])</f>
        <v>Female</v>
      </c>
      <c r="F32" s="43" t="str">
        <v>Amybury</v>
      </c>
      <c r="G32" s="43" t="str">
        <v>Pennsylvania</v>
      </c>
      <c r="H32" s="43" t="str">
        <f>IF(OR(Customer_Dim!G32="usa",G32="United States of America"),"USA")</f>
        <v>USA</v>
      </c>
      <c r="I32" s="43" t="str">
        <f>VLOOKUP(A32,Customer_Dim!A:H,8,0)</f>
        <v>Bronze</v>
      </c>
    </row>
    <row r="33" spans="1:9" x14ac:dyDescent="0.3">
      <c r="A33" s="41" t="s">
        <v>127</v>
      </c>
      <c r="B33" s="42" t="str">
        <f>PROPER(Table3[[#This Row],[Name]])</f>
        <v>Sarah Vance</v>
      </c>
      <c r="C33" s="43">
        <f>VLOOKUP(B33,Customer_Dim!B:C,2,0)</f>
        <v>41</v>
      </c>
      <c r="D33" s="43" t="str">
        <f t="shared" si="0"/>
        <v>Middle-Aged</v>
      </c>
      <c r="E33" s="43" t="str" cm="1">
        <f t="array" ref="E33:G33">_xlfn.XLOOKUP(A33,Table3[Customer_ID],Table3[[Gender]:[State]])</f>
        <v>Male</v>
      </c>
      <c r="F33" s="43" t="str">
        <v>Johnsonville</v>
      </c>
      <c r="G33" s="43" t="str">
        <v>Oregon</v>
      </c>
      <c r="H33" s="43" t="str">
        <f>IF(OR(Customer_Dim!G33="usa",G33="United States of America"),"USA")</f>
        <v>USA</v>
      </c>
      <c r="I33" s="43" t="str">
        <f>VLOOKUP(A33,Customer_Dim!A:H,8,0)</f>
        <v>Silver</v>
      </c>
    </row>
    <row r="34" spans="1:9" x14ac:dyDescent="0.3">
      <c r="A34" s="41" t="s">
        <v>130</v>
      </c>
      <c r="B34" s="42" t="str">
        <f>PROPER(Table3[[#This Row],[Name]])</f>
        <v>Mike Jennings</v>
      </c>
      <c r="C34" s="43">
        <f>VLOOKUP(B34,Customer_Dim!B:C,2,0)</f>
        <v>48</v>
      </c>
      <c r="D34" s="43" t="str">
        <f t="shared" si="0"/>
        <v>Middle-Aged</v>
      </c>
      <c r="E34" s="43" t="str" cm="1">
        <f t="array" ref="E34:G34">_xlfn.XLOOKUP(A34,Table3[Customer_ID],Table3[[Gender]:[State]])</f>
        <v>Female</v>
      </c>
      <c r="F34" s="43" t="str">
        <v>Fostermouth</v>
      </c>
      <c r="G34" s="43" t="str">
        <v>Arizona</v>
      </c>
      <c r="H34" s="43" t="str">
        <f>IF(OR(Customer_Dim!G34="usa",G34="United States of America"),"USA")</f>
        <v>USA</v>
      </c>
      <c r="I34" s="43" t="str">
        <f>VLOOKUP(A34,Customer_Dim!A:H,8,0)</f>
        <v>Gold</v>
      </c>
    </row>
    <row r="35" spans="1:9" x14ac:dyDescent="0.3">
      <c r="A35" s="41" t="s">
        <v>134</v>
      </c>
      <c r="B35" s="42" t="str">
        <f>PROPER(Table3[[#This Row],[Name]])</f>
        <v>Robert Jones Dds</v>
      </c>
      <c r="C35" s="43">
        <f>VLOOKUP(B35,Customer_Dim!B:C,2,0)</f>
        <v>25</v>
      </c>
      <c r="D35" s="43" t="str">
        <f t="shared" si="0"/>
        <v>Young</v>
      </c>
      <c r="E35" s="43" t="str" cm="1">
        <f t="array" ref="E35:G35">_xlfn.XLOOKUP(A35,Table3[Customer_ID],Table3[[Gender]:[State]])</f>
        <v>Male</v>
      </c>
      <c r="F35" s="43" t="str">
        <v>Tristanton</v>
      </c>
      <c r="G35" s="43" t="str">
        <v>Oklahoma</v>
      </c>
      <c r="H35" s="43" t="str">
        <f>IF(OR(Customer_Dim!G35="usa",G35="United States of America"),"USA")</f>
        <v>USA</v>
      </c>
      <c r="I35" s="43" t="str">
        <f>VLOOKUP(A35,Customer_Dim!A:H,8,0)</f>
        <v>Platinum</v>
      </c>
    </row>
    <row r="36" spans="1:9" x14ac:dyDescent="0.3">
      <c r="A36" s="41" t="s">
        <v>137</v>
      </c>
      <c r="B36" s="42" t="str">
        <f>PROPER(Table3[[#This Row],[Name]])</f>
        <v>Christopher Olson</v>
      </c>
      <c r="C36" s="43">
        <f>VLOOKUP(B36,Customer_Dim!B:C,2,0)</f>
        <v>27</v>
      </c>
      <c r="D36" s="43" t="str">
        <f t="shared" si="0"/>
        <v>Young</v>
      </c>
      <c r="E36" s="43" t="str" cm="1">
        <f t="array" ref="E36:G36">_xlfn.XLOOKUP(A36,Table3[Customer_ID],Table3[[Gender]:[State]])</f>
        <v>Female</v>
      </c>
      <c r="F36" s="43" t="str">
        <v>West Richard</v>
      </c>
      <c r="G36" s="43" t="str">
        <v>Maryland</v>
      </c>
      <c r="H36" s="43" t="str">
        <f>IF(OR(Customer_Dim!G36="usa",G36="United States of America"),"USA")</f>
        <v>USA</v>
      </c>
      <c r="I36" s="43" t="str">
        <f>VLOOKUP(A36,Customer_Dim!A:H,8,0)</f>
        <v>Platinum</v>
      </c>
    </row>
    <row r="37" spans="1:9" x14ac:dyDescent="0.3">
      <c r="A37" s="41" t="s">
        <v>141</v>
      </c>
      <c r="B37" s="42" t="str">
        <f>PROPER(Table3[[#This Row],[Name]])</f>
        <v>Rachel Myers</v>
      </c>
      <c r="C37" s="43">
        <f>VLOOKUP(B37,Customer_Dim!B:C,2,0)</f>
        <v>52</v>
      </c>
      <c r="D37" s="43" t="str">
        <f t="shared" si="0"/>
        <v>Senior</v>
      </c>
      <c r="E37" s="43" t="str" cm="1">
        <f t="array" ref="E37:G37">_xlfn.XLOOKUP(A37,Table3[Customer_ID],Table3[[Gender]:[State]])</f>
        <v>Male</v>
      </c>
      <c r="F37" s="43" t="str">
        <v>Robertberg</v>
      </c>
      <c r="G37" s="43" t="str">
        <v>North Dakota</v>
      </c>
      <c r="H37" s="43" t="str">
        <f>IF(OR(Customer_Dim!G37="usa",G37="United States of America"),"USA")</f>
        <v>USA</v>
      </c>
      <c r="I37" s="43" t="str">
        <f>VLOOKUP(A37,Customer_Dim!A:H,8,0)</f>
        <v>Silver</v>
      </c>
    </row>
    <row r="38" spans="1:9" x14ac:dyDescent="0.3">
      <c r="A38" s="41" t="s">
        <v>144</v>
      </c>
      <c r="B38" s="42" t="str">
        <f>PROPER(Table3[[#This Row],[Name]])</f>
        <v>Thomas Phillips</v>
      </c>
      <c r="C38" s="43">
        <f>VLOOKUP(B38,Customer_Dim!B:C,2,0)</f>
        <v>20</v>
      </c>
      <c r="D38" s="43" t="str">
        <f t="shared" si="0"/>
        <v>Young</v>
      </c>
      <c r="E38" s="43" t="str" cm="1">
        <f t="array" ref="E38:G38">_xlfn.XLOOKUP(A38,Table3[Customer_ID],Table3[[Gender]:[State]])</f>
        <v>Female</v>
      </c>
      <c r="F38" s="43" t="str">
        <v>Luisfurt</v>
      </c>
      <c r="G38" s="43" t="str">
        <v>Georgia</v>
      </c>
      <c r="H38" s="43" t="str">
        <f>IF(OR(Customer_Dim!G38="usa",G38="United States of America"),"USA")</f>
        <v>USA</v>
      </c>
      <c r="I38" s="43" t="str">
        <f>VLOOKUP(A38,Customer_Dim!A:H,8,0)</f>
        <v>Gold</v>
      </c>
    </row>
    <row r="39" spans="1:9" x14ac:dyDescent="0.3">
      <c r="A39" s="41" t="s">
        <v>147</v>
      </c>
      <c r="B39" s="42" t="str">
        <f>PROPER(Table3[[#This Row],[Name]])</f>
        <v>Christopher Carter</v>
      </c>
      <c r="C39" s="43">
        <f>VLOOKUP(B39,Customer_Dim!B:C,2,0)</f>
        <v>27</v>
      </c>
      <c r="D39" s="43" t="str">
        <f t="shared" si="0"/>
        <v>Young</v>
      </c>
      <c r="E39" s="43" t="str" cm="1">
        <f t="array" ref="E39:G39">_xlfn.XLOOKUP(A39,Table3[Customer_ID],Table3[[Gender]:[State]])</f>
        <v>Female</v>
      </c>
      <c r="F39" s="43" t="str">
        <v>Brendastad</v>
      </c>
      <c r="G39" s="43" t="str">
        <v>South Dakota</v>
      </c>
      <c r="H39" s="43" t="str">
        <f>IF(OR(Customer_Dim!G39="usa",G39="United States of America"),"USA")</f>
        <v>USA</v>
      </c>
      <c r="I39" s="43" t="s">
        <v>3928</v>
      </c>
    </row>
    <row r="40" spans="1:9" x14ac:dyDescent="0.3">
      <c r="A40" s="41" t="s">
        <v>150</v>
      </c>
      <c r="B40" s="42" t="str">
        <f>PROPER(Table3[[#This Row],[Name]])</f>
        <v>Deanna Simpson</v>
      </c>
      <c r="C40" s="43">
        <f>VLOOKUP(B40,Customer_Dim!B:C,2,0)</f>
        <v>35</v>
      </c>
      <c r="D40" s="43" t="str">
        <f t="shared" si="0"/>
        <v>Middle-Aged</v>
      </c>
      <c r="E40" s="43" t="str" cm="1">
        <f t="array" ref="E40:G40">_xlfn.XLOOKUP(A40,Table3[Customer_ID],Table3[[Gender]:[State]])</f>
        <v>Female</v>
      </c>
      <c r="F40" s="43" t="str">
        <v>Brownport</v>
      </c>
      <c r="G40" s="43" t="str">
        <v>North Dakota</v>
      </c>
      <c r="H40" s="43" t="str">
        <f>IF(OR(Customer_Dim!G40="usa",G40="United States of America"),"USA")</f>
        <v>USA</v>
      </c>
      <c r="I40" s="43" t="str">
        <f>VLOOKUP(A40,Customer_Dim!A:H,8,0)</f>
        <v>Bronze</v>
      </c>
    </row>
    <row r="41" spans="1:9" x14ac:dyDescent="0.3">
      <c r="A41" s="41" t="s">
        <v>153</v>
      </c>
      <c r="B41" s="42" t="str">
        <f>PROPER(Table3[[#This Row],[Name]])</f>
        <v>Tonya Reynolds</v>
      </c>
      <c r="C41" s="43">
        <f>VLOOKUP(B41,Customer_Dim!B:C,2,0)</f>
        <v>55</v>
      </c>
      <c r="D41" s="43" t="str">
        <f t="shared" si="0"/>
        <v>Senior</v>
      </c>
      <c r="E41" s="43" t="str" cm="1">
        <f t="array" ref="E41:G41">_xlfn.XLOOKUP(A41,Table3[Customer_ID],Table3[[Gender]:[State]])</f>
        <v>Female</v>
      </c>
      <c r="F41" s="43" t="str">
        <v>Darleneton</v>
      </c>
      <c r="G41" s="43" t="str">
        <v>Michigan</v>
      </c>
      <c r="H41" s="43" t="str">
        <f>IF(OR(Customer_Dim!G41="usa",G41="United States of America"),"USA")</f>
        <v>USA</v>
      </c>
      <c r="I41" s="43" t="str">
        <f>VLOOKUP(A41,Customer_Dim!A:H,8,0)</f>
        <v>Gold</v>
      </c>
    </row>
    <row r="42" spans="1:9" x14ac:dyDescent="0.3">
      <c r="A42" s="41" t="s">
        <v>157</v>
      </c>
      <c r="B42" s="42" t="str">
        <f>PROPER(Table3[[#This Row],[Name]])</f>
        <v>Eric Vega</v>
      </c>
      <c r="C42" s="43">
        <f>VLOOKUP(B42,Customer_Dim!B:C,2,0)</f>
        <v>50</v>
      </c>
      <c r="D42" s="43" t="str">
        <f t="shared" si="0"/>
        <v>Middle-Aged</v>
      </c>
      <c r="E42" s="43" t="str" cm="1">
        <f t="array" ref="E42:G42">_xlfn.XLOOKUP(A42,Table3[Customer_ID],Table3[[Gender]:[State]])</f>
        <v>Male</v>
      </c>
      <c r="F42" s="43" t="str">
        <v>Williamsonland</v>
      </c>
      <c r="G42" s="43" t="str">
        <v>Kansas</v>
      </c>
      <c r="H42" s="43" t="str">
        <f>IF(OR(Customer_Dim!G42="usa",G42="United States of America"),"USA")</f>
        <v>USA</v>
      </c>
      <c r="I42" s="43" t="str">
        <f>VLOOKUP(A42,Customer_Dim!A:H,8,0)</f>
        <v>Gold</v>
      </c>
    </row>
    <row r="43" spans="1:9" x14ac:dyDescent="0.3">
      <c r="A43" s="41" t="s">
        <v>160</v>
      </c>
      <c r="B43" s="42" t="str">
        <f>PROPER(Table3[[#This Row],[Name]])</f>
        <v>James Gibbs</v>
      </c>
      <c r="C43" s="43">
        <f>VLOOKUP(B43,Customer_Dim!B:C,2,0)</f>
        <v>21</v>
      </c>
      <c r="D43" s="43" t="str">
        <f t="shared" si="0"/>
        <v>Young</v>
      </c>
      <c r="E43" s="43" t="str" cm="1">
        <f t="array" ref="E43:G43">_xlfn.XLOOKUP(A43,Table3[Customer_ID],Table3[[Gender]:[State]])</f>
        <v>Male</v>
      </c>
      <c r="F43" s="43" t="str">
        <v>Mooneyshire</v>
      </c>
      <c r="G43" s="43" t="str">
        <v>Alaska</v>
      </c>
      <c r="H43" s="43" t="str">
        <f>IF(OR(Customer_Dim!G43="usa",G43="United States of America"),"USA")</f>
        <v>USA</v>
      </c>
      <c r="I43" s="43" t="str">
        <f>VLOOKUP(A43,Customer_Dim!A:H,8,0)</f>
        <v>Platinum</v>
      </c>
    </row>
    <row r="44" spans="1:9" x14ac:dyDescent="0.3">
      <c r="A44" s="41" t="s">
        <v>164</v>
      </c>
      <c r="B44" s="42" t="str">
        <f>PROPER(Table3[[#This Row],[Name]])</f>
        <v>William Martin</v>
      </c>
      <c r="C44" s="43">
        <f>VLOOKUP(B44,Customer_Dim!B:C,2,0)</f>
        <v>19</v>
      </c>
      <c r="D44" s="43" t="str">
        <f t="shared" si="0"/>
        <v>Young</v>
      </c>
      <c r="E44" s="43" t="str" cm="1">
        <f t="array" ref="E44:G44">_xlfn.XLOOKUP(A44,Table3[Customer_ID],Table3[[Gender]:[State]])</f>
        <v>Male</v>
      </c>
      <c r="F44" s="43" t="str">
        <v>Ryanburgh</v>
      </c>
      <c r="G44" s="43" t="str">
        <v>Connecticut</v>
      </c>
      <c r="H44" s="43" t="str">
        <f>IF(OR(Customer_Dim!G44="usa",G44="United States of America"),"USA")</f>
        <v>USA</v>
      </c>
      <c r="I44" s="43" t="str">
        <f>VLOOKUP(A44,Customer_Dim!A:H,8,0)</f>
        <v>Platinum</v>
      </c>
    </row>
    <row r="45" spans="1:9" x14ac:dyDescent="0.3">
      <c r="A45" s="41" t="s">
        <v>168</v>
      </c>
      <c r="B45" s="42" t="str">
        <f>PROPER(Table3[[#This Row],[Name]])</f>
        <v>Joseph Snow</v>
      </c>
      <c r="C45" s="43">
        <f>VLOOKUP(B45,Customer_Dim!B:C,2,0)</f>
        <v>45</v>
      </c>
      <c r="D45" s="43" t="str">
        <f t="shared" si="0"/>
        <v>Middle-Aged</v>
      </c>
      <c r="E45" s="43" t="str" cm="1">
        <f t="array" ref="E45:G45">_xlfn.XLOOKUP(A45,Table3[Customer_ID],Table3[[Gender]:[State]])</f>
        <v>Male</v>
      </c>
      <c r="F45" s="43" t="str">
        <v>South Michaelfort</v>
      </c>
      <c r="G45" s="43" t="str">
        <v>Vermont</v>
      </c>
      <c r="H45" s="43" t="str">
        <f>IF(OR(Customer_Dim!G45="usa",G45="United States of America"),"USA")</f>
        <v>USA</v>
      </c>
      <c r="I45" s="43" t="str">
        <f>VLOOKUP(A45,Customer_Dim!A:H,8,0)</f>
        <v>Gold</v>
      </c>
    </row>
    <row r="46" spans="1:9" x14ac:dyDescent="0.3">
      <c r="A46" s="41" t="s">
        <v>172</v>
      </c>
      <c r="B46" s="42" t="str">
        <f>PROPER(Table3[[#This Row],[Name]])</f>
        <v>Denise Williams</v>
      </c>
      <c r="C46" s="43">
        <f>VLOOKUP(B46,Customer_Dim!B:C,2,0)</f>
        <v>34</v>
      </c>
      <c r="D46" s="43" t="str">
        <f t="shared" si="0"/>
        <v>Middle-Aged</v>
      </c>
      <c r="E46" s="43" t="str" cm="1">
        <f t="array" ref="E46:G46">_xlfn.XLOOKUP(A46,Table3[Customer_ID],Table3[[Gender]:[State]])</f>
        <v>Male</v>
      </c>
      <c r="F46" s="43" t="str">
        <v>Christianstad</v>
      </c>
      <c r="G46" s="43" t="str">
        <v>Hawaii</v>
      </c>
      <c r="H46" s="43" t="str">
        <f>IF(OR(Customer_Dim!G46="usa",G46="United States of America"),"USA")</f>
        <v>USA</v>
      </c>
      <c r="I46" s="43" t="str">
        <f>VLOOKUP(A46,Customer_Dim!A:H,8,0)</f>
        <v>Bronze</v>
      </c>
    </row>
    <row r="47" spans="1:9" x14ac:dyDescent="0.3">
      <c r="A47" s="41" t="s">
        <v>175</v>
      </c>
      <c r="B47" s="42" t="str">
        <f>PROPER(Table3[[#This Row],[Name]])</f>
        <v>Jordan Jackson Dds</v>
      </c>
      <c r="C47" s="43">
        <f>VLOOKUP(B47,Customer_Dim!B:C,2,0)</f>
        <v>54</v>
      </c>
      <c r="D47" s="43" t="str">
        <f t="shared" si="0"/>
        <v>Senior</v>
      </c>
      <c r="E47" s="43" t="str" cm="1">
        <f t="array" ref="E47:G47">_xlfn.XLOOKUP(A47,Table3[Customer_ID],Table3[[Gender]:[State]])</f>
        <v>Male</v>
      </c>
      <c r="F47" s="43" t="str">
        <v>North Johnview</v>
      </c>
      <c r="G47" s="43" t="str">
        <v>Arizona</v>
      </c>
      <c r="H47" s="43" t="str">
        <f>IF(OR(Customer_Dim!G47="usa",G47="United States of America"),"USA")</f>
        <v>USA</v>
      </c>
      <c r="I47" s="43" t="str">
        <f>VLOOKUP(A47,Customer_Dim!A:H,8,0)</f>
        <v>Gold</v>
      </c>
    </row>
    <row r="48" spans="1:9" x14ac:dyDescent="0.3">
      <c r="A48" s="41" t="s">
        <v>178</v>
      </c>
      <c r="B48" s="42" t="str">
        <f>PROPER(Table3[[#This Row],[Name]])</f>
        <v>Michelle Garcia Dds</v>
      </c>
      <c r="C48" s="43">
        <f>VLOOKUP(B48,Customer_Dim!B:C,2,0)</f>
        <v>55</v>
      </c>
      <c r="D48" s="43" t="str">
        <f t="shared" si="0"/>
        <v>Senior</v>
      </c>
      <c r="E48" s="43" t="str" cm="1">
        <f t="array" ref="E48:G48">_xlfn.XLOOKUP(A48,Table3[Customer_ID],Table3[[Gender]:[State]])</f>
        <v>Female</v>
      </c>
      <c r="F48" s="43" t="str">
        <v>Perezbury</v>
      </c>
      <c r="G48" s="43" t="str">
        <v>Ohio</v>
      </c>
      <c r="H48" s="43" t="str">
        <f>IF(OR(Customer_Dim!G48="usa",G48="United States of America"),"USA")</f>
        <v>USA</v>
      </c>
      <c r="I48" s="43" t="str">
        <f>VLOOKUP(A48,Customer_Dim!A:H,8,0)</f>
        <v>Platinum</v>
      </c>
    </row>
    <row r="49" spans="1:9" x14ac:dyDescent="0.3">
      <c r="A49" s="41" t="s">
        <v>181</v>
      </c>
      <c r="B49" s="42" t="str">
        <f>PROPER(Table3[[#This Row],[Name]])</f>
        <v>Gina Knight</v>
      </c>
      <c r="C49" s="43">
        <f>VLOOKUP(B49,Customer_Dim!B:C,2,0)</f>
        <v>54</v>
      </c>
      <c r="D49" s="43" t="str">
        <f t="shared" si="0"/>
        <v>Senior</v>
      </c>
      <c r="E49" s="43" t="str" cm="1">
        <f t="array" ref="E49:G49">_xlfn.XLOOKUP(A49,Table3[Customer_ID],Table3[[Gender]:[State]])</f>
        <v>Female</v>
      </c>
      <c r="F49" s="43" t="str">
        <v>Lake Roberthaven</v>
      </c>
      <c r="G49" s="43" t="str">
        <v>Nevada</v>
      </c>
      <c r="H49" s="43" t="str">
        <f>IF(OR(Customer_Dim!G49="usa",G49="United States of America"),"USA")</f>
        <v>USA</v>
      </c>
      <c r="I49" s="43" t="str">
        <f>VLOOKUP(A49,Customer_Dim!A:H,8,0)</f>
        <v>Silver</v>
      </c>
    </row>
    <row r="50" spans="1:9" x14ac:dyDescent="0.3">
      <c r="A50" s="41" t="s">
        <v>185</v>
      </c>
      <c r="B50" s="42" t="str">
        <f>PROPER(Table3[[#This Row],[Name]])</f>
        <v>April Mullins</v>
      </c>
      <c r="C50" s="43">
        <f>VLOOKUP(B50,Customer_Dim!B:C,2,0)</f>
        <v>54</v>
      </c>
      <c r="D50" s="43" t="str">
        <f t="shared" si="0"/>
        <v>Senior</v>
      </c>
      <c r="E50" s="43" t="str" cm="1">
        <f t="array" ref="E50:G50">_xlfn.XLOOKUP(A50,Table3[Customer_ID],Table3[[Gender]:[State]])</f>
        <v>Male</v>
      </c>
      <c r="F50" s="43" t="str">
        <v>Dawsonbury</v>
      </c>
      <c r="G50" s="43" t="str">
        <v>North Carolina</v>
      </c>
      <c r="H50" s="43" t="str">
        <f>IF(OR(Customer_Dim!G50="usa",G50="United States of America"),"USA")</f>
        <v>USA</v>
      </c>
      <c r="I50" s="43" t="str">
        <f>VLOOKUP(A50,Customer_Dim!A:H,8,0)</f>
        <v>Platinum</v>
      </c>
    </row>
    <row r="51" spans="1:9" x14ac:dyDescent="0.3">
      <c r="A51" s="41" t="s">
        <v>188</v>
      </c>
      <c r="B51" s="42" t="str">
        <f>PROPER(Table3[[#This Row],[Name]])</f>
        <v>Timothy Weaver</v>
      </c>
      <c r="C51" s="43">
        <f>VLOOKUP(B51,Customer_Dim!B:C,2,0)</f>
        <v>45</v>
      </c>
      <c r="D51" s="43" t="str">
        <f t="shared" si="0"/>
        <v>Middle-Aged</v>
      </c>
      <c r="E51" s="43" t="str" cm="1">
        <f t="array" ref="E51:G51">_xlfn.XLOOKUP(A51,Table3[Customer_ID],Table3[[Gender]:[State]])</f>
        <v>Female</v>
      </c>
      <c r="F51" s="43" t="str">
        <v>New Amy</v>
      </c>
      <c r="G51" s="43" t="str">
        <v>Ohio</v>
      </c>
      <c r="H51" s="43" t="str">
        <f>IF(OR(Customer_Dim!G51="usa",G51="United States of America"),"USA")</f>
        <v>USA</v>
      </c>
      <c r="I51" s="43" t="str">
        <f>VLOOKUP(A51,Customer_Dim!A:H,8,0)</f>
        <v>Gold</v>
      </c>
    </row>
    <row r="52" spans="1:9" x14ac:dyDescent="0.3">
      <c r="A52" s="41" t="s">
        <v>191</v>
      </c>
      <c r="B52" s="42" t="str">
        <f>PROPER(Table3[[#This Row],[Name]])</f>
        <v>Matthew Hunter Jr.</v>
      </c>
      <c r="C52" s="43">
        <f>VLOOKUP(B52,Customer_Dim!B:C,2,0)</f>
        <v>61</v>
      </c>
      <c r="D52" s="43" t="str">
        <f t="shared" si="0"/>
        <v>Senior</v>
      </c>
      <c r="E52" s="43" t="str" cm="1">
        <f t="array" ref="E52:G52">_xlfn.XLOOKUP(A52,Table3[Customer_ID],Table3[[Gender]:[State]])</f>
        <v>Female</v>
      </c>
      <c r="F52" s="43" t="str">
        <v>Gregoryview</v>
      </c>
      <c r="G52" s="43" t="str">
        <v>Illinois</v>
      </c>
      <c r="H52" s="43" t="str">
        <f>IF(OR(Customer_Dim!G52="usa",G52="United States of America"),"USA")</f>
        <v>USA</v>
      </c>
      <c r="I52" s="43" t="str">
        <f>VLOOKUP(A52,Customer_Dim!A:H,8,0)</f>
        <v>Gold</v>
      </c>
    </row>
    <row r="53" spans="1:9" x14ac:dyDescent="0.3">
      <c r="A53" s="41" t="s">
        <v>195</v>
      </c>
      <c r="B53" s="42" t="str">
        <f>PROPER(Table3[[#This Row],[Name]])</f>
        <v>Sarah Rodgers</v>
      </c>
      <c r="C53" s="43">
        <f>VLOOKUP(B53,Customer_Dim!B:C,2,0)</f>
        <v>23</v>
      </c>
      <c r="D53" s="43" t="str">
        <f t="shared" si="0"/>
        <v>Young</v>
      </c>
      <c r="E53" s="43" t="str" cm="1">
        <f t="array" ref="E53:G53">_xlfn.XLOOKUP(A53,Table3[Customer_ID],Table3[[Gender]:[State]])</f>
        <v>Female</v>
      </c>
      <c r="F53" s="43" t="str">
        <v>New Julia</v>
      </c>
      <c r="G53" s="43" t="str">
        <v>West Virginia</v>
      </c>
      <c r="H53" s="43" t="str">
        <f>IF(OR(Customer_Dim!G53="usa",G53="United States of America"),"USA")</f>
        <v>USA</v>
      </c>
      <c r="I53" s="43" t="str">
        <f>VLOOKUP(A53,Customer_Dim!A:H,8,0)</f>
        <v>Gold</v>
      </c>
    </row>
    <row r="54" spans="1:9" x14ac:dyDescent="0.3">
      <c r="A54" s="41" t="s">
        <v>198</v>
      </c>
      <c r="B54" s="42" t="str">
        <f>PROPER(Table3[[#This Row],[Name]])</f>
        <v>Debra Liu</v>
      </c>
      <c r="C54" s="43">
        <f>VLOOKUP(B54,Customer_Dim!B:C,2,0)</f>
        <v>55</v>
      </c>
      <c r="D54" s="43" t="str">
        <f t="shared" si="0"/>
        <v>Senior</v>
      </c>
      <c r="E54" s="43" t="str" cm="1">
        <f t="array" ref="E54:G54">_xlfn.XLOOKUP(A54,Table3[Customer_ID],Table3[[Gender]:[State]])</f>
        <v>Male</v>
      </c>
      <c r="F54" s="43" t="str">
        <v>South Timtown</v>
      </c>
      <c r="G54" s="43" t="str">
        <v>Minnesota</v>
      </c>
      <c r="H54" s="43" t="str">
        <f>IF(OR(Customer_Dim!G54="usa",G54="United States of America"),"USA")</f>
        <v>USA</v>
      </c>
      <c r="I54" s="43" t="str">
        <f>VLOOKUP(A54,Customer_Dim!A:H,8,0)</f>
        <v>Bronze</v>
      </c>
    </row>
    <row r="55" spans="1:9" x14ac:dyDescent="0.3">
      <c r="A55" s="41" t="s">
        <v>202</v>
      </c>
      <c r="B55" s="42" t="str">
        <f>PROPER(Table3[[#This Row],[Name]])</f>
        <v>Sharon Brown</v>
      </c>
      <c r="C55" s="43">
        <f>VLOOKUP(B55,Customer_Dim!B:C,2,0)</f>
        <v>37</v>
      </c>
      <c r="D55" s="43" t="str">
        <f t="shared" si="0"/>
        <v>Middle-Aged</v>
      </c>
      <c r="E55" s="43" t="str" cm="1">
        <f t="array" ref="E55:G55">_xlfn.XLOOKUP(A55,Table3[Customer_ID],Table3[[Gender]:[State]])</f>
        <v>Female</v>
      </c>
      <c r="F55" s="43" t="str">
        <v>East Andrea</v>
      </c>
      <c r="G55" s="43" t="str">
        <v>Michigan</v>
      </c>
      <c r="H55" s="43" t="str">
        <f>IF(OR(Customer_Dim!G55="usa",G55="United States of America"),"USA")</f>
        <v>USA</v>
      </c>
      <c r="I55" s="43" t="str">
        <f>VLOOKUP(A55,Customer_Dim!A:H,8,0)</f>
        <v>Gold</v>
      </c>
    </row>
    <row r="56" spans="1:9" x14ac:dyDescent="0.3">
      <c r="A56" s="41" t="s">
        <v>205</v>
      </c>
      <c r="B56" s="42" t="str">
        <f>PROPER(Table3[[#This Row],[Name]])</f>
        <v>Katherine Dorsey</v>
      </c>
      <c r="C56" s="43">
        <f>VLOOKUP(B56,Customer_Dim!B:C,2,0)</f>
        <v>24</v>
      </c>
      <c r="D56" s="43" t="str">
        <f t="shared" si="0"/>
        <v>Young</v>
      </c>
      <c r="E56" s="43" t="str" cm="1">
        <f t="array" ref="E56:G56">_xlfn.XLOOKUP(A56,Table3[Customer_ID],Table3[[Gender]:[State]])</f>
        <v>Male</v>
      </c>
      <c r="F56" s="43" t="str">
        <v>Christopherland</v>
      </c>
      <c r="G56" s="43" t="str">
        <v>Oklahoma</v>
      </c>
      <c r="H56" s="43" t="str">
        <f>IF(OR(Customer_Dim!G56="usa",G56="United States of America"),"USA")</f>
        <v>USA</v>
      </c>
      <c r="I56" s="43" t="str">
        <f>VLOOKUP(A56,Customer_Dim!A:H,8,0)</f>
        <v>Platinum</v>
      </c>
    </row>
    <row r="57" spans="1:9" x14ac:dyDescent="0.3">
      <c r="A57" s="41" t="s">
        <v>208</v>
      </c>
      <c r="B57" s="42" t="str">
        <f>PROPER(Table3[[#This Row],[Name]])</f>
        <v>Wayne Mcpherson</v>
      </c>
      <c r="C57" s="43">
        <f>VLOOKUP(B57,Customer_Dim!B:C,2,0)</f>
        <v>56</v>
      </c>
      <c r="D57" s="43" t="str">
        <f t="shared" si="0"/>
        <v>Senior</v>
      </c>
      <c r="E57" s="43" t="str" cm="1">
        <f t="array" ref="E57:G57">_xlfn.XLOOKUP(A57,Table3[Customer_ID],Table3[[Gender]:[State]])</f>
        <v>Female</v>
      </c>
      <c r="F57" s="43" t="str">
        <v>Edwardsfort</v>
      </c>
      <c r="G57" s="43" t="str">
        <v>Minnesota</v>
      </c>
      <c r="H57" s="43" t="str">
        <f>IF(OR(Customer_Dim!G57="usa",G57="United States of America"),"USA")</f>
        <v>USA</v>
      </c>
      <c r="I57" s="43" t="str">
        <f>VLOOKUP(A57,Customer_Dim!A:H,8,0)</f>
        <v>Bronze</v>
      </c>
    </row>
    <row r="58" spans="1:9" x14ac:dyDescent="0.3">
      <c r="A58" s="41" t="s">
        <v>211</v>
      </c>
      <c r="B58" s="42" t="str">
        <f>PROPER(Table3[[#This Row],[Name]])</f>
        <v>Christopher Sutton</v>
      </c>
      <c r="C58" s="43">
        <f>VLOOKUP(B58,Customer_Dim!B:C,2,0)</f>
        <v>49</v>
      </c>
      <c r="D58" s="43" t="str">
        <f t="shared" si="0"/>
        <v>Middle-Aged</v>
      </c>
      <c r="E58" s="43" t="str" cm="1">
        <f t="array" ref="E58:G58">_xlfn.XLOOKUP(A58,Table3[Customer_ID],Table3[[Gender]:[State]])</f>
        <v>Female</v>
      </c>
      <c r="F58" s="43" t="str">
        <v>Deborahberg</v>
      </c>
      <c r="G58" s="43" t="str">
        <v>Pennsylvania</v>
      </c>
      <c r="H58" s="43" t="str">
        <f>IF(OR(Customer_Dim!G58="usa",G58="United States of America"),"USA")</f>
        <v>USA</v>
      </c>
      <c r="I58" s="43" t="str">
        <f>VLOOKUP(A58,Customer_Dim!A:H,8,0)</f>
        <v>Gold</v>
      </c>
    </row>
    <row r="59" spans="1:9" x14ac:dyDescent="0.3">
      <c r="A59" s="41" t="s">
        <v>214</v>
      </c>
      <c r="B59" s="42" t="str">
        <f>PROPER(Table3[[#This Row],[Name]])</f>
        <v>Jay Patel</v>
      </c>
      <c r="C59" s="43">
        <f>VLOOKUP(B59,Customer_Dim!B:C,2,0)</f>
        <v>43</v>
      </c>
      <c r="D59" s="43" t="str">
        <f t="shared" si="0"/>
        <v>Middle-Aged</v>
      </c>
      <c r="E59" s="43" t="str" cm="1">
        <f t="array" ref="E59:G59">_xlfn.XLOOKUP(A59,Table3[Customer_ID],Table3[[Gender]:[State]])</f>
        <v>Female</v>
      </c>
      <c r="F59" s="43" t="str">
        <v>Morrisbury</v>
      </c>
      <c r="G59" s="43" t="str">
        <v>Rhode Island</v>
      </c>
      <c r="H59" s="43" t="str">
        <f>IF(OR(Customer_Dim!G59="usa",G59="United States of America"),"USA")</f>
        <v>USA</v>
      </c>
      <c r="I59" s="43" t="str">
        <f>VLOOKUP(A59,Customer_Dim!A:H,8,0)</f>
        <v>Platinum</v>
      </c>
    </row>
    <row r="60" spans="1:9" x14ac:dyDescent="0.3">
      <c r="A60" s="41" t="s">
        <v>218</v>
      </c>
      <c r="B60" s="42" t="str">
        <f>PROPER(Table3[[#This Row],[Name]])</f>
        <v>Cheryl Copeland</v>
      </c>
      <c r="C60" s="43">
        <f>VLOOKUP(B60,Customer_Dim!B:C,2,0)</f>
        <v>51</v>
      </c>
      <c r="D60" s="43" t="str">
        <f t="shared" si="0"/>
        <v>Senior</v>
      </c>
      <c r="E60" s="43" t="str" cm="1">
        <f t="array" ref="E60:G60">_xlfn.XLOOKUP(A60,Table3[Customer_ID],Table3[[Gender]:[State]])</f>
        <v>Male</v>
      </c>
      <c r="F60" s="43" t="str">
        <v>Snowmouth</v>
      </c>
      <c r="G60" s="43" t="str">
        <v>Maryland</v>
      </c>
      <c r="H60" s="43" t="str">
        <f>IF(OR(Customer_Dim!G60="usa",G60="United States of America"),"USA")</f>
        <v>USA</v>
      </c>
      <c r="I60" s="43" t="str">
        <f>VLOOKUP(A60,Customer_Dim!A:H,8,0)</f>
        <v>Platinum</v>
      </c>
    </row>
    <row r="61" spans="1:9" x14ac:dyDescent="0.3">
      <c r="A61" s="41" t="s">
        <v>221</v>
      </c>
      <c r="B61" s="42" t="str">
        <f>PROPER(Table3[[#This Row],[Name]])</f>
        <v>Alyssa Vargas</v>
      </c>
      <c r="C61" s="43">
        <f>VLOOKUP(B61,Customer_Dim!B:C,2,0)</f>
        <v>53</v>
      </c>
      <c r="D61" s="43" t="str">
        <f t="shared" si="0"/>
        <v>Senior</v>
      </c>
      <c r="E61" s="43" t="str" cm="1">
        <f t="array" ref="E61:G61">_xlfn.XLOOKUP(A61,Table3[Customer_ID],Table3[[Gender]:[State]])</f>
        <v>Male</v>
      </c>
      <c r="F61" s="43" t="str">
        <v>New Kathrynland</v>
      </c>
      <c r="G61" s="43" t="str">
        <v>Montana</v>
      </c>
      <c r="H61" s="43" t="str">
        <f>IF(OR(Customer_Dim!G61="usa",G61="United States of America"),"USA")</f>
        <v>USA</v>
      </c>
      <c r="I61" s="43" t="str">
        <f>VLOOKUP(A61,Customer_Dim!A:H,8,0)</f>
        <v>Platinum</v>
      </c>
    </row>
    <row r="62" spans="1:9" x14ac:dyDescent="0.3">
      <c r="A62" s="41" t="s">
        <v>224</v>
      </c>
      <c r="B62" s="42" t="str">
        <f>PROPER(Table3[[#This Row],[Name]])</f>
        <v>Dr. David Smith</v>
      </c>
      <c r="C62" s="43">
        <f>VLOOKUP(B62,Customer_Dim!B:C,2,0)</f>
        <v>22</v>
      </c>
      <c r="D62" s="43" t="str">
        <f t="shared" si="0"/>
        <v>Young</v>
      </c>
      <c r="E62" s="43" t="str" cm="1">
        <f t="array" ref="E62:G62">_xlfn.XLOOKUP(A62,Table3[Customer_ID],Table3[[Gender]:[State]])</f>
        <v>Female</v>
      </c>
      <c r="F62" s="43" t="str">
        <v>Schmidtchester</v>
      </c>
      <c r="G62" s="43" t="str">
        <v>Alaska</v>
      </c>
      <c r="H62" s="43" t="str">
        <f>IF(OR(Customer_Dim!G62="usa",G62="United States of America"),"USA")</f>
        <v>USA</v>
      </c>
      <c r="I62" s="43" t="str">
        <f>VLOOKUP(A62,Customer_Dim!A:H,8,0)</f>
        <v>Silver</v>
      </c>
    </row>
    <row r="63" spans="1:9" x14ac:dyDescent="0.3">
      <c r="A63" s="41" t="s">
        <v>227</v>
      </c>
      <c r="B63" s="42" t="str">
        <f>PROPER(Table3[[#This Row],[Name]])</f>
        <v>Kristin Stein</v>
      </c>
      <c r="C63" s="43">
        <f>VLOOKUP(B63,Customer_Dim!B:C,2,0)</f>
        <v>23</v>
      </c>
      <c r="D63" s="43" t="str">
        <f t="shared" si="0"/>
        <v>Young</v>
      </c>
      <c r="E63" s="43" t="str" cm="1">
        <f t="array" ref="E63:G63">_xlfn.XLOOKUP(A63,Table3[Customer_ID],Table3[[Gender]:[State]])</f>
        <v>Male</v>
      </c>
      <c r="F63" s="43" t="str">
        <v>Jennifermouth</v>
      </c>
      <c r="G63" s="43" t="str">
        <v>Missouri</v>
      </c>
      <c r="H63" s="43" t="str">
        <f>IF(OR(Customer_Dim!G63="usa",G63="United States of America"),"USA")</f>
        <v>USA</v>
      </c>
      <c r="I63" s="43" t="str">
        <f>VLOOKUP(A63,Customer_Dim!A:H,8,0)</f>
        <v>Silver</v>
      </c>
    </row>
    <row r="64" spans="1:9" x14ac:dyDescent="0.3">
      <c r="A64" s="41" t="s">
        <v>230</v>
      </c>
      <c r="B64" s="42" t="str">
        <f>PROPER(Table3[[#This Row],[Name]])</f>
        <v>James Bean</v>
      </c>
      <c r="C64" s="43">
        <f>VLOOKUP(B64,Customer_Dim!B:C,2,0)</f>
        <v>50</v>
      </c>
      <c r="D64" s="43" t="str">
        <f t="shared" si="0"/>
        <v>Middle-Aged</v>
      </c>
      <c r="E64" s="43" t="str" cm="1">
        <f t="array" ref="E64:G64">_xlfn.XLOOKUP(A64,Table3[Customer_ID],Table3[[Gender]:[State]])</f>
        <v>Male</v>
      </c>
      <c r="F64" s="43" t="str">
        <v>Stevensonton</v>
      </c>
      <c r="G64" s="43" t="str">
        <v>New Mexico</v>
      </c>
      <c r="H64" s="43" t="str">
        <f>IF(OR(Customer_Dim!G64="usa",G64="United States of America"),"USA")</f>
        <v>USA</v>
      </c>
      <c r="I64" s="43" t="str">
        <f>VLOOKUP(A64,Customer_Dim!A:H,8,0)</f>
        <v>Bronze</v>
      </c>
    </row>
    <row r="65" spans="1:9" x14ac:dyDescent="0.3">
      <c r="A65" s="41" t="s">
        <v>234</v>
      </c>
      <c r="B65" s="42" t="str">
        <f>PROPER(Table3[[#This Row],[Name]])</f>
        <v>Michael Daniel</v>
      </c>
      <c r="C65" s="43">
        <f>VLOOKUP(B65,Customer_Dim!B:C,2,0)</f>
        <v>51</v>
      </c>
      <c r="D65" s="43" t="str">
        <f t="shared" si="0"/>
        <v>Senior</v>
      </c>
      <c r="E65" s="43" t="str" cm="1">
        <f t="array" ref="E65:G65">_xlfn.XLOOKUP(A65,Table3[Customer_ID],Table3[[Gender]:[State]])</f>
        <v>Male</v>
      </c>
      <c r="F65" s="43" t="str">
        <v>New Jesse</v>
      </c>
      <c r="G65" s="43" t="str">
        <v>Tennessee</v>
      </c>
      <c r="H65" s="43" t="str">
        <f>IF(OR(Customer_Dim!G65="usa",G65="United States of America"),"USA")</f>
        <v>USA</v>
      </c>
      <c r="I65" s="43" t="str">
        <f>VLOOKUP(A65,Customer_Dim!A:H,8,0)</f>
        <v>Platinum</v>
      </c>
    </row>
    <row r="66" spans="1:9" x14ac:dyDescent="0.3">
      <c r="A66" s="41" t="s">
        <v>238</v>
      </c>
      <c r="B66" s="42" t="str">
        <f>PROPER(Table3[[#This Row],[Name]])</f>
        <v>Mr. Mason Butler</v>
      </c>
      <c r="C66" s="43">
        <f>VLOOKUP(B66,Customer_Dim!B:C,2,0)</f>
        <v>33</v>
      </c>
      <c r="D66" s="43" t="str">
        <f t="shared" si="0"/>
        <v>Middle-Aged</v>
      </c>
      <c r="E66" s="43" t="str" cm="1">
        <f t="array" ref="E66:G66">_xlfn.XLOOKUP(A66,Table3[Customer_ID],Table3[[Gender]:[State]])</f>
        <v>Male</v>
      </c>
      <c r="F66" s="43" t="str">
        <v>Port Kathrynhaven</v>
      </c>
      <c r="G66" s="43" t="str">
        <v>Arizona</v>
      </c>
      <c r="H66" s="43" t="str">
        <f>IF(OR(Customer_Dim!G66="usa",G66="United States of America"),"USA")</f>
        <v>USA</v>
      </c>
      <c r="I66" s="43" t="str">
        <f>VLOOKUP(A66,Customer_Dim!A:H,8,0)</f>
        <v>Gold</v>
      </c>
    </row>
    <row r="67" spans="1:9" x14ac:dyDescent="0.3">
      <c r="A67" s="41" t="s">
        <v>241</v>
      </c>
      <c r="B67" s="42" t="str">
        <f>PROPER(Table3[[#This Row],[Name]])</f>
        <v>Michael Thomas</v>
      </c>
      <c r="C67" s="43">
        <f>VLOOKUP(B67,Customer_Dim!B:C,2,0)</f>
        <v>21</v>
      </c>
      <c r="D67" s="43" t="str">
        <f t="shared" ref="D67:D130" si="1">IF(C67&lt;30,"Young",IF(C67&lt;=50,"Middle-Aged","Senior"))</f>
        <v>Young</v>
      </c>
      <c r="E67" s="43" t="str" cm="1">
        <f t="array" ref="E67:G67">_xlfn.XLOOKUP(A67,Table3[Customer_ID],Table3[[Gender]:[State]])</f>
        <v>Female</v>
      </c>
      <c r="F67" s="43" t="str">
        <v>Woodmouth</v>
      </c>
      <c r="G67" s="43" t="str">
        <v>Nevada</v>
      </c>
      <c r="H67" s="43" t="str">
        <f>IF(OR(Customer_Dim!G67="usa",G67="United States of America"),"USA")</f>
        <v>USA</v>
      </c>
      <c r="I67" s="43" t="str">
        <f>VLOOKUP(A67,Customer_Dim!A:H,8,0)</f>
        <v>Silver</v>
      </c>
    </row>
    <row r="68" spans="1:9" x14ac:dyDescent="0.3">
      <c r="A68" s="41" t="s">
        <v>244</v>
      </c>
      <c r="B68" s="42" t="str">
        <f>PROPER(Table3[[#This Row],[Name]])</f>
        <v>Cody Diaz</v>
      </c>
      <c r="C68" s="43">
        <f>VLOOKUP(B68,Customer_Dim!B:C,2,0)</f>
        <v>27</v>
      </c>
      <c r="D68" s="43" t="str">
        <f t="shared" si="1"/>
        <v>Young</v>
      </c>
      <c r="E68" s="43" t="str" cm="1">
        <f t="array" ref="E68:G68">_xlfn.XLOOKUP(A68,Table3[Customer_ID],Table3[[Gender]:[State]])</f>
        <v>Female</v>
      </c>
      <c r="F68" s="43" t="str">
        <v>South Aaronside</v>
      </c>
      <c r="G68" s="43" t="str">
        <v>New Hampshire</v>
      </c>
      <c r="H68" s="43" t="str">
        <f>IF(OR(Customer_Dim!G68="usa",G68="United States of America"),"USA")</f>
        <v>USA</v>
      </c>
      <c r="I68" s="43" t="str">
        <f>VLOOKUP(A68,Customer_Dim!A:H,8,0)</f>
        <v>Silver</v>
      </c>
    </row>
    <row r="69" spans="1:9" x14ac:dyDescent="0.3">
      <c r="A69" s="41" t="s">
        <v>247</v>
      </c>
      <c r="B69" s="42" t="str">
        <f>PROPER(Table3[[#This Row],[Name]])</f>
        <v>Amber Mcclain</v>
      </c>
      <c r="C69" s="43">
        <f>VLOOKUP(B69,Customer_Dim!B:C,2,0)</f>
        <v>58</v>
      </c>
      <c r="D69" s="43" t="str">
        <f t="shared" si="1"/>
        <v>Senior</v>
      </c>
      <c r="E69" s="43" t="str" cm="1">
        <f t="array" ref="E69:G69">_xlfn.XLOOKUP(A69,Table3[Customer_ID],Table3[[Gender]:[State]])</f>
        <v>Male</v>
      </c>
      <c r="F69" s="43" t="str">
        <v>Brendaburgh</v>
      </c>
      <c r="G69" s="43" t="str">
        <v>Florida</v>
      </c>
      <c r="H69" s="43" t="str">
        <f>IF(OR(Customer_Dim!G69="usa",G69="United States of America"),"USA")</f>
        <v>USA</v>
      </c>
      <c r="I69" s="43" t="str">
        <f>VLOOKUP(A69,Customer_Dim!A:H,8,0)</f>
        <v>Silver</v>
      </c>
    </row>
    <row r="70" spans="1:9" x14ac:dyDescent="0.3">
      <c r="A70" s="41" t="s">
        <v>251</v>
      </c>
      <c r="B70" s="42" t="str">
        <f>PROPER(Table3[[#This Row],[Name]])</f>
        <v>Mr. Mark Beasley</v>
      </c>
      <c r="C70" s="43">
        <f>VLOOKUP(B70,Customer_Dim!B:C,2,0)</f>
        <v>24</v>
      </c>
      <c r="D70" s="43" t="str">
        <f t="shared" si="1"/>
        <v>Young</v>
      </c>
      <c r="E70" s="43" t="str" cm="1">
        <f t="array" ref="E70:G70">_xlfn.XLOOKUP(A70,Table3[Customer_ID],Table3[[Gender]:[State]])</f>
        <v>Female</v>
      </c>
      <c r="F70" s="43" t="str">
        <v>West Johnchester</v>
      </c>
      <c r="G70" s="43" t="str">
        <v>Indiana</v>
      </c>
      <c r="H70" s="43" t="str">
        <f>IF(OR(Customer_Dim!G70="usa",G70="United States of America"),"USA")</f>
        <v>USA</v>
      </c>
      <c r="I70" s="43" t="str">
        <f>VLOOKUP(A70,Customer_Dim!A:H,8,0)</f>
        <v>Silver</v>
      </c>
    </row>
    <row r="71" spans="1:9" x14ac:dyDescent="0.3">
      <c r="A71" s="41" t="s">
        <v>255</v>
      </c>
      <c r="B71" s="42" t="str">
        <f>PROPER(Table3[[#This Row],[Name]])</f>
        <v>Roy Cole</v>
      </c>
      <c r="C71" s="43">
        <f>VLOOKUP(B71,Customer_Dim!B:C,2,0)</f>
        <v>24</v>
      </c>
      <c r="D71" s="43" t="str">
        <f t="shared" si="1"/>
        <v>Young</v>
      </c>
      <c r="E71" s="43" t="str" cm="1">
        <f t="array" ref="E71:G71">_xlfn.XLOOKUP(A71,Table3[Customer_ID],Table3[[Gender]:[State]])</f>
        <v>Female</v>
      </c>
      <c r="F71" s="43" t="str">
        <v>North Cynthiatown</v>
      </c>
      <c r="G71" s="43" t="str">
        <v>New Jersey</v>
      </c>
      <c r="H71" s="43" t="str">
        <f>IF(OR(Customer_Dim!G71="usa",G71="United States of America"),"USA")</f>
        <v>USA</v>
      </c>
      <c r="I71" s="43" t="str">
        <f>VLOOKUP(A71,Customer_Dim!A:H,8,0)</f>
        <v>Platinum</v>
      </c>
    </row>
    <row r="72" spans="1:9" x14ac:dyDescent="0.3">
      <c r="A72" s="41" t="s">
        <v>258</v>
      </c>
      <c r="B72" s="42" t="str">
        <f>PROPER(Table3[[#This Row],[Name]])</f>
        <v>Eric Singh</v>
      </c>
      <c r="C72" s="43">
        <f>VLOOKUP(B72,Customer_Dim!B:C,2,0)</f>
        <v>29</v>
      </c>
      <c r="D72" s="43" t="str">
        <f t="shared" si="1"/>
        <v>Young</v>
      </c>
      <c r="E72" s="43" t="str" cm="1">
        <f t="array" ref="E72:G72">_xlfn.XLOOKUP(A72,Table3[Customer_ID],Table3[[Gender]:[State]])</f>
        <v>Female</v>
      </c>
      <c r="F72" s="43" t="str">
        <v>Port Lisa</v>
      </c>
      <c r="G72" s="43" t="str">
        <v>New Mexico</v>
      </c>
      <c r="H72" s="43" t="str">
        <f>IF(OR(Customer_Dim!G72="usa",G72="United States of America"),"USA")</f>
        <v>USA</v>
      </c>
      <c r="I72" s="43" t="str">
        <f>VLOOKUP(A72,Customer_Dim!A:H,8,0)</f>
        <v>Gold</v>
      </c>
    </row>
    <row r="73" spans="1:9" x14ac:dyDescent="0.3">
      <c r="A73" s="41" t="s">
        <v>261</v>
      </c>
      <c r="B73" s="42" t="str">
        <f>PROPER(Table3[[#This Row],[Name]])</f>
        <v>Andrea Perez</v>
      </c>
      <c r="C73" s="43">
        <f>VLOOKUP(B73,Customer_Dim!B:C,2,0)</f>
        <v>61</v>
      </c>
      <c r="D73" s="43" t="str">
        <f t="shared" si="1"/>
        <v>Senior</v>
      </c>
      <c r="E73" s="43" t="str" cm="1">
        <f t="array" ref="E73:G73">_xlfn.XLOOKUP(A73,Table3[Customer_ID],Table3[[Gender]:[State]])</f>
        <v>Female</v>
      </c>
      <c r="F73" s="43" t="str">
        <v>South Shaun</v>
      </c>
      <c r="G73" s="43" t="str">
        <v>New Mexico</v>
      </c>
      <c r="H73" s="43" t="str">
        <f>IF(OR(Customer_Dim!G73="usa",G73="United States of America"),"USA")</f>
        <v>USA</v>
      </c>
      <c r="I73" s="43" t="str">
        <f>VLOOKUP(A73,Customer_Dim!A:H,8,0)</f>
        <v>Gold</v>
      </c>
    </row>
    <row r="74" spans="1:9" x14ac:dyDescent="0.3">
      <c r="A74" s="41" t="s">
        <v>264</v>
      </c>
      <c r="B74" s="42" t="str">
        <f>PROPER(Table3[[#This Row],[Name]])</f>
        <v>Tonya Burch</v>
      </c>
      <c r="C74" s="43">
        <f>VLOOKUP(B74,Customer_Dim!B:C,2,0)</f>
        <v>39</v>
      </c>
      <c r="D74" s="43" t="str">
        <f t="shared" si="1"/>
        <v>Middle-Aged</v>
      </c>
      <c r="E74" s="43" t="str" cm="1">
        <f t="array" ref="E74:G74">_xlfn.XLOOKUP(A74,Table3[Customer_ID],Table3[[Gender]:[State]])</f>
        <v>Female</v>
      </c>
      <c r="F74" s="43" t="str">
        <v>Olsonhaven</v>
      </c>
      <c r="G74" s="43" t="str">
        <v>Iowa</v>
      </c>
      <c r="H74" s="43" t="str">
        <f>IF(OR(Customer_Dim!G74="usa",G74="United States of America"),"USA")</f>
        <v>USA</v>
      </c>
      <c r="I74" s="43" t="str">
        <f>VLOOKUP(A74,Customer_Dim!A:H,8,0)</f>
        <v>Gold</v>
      </c>
    </row>
    <row r="75" spans="1:9" x14ac:dyDescent="0.3">
      <c r="A75" s="41" t="s">
        <v>268</v>
      </c>
      <c r="B75" s="42" t="str">
        <f>PROPER(Table3[[#This Row],[Name]])</f>
        <v>Christopher Brown</v>
      </c>
      <c r="C75" s="43">
        <f>VLOOKUP(B75,Customer_Dim!B:C,2,0)</f>
        <v>56</v>
      </c>
      <c r="D75" s="43" t="str">
        <f t="shared" si="1"/>
        <v>Senior</v>
      </c>
      <c r="E75" s="43" t="str" cm="1">
        <f t="array" ref="E75:G75">_xlfn.XLOOKUP(A75,Table3[Customer_ID],Table3[[Gender]:[State]])</f>
        <v>Female</v>
      </c>
      <c r="F75" s="43" t="str">
        <v>Sandrastad</v>
      </c>
      <c r="G75" s="43" t="str">
        <v>West Virginia</v>
      </c>
      <c r="H75" s="43" t="str">
        <f>IF(OR(Customer_Dim!G75="usa",G75="United States of America"),"USA")</f>
        <v>USA</v>
      </c>
      <c r="I75" s="43" t="str">
        <f>VLOOKUP(A75,Customer_Dim!A:H,8,0)</f>
        <v>Silver</v>
      </c>
    </row>
    <row r="76" spans="1:9" x14ac:dyDescent="0.3">
      <c r="A76" s="41" t="s">
        <v>271</v>
      </c>
      <c r="B76" s="42" t="str">
        <f>PROPER(Table3[[#This Row],[Name]])</f>
        <v>John Mayer</v>
      </c>
      <c r="C76" s="43">
        <f>VLOOKUP(B76,Customer_Dim!B:C,2,0)</f>
        <v>58</v>
      </c>
      <c r="D76" s="43" t="str">
        <f t="shared" si="1"/>
        <v>Senior</v>
      </c>
      <c r="E76" s="43" t="str" cm="1">
        <f t="array" ref="E76:G76">_xlfn.XLOOKUP(A76,Table3[Customer_ID],Table3[[Gender]:[State]])</f>
        <v>Male</v>
      </c>
      <c r="F76" s="43" t="str">
        <v>Longport</v>
      </c>
      <c r="G76" s="43" t="str">
        <v>Colorado</v>
      </c>
      <c r="H76" s="43" t="str">
        <f>IF(OR(Customer_Dim!G76="usa",G76="United States of America"),"USA")</f>
        <v>USA</v>
      </c>
      <c r="I76" s="43" t="str">
        <f>VLOOKUP(A76,Customer_Dim!A:H,8,0)</f>
        <v>Bronze</v>
      </c>
    </row>
    <row r="77" spans="1:9" x14ac:dyDescent="0.3">
      <c r="A77" s="41" t="s">
        <v>275</v>
      </c>
      <c r="B77" s="42" t="str">
        <f>PROPER(Table3[[#This Row],[Name]])</f>
        <v>Rhonda Morales</v>
      </c>
      <c r="C77" s="43">
        <f>VLOOKUP(B77,Customer_Dim!B:C,2,0)</f>
        <v>61</v>
      </c>
      <c r="D77" s="43" t="str">
        <f t="shared" si="1"/>
        <v>Senior</v>
      </c>
      <c r="E77" s="43" t="str" cm="1">
        <f t="array" ref="E77:G77">_xlfn.XLOOKUP(A77,Table3[Customer_ID],Table3[[Gender]:[State]])</f>
        <v>Female</v>
      </c>
      <c r="F77" s="43" t="str">
        <v>Lake Barryfurt</v>
      </c>
      <c r="G77" s="43" t="str">
        <v>California</v>
      </c>
      <c r="H77" s="43" t="str">
        <f>IF(OR(Customer_Dim!G77="usa",G77="United States of America"),"USA")</f>
        <v>USA</v>
      </c>
      <c r="I77" s="43" t="str">
        <f>VLOOKUP(A77,Customer_Dim!A:H,8,0)</f>
        <v>Gold</v>
      </c>
    </row>
    <row r="78" spans="1:9" x14ac:dyDescent="0.3">
      <c r="A78" s="41" t="s">
        <v>278</v>
      </c>
      <c r="B78" s="42" t="str">
        <f>PROPER(Table3[[#This Row],[Name]])</f>
        <v>Nathan Campbell</v>
      </c>
      <c r="C78" s="43">
        <f>VLOOKUP(B78,Customer_Dim!B:C,2,0)</f>
        <v>37</v>
      </c>
      <c r="D78" s="43" t="str">
        <f t="shared" si="1"/>
        <v>Middle-Aged</v>
      </c>
      <c r="E78" s="43" t="str" cm="1">
        <f t="array" ref="E78:G78">_xlfn.XLOOKUP(A78,Table3[Customer_ID],Table3[[Gender]:[State]])</f>
        <v>Male</v>
      </c>
      <c r="F78" s="43" t="str">
        <v>Rodrigueztown</v>
      </c>
      <c r="G78" s="43" t="str">
        <v>Oklahoma</v>
      </c>
      <c r="H78" s="43" t="str">
        <f>IF(OR(Customer_Dim!G78="usa",G78="United States of America"),"USA")</f>
        <v>USA</v>
      </c>
      <c r="I78" s="43" t="str">
        <f>VLOOKUP(A78,Customer_Dim!A:H,8,0)</f>
        <v>Gold</v>
      </c>
    </row>
    <row r="79" spans="1:9" x14ac:dyDescent="0.3">
      <c r="A79" s="41" t="s">
        <v>281</v>
      </c>
      <c r="B79" s="42" t="str">
        <f>PROPER(Table3[[#This Row],[Name]])</f>
        <v>Katherine Young</v>
      </c>
      <c r="C79" s="43">
        <f>VLOOKUP(B79,Customer_Dim!B:C,2,0)</f>
        <v>29</v>
      </c>
      <c r="D79" s="43" t="str">
        <f t="shared" si="1"/>
        <v>Young</v>
      </c>
      <c r="E79" s="43" t="str" cm="1">
        <f t="array" ref="E79:G79">_xlfn.XLOOKUP(A79,Table3[Customer_ID],Table3[[Gender]:[State]])</f>
        <v>Male</v>
      </c>
      <c r="F79" s="43" t="str">
        <v>North Valeriemouth</v>
      </c>
      <c r="G79" s="43" t="str">
        <v>Vermont</v>
      </c>
      <c r="H79" s="43" t="str">
        <f>IF(OR(Customer_Dim!G79="usa",G79="United States of America"),"USA")</f>
        <v>USA</v>
      </c>
      <c r="I79" s="43" t="str">
        <f>VLOOKUP(A79,Customer_Dim!A:H,8,0)</f>
        <v>Gold</v>
      </c>
    </row>
    <row r="80" spans="1:9" x14ac:dyDescent="0.3">
      <c r="A80" s="41" t="s">
        <v>284</v>
      </c>
      <c r="B80" s="42" t="str">
        <f>PROPER(Table3[[#This Row],[Name]])</f>
        <v>Cody Blake</v>
      </c>
      <c r="C80" s="43">
        <f>VLOOKUP(B80,Customer_Dim!B:C,2,0)</f>
        <v>21</v>
      </c>
      <c r="D80" s="43" t="str">
        <f t="shared" si="1"/>
        <v>Young</v>
      </c>
      <c r="E80" s="43" t="str" cm="1">
        <f t="array" ref="E80:G80">_xlfn.XLOOKUP(A80,Table3[Customer_ID],Table3[[Gender]:[State]])</f>
        <v>Male</v>
      </c>
      <c r="F80" s="43" t="str">
        <v>North Scottport</v>
      </c>
      <c r="G80" s="43" t="str">
        <v>Virginia</v>
      </c>
      <c r="H80" s="43" t="str">
        <f>IF(OR(Customer_Dim!G80="usa",G80="United States of America"),"USA")</f>
        <v>USA</v>
      </c>
      <c r="I80" s="43" t="str">
        <f>VLOOKUP(A80,Customer_Dim!A:H,8,0)</f>
        <v>Gold</v>
      </c>
    </row>
    <row r="81" spans="1:9" x14ac:dyDescent="0.3">
      <c r="A81" s="41" t="s">
        <v>288</v>
      </c>
      <c r="B81" s="42" t="str">
        <f>PROPER(Table3[[#This Row],[Name]])</f>
        <v>Molly Gardner</v>
      </c>
      <c r="C81" s="43">
        <f>VLOOKUP(B81,Customer_Dim!B:C,2,0)</f>
        <v>22</v>
      </c>
      <c r="D81" s="43" t="str">
        <f t="shared" si="1"/>
        <v>Young</v>
      </c>
      <c r="E81" s="43" t="str" cm="1">
        <f t="array" ref="E81:G81">_xlfn.XLOOKUP(A81,Table3[Customer_ID],Table3[[Gender]:[State]])</f>
        <v>Female</v>
      </c>
      <c r="F81" s="43" t="str">
        <v>Nicoleborough</v>
      </c>
      <c r="G81" s="43" t="str">
        <v>Arkansas</v>
      </c>
      <c r="H81" s="43" t="str">
        <f>IF(OR(Customer_Dim!G81="usa",G81="United States of America"),"USA")</f>
        <v>USA</v>
      </c>
      <c r="I81" s="43" t="str">
        <f>VLOOKUP(A81,Customer_Dim!A:H,8,0)</f>
        <v>Platinum</v>
      </c>
    </row>
    <row r="82" spans="1:9" x14ac:dyDescent="0.3">
      <c r="A82" s="41" t="s">
        <v>292</v>
      </c>
      <c r="B82" s="42" t="str">
        <f>PROPER(Table3[[#This Row],[Name]])</f>
        <v>Jennifer Garcia</v>
      </c>
      <c r="C82" s="43">
        <f>VLOOKUP(B82,Customer_Dim!B:C,2,0)</f>
        <v>61</v>
      </c>
      <c r="D82" s="43" t="str">
        <f t="shared" si="1"/>
        <v>Senior</v>
      </c>
      <c r="E82" s="43" t="str" cm="1">
        <f t="array" ref="E82:G82">_xlfn.XLOOKUP(A82,Table3[Customer_ID],Table3[[Gender]:[State]])</f>
        <v>Female</v>
      </c>
      <c r="F82" s="43" t="str">
        <v>New Sean</v>
      </c>
      <c r="G82" s="43" t="str">
        <v>New Mexico</v>
      </c>
      <c r="H82" s="43" t="str">
        <f>IF(OR(Customer_Dim!G82="usa",G82="United States of America"),"USA")</f>
        <v>USA</v>
      </c>
      <c r="I82" s="43" t="str">
        <f>VLOOKUP(A82,Customer_Dim!A:H,8,0)</f>
        <v>Bronze</v>
      </c>
    </row>
    <row r="83" spans="1:9" x14ac:dyDescent="0.3">
      <c r="A83" s="41" t="s">
        <v>295</v>
      </c>
      <c r="B83" s="42" t="str">
        <f>PROPER(Table3[[#This Row],[Name]])</f>
        <v>Krystal Ford</v>
      </c>
      <c r="C83" s="43">
        <f>VLOOKUP(B83,Customer_Dim!B:C,2,0)</f>
        <v>34</v>
      </c>
      <c r="D83" s="43" t="str">
        <f t="shared" si="1"/>
        <v>Middle-Aged</v>
      </c>
      <c r="E83" s="43" t="str" cm="1">
        <f t="array" ref="E83:G83">_xlfn.XLOOKUP(A83,Table3[Customer_ID],Table3[[Gender]:[State]])</f>
        <v>Female</v>
      </c>
      <c r="F83" s="43" t="str">
        <v>South David</v>
      </c>
      <c r="G83" s="43" t="str">
        <v>Arizona</v>
      </c>
      <c r="H83" s="43" t="str">
        <f>IF(OR(Customer_Dim!G83="usa",G83="United States of America"),"USA")</f>
        <v>USA</v>
      </c>
      <c r="I83" s="43" t="str">
        <f>VLOOKUP(A83,Customer_Dim!A:H,8,0)</f>
        <v>Platinum</v>
      </c>
    </row>
    <row r="84" spans="1:9" x14ac:dyDescent="0.3">
      <c r="A84" s="41" t="s">
        <v>298</v>
      </c>
      <c r="B84" s="42" t="str">
        <f>PROPER(Table3[[#This Row],[Name]])</f>
        <v>George Rosario</v>
      </c>
      <c r="C84" s="43">
        <f>VLOOKUP(B84,Customer_Dim!B:C,2,0)</f>
        <v>53</v>
      </c>
      <c r="D84" s="43" t="str">
        <f t="shared" si="1"/>
        <v>Senior</v>
      </c>
      <c r="E84" s="43" t="str" cm="1">
        <f t="array" ref="E84:G84">_xlfn.XLOOKUP(A84,Table3[Customer_ID],Table3[[Gender]:[State]])</f>
        <v>Male</v>
      </c>
      <c r="F84" s="43" t="str">
        <v>Leburgh</v>
      </c>
      <c r="G84" s="43" t="str">
        <v>Florida</v>
      </c>
      <c r="H84" s="43" t="str">
        <f>IF(OR(Customer_Dim!G84="usa",G84="United States of America"),"USA")</f>
        <v>USA</v>
      </c>
      <c r="I84" s="43" t="str">
        <f>VLOOKUP(A84,Customer_Dim!A:H,8,0)</f>
        <v>Bronze</v>
      </c>
    </row>
    <row r="85" spans="1:9" x14ac:dyDescent="0.3">
      <c r="A85" s="41" t="s">
        <v>301</v>
      </c>
      <c r="B85" s="42" t="str">
        <f>PROPER(Table3[[#This Row],[Name]])</f>
        <v>Thomas Robinson</v>
      </c>
      <c r="C85" s="43">
        <f>VLOOKUP(B85,Customer_Dim!B:C,2,0)</f>
        <v>48</v>
      </c>
      <c r="D85" s="43" t="str">
        <f t="shared" si="1"/>
        <v>Middle-Aged</v>
      </c>
      <c r="E85" s="43" t="str" cm="1">
        <f t="array" ref="E85:G85">_xlfn.XLOOKUP(A85,Table3[Customer_ID],Table3[[Gender]:[State]])</f>
        <v>Female</v>
      </c>
      <c r="F85" s="43" t="str">
        <v>Nicholastown</v>
      </c>
      <c r="G85" s="43" t="str">
        <v>Georgia</v>
      </c>
      <c r="H85" s="43" t="str">
        <f>IF(OR(Customer_Dim!G85="usa",G85="United States of America"),"USA")</f>
        <v>USA</v>
      </c>
      <c r="I85" s="43" t="str">
        <f>VLOOKUP(A85,Customer_Dim!A:H,8,0)</f>
        <v>Bronze</v>
      </c>
    </row>
    <row r="86" spans="1:9" x14ac:dyDescent="0.3">
      <c r="A86" s="41" t="s">
        <v>304</v>
      </c>
      <c r="B86" s="42" t="str">
        <f>PROPER(Table3[[#This Row],[Name]])</f>
        <v>Christy Hoffman</v>
      </c>
      <c r="C86" s="43">
        <f>VLOOKUP(B86,Customer_Dim!B:C,2,0)</f>
        <v>26</v>
      </c>
      <c r="D86" s="43" t="str">
        <f t="shared" si="1"/>
        <v>Young</v>
      </c>
      <c r="E86" s="43" t="str" cm="1">
        <f t="array" ref="E86:G86">_xlfn.XLOOKUP(A86,Table3[Customer_ID],Table3[[Gender]:[State]])</f>
        <v>Female</v>
      </c>
      <c r="F86" s="43" t="str">
        <v>Garyberg</v>
      </c>
      <c r="G86" s="43" t="str">
        <v>Indiana</v>
      </c>
      <c r="H86" s="43" t="str">
        <f>IF(OR(Customer_Dim!G86="usa",G86="United States of America"),"USA")</f>
        <v>USA</v>
      </c>
      <c r="I86" s="43" t="str">
        <f>VLOOKUP(A86,Customer_Dim!A:H,8,0)</f>
        <v>Platinum</v>
      </c>
    </row>
    <row r="87" spans="1:9" x14ac:dyDescent="0.3">
      <c r="A87" s="41" t="s">
        <v>307</v>
      </c>
      <c r="B87" s="42" t="str">
        <f>PROPER(Table3[[#This Row],[Name]])</f>
        <v>Richard Delgado</v>
      </c>
      <c r="C87" s="43">
        <f>VLOOKUP(B87,Customer_Dim!B:C,2,0)</f>
        <v>36</v>
      </c>
      <c r="D87" s="43" t="str">
        <f t="shared" si="1"/>
        <v>Middle-Aged</v>
      </c>
      <c r="E87" s="43" t="str" cm="1">
        <f t="array" ref="E87:G87">_xlfn.XLOOKUP(A87,Table3[Customer_ID],Table3[[Gender]:[State]])</f>
        <v>Male</v>
      </c>
      <c r="F87" s="43" t="str">
        <v>West Theodorechester</v>
      </c>
      <c r="G87" s="43" t="str">
        <v>Pennsylvania</v>
      </c>
      <c r="H87" s="43" t="str">
        <f>IF(OR(Customer_Dim!G87="usa",G87="United States of America"),"USA")</f>
        <v>USA</v>
      </c>
      <c r="I87" s="43" t="str">
        <f>VLOOKUP(A87,Customer_Dim!A:H,8,0)</f>
        <v>Silver</v>
      </c>
    </row>
    <row r="88" spans="1:9" x14ac:dyDescent="0.3">
      <c r="A88" s="41" t="s">
        <v>310</v>
      </c>
      <c r="B88" s="42" t="str">
        <f>PROPER(Table3[[#This Row],[Name]])</f>
        <v>Tammy Miller Md</v>
      </c>
      <c r="C88" s="43">
        <f>VLOOKUP(B88,Customer_Dim!B:C,2,0)</f>
        <v>19</v>
      </c>
      <c r="D88" s="43" t="str">
        <f t="shared" si="1"/>
        <v>Young</v>
      </c>
      <c r="E88" s="43" t="str" cm="1">
        <f t="array" ref="E88:G88">_xlfn.XLOOKUP(A88,Table3[Customer_ID],Table3[[Gender]:[State]])</f>
        <v>Female</v>
      </c>
      <c r="F88" s="43" t="str">
        <v>Austinfurt</v>
      </c>
      <c r="G88" s="43" t="str">
        <v>Mississippi</v>
      </c>
      <c r="H88" s="43" t="str">
        <f>IF(OR(Customer_Dim!G88="usa",G88="United States of America"),"USA")</f>
        <v>USA</v>
      </c>
      <c r="I88" s="43" t="str">
        <f>VLOOKUP(A88,Customer_Dim!A:H,8,0)</f>
        <v>Gold</v>
      </c>
    </row>
    <row r="89" spans="1:9" x14ac:dyDescent="0.3">
      <c r="A89" s="41" t="s">
        <v>314</v>
      </c>
      <c r="B89" s="42" t="str">
        <f>PROPER(Table3[[#This Row],[Name]])</f>
        <v>Melissa Duffy Md</v>
      </c>
      <c r="C89" s="43">
        <f>VLOOKUP(B89,Customer_Dim!B:C,2,0)</f>
        <v>58</v>
      </c>
      <c r="D89" s="43" t="str">
        <f t="shared" si="1"/>
        <v>Senior</v>
      </c>
      <c r="E89" s="43" t="str" cm="1">
        <f t="array" ref="E89:G89">_xlfn.XLOOKUP(A89,Table3[Customer_ID],Table3[[Gender]:[State]])</f>
        <v>Female</v>
      </c>
      <c r="F89" s="43" t="str">
        <v>East Jenna</v>
      </c>
      <c r="G89" s="43" t="str">
        <v>South Carolina</v>
      </c>
      <c r="H89" s="43" t="str">
        <f>IF(OR(Customer_Dim!G89="usa",G89="United States of America"),"USA")</f>
        <v>USA</v>
      </c>
      <c r="I89" s="43" t="str">
        <f>VLOOKUP(A89,Customer_Dim!A:H,8,0)</f>
        <v>Bronze</v>
      </c>
    </row>
    <row r="90" spans="1:9" x14ac:dyDescent="0.3">
      <c r="A90" s="41" t="s">
        <v>318</v>
      </c>
      <c r="B90" s="42" t="str">
        <f>PROPER(Table3[[#This Row],[Name]])</f>
        <v>Timothy Wright</v>
      </c>
      <c r="C90" s="43">
        <f>VLOOKUP(B90,Customer_Dim!B:C,2,0)</f>
        <v>58</v>
      </c>
      <c r="D90" s="43" t="str">
        <f t="shared" si="1"/>
        <v>Senior</v>
      </c>
      <c r="E90" s="43" t="str" cm="1">
        <f t="array" ref="E90:G90">_xlfn.XLOOKUP(A90,Table3[Customer_ID],Table3[[Gender]:[State]])</f>
        <v>Male</v>
      </c>
      <c r="F90" s="43" t="str">
        <v>Ashleystad</v>
      </c>
      <c r="G90" s="43" t="str">
        <v>Arkansas</v>
      </c>
      <c r="H90" s="43" t="str">
        <f>IF(OR(Customer_Dim!G90="usa",G90="United States of America"),"USA")</f>
        <v>USA</v>
      </c>
      <c r="I90" s="43" t="str">
        <f>VLOOKUP(A90,Customer_Dim!A:H,8,0)</f>
        <v>Silver</v>
      </c>
    </row>
    <row r="91" spans="1:9" x14ac:dyDescent="0.3">
      <c r="A91" s="41" t="s">
        <v>321</v>
      </c>
      <c r="B91" s="42" t="str">
        <f>PROPER(Table3[[#This Row],[Name]])</f>
        <v>Jamie Yoder</v>
      </c>
      <c r="C91" s="43">
        <f>VLOOKUP(B91,Customer_Dim!B:C,2,0)</f>
        <v>43</v>
      </c>
      <c r="D91" s="43" t="str">
        <f t="shared" si="1"/>
        <v>Middle-Aged</v>
      </c>
      <c r="E91" s="43" t="str" cm="1">
        <f t="array" ref="E91:G91">_xlfn.XLOOKUP(A91,Table3[Customer_ID],Table3[[Gender]:[State]])</f>
        <v>Male</v>
      </c>
      <c r="F91" s="43" t="str">
        <v>New Gabrielleville</v>
      </c>
      <c r="G91" s="43" t="str">
        <v>Wisconsin</v>
      </c>
      <c r="H91" s="43" t="str">
        <f>IF(OR(Customer_Dim!G91="usa",G91="United States of America"),"USA")</f>
        <v>USA</v>
      </c>
      <c r="I91" s="43" t="str">
        <f>VLOOKUP(A91,Customer_Dim!A:H,8,0)</f>
        <v>Platinum</v>
      </c>
    </row>
    <row r="92" spans="1:9" x14ac:dyDescent="0.3">
      <c r="A92" s="41" t="s">
        <v>325</v>
      </c>
      <c r="B92" s="42" t="str">
        <f>PROPER(Table3[[#This Row],[Name]])</f>
        <v>Oscar Moon</v>
      </c>
      <c r="C92" s="43">
        <f>VLOOKUP(B92,Customer_Dim!B:C,2,0)</f>
        <v>58</v>
      </c>
      <c r="D92" s="43" t="str">
        <f t="shared" si="1"/>
        <v>Senior</v>
      </c>
      <c r="E92" s="43" t="str" cm="1">
        <f t="array" ref="E92:G92">_xlfn.XLOOKUP(A92,Table3[Customer_ID],Table3[[Gender]:[State]])</f>
        <v>Female</v>
      </c>
      <c r="F92" s="43" t="str">
        <v>West Cody</v>
      </c>
      <c r="G92" s="43" t="str">
        <v>Louisiana</v>
      </c>
      <c r="H92" s="43" t="str">
        <f>IF(OR(Customer_Dim!G92="usa",G92="United States of America"),"USA")</f>
        <v>USA</v>
      </c>
      <c r="I92" s="43" t="str">
        <f>VLOOKUP(A92,Customer_Dim!A:H,8,0)</f>
        <v>Platinum</v>
      </c>
    </row>
    <row r="93" spans="1:9" x14ac:dyDescent="0.3">
      <c r="A93" s="41" t="s">
        <v>329</v>
      </c>
      <c r="B93" s="42" t="str">
        <f>PROPER(Table3[[#This Row],[Name]])</f>
        <v>Donna Gregory</v>
      </c>
      <c r="C93" s="43">
        <f>VLOOKUP(B93,Customer_Dim!B:C,2,0)</f>
        <v>29</v>
      </c>
      <c r="D93" s="43" t="str">
        <f t="shared" si="1"/>
        <v>Young</v>
      </c>
      <c r="E93" s="43" t="str" cm="1">
        <f t="array" ref="E93:G93">_xlfn.XLOOKUP(A93,Table3[Customer_ID],Table3[[Gender]:[State]])</f>
        <v>Female</v>
      </c>
      <c r="F93" s="43" t="str">
        <v>South Amandahaven</v>
      </c>
      <c r="G93" s="43" t="str">
        <v>Arizona</v>
      </c>
      <c r="H93" s="43" t="str">
        <f>IF(OR(Customer_Dim!G93="usa",G93="United States of America"),"USA")</f>
        <v>USA</v>
      </c>
      <c r="I93" s="43" t="str">
        <f>VLOOKUP(A93,Customer_Dim!A:H,8,0)</f>
        <v>Silver</v>
      </c>
    </row>
    <row r="94" spans="1:9" x14ac:dyDescent="0.3">
      <c r="A94" s="41" t="s">
        <v>332</v>
      </c>
      <c r="B94" s="42" t="str">
        <f>PROPER(Table3[[#This Row],[Name]])</f>
        <v>Robert Jackson</v>
      </c>
      <c r="C94" s="43">
        <f>VLOOKUP(B94,Customer_Dim!B:C,2,0)</f>
        <v>44</v>
      </c>
      <c r="D94" s="43" t="str">
        <f t="shared" si="1"/>
        <v>Middle-Aged</v>
      </c>
      <c r="E94" s="43" t="str" cm="1">
        <f t="array" ref="E94:G94">_xlfn.XLOOKUP(A94,Table3[Customer_ID],Table3[[Gender]:[State]])</f>
        <v>Female</v>
      </c>
      <c r="F94" s="43" t="str">
        <v>Lake Brandy</v>
      </c>
      <c r="G94" s="43" t="str">
        <v>Tennessee</v>
      </c>
      <c r="H94" s="43" t="str">
        <f>IF(OR(Customer_Dim!G94="usa",G94="United States of America"),"USA")</f>
        <v>USA</v>
      </c>
      <c r="I94" s="43" t="str">
        <f>VLOOKUP(A94,Customer_Dim!A:H,8,0)</f>
        <v>Platinum</v>
      </c>
    </row>
    <row r="95" spans="1:9" x14ac:dyDescent="0.3">
      <c r="A95" s="41" t="s">
        <v>335</v>
      </c>
      <c r="B95" s="42" t="str">
        <f>PROPER(Table3[[#This Row],[Name]])</f>
        <v>Christy Vasquez</v>
      </c>
      <c r="C95" s="43">
        <f>VLOOKUP(B95,Customer_Dim!B:C,2,0)</f>
        <v>28</v>
      </c>
      <c r="D95" s="43" t="str">
        <f t="shared" si="1"/>
        <v>Young</v>
      </c>
      <c r="E95" s="43" t="str" cm="1">
        <f t="array" ref="E95:G95">_xlfn.XLOOKUP(A95,Table3[Customer_ID],Table3[[Gender]:[State]])</f>
        <v>Female</v>
      </c>
      <c r="F95" s="43" t="str">
        <v>Port Travisstad</v>
      </c>
      <c r="G95" s="43" t="str">
        <v>South Carolina</v>
      </c>
      <c r="H95" s="43" t="str">
        <f>IF(OR(Customer_Dim!G95="usa",G95="United States of America"),"USA")</f>
        <v>USA</v>
      </c>
      <c r="I95" s="43" t="str">
        <f>VLOOKUP(A95,Customer_Dim!A:H,8,0)</f>
        <v>Gold</v>
      </c>
    </row>
    <row r="96" spans="1:9" x14ac:dyDescent="0.3">
      <c r="A96" s="41" t="s">
        <v>338</v>
      </c>
      <c r="B96" s="42" t="str">
        <f>PROPER(Table3[[#This Row],[Name]])</f>
        <v>David Patterson</v>
      </c>
      <c r="C96" s="43">
        <f>VLOOKUP(B96,Customer_Dim!B:C,2,0)</f>
        <v>43</v>
      </c>
      <c r="D96" s="43" t="str">
        <f t="shared" si="1"/>
        <v>Middle-Aged</v>
      </c>
      <c r="E96" s="43" t="str" cm="1">
        <f t="array" ref="E96:G96">_xlfn.XLOOKUP(A96,Table3[Customer_ID],Table3[[Gender]:[State]])</f>
        <v>Female</v>
      </c>
      <c r="F96" s="43" t="str">
        <v>New Amyport</v>
      </c>
      <c r="G96" s="43" t="str">
        <v>Nevada</v>
      </c>
      <c r="H96" s="43" t="str">
        <f>IF(OR(Customer_Dim!G96="usa",G96="United States of America"),"USA")</f>
        <v>USA</v>
      </c>
      <c r="I96" s="43" t="str">
        <f>VLOOKUP(A96,Customer_Dim!A:H,8,0)</f>
        <v>Gold</v>
      </c>
    </row>
    <row r="97" spans="1:9" x14ac:dyDescent="0.3">
      <c r="A97" s="41" t="s">
        <v>341</v>
      </c>
      <c r="B97" s="42" t="str">
        <f>PROPER(Table3[[#This Row],[Name]])</f>
        <v>Amy Fowler</v>
      </c>
      <c r="C97" s="43">
        <f>VLOOKUP(B97,Customer_Dim!B:C,2,0)</f>
        <v>62</v>
      </c>
      <c r="D97" s="43" t="str">
        <f t="shared" si="1"/>
        <v>Senior</v>
      </c>
      <c r="E97" s="43" t="str" cm="1">
        <f t="array" ref="E97:G97">_xlfn.XLOOKUP(A97,Table3[Customer_ID],Table3[[Gender]:[State]])</f>
        <v>Female</v>
      </c>
      <c r="F97" s="43" t="str">
        <v>West Bobbyshire</v>
      </c>
      <c r="G97" s="43" t="str">
        <v>New York</v>
      </c>
      <c r="H97" s="43" t="str">
        <f>IF(OR(Customer_Dim!G97="usa",G97="United States of America"),"USA")</f>
        <v>USA</v>
      </c>
      <c r="I97" s="43" t="str">
        <f>VLOOKUP(A97,Customer_Dim!A:H,8,0)</f>
        <v>Platinum</v>
      </c>
    </row>
    <row r="98" spans="1:9" x14ac:dyDescent="0.3">
      <c r="A98" s="41" t="s">
        <v>344</v>
      </c>
      <c r="B98" s="42" t="str">
        <f>PROPER(Table3[[#This Row],[Name]])</f>
        <v>Samantha Walker</v>
      </c>
      <c r="C98" s="43">
        <f>VLOOKUP(B98,Customer_Dim!B:C,2,0)</f>
        <v>30</v>
      </c>
      <c r="D98" s="43" t="str">
        <f t="shared" si="1"/>
        <v>Middle-Aged</v>
      </c>
      <c r="E98" s="43" t="str" cm="1">
        <f t="array" ref="E98:G98">_xlfn.XLOOKUP(A98,Table3[Customer_ID],Table3[[Gender]:[State]])</f>
        <v>Female</v>
      </c>
      <c r="F98" s="43" t="str">
        <v>Timothyburgh</v>
      </c>
      <c r="G98" s="43" t="str">
        <v>Louisiana</v>
      </c>
      <c r="H98" s="43" t="str">
        <f>IF(OR(Customer_Dim!G98="usa",G98="United States of America"),"USA")</f>
        <v>USA</v>
      </c>
      <c r="I98" s="43" t="str">
        <f>VLOOKUP(A98,Customer_Dim!A:H,8,0)</f>
        <v>Platinum</v>
      </c>
    </row>
    <row r="99" spans="1:9" x14ac:dyDescent="0.3">
      <c r="A99" s="41" t="s">
        <v>347</v>
      </c>
      <c r="B99" s="42" t="str">
        <f>PROPER(Table3[[#This Row],[Name]])</f>
        <v>David Cobb</v>
      </c>
      <c r="C99" s="43">
        <f>VLOOKUP(B99,Customer_Dim!B:C,2,0)</f>
        <v>36</v>
      </c>
      <c r="D99" s="43" t="str">
        <f t="shared" si="1"/>
        <v>Middle-Aged</v>
      </c>
      <c r="E99" s="43" t="str" cm="1">
        <f t="array" ref="E99:G99">_xlfn.XLOOKUP(A99,Table3[Customer_ID],Table3[[Gender]:[State]])</f>
        <v>Male</v>
      </c>
      <c r="F99" s="43" t="str">
        <v>Lake Thomas</v>
      </c>
      <c r="G99" s="43" t="str">
        <v>South Dakota</v>
      </c>
      <c r="H99" s="43" t="str">
        <f>IF(OR(Customer_Dim!G99="usa",G99="United States of America"),"USA")</f>
        <v>USA</v>
      </c>
      <c r="I99" s="43" t="str">
        <f>VLOOKUP(A99,Customer_Dim!A:H,8,0)</f>
        <v>Silver</v>
      </c>
    </row>
    <row r="100" spans="1:9" x14ac:dyDescent="0.3">
      <c r="A100" s="41" t="s">
        <v>350</v>
      </c>
      <c r="B100" s="42" t="str">
        <f>PROPER(Table3[[#This Row],[Name]])</f>
        <v>Brittney Morgan</v>
      </c>
      <c r="C100" s="43">
        <f>VLOOKUP(B100,Customer_Dim!B:C,2,0)</f>
        <v>24</v>
      </c>
      <c r="D100" s="43" t="str">
        <f t="shared" si="1"/>
        <v>Young</v>
      </c>
      <c r="E100" s="43" t="str" cm="1">
        <f t="array" ref="E100:G100">_xlfn.XLOOKUP(A100,Table3[Customer_ID],Table3[[Gender]:[State]])</f>
        <v>Male</v>
      </c>
      <c r="F100" s="43" t="str">
        <v>Lake Kaylahaven</v>
      </c>
      <c r="G100" s="43" t="str">
        <v>Alaska</v>
      </c>
      <c r="H100" s="43" t="str">
        <f>IF(OR(Customer_Dim!G100="usa",G100="United States of America"),"USA")</f>
        <v>USA</v>
      </c>
      <c r="I100" s="43" t="str">
        <f>VLOOKUP(A100,Customer_Dim!A:H,8,0)</f>
        <v>Gold</v>
      </c>
    </row>
    <row r="101" spans="1:9" x14ac:dyDescent="0.3">
      <c r="A101" s="41" t="s">
        <v>353</v>
      </c>
      <c r="B101" s="42" t="str">
        <f>PROPER(Table3[[#This Row],[Name]])</f>
        <v>Sheila Wilson</v>
      </c>
      <c r="C101" s="43">
        <f>VLOOKUP(B101,Customer_Dim!B:C,2,0)</f>
        <v>35</v>
      </c>
      <c r="D101" s="43" t="str">
        <f t="shared" si="1"/>
        <v>Middle-Aged</v>
      </c>
      <c r="E101" s="43" t="str" cm="1">
        <f t="array" ref="E101:G101">_xlfn.XLOOKUP(A101,Table3[Customer_ID],Table3[[Gender]:[State]])</f>
        <v>Male</v>
      </c>
      <c r="F101" s="43" t="str">
        <v>South Dustin</v>
      </c>
      <c r="G101" s="43" t="str">
        <v>Tennessee</v>
      </c>
      <c r="H101" s="43" t="str">
        <f>IF(OR(Customer_Dim!G101="usa",G101="United States of America"),"USA")</f>
        <v>USA</v>
      </c>
      <c r="I101" s="43" t="str">
        <f>VLOOKUP(A101,Customer_Dim!A:H,8,0)</f>
        <v>Silver</v>
      </c>
    </row>
    <row r="102" spans="1:9" x14ac:dyDescent="0.3">
      <c r="A102" s="41" t="s">
        <v>356</v>
      </c>
      <c r="B102" s="42" t="str">
        <f>PROPER(Table3[[#This Row],[Name]])</f>
        <v>Diane Watson</v>
      </c>
      <c r="C102" s="43">
        <f>VLOOKUP(B102,Customer_Dim!B:C,2,0)</f>
        <v>53</v>
      </c>
      <c r="D102" s="43" t="str">
        <f t="shared" si="1"/>
        <v>Senior</v>
      </c>
      <c r="E102" s="43" t="str" cm="1">
        <f t="array" ref="E102:G102">_xlfn.XLOOKUP(A102,Table3[Customer_ID],Table3[[Gender]:[State]])</f>
        <v>Female</v>
      </c>
      <c r="F102" s="43" t="str">
        <v>North Codyport</v>
      </c>
      <c r="G102" s="43" t="str">
        <v>Texas</v>
      </c>
      <c r="H102" s="43" t="str">
        <f>IF(OR(Customer_Dim!G102="usa",G102="United States of America"),"USA")</f>
        <v>USA</v>
      </c>
      <c r="I102" s="43" t="str">
        <f>VLOOKUP(A102,Customer_Dim!A:H,8,0)</f>
        <v>Platinum</v>
      </c>
    </row>
    <row r="103" spans="1:9" x14ac:dyDescent="0.3">
      <c r="A103" s="41" t="s">
        <v>360</v>
      </c>
      <c r="B103" s="42" t="str">
        <f>PROPER(Table3[[#This Row],[Name]])</f>
        <v>Colleen Maynard</v>
      </c>
      <c r="C103" s="43">
        <f>VLOOKUP(B103,Customer_Dim!B:C,2,0)</f>
        <v>29</v>
      </c>
      <c r="D103" s="43" t="str">
        <f t="shared" si="1"/>
        <v>Young</v>
      </c>
      <c r="E103" s="43" t="str" cm="1">
        <f t="array" ref="E103:G103">_xlfn.XLOOKUP(A103,Table3[Customer_ID],Table3[[Gender]:[State]])</f>
        <v>Male</v>
      </c>
      <c r="F103" s="43" t="str">
        <v>Singletonmouth</v>
      </c>
      <c r="G103" s="43" t="str">
        <v>Utah</v>
      </c>
      <c r="H103" s="43" t="str">
        <f>IF(OR(Customer_Dim!G103="usa",G103="United States of America"),"USA")</f>
        <v>USA</v>
      </c>
      <c r="I103" s="43" t="str">
        <f>VLOOKUP(A103,Customer_Dim!A:H,8,0)</f>
        <v>Gold</v>
      </c>
    </row>
    <row r="104" spans="1:9" x14ac:dyDescent="0.3">
      <c r="A104" s="41" t="s">
        <v>363</v>
      </c>
      <c r="B104" s="42" t="str">
        <f>PROPER(Table3[[#This Row],[Name]])</f>
        <v>Sarah Schneider</v>
      </c>
      <c r="C104" s="43">
        <f>VLOOKUP(B104,Customer_Dim!B:C,2,0)</f>
        <v>34</v>
      </c>
      <c r="D104" s="43" t="str">
        <f t="shared" si="1"/>
        <v>Middle-Aged</v>
      </c>
      <c r="E104" s="43" t="str" cm="1">
        <f t="array" ref="E104:G104">_xlfn.XLOOKUP(A104,Table3[Customer_ID],Table3[[Gender]:[State]])</f>
        <v>Female</v>
      </c>
      <c r="F104" s="43" t="str">
        <v>Port Joshuachester</v>
      </c>
      <c r="G104" s="43" t="str">
        <v>Pennsylvania</v>
      </c>
      <c r="H104" s="43" t="str">
        <f>IF(OR(Customer_Dim!G104="usa",G104="United States of America"),"USA")</f>
        <v>USA</v>
      </c>
      <c r="I104" s="43" t="str">
        <f>VLOOKUP(A104,Customer_Dim!A:H,8,0)</f>
        <v>Bronze</v>
      </c>
    </row>
    <row r="105" spans="1:9" x14ac:dyDescent="0.3">
      <c r="A105" s="41" t="s">
        <v>366</v>
      </c>
      <c r="B105" s="42" t="str">
        <f>PROPER(Table3[[#This Row],[Name]])</f>
        <v>Steven Stein</v>
      </c>
      <c r="C105" s="43">
        <f>VLOOKUP(B105,Customer_Dim!B:C,2,0)</f>
        <v>21</v>
      </c>
      <c r="D105" s="43" t="str">
        <f t="shared" si="1"/>
        <v>Young</v>
      </c>
      <c r="E105" s="43" t="str" cm="1">
        <f t="array" ref="E105:G105">_xlfn.XLOOKUP(A105,Table3[Customer_ID],Table3[[Gender]:[State]])</f>
        <v>Male</v>
      </c>
      <c r="F105" s="43" t="str">
        <v>West Lauren</v>
      </c>
      <c r="G105" s="43" t="str">
        <v>Connecticut</v>
      </c>
      <c r="H105" s="43" t="str">
        <f>IF(OR(Customer_Dim!G105="usa",G105="United States of America"),"USA")</f>
        <v>USA</v>
      </c>
      <c r="I105" s="43" t="str">
        <f>VLOOKUP(A105,Customer_Dim!A:H,8,0)</f>
        <v>Bronze</v>
      </c>
    </row>
    <row r="106" spans="1:9" x14ac:dyDescent="0.3">
      <c r="A106" s="41" t="s">
        <v>369</v>
      </c>
      <c r="B106" s="42" t="str">
        <f>PROPER(Table3[[#This Row],[Name]])</f>
        <v>Christopher Lester</v>
      </c>
      <c r="C106" s="43">
        <f>VLOOKUP(B106,Customer_Dim!B:C,2,0)</f>
        <v>64</v>
      </c>
      <c r="D106" s="43" t="str">
        <f t="shared" si="1"/>
        <v>Senior</v>
      </c>
      <c r="E106" s="43" t="str" cm="1">
        <f t="array" ref="E106:G106">_xlfn.XLOOKUP(A106,Table3[Customer_ID],Table3[[Gender]:[State]])</f>
        <v>Male</v>
      </c>
      <c r="F106" s="43" t="str">
        <v>South Jenniferville</v>
      </c>
      <c r="G106" s="43" t="str">
        <v>Georgia</v>
      </c>
      <c r="H106" s="43" t="str">
        <f>IF(OR(Customer_Dim!G106="usa",G106="United States of America"),"USA")</f>
        <v>USA</v>
      </c>
      <c r="I106" s="43" t="str">
        <f>VLOOKUP(A106,Customer_Dim!A:H,8,0)</f>
        <v>Silver</v>
      </c>
    </row>
    <row r="107" spans="1:9" x14ac:dyDescent="0.3">
      <c r="A107" s="41" t="s">
        <v>372</v>
      </c>
      <c r="B107" s="42" t="str">
        <f>PROPER(Table3[[#This Row],[Name]])</f>
        <v>Lance Baker</v>
      </c>
      <c r="C107" s="43">
        <f>VLOOKUP(B107,Customer_Dim!B:C,2,0)</f>
        <v>50</v>
      </c>
      <c r="D107" s="43" t="str">
        <f t="shared" si="1"/>
        <v>Middle-Aged</v>
      </c>
      <c r="E107" s="43" t="str" cm="1">
        <f t="array" ref="E107:G107">_xlfn.XLOOKUP(A107,Table3[Customer_ID],Table3[[Gender]:[State]])</f>
        <v>Female</v>
      </c>
      <c r="F107" s="43" t="str">
        <v>Port Victoria</v>
      </c>
      <c r="G107" s="43" t="str">
        <v>Florida</v>
      </c>
      <c r="H107" s="43" t="str">
        <f>IF(OR(Customer_Dim!G107="usa",G107="United States of America"),"USA")</f>
        <v>USA</v>
      </c>
      <c r="I107" s="43" t="str">
        <f>VLOOKUP(A107,Customer_Dim!A:H,8,0)</f>
        <v>Gold</v>
      </c>
    </row>
    <row r="108" spans="1:9" x14ac:dyDescent="0.3">
      <c r="A108" s="41" t="s">
        <v>375</v>
      </c>
      <c r="B108" s="42" t="str">
        <f>PROPER(Table3[[#This Row],[Name]])</f>
        <v>Howard Summers</v>
      </c>
      <c r="C108" s="43">
        <f>VLOOKUP(B108,Customer_Dim!B:C,2,0)</f>
        <v>53</v>
      </c>
      <c r="D108" s="43" t="str">
        <f t="shared" si="1"/>
        <v>Senior</v>
      </c>
      <c r="E108" s="43" t="str" cm="1">
        <f t="array" ref="E108:G108">_xlfn.XLOOKUP(A108,Table3[Customer_ID],Table3[[Gender]:[State]])</f>
        <v>Female</v>
      </c>
      <c r="F108" s="43" t="str">
        <v>East Linda</v>
      </c>
      <c r="G108" s="43" t="str">
        <v>Rhode Island</v>
      </c>
      <c r="H108" s="43" t="str">
        <f>IF(OR(Customer_Dim!G108="usa",G108="United States of America"),"USA")</f>
        <v>USA</v>
      </c>
      <c r="I108" s="43" t="str">
        <f>VLOOKUP(A108,Customer_Dim!A:H,8,0)</f>
        <v>Bronze</v>
      </c>
    </row>
    <row r="109" spans="1:9" x14ac:dyDescent="0.3">
      <c r="A109" s="41" t="s">
        <v>378</v>
      </c>
      <c r="B109" s="42" t="str">
        <f>PROPER(Table3[[#This Row],[Name]])</f>
        <v>Erica Carney</v>
      </c>
      <c r="C109" s="43">
        <f>VLOOKUP(B109,Customer_Dim!B:C,2,0)</f>
        <v>62</v>
      </c>
      <c r="D109" s="43" t="str">
        <f t="shared" si="1"/>
        <v>Senior</v>
      </c>
      <c r="E109" s="43" t="str" cm="1">
        <f t="array" ref="E109:G109">_xlfn.XLOOKUP(A109,Table3[Customer_ID],Table3[[Gender]:[State]])</f>
        <v>Female</v>
      </c>
      <c r="F109" s="43" t="str">
        <v>North Justin</v>
      </c>
      <c r="G109" s="43" t="str">
        <v>North Dakota</v>
      </c>
      <c r="H109" s="43" t="str">
        <f>IF(OR(Customer_Dim!G109="usa",G109="United States of America"),"USA")</f>
        <v>USA</v>
      </c>
      <c r="I109" s="43" t="str">
        <f>VLOOKUP(A109,Customer_Dim!A:H,8,0)</f>
        <v>Platinum</v>
      </c>
    </row>
    <row r="110" spans="1:9" x14ac:dyDescent="0.3">
      <c r="A110" s="41" t="s">
        <v>381</v>
      </c>
      <c r="B110" s="42" t="str">
        <f>PROPER(Table3[[#This Row],[Name]])</f>
        <v>Travis Holland</v>
      </c>
      <c r="C110" s="43">
        <f>VLOOKUP(B110,Customer_Dim!B:C,2,0)</f>
        <v>38</v>
      </c>
      <c r="D110" s="43" t="str">
        <f t="shared" si="1"/>
        <v>Middle-Aged</v>
      </c>
      <c r="E110" s="43" t="str" cm="1">
        <f t="array" ref="E110:G110">_xlfn.XLOOKUP(A110,Table3[Customer_ID],Table3[[Gender]:[State]])</f>
        <v>Male</v>
      </c>
      <c r="F110" s="43" t="str">
        <v>Webstermouth</v>
      </c>
      <c r="G110" s="43" t="str">
        <v>New Hampshire</v>
      </c>
      <c r="H110" s="43" t="str">
        <f>IF(OR(Customer_Dim!G110="usa",G110="United States of America"),"USA")</f>
        <v>USA</v>
      </c>
      <c r="I110" s="43" t="str">
        <f>VLOOKUP(A110,Customer_Dim!A:H,8,0)</f>
        <v>Bronze</v>
      </c>
    </row>
    <row r="111" spans="1:9" x14ac:dyDescent="0.3">
      <c r="A111" s="41" t="s">
        <v>384</v>
      </c>
      <c r="B111" s="42" t="str">
        <f>PROPER(Table3[[#This Row],[Name]])</f>
        <v>Amy Walker</v>
      </c>
      <c r="C111" s="43">
        <f>VLOOKUP(B111,Customer_Dim!B:C,2,0)</f>
        <v>27</v>
      </c>
      <c r="D111" s="43" t="str">
        <f t="shared" si="1"/>
        <v>Young</v>
      </c>
      <c r="E111" s="43" t="str" cm="1">
        <f t="array" ref="E111:G111">_xlfn.XLOOKUP(A111,Table3[Customer_ID],Table3[[Gender]:[State]])</f>
        <v>Male</v>
      </c>
      <c r="F111" s="43" t="str">
        <v>Smithland</v>
      </c>
      <c r="G111" s="43" t="str">
        <v>West Virginia</v>
      </c>
      <c r="H111" s="43" t="str">
        <f>IF(OR(Customer_Dim!G111="usa",G111="United States of America"),"USA")</f>
        <v>USA</v>
      </c>
      <c r="I111" s="43" t="str">
        <f>VLOOKUP(A111,Customer_Dim!A:H,8,0)</f>
        <v>Silver</v>
      </c>
    </row>
    <row r="112" spans="1:9" x14ac:dyDescent="0.3">
      <c r="A112" s="41" t="s">
        <v>387</v>
      </c>
      <c r="B112" s="42" t="str">
        <f>PROPER(Table3[[#This Row],[Name]])</f>
        <v>Ashley Griffin</v>
      </c>
      <c r="C112" s="43">
        <f>VLOOKUP(B112,Customer_Dim!B:C,2,0)</f>
        <v>40</v>
      </c>
      <c r="D112" s="43" t="str">
        <f t="shared" si="1"/>
        <v>Middle-Aged</v>
      </c>
      <c r="E112" s="43" t="str" cm="1">
        <f t="array" ref="E112:G112">_xlfn.XLOOKUP(A112,Table3[Customer_ID],Table3[[Gender]:[State]])</f>
        <v>Female</v>
      </c>
      <c r="F112" s="43" t="str">
        <v>New Dawnton</v>
      </c>
      <c r="G112" s="43" t="str">
        <v>Maryland</v>
      </c>
      <c r="H112" s="43" t="str">
        <f>IF(OR(Customer_Dim!G112="usa",G112="United States of America"),"USA")</f>
        <v>USA</v>
      </c>
      <c r="I112" s="43" t="str">
        <f>VLOOKUP(A112,Customer_Dim!A:H,8,0)</f>
        <v>Gold</v>
      </c>
    </row>
    <row r="113" spans="1:9" x14ac:dyDescent="0.3">
      <c r="A113" s="41" t="s">
        <v>390</v>
      </c>
      <c r="B113" s="42" t="str">
        <f>PROPER(Table3[[#This Row],[Name]])</f>
        <v>Julie Farmer</v>
      </c>
      <c r="C113" s="43">
        <f>VLOOKUP(B113,Customer_Dim!B:C,2,0)</f>
        <v>18</v>
      </c>
      <c r="D113" s="43" t="str">
        <f t="shared" si="1"/>
        <v>Young</v>
      </c>
      <c r="E113" s="43" t="str" cm="1">
        <f t="array" ref="E113:G113">_xlfn.XLOOKUP(A113,Table3[Customer_ID],Table3[[Gender]:[State]])</f>
        <v>Female</v>
      </c>
      <c r="F113" s="43" t="str">
        <v>Rodriguezmouth</v>
      </c>
      <c r="G113" s="43" t="str">
        <v>Arizona</v>
      </c>
      <c r="H113" s="43" t="str">
        <f>IF(OR(Customer_Dim!G113="usa",G113="United States of America"),"USA")</f>
        <v>USA</v>
      </c>
      <c r="I113" s="43" t="str">
        <f>VLOOKUP(A113,Customer_Dim!A:H,8,0)</f>
        <v>Platinum</v>
      </c>
    </row>
    <row r="114" spans="1:9" x14ac:dyDescent="0.3">
      <c r="A114" s="41" t="s">
        <v>393</v>
      </c>
      <c r="B114" s="42" t="str">
        <f>PROPER(Table3[[#This Row],[Name]])</f>
        <v>David Cole</v>
      </c>
      <c r="C114" s="43">
        <f>VLOOKUP(B114,Customer_Dim!B:C,2,0)</f>
        <v>27</v>
      </c>
      <c r="D114" s="43" t="str">
        <f t="shared" si="1"/>
        <v>Young</v>
      </c>
      <c r="E114" s="43" t="str" cm="1">
        <f t="array" ref="E114:G114">_xlfn.XLOOKUP(A114,Table3[Customer_ID],Table3[[Gender]:[State]])</f>
        <v>Female</v>
      </c>
      <c r="F114" s="43" t="str">
        <v>Lake Michael</v>
      </c>
      <c r="G114" s="43" t="str">
        <v>Michigan</v>
      </c>
      <c r="H114" s="43" t="str">
        <f>IF(OR(Customer_Dim!G114="usa",G114="United States of America"),"USA")</f>
        <v>USA</v>
      </c>
      <c r="I114" s="43" t="str">
        <f>VLOOKUP(A114,Customer_Dim!A:H,8,0)</f>
        <v>Silver</v>
      </c>
    </row>
    <row r="115" spans="1:9" x14ac:dyDescent="0.3">
      <c r="A115" s="41" t="s">
        <v>396</v>
      </c>
      <c r="B115" s="42" t="str">
        <f>PROPER(Table3[[#This Row],[Name]])</f>
        <v>Edward Hall</v>
      </c>
      <c r="C115" s="43">
        <f>VLOOKUP(B115,Customer_Dim!B:C,2,0)</f>
        <v>51</v>
      </c>
      <c r="D115" s="43" t="str">
        <f t="shared" si="1"/>
        <v>Senior</v>
      </c>
      <c r="E115" s="43" t="str" cm="1">
        <f t="array" ref="E115:G115">_xlfn.XLOOKUP(A115,Table3[Customer_ID],Table3[[Gender]:[State]])</f>
        <v>Male</v>
      </c>
      <c r="F115" s="43" t="str">
        <v>New William</v>
      </c>
      <c r="G115" s="43" t="str">
        <v>New Mexico</v>
      </c>
      <c r="H115" s="43" t="str">
        <f>IF(OR(Customer_Dim!G115="usa",G115="United States of America"),"USA")</f>
        <v>USA</v>
      </c>
      <c r="I115" s="43" t="str">
        <f>VLOOKUP(A115,Customer_Dim!A:H,8,0)</f>
        <v>Gold</v>
      </c>
    </row>
    <row r="116" spans="1:9" x14ac:dyDescent="0.3">
      <c r="A116" s="41" t="s">
        <v>399</v>
      </c>
      <c r="B116" s="42" t="str">
        <f>PROPER(Table3[[#This Row],[Name]])</f>
        <v>Ryan Hernandez</v>
      </c>
      <c r="C116" s="43">
        <f>VLOOKUP(B116,Customer_Dim!B:C,2,0)</f>
        <v>30</v>
      </c>
      <c r="D116" s="43" t="str">
        <f t="shared" si="1"/>
        <v>Middle-Aged</v>
      </c>
      <c r="E116" s="43" t="str" cm="1">
        <f t="array" ref="E116:G116">_xlfn.XLOOKUP(A116,Table3[Customer_ID],Table3[[Gender]:[State]])</f>
        <v>Male</v>
      </c>
      <c r="F116" s="43" t="str">
        <v>East Donna</v>
      </c>
      <c r="G116" s="43" t="str">
        <v>Nevada</v>
      </c>
      <c r="H116" s="43" t="str">
        <f>IF(OR(Customer_Dim!G116="usa",G116="United States of America"),"USA")</f>
        <v>USA</v>
      </c>
      <c r="I116" s="43" t="str">
        <f>VLOOKUP(A116,Customer_Dim!A:H,8,0)</f>
        <v>Bronze</v>
      </c>
    </row>
    <row r="117" spans="1:9" x14ac:dyDescent="0.3">
      <c r="A117" s="41" t="s">
        <v>402</v>
      </c>
      <c r="B117" s="42" t="str">
        <f>PROPER(Table3[[#This Row],[Name]])</f>
        <v>Tyler Conrad</v>
      </c>
      <c r="C117" s="43">
        <f>VLOOKUP(B117,Customer_Dim!B:C,2,0)</f>
        <v>53</v>
      </c>
      <c r="D117" s="43" t="str">
        <f t="shared" si="1"/>
        <v>Senior</v>
      </c>
      <c r="E117" s="43" t="str" cm="1">
        <f t="array" ref="E117:G117">_xlfn.XLOOKUP(A117,Table3[Customer_ID],Table3[[Gender]:[State]])</f>
        <v>Female</v>
      </c>
      <c r="F117" s="43" t="str">
        <v>North Curtischester</v>
      </c>
      <c r="G117" s="43" t="str">
        <v>North Dakota</v>
      </c>
      <c r="H117" s="43" t="str">
        <f>IF(OR(Customer_Dim!G117="usa",G117="United States of America"),"USA")</f>
        <v>USA</v>
      </c>
      <c r="I117" s="43" t="str">
        <f>VLOOKUP(A117,Customer_Dim!A:H,8,0)</f>
        <v>Platinum</v>
      </c>
    </row>
    <row r="118" spans="1:9" x14ac:dyDescent="0.3">
      <c r="A118" s="41" t="s">
        <v>405</v>
      </c>
      <c r="B118" s="42" t="str">
        <f>PROPER(Table3[[#This Row],[Name]])</f>
        <v>Anthony Phillips</v>
      </c>
      <c r="C118" s="43">
        <f>VLOOKUP(B118,Customer_Dim!B:C,2,0)</f>
        <v>18</v>
      </c>
      <c r="D118" s="43" t="str">
        <f t="shared" si="1"/>
        <v>Young</v>
      </c>
      <c r="E118" s="43" t="str" cm="1">
        <f t="array" ref="E118:G118">_xlfn.XLOOKUP(A118,Table3[Customer_ID],Table3[[Gender]:[State]])</f>
        <v>Female</v>
      </c>
      <c r="F118" s="43" t="str">
        <v>North Davidport</v>
      </c>
      <c r="G118" s="43" t="str">
        <v>Rhode Island</v>
      </c>
      <c r="H118" s="43" t="str">
        <f>IF(OR(Customer_Dim!G118="usa",G118="United States of America"),"USA")</f>
        <v>USA</v>
      </c>
      <c r="I118" s="43" t="str">
        <f>VLOOKUP(A118,Customer_Dim!A:H,8,0)</f>
        <v>Platinum</v>
      </c>
    </row>
    <row r="119" spans="1:9" x14ac:dyDescent="0.3">
      <c r="A119" s="41" t="s">
        <v>408</v>
      </c>
      <c r="B119" s="42" t="str">
        <f>PROPER(Table3[[#This Row],[Name]])</f>
        <v>Colleen Mccarthy</v>
      </c>
      <c r="C119" s="43">
        <f>VLOOKUP(B119,Customer_Dim!B:C,2,0)</f>
        <v>21</v>
      </c>
      <c r="D119" s="43" t="str">
        <f t="shared" si="1"/>
        <v>Young</v>
      </c>
      <c r="E119" s="43" t="str" cm="1">
        <f t="array" ref="E119:G119">_xlfn.XLOOKUP(A119,Table3[Customer_ID],Table3[[Gender]:[State]])</f>
        <v>Female</v>
      </c>
      <c r="F119" s="43" t="str">
        <v>North Katherine</v>
      </c>
      <c r="G119" s="43" t="str">
        <v>Washington</v>
      </c>
      <c r="H119" s="43" t="str">
        <f>IF(OR(Customer_Dim!G119="usa",G119="United States of America"),"USA")</f>
        <v>USA</v>
      </c>
      <c r="I119" s="43" t="str">
        <f>VLOOKUP(A119,Customer_Dim!A:H,8,0)</f>
        <v>Platinum</v>
      </c>
    </row>
    <row r="120" spans="1:9" x14ac:dyDescent="0.3">
      <c r="A120" s="41" t="s">
        <v>411</v>
      </c>
      <c r="B120" s="42" t="str">
        <f>PROPER(Table3[[#This Row],[Name]])</f>
        <v>Earl Allen</v>
      </c>
      <c r="C120" s="43">
        <f>VLOOKUP(B120,Customer_Dim!B:C,2,0)</f>
        <v>36</v>
      </c>
      <c r="D120" s="43" t="str">
        <f t="shared" si="1"/>
        <v>Middle-Aged</v>
      </c>
      <c r="E120" s="43" t="str" cm="1">
        <f t="array" ref="E120:G120">_xlfn.XLOOKUP(A120,Table3[Customer_ID],Table3[[Gender]:[State]])</f>
        <v>Male</v>
      </c>
      <c r="F120" s="43" t="str">
        <v>New Jenniferburgh</v>
      </c>
      <c r="G120" s="43" t="str">
        <v>Nebraska</v>
      </c>
      <c r="H120" s="43" t="str">
        <f>IF(OR(Customer_Dim!G120="usa",G120="United States of America"),"USA")</f>
        <v>USA</v>
      </c>
      <c r="I120" s="43" t="str">
        <f>VLOOKUP(A120,Customer_Dim!A:H,8,0)</f>
        <v>Platinum</v>
      </c>
    </row>
    <row r="121" spans="1:9" x14ac:dyDescent="0.3">
      <c r="A121" s="41" t="s">
        <v>414</v>
      </c>
      <c r="B121" s="42" t="str">
        <f>PROPER(Table3[[#This Row],[Name]])</f>
        <v>Michael Jones</v>
      </c>
      <c r="C121" s="43">
        <f>VLOOKUP(B121,Customer_Dim!B:C,2,0)</f>
        <v>40</v>
      </c>
      <c r="D121" s="43" t="str">
        <f t="shared" si="1"/>
        <v>Middle-Aged</v>
      </c>
      <c r="E121" s="43" t="str" cm="1">
        <f t="array" ref="E121:G121">_xlfn.XLOOKUP(A121,Table3[Customer_ID],Table3[[Gender]:[State]])</f>
        <v>Male</v>
      </c>
      <c r="F121" s="43" t="str">
        <v>North Edwardton</v>
      </c>
      <c r="G121" s="43" t="str">
        <v>Tennessee</v>
      </c>
      <c r="H121" s="43" t="str">
        <f>IF(OR(Customer_Dim!G121="usa",G121="United States of America"),"USA")</f>
        <v>USA</v>
      </c>
      <c r="I121" s="43" t="str">
        <f>VLOOKUP(A121,Customer_Dim!A:H,8,0)</f>
        <v>Bronze</v>
      </c>
    </row>
    <row r="122" spans="1:9" x14ac:dyDescent="0.3">
      <c r="A122" s="41" t="s">
        <v>417</v>
      </c>
      <c r="B122" s="42" t="str">
        <f>PROPER(Table3[[#This Row],[Name]])</f>
        <v>Jacob Hopkins</v>
      </c>
      <c r="C122" s="43">
        <f>VLOOKUP(B122,Customer_Dim!B:C,2,0)</f>
        <v>44</v>
      </c>
      <c r="D122" s="43" t="str">
        <f t="shared" si="1"/>
        <v>Middle-Aged</v>
      </c>
      <c r="E122" s="43" t="str" cm="1">
        <f t="array" ref="E122:G122">_xlfn.XLOOKUP(A122,Table3[Customer_ID],Table3[[Gender]:[State]])</f>
        <v>Female</v>
      </c>
      <c r="F122" s="43" t="str">
        <v>lake tylerfort</v>
      </c>
      <c r="G122" s="43" t="str">
        <v>Pennsylvania</v>
      </c>
      <c r="H122" s="43" t="str">
        <f>IF(OR(Customer_Dim!G122="usa",G122="United States of America"),"USA")</f>
        <v>USA</v>
      </c>
      <c r="I122" s="43" t="str">
        <f>VLOOKUP(A122,Customer_Dim!A:H,8,0)</f>
        <v>Platinum</v>
      </c>
    </row>
    <row r="123" spans="1:9" x14ac:dyDescent="0.3">
      <c r="A123" s="41" t="s">
        <v>419</v>
      </c>
      <c r="B123" s="42" t="str">
        <f>PROPER(Table3[[#This Row],[Name]])</f>
        <v>Joel Robinson</v>
      </c>
      <c r="C123" s="43">
        <f>VLOOKUP(B123,Customer_Dim!B:C,2,0)</f>
        <v>62</v>
      </c>
      <c r="D123" s="43" t="str">
        <f t="shared" si="1"/>
        <v>Senior</v>
      </c>
      <c r="E123" s="43" t="str" cm="1">
        <f t="array" ref="E123:G123">_xlfn.XLOOKUP(A123,Table3[Customer_ID],Table3[[Gender]:[State]])</f>
        <v>Male</v>
      </c>
      <c r="F123" s="43" t="str">
        <v>Lake Danielport</v>
      </c>
      <c r="G123" s="43" t="str">
        <v>Hawaii</v>
      </c>
      <c r="H123" s="43" t="str">
        <f>IF(OR(Customer_Dim!G123="usa",G123="United States of America"),"USA")</f>
        <v>USA</v>
      </c>
      <c r="I123" s="43" t="str">
        <f>VLOOKUP(A123,Customer_Dim!A:H,8,0)</f>
        <v>Platinum</v>
      </c>
    </row>
    <row r="124" spans="1:9" x14ac:dyDescent="0.3">
      <c r="A124" s="41" t="s">
        <v>422</v>
      </c>
      <c r="B124" s="42" t="str">
        <f>PROPER(Table3[[#This Row],[Name]])</f>
        <v>Michael Chang</v>
      </c>
      <c r="C124" s="43">
        <f>VLOOKUP(B124,Customer_Dim!B:C,2,0)</f>
        <v>50</v>
      </c>
      <c r="D124" s="43" t="str">
        <f t="shared" si="1"/>
        <v>Middle-Aged</v>
      </c>
      <c r="E124" s="43" t="str" cm="1">
        <f t="array" ref="E124:G124">_xlfn.XLOOKUP(A124,Table3[Customer_ID],Table3[[Gender]:[State]])</f>
        <v>Male</v>
      </c>
      <c r="F124" s="43" t="str">
        <v>Kathrynport</v>
      </c>
      <c r="G124" s="43" t="str">
        <v>North Carolina</v>
      </c>
      <c r="H124" s="43" t="str">
        <f>IF(OR(Customer_Dim!G124="usa",G124="United States of America"),"USA")</f>
        <v>USA</v>
      </c>
      <c r="I124" s="43" t="str">
        <f>VLOOKUP(A124,Customer_Dim!A:H,8,0)</f>
        <v>Platinum</v>
      </c>
    </row>
    <row r="125" spans="1:9" x14ac:dyDescent="0.3">
      <c r="A125" s="41" t="s">
        <v>425</v>
      </c>
      <c r="B125" s="42" t="str">
        <f>PROPER(Table3[[#This Row],[Name]])</f>
        <v>Erin Hopkins</v>
      </c>
      <c r="C125" s="43">
        <f>VLOOKUP(B125,Customer_Dim!B:C,2,0)</f>
        <v>40</v>
      </c>
      <c r="D125" s="43" t="str">
        <f t="shared" si="1"/>
        <v>Middle-Aged</v>
      </c>
      <c r="E125" s="43" t="str" cm="1">
        <f t="array" ref="E125:G125">_xlfn.XLOOKUP(A125,Table3[Customer_ID],Table3[[Gender]:[State]])</f>
        <v>Male</v>
      </c>
      <c r="F125" s="43" t="str">
        <v>North Sabrina</v>
      </c>
      <c r="G125" s="43" t="str">
        <v>Iowa</v>
      </c>
      <c r="H125" s="43" t="str">
        <f>IF(OR(Customer_Dim!G125="usa",G125="United States of America"),"USA")</f>
        <v>USA</v>
      </c>
      <c r="I125" s="43" t="str">
        <f>VLOOKUP(A125,Customer_Dim!A:H,8,0)</f>
        <v>Silver</v>
      </c>
    </row>
    <row r="126" spans="1:9" x14ac:dyDescent="0.3">
      <c r="A126" s="41" t="s">
        <v>428</v>
      </c>
      <c r="B126" s="42" t="str">
        <f>PROPER(Table3[[#This Row],[Name]])</f>
        <v>Donald Lee</v>
      </c>
      <c r="C126" s="43">
        <f>VLOOKUP(B126,Customer_Dim!B:C,2,0)</f>
        <v>26</v>
      </c>
      <c r="D126" s="43" t="str">
        <f t="shared" si="1"/>
        <v>Young</v>
      </c>
      <c r="E126" s="43" t="str" cm="1">
        <f t="array" ref="E126:G126">_xlfn.XLOOKUP(A126,Table3[Customer_ID],Table3[[Gender]:[State]])</f>
        <v>Male</v>
      </c>
      <c r="F126" s="43" t="str">
        <v>Wongberg</v>
      </c>
      <c r="G126" s="43" t="str">
        <v>Illinois</v>
      </c>
      <c r="H126" s="43" t="str">
        <f>IF(OR(Customer_Dim!G126="usa",G126="United States of America"),"USA")</f>
        <v>USA</v>
      </c>
      <c r="I126" s="43" t="str">
        <f>VLOOKUP(A126,Customer_Dim!A:H,8,0)</f>
        <v>Bronze</v>
      </c>
    </row>
    <row r="127" spans="1:9" x14ac:dyDescent="0.3">
      <c r="A127" s="41" t="s">
        <v>431</v>
      </c>
      <c r="B127" s="42" t="str">
        <f>PROPER(Table3[[#This Row],[Name]])</f>
        <v>Keith Miller</v>
      </c>
      <c r="C127" s="43">
        <f>VLOOKUP(B127,Customer_Dim!B:C,2,0)</f>
        <v>64</v>
      </c>
      <c r="D127" s="43" t="str">
        <f t="shared" si="1"/>
        <v>Senior</v>
      </c>
      <c r="E127" s="43" t="str" cm="1">
        <f t="array" ref="E127:G127">_xlfn.XLOOKUP(A127,Table3[Customer_ID],Table3[[Gender]:[State]])</f>
        <v>Female</v>
      </c>
      <c r="F127" s="43" t="str">
        <v>West Jameston</v>
      </c>
      <c r="G127" s="43" t="str">
        <v>Maine</v>
      </c>
      <c r="H127" s="43" t="str">
        <f>IF(OR(Customer_Dim!G127="usa",G127="United States of America"),"USA")</f>
        <v>USA</v>
      </c>
      <c r="I127" s="43" t="str">
        <f>VLOOKUP(A127,Customer_Dim!A:H,8,0)</f>
        <v>Platinum</v>
      </c>
    </row>
    <row r="128" spans="1:9" x14ac:dyDescent="0.3">
      <c r="A128" s="41" t="s">
        <v>435</v>
      </c>
      <c r="B128" s="42" t="str">
        <f>PROPER(Table3[[#This Row],[Name]])</f>
        <v>James Wolfe</v>
      </c>
      <c r="C128" s="43">
        <f>VLOOKUP(B128,Customer_Dim!B:C,2,0)</f>
        <v>62</v>
      </c>
      <c r="D128" s="43" t="str">
        <f t="shared" si="1"/>
        <v>Senior</v>
      </c>
      <c r="E128" s="43" t="str" cm="1">
        <f t="array" ref="E128:G128">_xlfn.XLOOKUP(A128,Table3[Customer_ID],Table3[[Gender]:[State]])</f>
        <v>Female</v>
      </c>
      <c r="F128" s="43" t="str">
        <v>Benjaminton</v>
      </c>
      <c r="G128" s="43" t="str">
        <v>Arizona</v>
      </c>
      <c r="H128" s="43" t="str">
        <f>IF(OR(Customer_Dim!G128="usa",G128="United States of America"),"USA")</f>
        <v>USA</v>
      </c>
      <c r="I128" s="43" t="str">
        <f>VLOOKUP(A128,Customer_Dim!A:H,8,0)</f>
        <v>Gold</v>
      </c>
    </row>
    <row r="129" spans="1:9" x14ac:dyDescent="0.3">
      <c r="A129" s="41" t="s">
        <v>438</v>
      </c>
      <c r="B129" s="42" t="str">
        <f>PROPER(Table3[[#This Row],[Name]])</f>
        <v>John Mcknight</v>
      </c>
      <c r="C129" s="43">
        <f>VLOOKUP(B129,Customer_Dim!B:C,2,0)</f>
        <v>39</v>
      </c>
      <c r="D129" s="43" t="str">
        <f t="shared" si="1"/>
        <v>Middle-Aged</v>
      </c>
      <c r="E129" s="43" t="str" cm="1">
        <f t="array" ref="E129:G129">_xlfn.XLOOKUP(A129,Table3[Customer_ID],Table3[[Gender]:[State]])</f>
        <v>Male</v>
      </c>
      <c r="F129" s="43" t="str">
        <v>South Nathan</v>
      </c>
      <c r="G129" s="43" t="str">
        <v>Vermont</v>
      </c>
      <c r="H129" s="43" t="str">
        <f>IF(OR(Customer_Dim!G129="usa",G129="United States of America"),"USA")</f>
        <v>USA</v>
      </c>
      <c r="I129" s="43" t="str">
        <f>VLOOKUP(A129,Customer_Dim!A:H,8,0)</f>
        <v>Platinum</v>
      </c>
    </row>
    <row r="130" spans="1:9" x14ac:dyDescent="0.3">
      <c r="A130" s="41" t="s">
        <v>441</v>
      </c>
      <c r="B130" s="42" t="str">
        <f>PROPER(Table3[[#This Row],[Name]])</f>
        <v>Susan Mcdonald</v>
      </c>
      <c r="C130" s="43">
        <f>VLOOKUP(B130,Customer_Dim!B:C,2,0)</f>
        <v>45</v>
      </c>
      <c r="D130" s="43" t="str">
        <f t="shared" si="1"/>
        <v>Middle-Aged</v>
      </c>
      <c r="E130" s="43" t="str" cm="1">
        <f t="array" ref="E130:G130">_xlfn.XLOOKUP(A130,Table3[Customer_ID],Table3[[Gender]:[State]])</f>
        <v>Male</v>
      </c>
      <c r="F130" s="43" t="str">
        <v>East Ellen</v>
      </c>
      <c r="G130" s="43" t="str">
        <v>Arkansas</v>
      </c>
      <c r="H130" s="43" t="str">
        <f>IF(OR(Customer_Dim!G130="usa",G130="United States of America"),"USA")</f>
        <v>USA</v>
      </c>
      <c r="I130" s="43" t="str">
        <f>VLOOKUP(A130,Customer_Dim!A:H,8,0)</f>
        <v>Silver</v>
      </c>
    </row>
    <row r="131" spans="1:9" x14ac:dyDescent="0.3">
      <c r="A131" s="41" t="s">
        <v>444</v>
      </c>
      <c r="B131" s="42" t="str">
        <f>PROPER(Table3[[#This Row],[Name]])</f>
        <v>Jessica Mitchell</v>
      </c>
      <c r="C131" s="43">
        <f>VLOOKUP(B131,Customer_Dim!B:C,2,0)</f>
        <v>43</v>
      </c>
      <c r="D131" s="43" t="str">
        <f t="shared" ref="D131:D194" si="2">IF(C131&lt;30,"Young",IF(C131&lt;=50,"Middle-Aged","Senior"))</f>
        <v>Middle-Aged</v>
      </c>
      <c r="E131" s="43" t="str" cm="1">
        <f t="array" ref="E131:G131">_xlfn.XLOOKUP(A131,Table3[Customer_ID],Table3[[Gender]:[State]])</f>
        <v>Female</v>
      </c>
      <c r="F131" s="43" t="str">
        <v>Matthewbury</v>
      </c>
      <c r="G131" s="43" t="str">
        <v>South Dakota</v>
      </c>
      <c r="H131" s="43" t="str">
        <f>IF(OR(Customer_Dim!G131="usa",G131="United States of America"),"USA")</f>
        <v>USA</v>
      </c>
      <c r="I131" s="43" t="str">
        <f>VLOOKUP(A131,Customer_Dim!A:H,8,0)</f>
        <v>Silver</v>
      </c>
    </row>
    <row r="132" spans="1:9" x14ac:dyDescent="0.3">
      <c r="A132" s="41" t="s">
        <v>447</v>
      </c>
      <c r="B132" s="42" t="str">
        <f>PROPER(Table3[[#This Row],[Name]])</f>
        <v>Jamie Reyes</v>
      </c>
      <c r="C132" s="43">
        <f>VLOOKUP(B132,Customer_Dim!B:C,2,0)</f>
        <v>29</v>
      </c>
      <c r="D132" s="43" t="str">
        <f t="shared" si="2"/>
        <v>Young</v>
      </c>
      <c r="E132" s="43" t="str" cm="1">
        <f t="array" ref="E132:G132">_xlfn.XLOOKUP(A132,Table3[Customer_ID],Table3[[Gender]:[State]])</f>
        <v>Male</v>
      </c>
      <c r="F132" s="43" t="str">
        <v xml:space="preserve">   jonesbury </v>
      </c>
      <c r="G132" s="43" t="str">
        <v>Connecticut</v>
      </c>
      <c r="H132" s="43" t="b">
        <f>IF(OR(Customer_Dim!G132="usa",G132="United States of America"),"USA")</f>
        <v>0</v>
      </c>
      <c r="I132" s="43" t="str">
        <f>VLOOKUP(A132,Customer_Dim!A:H,8,0)</f>
        <v>Platinum</v>
      </c>
    </row>
    <row r="133" spans="1:9" x14ac:dyDescent="0.3">
      <c r="A133" s="41" t="s">
        <v>449</v>
      </c>
      <c r="B133" s="42" t="str">
        <f>PROPER(Table3[[#This Row],[Name]])</f>
        <v>Joseph Richards</v>
      </c>
      <c r="C133" s="43">
        <f>VLOOKUP(B133,Customer_Dim!B:C,2,0)</f>
        <v>34</v>
      </c>
      <c r="D133" s="43" t="str">
        <f t="shared" si="2"/>
        <v>Middle-Aged</v>
      </c>
      <c r="E133" s="43" t="str" cm="1">
        <f t="array" ref="E133:G133">_xlfn.XLOOKUP(A133,Table3[Customer_ID],Table3[[Gender]:[State]])</f>
        <v>Female</v>
      </c>
      <c r="F133" s="43" t="str">
        <v>Wigginsville</v>
      </c>
      <c r="G133" s="43" t="str">
        <v>Alabama</v>
      </c>
      <c r="H133" s="43" t="str">
        <f>IF(OR(Customer_Dim!G133="usa",G133="United States of America"),"USA")</f>
        <v>USA</v>
      </c>
      <c r="I133" s="43" t="str">
        <f>VLOOKUP(A133,Customer_Dim!A:H,8,0)</f>
        <v>Bronze</v>
      </c>
    </row>
    <row r="134" spans="1:9" x14ac:dyDescent="0.3">
      <c r="A134" s="41" t="s">
        <v>452</v>
      </c>
      <c r="B134" s="42" t="str">
        <f>PROPER(Table3[[#This Row],[Name]])</f>
        <v>Miguel Reynolds</v>
      </c>
      <c r="C134" s="43">
        <f>VLOOKUP(B134,Customer_Dim!B:C,2,0)</f>
        <v>57</v>
      </c>
      <c r="D134" s="43" t="str">
        <f t="shared" si="2"/>
        <v>Senior</v>
      </c>
      <c r="E134" s="43" t="str" cm="1">
        <f t="array" ref="E134:G134">_xlfn.XLOOKUP(A134,Table3[Customer_ID],Table3[[Gender]:[State]])</f>
        <v>Female</v>
      </c>
      <c r="F134" s="43" t="str">
        <v>Taylorberg</v>
      </c>
      <c r="G134" s="43" t="str">
        <v>Ohio</v>
      </c>
      <c r="H134" s="43" t="str">
        <f>IF(OR(Customer_Dim!G134="usa",G134="United States of America"),"USA")</f>
        <v>USA</v>
      </c>
      <c r="I134" s="43" t="str">
        <f>VLOOKUP(A134,Customer_Dim!A:H,8,0)</f>
        <v>Gold</v>
      </c>
    </row>
    <row r="135" spans="1:9" x14ac:dyDescent="0.3">
      <c r="A135" s="41" t="s">
        <v>455</v>
      </c>
      <c r="B135" s="42" t="str">
        <f>PROPER(Table3[[#This Row],[Name]])</f>
        <v>Hayley Pope</v>
      </c>
      <c r="C135" s="43">
        <f>VLOOKUP(B135,Customer_Dim!B:C,2,0)</f>
        <v>62</v>
      </c>
      <c r="D135" s="43" t="str">
        <f t="shared" si="2"/>
        <v>Senior</v>
      </c>
      <c r="E135" s="43" t="str" cm="1">
        <f t="array" ref="E135:G135">_xlfn.XLOOKUP(A135,Table3[Customer_ID],Table3[[Gender]:[State]])</f>
        <v>Female</v>
      </c>
      <c r="F135" s="43" t="str">
        <v>West Stephenville</v>
      </c>
      <c r="G135" s="43" t="str">
        <v>Florida</v>
      </c>
      <c r="H135" s="43" t="str">
        <f>IF(OR(Customer_Dim!G135="usa",G135="United States of America"),"USA")</f>
        <v>USA</v>
      </c>
      <c r="I135" s="43" t="str">
        <f>VLOOKUP(A135,Customer_Dim!A:H,8,0)</f>
        <v>Bronze</v>
      </c>
    </row>
    <row r="136" spans="1:9" x14ac:dyDescent="0.3">
      <c r="A136" s="41" t="s">
        <v>458</v>
      </c>
      <c r="B136" s="42" t="str">
        <f>PROPER(Table3[[#This Row],[Name]])</f>
        <v>Morgan Bowen</v>
      </c>
      <c r="C136" s="43">
        <f>VLOOKUP(B136,Customer_Dim!B:C,2,0)</f>
        <v>54</v>
      </c>
      <c r="D136" s="43" t="str">
        <f t="shared" si="2"/>
        <v>Senior</v>
      </c>
      <c r="E136" s="43" t="str" cm="1">
        <f t="array" ref="E136:G136">_xlfn.XLOOKUP(A136,Table3[Customer_ID],Table3[[Gender]:[State]])</f>
        <v>Male</v>
      </c>
      <c r="F136" s="43" t="str">
        <v>Parksfort</v>
      </c>
      <c r="G136" s="43" t="str">
        <v>Washington</v>
      </c>
      <c r="H136" s="43" t="str">
        <f>IF(OR(Customer_Dim!G136="usa",G136="United States of America"),"USA")</f>
        <v>USA</v>
      </c>
      <c r="I136" s="43" t="str">
        <f>VLOOKUP(A136,Customer_Dim!A:H,8,0)</f>
        <v>Gold</v>
      </c>
    </row>
    <row r="137" spans="1:9" x14ac:dyDescent="0.3">
      <c r="A137" s="41" t="s">
        <v>461</v>
      </c>
      <c r="B137" s="42" t="str">
        <f>PROPER(Table3[[#This Row],[Name]])</f>
        <v>Matthew Hanna</v>
      </c>
      <c r="C137" s="43">
        <f>VLOOKUP(B137,Customer_Dim!B:C,2,0)</f>
        <v>33</v>
      </c>
      <c r="D137" s="43" t="str">
        <f t="shared" si="2"/>
        <v>Middle-Aged</v>
      </c>
      <c r="E137" s="43" t="str" cm="1">
        <f t="array" ref="E137:G137">_xlfn.XLOOKUP(A137,Table3[Customer_ID],Table3[[Gender]:[State]])</f>
        <v>Female</v>
      </c>
      <c r="F137" s="43" t="str">
        <v>Gonzalezbury</v>
      </c>
      <c r="G137" s="43" t="str">
        <v>Michigan</v>
      </c>
      <c r="H137" s="43" t="str">
        <f>IF(OR(Customer_Dim!G137="usa",G137="United States of America"),"USA")</f>
        <v>USA</v>
      </c>
      <c r="I137" s="43" t="str">
        <f>VLOOKUP(A137,Customer_Dim!A:H,8,0)</f>
        <v>Platinum</v>
      </c>
    </row>
    <row r="138" spans="1:9" x14ac:dyDescent="0.3">
      <c r="A138" s="41" t="s">
        <v>464</v>
      </c>
      <c r="B138" s="42" t="str">
        <f>PROPER(Table3[[#This Row],[Name]])</f>
        <v>Patrick Coleman</v>
      </c>
      <c r="C138" s="43">
        <f>VLOOKUP(B138,Customer_Dim!B:C,2,0)</f>
        <v>29</v>
      </c>
      <c r="D138" s="43" t="str">
        <f t="shared" si="2"/>
        <v>Young</v>
      </c>
      <c r="E138" s="43" t="str" cm="1">
        <f t="array" ref="E138:G138">_xlfn.XLOOKUP(A138,Table3[Customer_ID],Table3[[Gender]:[State]])</f>
        <v>Male</v>
      </c>
      <c r="F138" s="43" t="str">
        <v>New Jeffrey</v>
      </c>
      <c r="G138" s="43" t="str">
        <v>Nebraska</v>
      </c>
      <c r="H138" s="43" t="str">
        <f>IF(OR(Customer_Dim!G138="usa",G138="United States of America"),"USA")</f>
        <v>USA</v>
      </c>
      <c r="I138" s="43" t="str">
        <f>VLOOKUP(A138,Customer_Dim!A:H,8,0)</f>
        <v>Silver</v>
      </c>
    </row>
    <row r="139" spans="1:9" x14ac:dyDescent="0.3">
      <c r="A139" s="41" t="s">
        <v>467</v>
      </c>
      <c r="B139" s="42" t="str">
        <f>PROPER(Table3[[#This Row],[Name]])</f>
        <v>Rick Dominguez</v>
      </c>
      <c r="C139" s="43">
        <f>VLOOKUP(B139,Customer_Dim!B:C,2,0)</f>
        <v>55</v>
      </c>
      <c r="D139" s="43" t="str">
        <f t="shared" si="2"/>
        <v>Senior</v>
      </c>
      <c r="E139" s="43" t="str" cm="1">
        <f t="array" ref="E139:G139">_xlfn.XLOOKUP(A139,Table3[Customer_ID],Table3[[Gender]:[State]])</f>
        <v>Female</v>
      </c>
      <c r="F139" s="43" t="str">
        <v>North Johnbury</v>
      </c>
      <c r="G139" s="43" t="str">
        <v>Ohio</v>
      </c>
      <c r="H139" s="43" t="str">
        <f>IF(OR(Customer_Dim!G139="usa",G139="United States of America"),"USA")</f>
        <v>USA</v>
      </c>
      <c r="I139" s="43" t="str">
        <f>VLOOKUP(A139,Customer_Dim!A:H,8,0)</f>
        <v>Platinum</v>
      </c>
    </row>
    <row r="140" spans="1:9" x14ac:dyDescent="0.3">
      <c r="A140" s="41" t="s">
        <v>470</v>
      </c>
      <c r="B140" s="42" t="str">
        <f>PROPER(Table3[[#This Row],[Name]])</f>
        <v>Sean Roth</v>
      </c>
      <c r="C140" s="43">
        <f>VLOOKUP(B140,Customer_Dim!B:C,2,0)</f>
        <v>43</v>
      </c>
      <c r="D140" s="43" t="str">
        <f t="shared" si="2"/>
        <v>Middle-Aged</v>
      </c>
      <c r="E140" s="43" t="str" cm="1">
        <f t="array" ref="E140:G140">_xlfn.XLOOKUP(A140,Table3[Customer_ID],Table3[[Gender]:[State]])</f>
        <v>Male</v>
      </c>
      <c r="F140" s="43" t="str">
        <v>Lake Michael</v>
      </c>
      <c r="G140" s="43" t="str">
        <v>Virginia</v>
      </c>
      <c r="H140" s="43" t="str">
        <f>IF(OR(Customer_Dim!G140="usa",G140="United States of America"),"USA")</f>
        <v>USA</v>
      </c>
      <c r="I140" s="43" t="str">
        <f>VLOOKUP(A140,Customer_Dim!A:H,8,0)</f>
        <v>Gold</v>
      </c>
    </row>
    <row r="141" spans="1:9" x14ac:dyDescent="0.3">
      <c r="A141" s="41" t="s">
        <v>472</v>
      </c>
      <c r="B141" s="42" t="str">
        <f>PROPER(Table3[[#This Row],[Name]])</f>
        <v>Brian Holder</v>
      </c>
      <c r="C141" s="43">
        <f>VLOOKUP(B141,Customer_Dim!B:C,2,0)</f>
        <v>32</v>
      </c>
      <c r="D141" s="43" t="str">
        <f t="shared" si="2"/>
        <v>Middle-Aged</v>
      </c>
      <c r="E141" s="43" t="str" cm="1">
        <f t="array" ref="E141:G141">_xlfn.XLOOKUP(A141,Table3[Customer_ID],Table3[[Gender]:[State]])</f>
        <v>Male</v>
      </c>
      <c r="F141" s="43" t="str">
        <v>Port Travis</v>
      </c>
      <c r="G141" s="43" t="str">
        <v>Utah</v>
      </c>
      <c r="H141" s="43" t="str">
        <f>IF(OR(Customer_Dim!G141="usa",G141="United States of America"),"USA")</f>
        <v>USA</v>
      </c>
      <c r="I141" s="43" t="str">
        <f>VLOOKUP(A141,Customer_Dim!A:H,8,0)</f>
        <v>Bronze</v>
      </c>
    </row>
    <row r="142" spans="1:9" x14ac:dyDescent="0.3">
      <c r="A142" s="41" t="s">
        <v>475</v>
      </c>
      <c r="B142" s="42" t="str">
        <f>PROPER(Table3[[#This Row],[Name]])</f>
        <v>Patty Francis</v>
      </c>
      <c r="C142" s="43">
        <f>VLOOKUP(B142,Customer_Dim!B:C,2,0)</f>
        <v>63</v>
      </c>
      <c r="D142" s="43" t="str">
        <f t="shared" si="2"/>
        <v>Senior</v>
      </c>
      <c r="E142" s="43" t="str" cm="1">
        <f t="array" ref="E142:G142">_xlfn.XLOOKUP(A142,Table3[Customer_ID],Table3[[Gender]:[State]])</f>
        <v>Female</v>
      </c>
      <c r="F142" s="43" t="str">
        <v>South Brooke</v>
      </c>
      <c r="G142" s="43" t="str">
        <v>Pennsylvania</v>
      </c>
      <c r="H142" s="43" t="str">
        <f>IF(OR(Customer_Dim!G142="usa",G142="United States of America"),"USA")</f>
        <v>USA</v>
      </c>
      <c r="I142" s="43" t="str">
        <f>VLOOKUP(A142,Customer_Dim!A:H,8,0)</f>
        <v>Gold</v>
      </c>
    </row>
    <row r="143" spans="1:9" x14ac:dyDescent="0.3">
      <c r="A143" s="41" t="s">
        <v>478</v>
      </c>
      <c r="B143" s="42" t="str">
        <f>PROPER(Table3[[#This Row],[Name]])</f>
        <v>Cristian Wright</v>
      </c>
      <c r="C143" s="43">
        <f>VLOOKUP(B143,Customer_Dim!B:C,2,0)</f>
        <v>30</v>
      </c>
      <c r="D143" s="43" t="str">
        <f t="shared" si="2"/>
        <v>Middle-Aged</v>
      </c>
      <c r="E143" s="43" t="str" cm="1">
        <f t="array" ref="E143:G143">_xlfn.XLOOKUP(A143,Table3[Customer_ID],Table3[[Gender]:[State]])</f>
        <v>Male</v>
      </c>
      <c r="F143" s="43" t="str">
        <v>Port Denise</v>
      </c>
      <c r="G143" s="43" t="str">
        <v>California</v>
      </c>
      <c r="H143" s="43" t="b">
        <f>IF(OR(Customer_Dim!G143="usa",G143="United States of America"),"USA")</f>
        <v>0</v>
      </c>
      <c r="I143" s="43" t="str">
        <f>VLOOKUP(A143,Customer_Dim!A:H,8,0)</f>
        <v>Bronze</v>
      </c>
    </row>
    <row r="144" spans="1:9" x14ac:dyDescent="0.3">
      <c r="A144" s="41" t="s">
        <v>481</v>
      </c>
      <c r="B144" s="42" t="str">
        <f>PROPER(Table3[[#This Row],[Name]])</f>
        <v>Maria Ramirez</v>
      </c>
      <c r="C144" s="43">
        <f>VLOOKUP(B144,Customer_Dim!B:C,2,0)</f>
        <v>37</v>
      </c>
      <c r="D144" s="43" t="str">
        <f t="shared" si="2"/>
        <v>Middle-Aged</v>
      </c>
      <c r="E144" s="43" t="str" cm="1">
        <f t="array" ref="E144:G144">_xlfn.XLOOKUP(A144,Table3[Customer_ID],Table3[[Gender]:[State]])</f>
        <v>Male</v>
      </c>
      <c r="F144" s="43" t="str">
        <v>West Brandon</v>
      </c>
      <c r="G144" s="43" t="str">
        <v>Montana</v>
      </c>
      <c r="H144" s="43" t="str">
        <f>IF(OR(Customer_Dim!G144="usa",G144="United States of America"),"USA")</f>
        <v>USA</v>
      </c>
      <c r="I144" s="43" t="str">
        <f>VLOOKUP(A144,Customer_Dim!A:H,8,0)</f>
        <v>Bronze</v>
      </c>
    </row>
    <row r="145" spans="1:9" x14ac:dyDescent="0.3">
      <c r="A145" s="41" t="s">
        <v>484</v>
      </c>
      <c r="B145" s="42" t="str">
        <f>PROPER(Table3[[#This Row],[Name]])</f>
        <v>Carlos Skinner</v>
      </c>
      <c r="C145" s="43">
        <f>VLOOKUP(B145,Customer_Dim!B:C,2,0)</f>
        <v>46</v>
      </c>
      <c r="D145" s="43" t="str">
        <f t="shared" si="2"/>
        <v>Middle-Aged</v>
      </c>
      <c r="E145" s="43" t="str" cm="1">
        <f t="array" ref="E145:G145">_xlfn.XLOOKUP(A145,Table3[Customer_ID],Table3[[Gender]:[State]])</f>
        <v>Male</v>
      </c>
      <c r="F145" s="43" t="str">
        <v>Dwaynemouth</v>
      </c>
      <c r="G145" s="43" t="str">
        <v>Alabama</v>
      </c>
      <c r="H145" s="43" t="str">
        <f>IF(OR(Customer_Dim!G145="usa",G145="United States of America"),"USA")</f>
        <v>USA</v>
      </c>
      <c r="I145" s="43" t="str">
        <f>VLOOKUP(A145,Customer_Dim!A:H,8,0)</f>
        <v>Bronze</v>
      </c>
    </row>
    <row r="146" spans="1:9" x14ac:dyDescent="0.3">
      <c r="A146" s="41" t="s">
        <v>487</v>
      </c>
      <c r="B146" s="42" t="str">
        <f>PROPER(Table3[[#This Row],[Name]])</f>
        <v>Justin Cross</v>
      </c>
      <c r="C146" s="43">
        <f>VLOOKUP(B146,Customer_Dim!B:C,2,0)</f>
        <v>62</v>
      </c>
      <c r="D146" s="43" t="str">
        <f t="shared" si="2"/>
        <v>Senior</v>
      </c>
      <c r="E146" s="43" t="str" cm="1">
        <f t="array" ref="E146:G146">_xlfn.XLOOKUP(A146,Table3[Customer_ID],Table3[[Gender]:[State]])</f>
        <v>Female</v>
      </c>
      <c r="F146" s="43" t="str">
        <v>North Anthonychester</v>
      </c>
      <c r="G146" s="43" t="str">
        <v>Nevada</v>
      </c>
      <c r="H146" s="43" t="str">
        <f>IF(OR(Customer_Dim!G146="usa",G146="United States of America"),"USA")</f>
        <v>USA</v>
      </c>
      <c r="I146" s="43" t="str">
        <f>VLOOKUP(A146,Customer_Dim!A:H,8,0)</f>
        <v>Bronze</v>
      </c>
    </row>
    <row r="147" spans="1:9" x14ac:dyDescent="0.3">
      <c r="A147" s="41" t="s">
        <v>490</v>
      </c>
      <c r="B147" s="42" t="str">
        <f>PROPER(Table3[[#This Row],[Name]])</f>
        <v>Cameron Simpson</v>
      </c>
      <c r="C147" s="43">
        <f>VLOOKUP(B147,Customer_Dim!B:C,2,0)</f>
        <v>46</v>
      </c>
      <c r="D147" s="43" t="str">
        <f t="shared" si="2"/>
        <v>Middle-Aged</v>
      </c>
      <c r="E147" s="43" t="str" cm="1">
        <f t="array" ref="E147:G147">_xlfn.XLOOKUP(A147,Table3[Customer_ID],Table3[[Gender]:[State]])</f>
        <v>Male</v>
      </c>
      <c r="F147" s="43" t="str">
        <v>Michaelfort</v>
      </c>
      <c r="G147" s="43" t="str">
        <v>Indiana</v>
      </c>
      <c r="H147" s="43" t="str">
        <f>IF(OR(Customer_Dim!G147="usa",G147="United States of America"),"USA")</f>
        <v>USA</v>
      </c>
      <c r="I147" s="43" t="str">
        <f>VLOOKUP(A147,Customer_Dim!A:H,8,0)</f>
        <v>Platinum</v>
      </c>
    </row>
    <row r="148" spans="1:9" x14ac:dyDescent="0.3">
      <c r="A148" s="41" t="s">
        <v>493</v>
      </c>
      <c r="B148" s="42" t="str">
        <f>PROPER(Table3[[#This Row],[Name]])</f>
        <v>Edward Rivera</v>
      </c>
      <c r="C148" s="43">
        <f>VLOOKUP(B148,Customer_Dim!B:C,2,0)</f>
        <v>32</v>
      </c>
      <c r="D148" s="43" t="str">
        <f t="shared" si="2"/>
        <v>Middle-Aged</v>
      </c>
      <c r="E148" s="43" t="str" cm="1">
        <f t="array" ref="E148:G148">_xlfn.XLOOKUP(A148,Table3[Customer_ID],Table3[[Gender]:[State]])</f>
        <v>Female</v>
      </c>
      <c r="F148" s="43" t="str">
        <v>Chungmouth</v>
      </c>
      <c r="G148" s="43" t="str">
        <v>South Carolina</v>
      </c>
      <c r="H148" s="43" t="str">
        <f>IF(OR(Customer_Dim!G148="usa",G148="United States of America"),"USA")</f>
        <v>USA</v>
      </c>
      <c r="I148" s="43" t="str">
        <f>VLOOKUP(A148,Customer_Dim!A:H,8,0)</f>
        <v>Gold</v>
      </c>
    </row>
    <row r="149" spans="1:9" x14ac:dyDescent="0.3">
      <c r="A149" s="41" t="s">
        <v>496</v>
      </c>
      <c r="B149" s="42" t="str">
        <f>PROPER(Table3[[#This Row],[Name]])</f>
        <v>Rhonda Young</v>
      </c>
      <c r="C149" s="43">
        <f>VLOOKUP(B149,Customer_Dim!B:C,2,0)</f>
        <v>49</v>
      </c>
      <c r="D149" s="43" t="str">
        <f t="shared" si="2"/>
        <v>Middle-Aged</v>
      </c>
      <c r="E149" s="43" t="str" cm="1">
        <f t="array" ref="E149:G149">_xlfn.XLOOKUP(A149,Table3[Customer_ID],Table3[[Gender]:[State]])</f>
        <v>Female</v>
      </c>
      <c r="F149" s="43" t="str">
        <v>Lake Nathanfort</v>
      </c>
      <c r="G149" s="43" t="str">
        <v>Alaska</v>
      </c>
      <c r="H149" s="43" t="str">
        <f>IF(OR(Customer_Dim!G149="usa",G149="United States of America"),"USA")</f>
        <v>USA</v>
      </c>
      <c r="I149" s="43" t="str">
        <f>VLOOKUP(A149,Customer_Dim!A:H,8,0)</f>
        <v>Platinum</v>
      </c>
    </row>
    <row r="150" spans="1:9" x14ac:dyDescent="0.3">
      <c r="A150" s="41" t="s">
        <v>499</v>
      </c>
      <c r="B150" s="42" t="str">
        <f>PROPER(Table3[[#This Row],[Name]])</f>
        <v>Theresa Campbell</v>
      </c>
      <c r="C150" s="43">
        <f>VLOOKUP(B150,Customer_Dim!B:C,2,0)</f>
        <v>42</v>
      </c>
      <c r="D150" s="43" t="str">
        <f t="shared" si="2"/>
        <v>Middle-Aged</v>
      </c>
      <c r="E150" s="43" t="str" cm="1">
        <f t="array" ref="E150:G150">_xlfn.XLOOKUP(A150,Table3[Customer_ID],Table3[[Gender]:[State]])</f>
        <v>Female</v>
      </c>
      <c r="F150" s="43" t="str">
        <v>New Brian</v>
      </c>
      <c r="G150" s="43" t="str">
        <v>Wisconsin</v>
      </c>
      <c r="H150" s="43" t="str">
        <f>IF(OR(Customer_Dim!G150="usa",G150="United States of America"),"USA")</f>
        <v>USA</v>
      </c>
      <c r="I150" s="43" t="str">
        <f>VLOOKUP(A150,Customer_Dim!A:H,8,0)</f>
        <v>Bronze</v>
      </c>
    </row>
    <row r="151" spans="1:9" x14ac:dyDescent="0.3">
      <c r="A151" s="41" t="s">
        <v>502</v>
      </c>
      <c r="B151" s="42" t="str">
        <f>PROPER(Table3[[#This Row],[Name]])</f>
        <v>Denise Griffin</v>
      </c>
      <c r="C151" s="43">
        <f>VLOOKUP(B151,Customer_Dim!B:C,2,0)</f>
        <v>33</v>
      </c>
      <c r="D151" s="43" t="str">
        <f t="shared" si="2"/>
        <v>Middle-Aged</v>
      </c>
      <c r="E151" s="43" t="str" cm="1">
        <f t="array" ref="E151:G151">_xlfn.XLOOKUP(A151,Table3[Customer_ID],Table3[[Gender]:[State]])</f>
        <v>Male</v>
      </c>
      <c r="F151" s="43" t="str">
        <v>West Markhaven</v>
      </c>
      <c r="G151" s="43" t="str">
        <v>Florida</v>
      </c>
      <c r="H151" s="43" t="str">
        <f>IF(OR(Customer_Dim!G151="usa",G151="United States of America"),"USA")</f>
        <v>USA</v>
      </c>
      <c r="I151" s="43" t="str">
        <f>VLOOKUP(A151,Customer_Dim!A:H,8,0)</f>
        <v>Platinum</v>
      </c>
    </row>
    <row r="152" spans="1:9" x14ac:dyDescent="0.3">
      <c r="A152" s="41" t="s">
        <v>505</v>
      </c>
      <c r="B152" s="42" t="str">
        <f>PROPER(Table3[[#This Row],[Name]])</f>
        <v>Stephanie Conway</v>
      </c>
      <c r="C152" s="43">
        <f>VLOOKUP(B152,Customer_Dim!B:C,2,0)</f>
        <v>24</v>
      </c>
      <c r="D152" s="43" t="str">
        <f t="shared" si="2"/>
        <v>Young</v>
      </c>
      <c r="E152" s="43" t="str" cm="1">
        <f t="array" ref="E152:G152">_xlfn.XLOOKUP(A152,Table3[Customer_ID],Table3[[Gender]:[State]])</f>
        <v>Male</v>
      </c>
      <c r="F152" s="43" t="str">
        <v>Port Frankmouth</v>
      </c>
      <c r="G152" s="43" t="str">
        <v>Mississippi</v>
      </c>
      <c r="H152" s="43" t="str">
        <f>IF(OR(Customer_Dim!G152="usa",G152="United States of America"),"USA")</f>
        <v>USA</v>
      </c>
      <c r="I152" s="43" t="str">
        <f>VLOOKUP(A152,Customer_Dim!A:H,8,0)</f>
        <v>Gold</v>
      </c>
    </row>
    <row r="153" spans="1:9" x14ac:dyDescent="0.3">
      <c r="A153" s="41" t="s">
        <v>508</v>
      </c>
      <c r="B153" s="42" t="str">
        <f>PROPER(Table3[[#This Row],[Name]])</f>
        <v>Michael Davies</v>
      </c>
      <c r="C153" s="43">
        <f>VLOOKUP(B153,Customer_Dim!B:C,2,0)</f>
        <v>25</v>
      </c>
      <c r="D153" s="43" t="str">
        <f t="shared" si="2"/>
        <v>Young</v>
      </c>
      <c r="E153" s="43" t="str" cm="1">
        <f t="array" ref="E153:G153">_xlfn.XLOOKUP(A153,Table3[Customer_ID],Table3[[Gender]:[State]])</f>
        <v>Female</v>
      </c>
      <c r="F153" s="43" t="str">
        <v>Lake Stevenfort</v>
      </c>
      <c r="G153" s="43" t="str">
        <v>Oregon</v>
      </c>
      <c r="H153" s="43" t="str">
        <f>IF(OR(Customer_Dim!G153="usa",G153="United States of America"),"USA")</f>
        <v>USA</v>
      </c>
      <c r="I153" s="43" t="str">
        <f>VLOOKUP(A153,Customer_Dim!A:H,8,0)</f>
        <v>Gold</v>
      </c>
    </row>
    <row r="154" spans="1:9" x14ac:dyDescent="0.3">
      <c r="A154" s="41" t="s">
        <v>511</v>
      </c>
      <c r="B154" s="42" t="str">
        <f>PROPER(Table3[[#This Row],[Name]])</f>
        <v>Patrick Roberts</v>
      </c>
      <c r="C154" s="43">
        <f>VLOOKUP(B154,Customer_Dim!B:C,2,0)</f>
        <v>41</v>
      </c>
      <c r="D154" s="43" t="str">
        <f t="shared" si="2"/>
        <v>Middle-Aged</v>
      </c>
      <c r="E154" s="43" t="str" cm="1">
        <f t="array" ref="E154:G154">_xlfn.XLOOKUP(A154,Table3[Customer_ID],Table3[[Gender]:[State]])</f>
        <v>Female</v>
      </c>
      <c r="F154" s="43" t="str">
        <v>Jaredville</v>
      </c>
      <c r="G154" s="43" t="str">
        <v>Missouri</v>
      </c>
      <c r="H154" s="43" t="str">
        <f>IF(OR(Customer_Dim!G154="usa",G154="United States of America"),"USA")</f>
        <v>USA</v>
      </c>
      <c r="I154" s="43" t="str">
        <f>VLOOKUP(A154,Customer_Dim!A:H,8,0)</f>
        <v>Platinum</v>
      </c>
    </row>
    <row r="155" spans="1:9" x14ac:dyDescent="0.3">
      <c r="A155" s="41" t="s">
        <v>514</v>
      </c>
      <c r="B155" s="42" t="str">
        <f>PROPER(Table3[[#This Row],[Name]])</f>
        <v>Joseph Faulkner</v>
      </c>
      <c r="C155" s="43">
        <f>VLOOKUP(B155,Customer_Dim!B:C,2,0)</f>
        <v>31</v>
      </c>
      <c r="D155" s="43" t="str">
        <f t="shared" si="2"/>
        <v>Middle-Aged</v>
      </c>
      <c r="E155" s="43" t="str" cm="1">
        <f t="array" ref="E155:G155">_xlfn.XLOOKUP(A155,Table3[Customer_ID],Table3[[Gender]:[State]])</f>
        <v>Male</v>
      </c>
      <c r="F155" s="43" t="str">
        <v>New Leahfurt</v>
      </c>
      <c r="G155" s="43" t="str">
        <v>North Dakota</v>
      </c>
      <c r="H155" s="43" t="str">
        <f>IF(OR(Customer_Dim!G155="usa",G155="United States of America"),"USA")</f>
        <v>USA</v>
      </c>
      <c r="I155" s="43" t="str">
        <f>VLOOKUP(A155,Customer_Dim!A:H,8,0)</f>
        <v>Bronze</v>
      </c>
    </row>
    <row r="156" spans="1:9" x14ac:dyDescent="0.3">
      <c r="A156" s="41" t="s">
        <v>517</v>
      </c>
      <c r="B156" s="42" t="str">
        <f>PROPER(Table3[[#This Row],[Name]])</f>
        <v>Julie Hale</v>
      </c>
      <c r="C156" s="43">
        <f>VLOOKUP(B156,Customer_Dim!B:C,2,0)</f>
        <v>35</v>
      </c>
      <c r="D156" s="43" t="str">
        <f t="shared" si="2"/>
        <v>Middle-Aged</v>
      </c>
      <c r="E156" s="43" t="str" cm="1">
        <f t="array" ref="E156:G156">_xlfn.XLOOKUP(A156,Table3[Customer_ID],Table3[[Gender]:[State]])</f>
        <v>Female</v>
      </c>
      <c r="F156" s="43" t="str">
        <v>Owensview</v>
      </c>
      <c r="G156" s="43" t="str">
        <v>Vermont</v>
      </c>
      <c r="H156" s="43" t="str">
        <f>IF(OR(Customer_Dim!G156="usa",G156="United States of America"),"USA")</f>
        <v>USA</v>
      </c>
      <c r="I156" s="43" t="str">
        <f>VLOOKUP(A156,Customer_Dim!A:H,8,0)</f>
        <v>Gold</v>
      </c>
    </row>
    <row r="157" spans="1:9" x14ac:dyDescent="0.3">
      <c r="A157" s="41" t="s">
        <v>520</v>
      </c>
      <c r="B157" s="42" t="str">
        <f>PROPER(Table3[[#This Row],[Name]])</f>
        <v>Curtis Haynes</v>
      </c>
      <c r="C157" s="43">
        <f>VLOOKUP(B157,Customer_Dim!B:C,2,0)</f>
        <v>60</v>
      </c>
      <c r="D157" s="43" t="str">
        <f t="shared" si="2"/>
        <v>Senior</v>
      </c>
      <c r="E157" s="43" t="str" cm="1">
        <f t="array" ref="E157:G157">_xlfn.XLOOKUP(A157,Table3[Customer_ID],Table3[[Gender]:[State]])</f>
        <v>Female</v>
      </c>
      <c r="F157" s="43" t="str">
        <v>Estradaside</v>
      </c>
      <c r="G157" s="43" t="str">
        <v>Iowa</v>
      </c>
      <c r="H157" s="43" t="str">
        <f>IF(OR(Customer_Dim!G157="usa",G157="United States of America"),"USA")</f>
        <v>USA</v>
      </c>
      <c r="I157" s="43" t="str">
        <f>VLOOKUP(A157,Customer_Dim!A:H,8,0)</f>
        <v>Gold</v>
      </c>
    </row>
    <row r="158" spans="1:9" x14ac:dyDescent="0.3">
      <c r="A158" s="41" t="s">
        <v>523</v>
      </c>
      <c r="B158" s="42" t="str">
        <f>PROPER(Table3[[#This Row],[Name]])</f>
        <v>Maria Sanchez</v>
      </c>
      <c r="C158" s="43">
        <f>VLOOKUP(B158,Customer_Dim!B:C,2,0)</f>
        <v>46</v>
      </c>
      <c r="D158" s="43" t="str">
        <f t="shared" si="2"/>
        <v>Middle-Aged</v>
      </c>
      <c r="E158" s="43" t="str" cm="1">
        <f t="array" ref="E158:G158">_xlfn.XLOOKUP(A158,Table3[Customer_ID],Table3[[Gender]:[State]])</f>
        <v>Male</v>
      </c>
      <c r="F158" s="43" t="str">
        <v>East Peterbury</v>
      </c>
      <c r="G158" s="43" t="str">
        <v>North Dakota</v>
      </c>
      <c r="H158" s="43" t="str">
        <f>IF(OR(Customer_Dim!G158="usa",G158="United States of America"),"USA")</f>
        <v>USA</v>
      </c>
      <c r="I158" s="43" t="str">
        <f>VLOOKUP(A158,Customer_Dim!A:H,8,0)</f>
        <v>Bronze</v>
      </c>
    </row>
    <row r="159" spans="1:9" x14ac:dyDescent="0.3">
      <c r="A159" s="41" t="s">
        <v>526</v>
      </c>
      <c r="B159" s="42" t="str">
        <f>PROPER(Table3[[#This Row],[Name]])</f>
        <v>Paul Zamora</v>
      </c>
      <c r="C159" s="43">
        <f>VLOOKUP(B159,Customer_Dim!B:C,2,0)</f>
        <v>59</v>
      </c>
      <c r="D159" s="43" t="str">
        <f t="shared" si="2"/>
        <v>Senior</v>
      </c>
      <c r="E159" s="43" t="str" cm="1">
        <f t="array" ref="E159:G159">_xlfn.XLOOKUP(A159,Table3[Customer_ID],Table3[[Gender]:[State]])</f>
        <v>Male</v>
      </c>
      <c r="F159" s="43" t="str">
        <v>North Larryfurt</v>
      </c>
      <c r="G159" s="43" t="str">
        <v>North Dakota</v>
      </c>
      <c r="H159" s="43" t="str">
        <f>IF(OR(Customer_Dim!G159="usa",G159="United States of America"),"USA")</f>
        <v>USA</v>
      </c>
      <c r="I159" s="43" t="str">
        <f>VLOOKUP(A159,Customer_Dim!A:H,8,0)</f>
        <v>Platinum</v>
      </c>
    </row>
    <row r="160" spans="1:9" x14ac:dyDescent="0.3">
      <c r="A160" s="41" t="s">
        <v>529</v>
      </c>
      <c r="B160" s="42" t="str">
        <f>PROPER(Table3[[#This Row],[Name]])</f>
        <v>Sean Powell</v>
      </c>
      <c r="C160" s="43">
        <f>VLOOKUP(B160,Customer_Dim!B:C,2,0)</f>
        <v>43</v>
      </c>
      <c r="D160" s="43" t="str">
        <f t="shared" si="2"/>
        <v>Middle-Aged</v>
      </c>
      <c r="E160" s="43" t="str" cm="1">
        <f t="array" ref="E160:G160">_xlfn.XLOOKUP(A160,Table3[Customer_ID],Table3[[Gender]:[State]])</f>
        <v>Male</v>
      </c>
      <c r="F160" s="43" t="str">
        <v>South Kevin</v>
      </c>
      <c r="G160" s="43" t="str">
        <v>Vermont</v>
      </c>
      <c r="H160" s="43" t="str">
        <f>IF(OR(Customer_Dim!G160="usa",G160="United States of America"),"USA")</f>
        <v>USA</v>
      </c>
      <c r="I160" s="43" t="str">
        <f>VLOOKUP(A160,Customer_Dim!A:H,8,0)</f>
        <v>Bronze</v>
      </c>
    </row>
    <row r="161" spans="1:9" x14ac:dyDescent="0.3">
      <c r="A161" s="41" t="s">
        <v>532</v>
      </c>
      <c r="B161" s="42" t="str">
        <f>PROPER(Table3[[#This Row],[Name]])</f>
        <v>Brian Choi</v>
      </c>
      <c r="C161" s="43">
        <f>VLOOKUP(B161,Customer_Dim!B:C,2,0)</f>
        <v>46</v>
      </c>
      <c r="D161" s="43" t="str">
        <f t="shared" si="2"/>
        <v>Middle-Aged</v>
      </c>
      <c r="E161" s="43" t="str" cm="1">
        <f t="array" ref="E161:G161">_xlfn.XLOOKUP(A161,Table3[Customer_ID],Table3[[Gender]:[State]])</f>
        <v>Female</v>
      </c>
      <c r="F161" s="43" t="str">
        <v>Floydton</v>
      </c>
      <c r="G161" s="43" t="str">
        <v>New Jersey</v>
      </c>
      <c r="H161" s="43" t="str">
        <f>IF(OR(Customer_Dim!G161="usa",G161="United States of America"),"USA")</f>
        <v>USA</v>
      </c>
      <c r="I161" s="43" t="str">
        <f>VLOOKUP(A161,Customer_Dim!A:H,8,0)</f>
        <v>Gold</v>
      </c>
    </row>
    <row r="162" spans="1:9" x14ac:dyDescent="0.3">
      <c r="A162" s="41" t="s">
        <v>535</v>
      </c>
      <c r="B162" s="42" t="str">
        <f>PROPER(Table3[[#This Row],[Name]])</f>
        <v>John Lawson</v>
      </c>
      <c r="C162" s="43">
        <f>VLOOKUP(B162,Customer_Dim!B:C,2,0)</f>
        <v>41</v>
      </c>
      <c r="D162" s="43" t="str">
        <f t="shared" si="2"/>
        <v>Middle-Aged</v>
      </c>
      <c r="E162" s="43" t="str" cm="1">
        <f t="array" ref="E162:G162">_xlfn.XLOOKUP(A162,Table3[Customer_ID],Table3[[Gender]:[State]])</f>
        <v>Female</v>
      </c>
      <c r="F162" s="43" t="str">
        <v>New Juliemouth</v>
      </c>
      <c r="G162" s="43" t="str">
        <v>North Carolina</v>
      </c>
      <c r="H162" s="43" t="str">
        <f>IF(OR(Customer_Dim!G162="usa",G162="United States of America"),"USA")</f>
        <v>USA</v>
      </c>
      <c r="I162" s="43" t="str">
        <f>VLOOKUP(A162,Customer_Dim!A:H,8,0)</f>
        <v>Platinum</v>
      </c>
    </row>
    <row r="163" spans="1:9" x14ac:dyDescent="0.3">
      <c r="A163" s="41" t="s">
        <v>538</v>
      </c>
      <c r="B163" s="42" t="str">
        <f>PROPER(Table3[[#This Row],[Name]])</f>
        <v>Cynthia Morris</v>
      </c>
      <c r="C163" s="43">
        <f>VLOOKUP(B163,Customer_Dim!B:C,2,0)</f>
        <v>18</v>
      </c>
      <c r="D163" s="43" t="str">
        <f t="shared" si="2"/>
        <v>Young</v>
      </c>
      <c r="E163" s="43" t="str" cm="1">
        <f t="array" ref="E163:G163">_xlfn.XLOOKUP(A163,Table3[Customer_ID],Table3[[Gender]:[State]])</f>
        <v>Female</v>
      </c>
      <c r="F163" s="43" t="str">
        <v>Hessmouth</v>
      </c>
      <c r="G163" s="43" t="str">
        <v>Arizona</v>
      </c>
      <c r="H163" s="43" t="str">
        <f>IF(OR(Customer_Dim!G163="usa",G163="United States of America"),"USA")</f>
        <v>USA</v>
      </c>
      <c r="I163" s="43" t="str">
        <f>VLOOKUP(A163,Customer_Dim!A:H,8,0)</f>
        <v>Silver</v>
      </c>
    </row>
    <row r="164" spans="1:9" x14ac:dyDescent="0.3">
      <c r="A164" s="41" t="s">
        <v>541</v>
      </c>
      <c r="B164" s="42" t="str">
        <f>PROPER(Table3[[#This Row],[Name]])</f>
        <v>Mariah Brown</v>
      </c>
      <c r="C164" s="43">
        <f>VLOOKUP(B164,Customer_Dim!B:C,2,0)</f>
        <v>37</v>
      </c>
      <c r="D164" s="43" t="str">
        <f t="shared" si="2"/>
        <v>Middle-Aged</v>
      </c>
      <c r="E164" s="43" t="str" cm="1">
        <f t="array" ref="E164:G164">_xlfn.XLOOKUP(A164,Table3[Customer_ID],Table3[[Gender]:[State]])</f>
        <v>Male</v>
      </c>
      <c r="F164" s="43" t="str">
        <v>Palmerbury</v>
      </c>
      <c r="G164" s="43" t="str">
        <v>Tennessee</v>
      </c>
      <c r="H164" s="43" t="b">
        <f>IF(OR(Customer_Dim!G164="usa",G164="United States of America"),"USA")</f>
        <v>0</v>
      </c>
      <c r="I164" s="43" t="str">
        <f>VLOOKUP(A164,Customer_Dim!A:H,8,0)</f>
        <v>Silver</v>
      </c>
    </row>
    <row r="165" spans="1:9" x14ac:dyDescent="0.3">
      <c r="A165" s="41" t="s">
        <v>544</v>
      </c>
      <c r="B165" s="42" t="str">
        <f>PROPER(Table3[[#This Row],[Name]])</f>
        <v>Joseph Jones</v>
      </c>
      <c r="C165" s="43">
        <f>VLOOKUP(B165,Customer_Dim!B:C,2,0)</f>
        <v>21</v>
      </c>
      <c r="D165" s="43" t="str">
        <f t="shared" si="2"/>
        <v>Young</v>
      </c>
      <c r="E165" s="43" t="str" cm="1">
        <f t="array" ref="E165:G165">_xlfn.XLOOKUP(A165,Table3[Customer_ID],Table3[[Gender]:[State]])</f>
        <v>Male</v>
      </c>
      <c r="F165" s="43" t="str">
        <v>North Matthew</v>
      </c>
      <c r="G165" s="43" t="str">
        <v>Illinois</v>
      </c>
      <c r="H165" s="43" t="str">
        <f>IF(OR(Customer_Dim!G165="usa",G165="United States of America"),"USA")</f>
        <v>USA</v>
      </c>
      <c r="I165" s="43" t="str">
        <f>VLOOKUP(A165,Customer_Dim!A:H,8,0)</f>
        <v>Bronze</v>
      </c>
    </row>
    <row r="166" spans="1:9" x14ac:dyDescent="0.3">
      <c r="A166" s="41" t="s">
        <v>547</v>
      </c>
      <c r="B166" s="42" t="str">
        <f>PROPER(Table3[[#This Row],[Name]])</f>
        <v>Daniel Rivas</v>
      </c>
      <c r="C166" s="43">
        <f>VLOOKUP(B166,Customer_Dim!B:C,2,0)</f>
        <v>39</v>
      </c>
      <c r="D166" s="43" t="str">
        <f t="shared" si="2"/>
        <v>Middle-Aged</v>
      </c>
      <c r="E166" s="43" t="str" cm="1">
        <f t="array" ref="E166:G166">_xlfn.XLOOKUP(A166,Table3[Customer_ID],Table3[[Gender]:[State]])</f>
        <v>Female</v>
      </c>
      <c r="F166" s="43" t="str">
        <v>Dominiquefort</v>
      </c>
      <c r="G166" s="43" t="str">
        <v>Georgia</v>
      </c>
      <c r="H166" s="43" t="str">
        <f>IF(OR(Customer_Dim!G166="usa",G166="United States of America"),"USA")</f>
        <v>USA</v>
      </c>
      <c r="I166" s="43" t="str">
        <f>VLOOKUP(A166,Customer_Dim!A:H,8,0)</f>
        <v>Silver</v>
      </c>
    </row>
    <row r="167" spans="1:9" x14ac:dyDescent="0.3">
      <c r="A167" s="41" t="s">
        <v>550</v>
      </c>
      <c r="B167" s="42" t="str">
        <f>PROPER(Table3[[#This Row],[Name]])</f>
        <v>Jason Wheeler</v>
      </c>
      <c r="C167" s="43">
        <f>VLOOKUP(B167,Customer_Dim!B:C,2,0)</f>
        <v>47</v>
      </c>
      <c r="D167" s="43" t="str">
        <f t="shared" si="2"/>
        <v>Middle-Aged</v>
      </c>
      <c r="E167" s="43" t="str" cm="1">
        <f t="array" ref="E167:G167">_xlfn.XLOOKUP(A167,Table3[Customer_ID],Table3[[Gender]:[State]])</f>
        <v>Female</v>
      </c>
      <c r="F167" s="43" t="str">
        <v>Carolview</v>
      </c>
      <c r="G167" s="43" t="str">
        <v>Illinois</v>
      </c>
      <c r="H167" s="43" t="str">
        <f>IF(OR(Customer_Dim!G167="usa",G167="United States of America"),"USA")</f>
        <v>USA</v>
      </c>
      <c r="I167" s="43" t="str">
        <f>VLOOKUP(A167,Customer_Dim!A:H,8,0)</f>
        <v>Platinum</v>
      </c>
    </row>
    <row r="168" spans="1:9" x14ac:dyDescent="0.3">
      <c r="A168" s="41" t="s">
        <v>553</v>
      </c>
      <c r="B168" s="42" t="str">
        <f>PROPER(Table3[[#This Row],[Name]])</f>
        <v>Patricia Gardner</v>
      </c>
      <c r="C168" s="43">
        <f>VLOOKUP(B168,Customer_Dim!B:C,2,0)</f>
        <v>25</v>
      </c>
      <c r="D168" s="43" t="str">
        <f t="shared" si="2"/>
        <v>Young</v>
      </c>
      <c r="E168" s="43" t="str" cm="1">
        <f t="array" ref="E168:G168">_xlfn.XLOOKUP(A168,Table3[Customer_ID],Table3[[Gender]:[State]])</f>
        <v>Female</v>
      </c>
      <c r="F168" s="43" t="str">
        <v>South Ashleyton</v>
      </c>
      <c r="G168" s="43" t="str">
        <v>Michigan</v>
      </c>
      <c r="H168" s="43" t="str">
        <f>IF(OR(Customer_Dim!G168="usa",G168="United States of America"),"USA")</f>
        <v>USA</v>
      </c>
      <c r="I168" s="43" t="str">
        <f>VLOOKUP(A168,Customer_Dim!A:H,8,0)</f>
        <v>Silver</v>
      </c>
    </row>
    <row r="169" spans="1:9" x14ac:dyDescent="0.3">
      <c r="A169" s="41" t="s">
        <v>556</v>
      </c>
      <c r="B169" s="42" t="str">
        <f>PROPER(Table3[[#This Row],[Name]])</f>
        <v>Antonio Wade</v>
      </c>
      <c r="C169" s="43">
        <f>VLOOKUP(B169,Customer_Dim!B:C,2,0)</f>
        <v>36</v>
      </c>
      <c r="D169" s="43" t="str">
        <f t="shared" si="2"/>
        <v>Middle-Aged</v>
      </c>
      <c r="E169" s="43" t="str" cm="1">
        <f t="array" ref="E169:G169">_xlfn.XLOOKUP(A169,Table3[Customer_ID],Table3[[Gender]:[State]])</f>
        <v>Female</v>
      </c>
      <c r="F169" s="43" t="str">
        <v>New Jasonmouth</v>
      </c>
      <c r="G169" s="43" t="str">
        <v>Tennessee</v>
      </c>
      <c r="H169" s="43" t="str">
        <f>IF(OR(Customer_Dim!G169="usa",G169="United States of America"),"USA")</f>
        <v>USA</v>
      </c>
      <c r="I169" s="43" t="str">
        <f>VLOOKUP(A169,Customer_Dim!A:H,8,0)</f>
        <v>Gold</v>
      </c>
    </row>
    <row r="170" spans="1:9" x14ac:dyDescent="0.3">
      <c r="A170" s="41" t="s">
        <v>559</v>
      </c>
      <c r="B170" s="42" t="str">
        <f>PROPER(Table3[[#This Row],[Name]])</f>
        <v>Daniel Contreras</v>
      </c>
      <c r="C170" s="43">
        <f>VLOOKUP(B170,Customer_Dim!B:C,2,0)</f>
        <v>36</v>
      </c>
      <c r="D170" s="43" t="str">
        <f t="shared" si="2"/>
        <v>Middle-Aged</v>
      </c>
      <c r="E170" s="43" t="str" cm="1">
        <f t="array" ref="E170:G170">_xlfn.XLOOKUP(A170,Table3[Customer_ID],Table3[[Gender]:[State]])</f>
        <v>Female</v>
      </c>
      <c r="F170" s="43" t="str">
        <v>Robertview</v>
      </c>
      <c r="G170" s="43" t="str">
        <v>Florida</v>
      </c>
      <c r="H170" s="43" t="str">
        <f>IF(OR(Customer_Dim!G170="usa",G170="United States of America"),"USA")</f>
        <v>USA</v>
      </c>
      <c r="I170" s="43" t="str">
        <f>VLOOKUP(A170,Customer_Dim!A:H,8,0)</f>
        <v>Platinum</v>
      </c>
    </row>
    <row r="171" spans="1:9" x14ac:dyDescent="0.3">
      <c r="A171" s="41" t="s">
        <v>562</v>
      </c>
      <c r="B171" s="42" t="str">
        <f>PROPER(Table3[[#This Row],[Name]])</f>
        <v>Steve Mclaughlin</v>
      </c>
      <c r="C171" s="43">
        <f>VLOOKUP(B171,Customer_Dim!B:C,2,0)</f>
        <v>64</v>
      </c>
      <c r="D171" s="43" t="str">
        <f t="shared" si="2"/>
        <v>Senior</v>
      </c>
      <c r="E171" s="43" t="str" cm="1">
        <f t="array" ref="E171:G171">_xlfn.XLOOKUP(A171,Table3[Customer_ID],Table3[[Gender]:[State]])</f>
        <v>Male</v>
      </c>
      <c r="F171" s="43" t="str">
        <v>Josephmouth</v>
      </c>
      <c r="G171" s="43" t="str">
        <v>New Hampshire</v>
      </c>
      <c r="H171" s="43" t="str">
        <f>IF(OR(Customer_Dim!G171="usa",G171="United States of America"),"USA")</f>
        <v>USA</v>
      </c>
      <c r="I171" s="43" t="str">
        <f>VLOOKUP(A171,Customer_Dim!A:H,8,0)</f>
        <v>Bronze</v>
      </c>
    </row>
    <row r="172" spans="1:9" x14ac:dyDescent="0.3">
      <c r="A172" s="41" t="s">
        <v>565</v>
      </c>
      <c r="B172" s="42" t="str">
        <f>PROPER(Table3[[#This Row],[Name]])</f>
        <v>Christopher Garcia Dds</v>
      </c>
      <c r="C172" s="43">
        <f>VLOOKUP(B172,Customer_Dim!B:C,2,0)</f>
        <v>18</v>
      </c>
      <c r="D172" s="43" t="str">
        <f t="shared" si="2"/>
        <v>Young</v>
      </c>
      <c r="E172" s="43" t="str" cm="1">
        <f t="array" ref="E172:G172">_xlfn.XLOOKUP(A172,Table3[Customer_ID],Table3[[Gender]:[State]])</f>
        <v>Male</v>
      </c>
      <c r="F172" s="43" t="str">
        <v>New Joseph</v>
      </c>
      <c r="G172" s="43" t="str">
        <v>Missouri</v>
      </c>
      <c r="H172" s="43" t="str">
        <f>IF(OR(Customer_Dim!G172="usa",G172="United States of America"),"USA")</f>
        <v>USA</v>
      </c>
      <c r="I172" s="43" t="str">
        <f>VLOOKUP(A172,Customer_Dim!A:H,8,0)</f>
        <v>Gold</v>
      </c>
    </row>
    <row r="173" spans="1:9" x14ac:dyDescent="0.3">
      <c r="A173" s="41" t="s">
        <v>568</v>
      </c>
      <c r="B173" s="42" t="str">
        <f>PROPER(Table3[[#This Row],[Name]])</f>
        <v>Amy Wilson</v>
      </c>
      <c r="C173" s="43">
        <f>VLOOKUP(B173,Customer_Dim!B:C,2,0)</f>
        <v>44</v>
      </c>
      <c r="D173" s="43" t="str">
        <f t="shared" si="2"/>
        <v>Middle-Aged</v>
      </c>
      <c r="E173" s="43" t="str" cm="1">
        <f t="array" ref="E173:G173">_xlfn.XLOOKUP(A173,Table3[Customer_ID],Table3[[Gender]:[State]])</f>
        <v>Female</v>
      </c>
      <c r="F173" s="43" t="str">
        <v>Morrisburgh</v>
      </c>
      <c r="G173" s="43" t="str">
        <v>Indiana</v>
      </c>
      <c r="H173" s="43" t="str">
        <f>IF(OR(Customer_Dim!G173="usa",G173="United States of America"),"USA")</f>
        <v>USA</v>
      </c>
      <c r="I173" s="43" t="str">
        <f>VLOOKUP(A173,Customer_Dim!A:H,8,0)</f>
        <v>Platinum</v>
      </c>
    </row>
    <row r="174" spans="1:9" x14ac:dyDescent="0.3">
      <c r="A174" s="41" t="s">
        <v>571</v>
      </c>
      <c r="B174" s="42" t="str">
        <f>PROPER(Table3[[#This Row],[Name]])</f>
        <v>Thomas Rhodes</v>
      </c>
      <c r="C174" s="43">
        <f>VLOOKUP(B174,Customer_Dim!B:C,2,0)</f>
        <v>41</v>
      </c>
      <c r="D174" s="43" t="str">
        <f t="shared" si="2"/>
        <v>Middle-Aged</v>
      </c>
      <c r="E174" s="43" t="str" cm="1">
        <f t="array" ref="E174:G174">_xlfn.XLOOKUP(A174,Table3[Customer_ID],Table3[[Gender]:[State]])</f>
        <v>Female</v>
      </c>
      <c r="F174" s="43" t="str">
        <v>Port Richard</v>
      </c>
      <c r="G174" s="43" t="str">
        <v>West Virginia</v>
      </c>
      <c r="H174" s="43" t="str">
        <f>IF(OR(Customer_Dim!G174="usa",G174="United States of America"),"USA")</f>
        <v>USA</v>
      </c>
      <c r="I174" s="43" t="str">
        <f>VLOOKUP(A174,Customer_Dim!A:H,8,0)</f>
        <v>Bronze</v>
      </c>
    </row>
    <row r="175" spans="1:9" x14ac:dyDescent="0.3">
      <c r="A175" s="41" t="s">
        <v>574</v>
      </c>
      <c r="B175" s="42" t="str">
        <f>PROPER(Table3[[#This Row],[Name]])</f>
        <v>Teresa Stokes</v>
      </c>
      <c r="C175" s="43">
        <f>VLOOKUP(B175,Customer_Dim!B:C,2,0)</f>
        <v>41</v>
      </c>
      <c r="D175" s="43" t="str">
        <f t="shared" si="2"/>
        <v>Middle-Aged</v>
      </c>
      <c r="E175" s="43" t="str" cm="1">
        <f t="array" ref="E175:G175">_xlfn.XLOOKUP(A175,Table3[Customer_ID],Table3[[Gender]:[State]])</f>
        <v>Female</v>
      </c>
      <c r="F175" s="43" t="str">
        <v>New William</v>
      </c>
      <c r="G175" s="43" t="str">
        <v>Iowa</v>
      </c>
      <c r="H175" s="43" t="str">
        <f>IF(OR(Customer_Dim!G175="usa",G175="United States of America"),"USA")</f>
        <v>USA</v>
      </c>
      <c r="I175" s="43" t="str">
        <f>VLOOKUP(A175,Customer_Dim!A:H,8,0)</f>
        <v>Platinum</v>
      </c>
    </row>
    <row r="176" spans="1:9" x14ac:dyDescent="0.3">
      <c r="A176" s="41" t="s">
        <v>576</v>
      </c>
      <c r="B176" s="42" t="str">
        <f>PROPER(Table3[[#This Row],[Name]])</f>
        <v>Maria Davis</v>
      </c>
      <c r="C176" s="43">
        <f>VLOOKUP(B176,Customer_Dim!B:C,2,0)</f>
        <v>26</v>
      </c>
      <c r="D176" s="43" t="str">
        <f t="shared" si="2"/>
        <v>Young</v>
      </c>
      <c r="E176" s="43" t="str" cm="1">
        <f t="array" ref="E176:G176">_xlfn.XLOOKUP(A176,Table3[Customer_ID],Table3[[Gender]:[State]])</f>
        <v>Female</v>
      </c>
      <c r="F176" s="43" t="str">
        <v>Avilahaven</v>
      </c>
      <c r="G176" s="43" t="str">
        <v>Vermont</v>
      </c>
      <c r="H176" s="43" t="str">
        <f>IF(OR(Customer_Dim!G176="usa",G176="United States of America"),"USA")</f>
        <v>USA</v>
      </c>
      <c r="I176" s="43" t="str">
        <f>VLOOKUP(A176,Customer_Dim!A:H,8,0)</f>
        <v>Gold</v>
      </c>
    </row>
    <row r="177" spans="1:9" x14ac:dyDescent="0.3">
      <c r="A177" s="41" t="s">
        <v>579</v>
      </c>
      <c r="B177" s="42" t="str">
        <f>PROPER(Table3[[#This Row],[Name]])</f>
        <v>Michelle Rogers</v>
      </c>
      <c r="C177" s="43">
        <f>VLOOKUP(B177,Customer_Dim!B:C,2,0)</f>
        <v>56</v>
      </c>
      <c r="D177" s="43" t="str">
        <f t="shared" si="2"/>
        <v>Senior</v>
      </c>
      <c r="E177" s="43" t="str" cm="1">
        <f t="array" ref="E177:G177">_xlfn.XLOOKUP(A177,Table3[Customer_ID],Table3[[Gender]:[State]])</f>
        <v>Male</v>
      </c>
      <c r="F177" s="43" t="str">
        <v>East Jessicaborough</v>
      </c>
      <c r="G177" s="43" t="str">
        <v>Hawaii</v>
      </c>
      <c r="H177" s="43" t="str">
        <f>IF(OR(Customer_Dim!G177="usa",G177="United States of America"),"USA")</f>
        <v>USA</v>
      </c>
      <c r="I177" s="43" t="str">
        <f>VLOOKUP(A177,Customer_Dim!A:H,8,0)</f>
        <v>Platinum</v>
      </c>
    </row>
    <row r="178" spans="1:9" x14ac:dyDescent="0.3">
      <c r="A178" s="41" t="s">
        <v>582</v>
      </c>
      <c r="B178" s="42" t="str">
        <f>PROPER(Table3[[#This Row],[Name]])</f>
        <v>John Bradford</v>
      </c>
      <c r="C178" s="43">
        <f>VLOOKUP(B178,Customer_Dim!B:C,2,0)</f>
        <v>48</v>
      </c>
      <c r="D178" s="43" t="str">
        <f t="shared" si="2"/>
        <v>Middle-Aged</v>
      </c>
      <c r="E178" s="43" t="str" cm="1">
        <f t="array" ref="E178:G178">_xlfn.XLOOKUP(A178,Table3[Customer_ID],Table3[[Gender]:[State]])</f>
        <v>Male</v>
      </c>
      <c r="F178" s="43" t="str">
        <v>Anabury</v>
      </c>
      <c r="G178" s="43" t="str">
        <v>Vermont</v>
      </c>
      <c r="H178" s="43" t="str">
        <f>IF(OR(Customer_Dim!G178="usa",G178="United States of America"),"USA")</f>
        <v>USA</v>
      </c>
      <c r="I178" s="43" t="str">
        <f>VLOOKUP(A178,Customer_Dim!A:H,8,0)</f>
        <v>Silver</v>
      </c>
    </row>
    <row r="179" spans="1:9" x14ac:dyDescent="0.3">
      <c r="A179" s="41" t="s">
        <v>585</v>
      </c>
      <c r="B179" s="42" t="str">
        <f>PROPER(Table3[[#This Row],[Name]])</f>
        <v>Curtis Lam</v>
      </c>
      <c r="C179" s="43">
        <f>VLOOKUP(B179,Customer_Dim!B:C,2,0)</f>
        <v>55</v>
      </c>
      <c r="D179" s="43" t="str">
        <f t="shared" si="2"/>
        <v>Senior</v>
      </c>
      <c r="E179" s="43" t="str" cm="1">
        <f t="array" ref="E179:G179">_xlfn.XLOOKUP(A179,Table3[Customer_ID],Table3[[Gender]:[State]])</f>
        <v>Male</v>
      </c>
      <c r="F179" s="43" t="str">
        <v>Butlerberg</v>
      </c>
      <c r="G179" s="43" t="str">
        <v>Kentucky</v>
      </c>
      <c r="H179" s="43" t="str">
        <f>IF(OR(Customer_Dim!G179="usa",G179="United States of America"),"USA")</f>
        <v>USA</v>
      </c>
      <c r="I179" s="43" t="str">
        <f>VLOOKUP(A179,Customer_Dim!A:H,8,0)</f>
        <v>Platinum</v>
      </c>
    </row>
    <row r="180" spans="1:9" x14ac:dyDescent="0.3">
      <c r="A180" s="41" t="s">
        <v>589</v>
      </c>
      <c r="B180" s="42" t="str">
        <f>PROPER(Table3[[#This Row],[Name]])</f>
        <v>Michelle Myers</v>
      </c>
      <c r="C180" s="43">
        <f>VLOOKUP(B180,Customer_Dim!B:C,2,0)</f>
        <v>33</v>
      </c>
      <c r="D180" s="43" t="str">
        <f t="shared" si="2"/>
        <v>Middle-Aged</v>
      </c>
      <c r="E180" s="43" t="str" cm="1">
        <f t="array" ref="E180:G180">_xlfn.XLOOKUP(A180,Table3[Customer_ID],Table3[[Gender]:[State]])</f>
        <v>Female</v>
      </c>
      <c r="F180" s="43" t="str">
        <v>West Daniel</v>
      </c>
      <c r="G180" s="43" t="str">
        <v>South Carolina</v>
      </c>
      <c r="H180" s="43" t="str">
        <f>IF(OR(Customer_Dim!G180="usa",G180="United States of America"),"USA")</f>
        <v>USA</v>
      </c>
      <c r="I180" s="43" t="str">
        <f>VLOOKUP(A180,Customer_Dim!A:H,8,0)</f>
        <v>Bronze</v>
      </c>
    </row>
    <row r="181" spans="1:9" x14ac:dyDescent="0.3">
      <c r="A181" s="41" t="s">
        <v>592</v>
      </c>
      <c r="B181" s="42" t="str">
        <f>PROPER(Table3[[#This Row],[Name]])</f>
        <v>Nicholas Bradshaw</v>
      </c>
      <c r="C181" s="43">
        <f>VLOOKUP(B181,Customer_Dim!B:C,2,0)</f>
        <v>43</v>
      </c>
      <c r="D181" s="43" t="str">
        <f t="shared" si="2"/>
        <v>Middle-Aged</v>
      </c>
      <c r="E181" s="43" t="str" cm="1">
        <f t="array" ref="E181:G181">_xlfn.XLOOKUP(A181,Table3[Customer_ID],Table3[[Gender]:[State]])</f>
        <v>Female</v>
      </c>
      <c r="F181" s="43" t="str">
        <v>Murphyfurt</v>
      </c>
      <c r="G181" s="43" t="str">
        <v>Utah</v>
      </c>
      <c r="H181" s="43" t="str">
        <f>IF(OR(Customer_Dim!G181="usa",G181="United States of America"),"USA")</f>
        <v>USA</v>
      </c>
      <c r="I181" s="43" t="str">
        <f>VLOOKUP(A181,Customer_Dim!A:H,8,0)</f>
        <v>Silver</v>
      </c>
    </row>
    <row r="182" spans="1:9" x14ac:dyDescent="0.3">
      <c r="A182" s="41" t="s">
        <v>595</v>
      </c>
      <c r="B182" s="42" t="str">
        <f>PROPER(Table3[[#This Row],[Name]])</f>
        <v>Wesley Thompson</v>
      </c>
      <c r="C182" s="43">
        <f>VLOOKUP(B182,Customer_Dim!B:C,2,0)</f>
        <v>38</v>
      </c>
      <c r="D182" s="43" t="str">
        <f t="shared" si="2"/>
        <v>Middle-Aged</v>
      </c>
      <c r="E182" s="43" t="str" cm="1">
        <f t="array" ref="E182:G182">_xlfn.XLOOKUP(A182,Table3[Customer_ID],Table3[[Gender]:[State]])</f>
        <v>Male</v>
      </c>
      <c r="F182" s="43" t="str">
        <v>East Davidmouth</v>
      </c>
      <c r="G182" s="43" t="str">
        <v>Maine</v>
      </c>
      <c r="H182" s="43" t="str">
        <f>IF(OR(Customer_Dim!G182="usa",G182="United States of America"),"USA")</f>
        <v>USA</v>
      </c>
      <c r="I182" s="43" t="str">
        <f>VLOOKUP(A182,Customer_Dim!A:H,8,0)</f>
        <v>Bronze</v>
      </c>
    </row>
    <row r="183" spans="1:9" x14ac:dyDescent="0.3">
      <c r="A183" s="41" t="s">
        <v>598</v>
      </c>
      <c r="B183" s="42" t="str">
        <f>PROPER(Table3[[#This Row],[Name]])</f>
        <v>Erin Ward</v>
      </c>
      <c r="C183" s="43">
        <f>VLOOKUP(B183,Customer_Dim!B:C,2,0)</f>
        <v>60</v>
      </c>
      <c r="D183" s="43" t="str">
        <f t="shared" si="2"/>
        <v>Senior</v>
      </c>
      <c r="E183" s="43" t="str" cm="1">
        <f t="array" ref="E183:G183">_xlfn.XLOOKUP(A183,Table3[Customer_ID],Table3[[Gender]:[State]])</f>
        <v>Male</v>
      </c>
      <c r="F183" s="43" t="str">
        <v>New Brianchester</v>
      </c>
      <c r="G183" s="43" t="str">
        <v>New York</v>
      </c>
      <c r="H183" s="43" t="str">
        <f>IF(OR(Customer_Dim!G183="usa",G183="United States of America"),"USA")</f>
        <v>USA</v>
      </c>
      <c r="I183" s="43" t="str">
        <f>VLOOKUP(A183,Customer_Dim!A:H,8,0)</f>
        <v>Bronze</v>
      </c>
    </row>
    <row r="184" spans="1:9" x14ac:dyDescent="0.3">
      <c r="A184" s="41" t="s">
        <v>601</v>
      </c>
      <c r="B184" s="42" t="str">
        <f>PROPER(Table3[[#This Row],[Name]])</f>
        <v>Melissa Hamilton</v>
      </c>
      <c r="C184" s="43">
        <f>VLOOKUP(B184,Customer_Dim!B:C,2,0)</f>
        <v>23</v>
      </c>
      <c r="D184" s="43" t="str">
        <f t="shared" si="2"/>
        <v>Young</v>
      </c>
      <c r="E184" s="43" t="str" cm="1">
        <f t="array" ref="E184:G184">_xlfn.XLOOKUP(A184,Table3[Customer_ID],Table3[[Gender]:[State]])</f>
        <v>Female</v>
      </c>
      <c r="F184" s="43" t="str">
        <v>Hutchinsonville</v>
      </c>
      <c r="G184" s="43" t="str">
        <v>Oklahoma</v>
      </c>
      <c r="H184" s="43" t="str">
        <f>IF(OR(Customer_Dim!G184="usa",G184="United States of America"),"USA")</f>
        <v>USA</v>
      </c>
      <c r="I184" s="43" t="str">
        <f>VLOOKUP(A184,Customer_Dim!A:H,8,0)</f>
        <v>Silver</v>
      </c>
    </row>
    <row r="185" spans="1:9" x14ac:dyDescent="0.3">
      <c r="A185" s="41" t="s">
        <v>604</v>
      </c>
      <c r="B185" s="42" t="str">
        <f>PROPER(Table3[[#This Row],[Name]])</f>
        <v>Mario Jacobs</v>
      </c>
      <c r="C185" s="43">
        <f>VLOOKUP(B185,Customer_Dim!B:C,2,0)</f>
        <v>18</v>
      </c>
      <c r="D185" s="43" t="str">
        <f t="shared" si="2"/>
        <v>Young</v>
      </c>
      <c r="E185" s="43" t="str" cm="1">
        <f t="array" ref="E185:G185">_xlfn.XLOOKUP(A185,Table3[Customer_ID],Table3[[Gender]:[State]])</f>
        <v>Male</v>
      </c>
      <c r="F185" s="43" t="str">
        <v>Port James</v>
      </c>
      <c r="G185" s="43" t="str">
        <v>New York</v>
      </c>
      <c r="H185" s="43" t="str">
        <f>IF(OR(Customer_Dim!G185="usa",G185="United States of America"),"USA")</f>
        <v>USA</v>
      </c>
      <c r="I185" s="43" t="str">
        <f>VLOOKUP(A185,Customer_Dim!A:H,8,0)</f>
        <v>Platinum</v>
      </c>
    </row>
    <row r="186" spans="1:9" x14ac:dyDescent="0.3">
      <c r="A186" s="41" t="s">
        <v>607</v>
      </c>
      <c r="B186" s="42" t="str">
        <f>PROPER(Table3[[#This Row],[Name]])</f>
        <v>Leonard Cochran</v>
      </c>
      <c r="C186" s="43">
        <f>VLOOKUP(B186,Customer_Dim!B:C,2,0)</f>
        <v>46</v>
      </c>
      <c r="D186" s="43" t="str">
        <f t="shared" si="2"/>
        <v>Middle-Aged</v>
      </c>
      <c r="E186" s="43" t="str" cm="1">
        <f t="array" ref="E186:G186">_xlfn.XLOOKUP(A186,Table3[Customer_ID],Table3[[Gender]:[State]])</f>
        <v>Female</v>
      </c>
      <c r="F186" s="43" t="str">
        <v>Port Sherryview</v>
      </c>
      <c r="G186" s="43" t="str">
        <v>North Dakota</v>
      </c>
      <c r="H186" s="43" t="str">
        <f>IF(OR(Customer_Dim!G186="usa",G186="United States of America"),"USA")</f>
        <v>USA</v>
      </c>
      <c r="I186" s="43" t="str">
        <f>VLOOKUP(A186,Customer_Dim!A:H,8,0)</f>
        <v>Silver</v>
      </c>
    </row>
    <row r="187" spans="1:9" x14ac:dyDescent="0.3">
      <c r="A187" s="41" t="s">
        <v>610</v>
      </c>
      <c r="B187" s="42" t="str">
        <f>PROPER(Table3[[#This Row],[Name]])</f>
        <v>Brent Rivas</v>
      </c>
      <c r="C187" s="43">
        <f>VLOOKUP(B187,Customer_Dim!B:C,2,0)</f>
        <v>54</v>
      </c>
      <c r="D187" s="43" t="str">
        <f t="shared" si="2"/>
        <v>Senior</v>
      </c>
      <c r="E187" s="43" t="str" cm="1">
        <f t="array" ref="E187:G187">_xlfn.XLOOKUP(A187,Table3[Customer_ID],Table3[[Gender]:[State]])</f>
        <v>Female</v>
      </c>
      <c r="F187" s="43" t="str">
        <v>North Kellyberg</v>
      </c>
      <c r="G187" s="43" t="str">
        <v>New Jersey</v>
      </c>
      <c r="H187" s="43" t="str">
        <f>IF(OR(Customer_Dim!G187="usa",G187="United States of America"),"USA")</f>
        <v>USA</v>
      </c>
      <c r="I187" s="43" t="str">
        <f>VLOOKUP(A187,Customer_Dim!A:H,8,0)</f>
        <v>Platinum</v>
      </c>
    </row>
    <row r="188" spans="1:9" x14ac:dyDescent="0.3">
      <c r="A188" s="41" t="s">
        <v>613</v>
      </c>
      <c r="B188" s="42" t="str">
        <f>PROPER(Table3[[#This Row],[Name]])</f>
        <v>Jennifer Pruitt</v>
      </c>
      <c r="C188" s="43">
        <f>VLOOKUP(B188,Customer_Dim!B:C,2,0)</f>
        <v>53</v>
      </c>
      <c r="D188" s="43" t="str">
        <f t="shared" si="2"/>
        <v>Senior</v>
      </c>
      <c r="E188" s="43" t="str" cm="1">
        <f t="array" ref="E188:G188">_xlfn.XLOOKUP(A188,Table3[Customer_ID],Table3[[Gender]:[State]])</f>
        <v>Male</v>
      </c>
      <c r="F188" s="43" t="str">
        <v>East Justin</v>
      </c>
      <c r="G188" s="43" t="str">
        <v>Missouri</v>
      </c>
      <c r="H188" s="43" t="str">
        <f>IF(OR(Customer_Dim!G188="usa",G188="United States of America"),"USA")</f>
        <v>USA</v>
      </c>
      <c r="I188" s="43" t="str">
        <f>VLOOKUP(A188,Customer_Dim!A:H,8,0)</f>
        <v>Silver</v>
      </c>
    </row>
    <row r="189" spans="1:9" x14ac:dyDescent="0.3">
      <c r="A189" s="41" t="s">
        <v>616</v>
      </c>
      <c r="B189" s="42" t="str">
        <f>PROPER(Table3[[#This Row],[Name]])</f>
        <v>Dr. Suzanne Bullock</v>
      </c>
      <c r="C189" s="43">
        <f>VLOOKUP(B189,Customer_Dim!B:C,2,0)</f>
        <v>60</v>
      </c>
      <c r="D189" s="43" t="str">
        <f t="shared" si="2"/>
        <v>Senior</v>
      </c>
      <c r="E189" s="43" t="str" cm="1">
        <f t="array" ref="E189:G189">_xlfn.XLOOKUP(A189,Table3[Customer_ID],Table3[[Gender]:[State]])</f>
        <v>Female</v>
      </c>
      <c r="F189" s="43" t="str">
        <v>Lake Blaketon</v>
      </c>
      <c r="G189" s="43" t="str">
        <v>Alabama</v>
      </c>
      <c r="H189" s="43" t="str">
        <f>IF(OR(Customer_Dim!G189="usa",G189="United States of America"),"USA")</f>
        <v>USA</v>
      </c>
      <c r="I189" s="43" t="str">
        <f>VLOOKUP(A189,Customer_Dim!A:H,8,0)</f>
        <v>Platinum</v>
      </c>
    </row>
    <row r="190" spans="1:9" x14ac:dyDescent="0.3">
      <c r="A190" s="41" t="s">
        <v>619</v>
      </c>
      <c r="B190" s="42" t="str">
        <f>PROPER(Table3[[#This Row],[Name]])</f>
        <v>Kimberly Brooks</v>
      </c>
      <c r="C190" s="43">
        <f>VLOOKUP(B190,Customer_Dim!B:C,2,0)</f>
        <v>42</v>
      </c>
      <c r="D190" s="43" t="str">
        <f t="shared" si="2"/>
        <v>Middle-Aged</v>
      </c>
      <c r="E190" s="43" t="str" cm="1">
        <f t="array" ref="E190:G190">_xlfn.XLOOKUP(A190,Table3[Customer_ID],Table3[[Gender]:[State]])</f>
        <v>Male</v>
      </c>
      <c r="F190" s="43" t="str">
        <v>Kingfort</v>
      </c>
      <c r="G190" s="43" t="str">
        <v>New Mexico</v>
      </c>
      <c r="H190" s="43" t="str">
        <f>IF(OR(Customer_Dim!G190="usa",G190="United States of America"),"USA")</f>
        <v>USA</v>
      </c>
      <c r="I190" s="43" t="str">
        <f>VLOOKUP(A190,Customer_Dim!A:H,8,0)</f>
        <v>Silver</v>
      </c>
    </row>
    <row r="191" spans="1:9" x14ac:dyDescent="0.3">
      <c r="A191" s="41" t="s">
        <v>622</v>
      </c>
      <c r="B191" s="42" t="str">
        <f>PROPER(Table3[[#This Row],[Name]])</f>
        <v>Daniel Austin</v>
      </c>
      <c r="C191" s="43">
        <f>VLOOKUP(B191,Customer_Dim!B:C,2,0)</f>
        <v>29</v>
      </c>
      <c r="D191" s="43" t="str">
        <f t="shared" si="2"/>
        <v>Young</v>
      </c>
      <c r="E191" s="43" t="str" cm="1">
        <f t="array" ref="E191:G191">_xlfn.XLOOKUP(A191,Table3[Customer_ID],Table3[[Gender]:[State]])</f>
        <v>Male</v>
      </c>
      <c r="F191" s="43" t="str">
        <v>Lake Howardberg</v>
      </c>
      <c r="G191" s="43" t="str">
        <v>Kentucky</v>
      </c>
      <c r="H191" s="43" t="str">
        <f>IF(OR(Customer_Dim!G191="usa",G191="United States of America"),"USA")</f>
        <v>USA</v>
      </c>
      <c r="I191" s="43" t="str">
        <f>VLOOKUP(A191,Customer_Dim!A:H,8,0)</f>
        <v>Gold</v>
      </c>
    </row>
    <row r="192" spans="1:9" x14ac:dyDescent="0.3">
      <c r="A192" s="41" t="s">
        <v>625</v>
      </c>
      <c r="B192" s="42" t="str">
        <f>PROPER(Table3[[#This Row],[Name]])</f>
        <v>Christopher Stewart</v>
      </c>
      <c r="C192" s="43">
        <f>VLOOKUP(B192,Customer_Dim!B:C,2,0)</f>
        <v>21</v>
      </c>
      <c r="D192" s="43" t="str">
        <f t="shared" si="2"/>
        <v>Young</v>
      </c>
      <c r="E192" s="43" t="str" cm="1">
        <f t="array" ref="E192:G192">_xlfn.XLOOKUP(A192,Table3[Customer_ID],Table3[[Gender]:[State]])</f>
        <v>Male</v>
      </c>
      <c r="F192" s="43" t="str">
        <v>Amandaside</v>
      </c>
      <c r="G192" s="43" t="str">
        <v>New York</v>
      </c>
      <c r="H192" s="43" t="str">
        <f>IF(OR(Customer_Dim!G192="usa",G192="United States of America"),"USA")</f>
        <v>USA</v>
      </c>
      <c r="I192" s="43" t="str">
        <f>VLOOKUP(A192,Customer_Dim!A:H,8,0)</f>
        <v>Bronze</v>
      </c>
    </row>
    <row r="193" spans="1:9" x14ac:dyDescent="0.3">
      <c r="A193" s="41" t="s">
        <v>628</v>
      </c>
      <c r="B193" s="42" t="str">
        <f>PROPER(Table3[[#This Row],[Name]])</f>
        <v>Todd Poole</v>
      </c>
      <c r="C193" s="43">
        <f>VLOOKUP(B193,Customer_Dim!B:C,2,0)</f>
        <v>29</v>
      </c>
      <c r="D193" s="43" t="str">
        <f t="shared" si="2"/>
        <v>Young</v>
      </c>
      <c r="E193" s="43" t="str" cm="1">
        <f t="array" ref="E193:G193">_xlfn.XLOOKUP(A193,Table3[Customer_ID],Table3[[Gender]:[State]])</f>
        <v>Female</v>
      </c>
      <c r="F193" s="43" t="str">
        <v>Johnsonshire</v>
      </c>
      <c r="G193" s="43" t="str">
        <v>Ohio</v>
      </c>
      <c r="H193" s="43" t="str">
        <f>IF(OR(Customer_Dim!G193="usa",G193="United States of America"),"USA")</f>
        <v>USA</v>
      </c>
      <c r="I193" s="43" t="str">
        <f>VLOOKUP(A193,Customer_Dim!A:H,8,0)</f>
        <v>Bronze</v>
      </c>
    </row>
    <row r="194" spans="1:9" x14ac:dyDescent="0.3">
      <c r="A194" s="41" t="s">
        <v>631</v>
      </c>
      <c r="B194" s="42" t="str">
        <f>PROPER(Table3[[#This Row],[Name]])</f>
        <v>Jacob Wood</v>
      </c>
      <c r="C194" s="43">
        <f>VLOOKUP(B194,Customer_Dim!B:C,2,0)</f>
        <v>26</v>
      </c>
      <c r="D194" s="43" t="str">
        <f t="shared" si="2"/>
        <v>Young</v>
      </c>
      <c r="E194" s="43" t="str" cm="1">
        <f t="array" ref="E194:G194">_xlfn.XLOOKUP(A194,Table3[Customer_ID],Table3[[Gender]:[State]])</f>
        <v>Male</v>
      </c>
      <c r="F194" s="43" t="str">
        <v>Lake Samanthafort</v>
      </c>
      <c r="G194" s="43" t="str">
        <v>Idaho</v>
      </c>
      <c r="H194" s="43" t="str">
        <f>IF(OR(Customer_Dim!G194="usa",G194="United States of America"),"USA")</f>
        <v>USA</v>
      </c>
      <c r="I194" s="43" t="str">
        <f>VLOOKUP(A194,Customer_Dim!A:H,8,0)</f>
        <v>Gold</v>
      </c>
    </row>
    <row r="195" spans="1:9" x14ac:dyDescent="0.3">
      <c r="A195" s="41" t="s">
        <v>634</v>
      </c>
      <c r="B195" s="42" t="str">
        <f>PROPER(Table3[[#This Row],[Name]])</f>
        <v>David Roberts</v>
      </c>
      <c r="C195" s="43">
        <f>VLOOKUP(B195,Customer_Dim!B:C,2,0)</f>
        <v>38</v>
      </c>
      <c r="D195" s="43" t="str">
        <f t="shared" ref="D195:D258" si="3">IF(C195&lt;30,"Young",IF(C195&lt;=50,"Middle-Aged","Senior"))</f>
        <v>Middle-Aged</v>
      </c>
      <c r="E195" s="43" t="str" cm="1">
        <f t="array" ref="E195:G195">_xlfn.XLOOKUP(A195,Table3[Customer_ID],Table3[[Gender]:[State]])</f>
        <v>Male</v>
      </c>
      <c r="F195" s="43" t="str">
        <v>Port Amanda</v>
      </c>
      <c r="G195" s="43" t="str">
        <v>Georgia</v>
      </c>
      <c r="H195" s="43" t="str">
        <f>IF(OR(Customer_Dim!G195="usa",G195="United States of America"),"USA")</f>
        <v>USA</v>
      </c>
      <c r="I195" s="43" t="str">
        <f>VLOOKUP(A195,Customer_Dim!A:H,8,0)</f>
        <v>Gold</v>
      </c>
    </row>
    <row r="196" spans="1:9" x14ac:dyDescent="0.3">
      <c r="A196" s="41" t="s">
        <v>637</v>
      </c>
      <c r="B196" s="42" t="str">
        <f>PROPER(Table3[[#This Row],[Name]])</f>
        <v>Ashley Ferguson</v>
      </c>
      <c r="C196" s="43">
        <f>VLOOKUP(B196,Customer_Dim!B:C,2,0)</f>
        <v>46</v>
      </c>
      <c r="D196" s="43" t="str">
        <f t="shared" si="3"/>
        <v>Middle-Aged</v>
      </c>
      <c r="E196" s="43" t="str" cm="1">
        <f t="array" ref="E196:G196">_xlfn.XLOOKUP(A196,Table3[Customer_ID],Table3[[Gender]:[State]])</f>
        <v>Male</v>
      </c>
      <c r="F196" s="43" t="str">
        <v>Sarahmouth</v>
      </c>
      <c r="G196" s="43" t="str">
        <v>Pennsylvania</v>
      </c>
      <c r="H196" s="43" t="str">
        <f>IF(OR(Customer_Dim!G196="usa",G196="United States of America"),"USA")</f>
        <v>USA</v>
      </c>
      <c r="I196" s="43" t="str">
        <f>VLOOKUP(A196,Customer_Dim!A:H,8,0)</f>
        <v>Gold</v>
      </c>
    </row>
    <row r="197" spans="1:9" x14ac:dyDescent="0.3">
      <c r="A197" s="41" t="s">
        <v>640</v>
      </c>
      <c r="B197" s="42" t="str">
        <f>PROPER(Table3[[#This Row],[Name]])</f>
        <v>Anthony Garcia</v>
      </c>
      <c r="C197" s="43">
        <f>VLOOKUP(B197,Customer_Dim!B:C,2,0)</f>
        <v>60</v>
      </c>
      <c r="D197" s="43" t="str">
        <f t="shared" si="3"/>
        <v>Senior</v>
      </c>
      <c r="E197" s="43" t="str" cm="1">
        <f t="array" ref="E197:G197">_xlfn.XLOOKUP(A197,Table3[Customer_ID],Table3[[Gender]:[State]])</f>
        <v>Male</v>
      </c>
      <c r="F197" s="43" t="str">
        <v>Taraberg</v>
      </c>
      <c r="G197" s="43" t="str">
        <v>Arizona</v>
      </c>
      <c r="H197" s="43" t="str">
        <f>IF(OR(Customer_Dim!G197="usa",G197="United States of America"),"USA")</f>
        <v>USA</v>
      </c>
      <c r="I197" s="43" t="str">
        <f>VLOOKUP(A197,Customer_Dim!A:H,8,0)</f>
        <v>Silver</v>
      </c>
    </row>
    <row r="198" spans="1:9" x14ac:dyDescent="0.3">
      <c r="A198" s="41" t="s">
        <v>643</v>
      </c>
      <c r="B198" s="42" t="str">
        <f>PROPER(Table3[[#This Row],[Name]])</f>
        <v>Megan Greer</v>
      </c>
      <c r="C198" s="43">
        <f>VLOOKUP(B198,Customer_Dim!B:C,2,0)</f>
        <v>18</v>
      </c>
      <c r="D198" s="43" t="str">
        <f t="shared" si="3"/>
        <v>Young</v>
      </c>
      <c r="E198" s="43" t="str" cm="1">
        <f t="array" ref="E198:G198">_xlfn.XLOOKUP(A198,Table3[Customer_ID],Table3[[Gender]:[State]])</f>
        <v>Female</v>
      </c>
      <c r="F198" s="43" t="str">
        <v>West John</v>
      </c>
      <c r="G198" s="43" t="str">
        <v>Alaska</v>
      </c>
      <c r="H198" s="43" t="str">
        <f>IF(OR(Customer_Dim!G198="usa",G198="United States of America"),"USA")</f>
        <v>USA</v>
      </c>
      <c r="I198" s="43" t="str">
        <f>VLOOKUP(A198,Customer_Dim!A:H,8,0)</f>
        <v>Platinum</v>
      </c>
    </row>
    <row r="199" spans="1:9" x14ac:dyDescent="0.3">
      <c r="A199" s="41" t="s">
        <v>646</v>
      </c>
      <c r="B199" s="42" t="str">
        <f>PROPER(Table3[[#This Row],[Name]])</f>
        <v>Andrea Jacobs</v>
      </c>
      <c r="C199" s="43">
        <f>VLOOKUP(B199,Customer_Dim!B:C,2,0)</f>
        <v>45</v>
      </c>
      <c r="D199" s="43" t="str">
        <f t="shared" si="3"/>
        <v>Middle-Aged</v>
      </c>
      <c r="E199" s="43" t="str" cm="1">
        <f t="array" ref="E199:G199">_xlfn.XLOOKUP(A199,Table3[Customer_ID],Table3[[Gender]:[State]])</f>
        <v>Female</v>
      </c>
      <c r="F199" s="43" t="str">
        <v>Christopherland</v>
      </c>
      <c r="G199" s="43" t="str">
        <v>Minnesota</v>
      </c>
      <c r="H199" s="43" t="str">
        <f>IF(OR(Customer_Dim!G199="usa",G199="United States of America"),"USA")</f>
        <v>USA</v>
      </c>
      <c r="I199" s="43" t="str">
        <f>VLOOKUP(A199,Customer_Dim!A:H,8,0)</f>
        <v>Platinum</v>
      </c>
    </row>
    <row r="200" spans="1:9" x14ac:dyDescent="0.3">
      <c r="A200" s="41" t="s">
        <v>648</v>
      </c>
      <c r="B200" s="42" t="str">
        <f>PROPER(Table3[[#This Row],[Name]])</f>
        <v>Wanda Snyder</v>
      </c>
      <c r="C200" s="43">
        <f>VLOOKUP(B200,Customer_Dim!B:C,2,0)</f>
        <v>54</v>
      </c>
      <c r="D200" s="43" t="str">
        <f t="shared" si="3"/>
        <v>Senior</v>
      </c>
      <c r="E200" s="43" t="str" cm="1">
        <f t="array" ref="E200:G200">_xlfn.XLOOKUP(A200,Table3[Customer_ID],Table3[[Gender]:[State]])</f>
        <v>Male</v>
      </c>
      <c r="F200" s="43" t="str">
        <v>Frostmouth</v>
      </c>
      <c r="G200" s="43" t="str">
        <v>Vermont</v>
      </c>
      <c r="H200" s="43" t="str">
        <f>IF(OR(Customer_Dim!G200="usa",G200="United States of America"),"USA")</f>
        <v>USA</v>
      </c>
      <c r="I200" s="43" t="str">
        <f>VLOOKUP(A200,Customer_Dim!A:H,8,0)</f>
        <v>Bronze</v>
      </c>
    </row>
    <row r="201" spans="1:9" x14ac:dyDescent="0.3">
      <c r="A201" s="41" t="s">
        <v>651</v>
      </c>
      <c r="B201" s="42" t="str">
        <f>PROPER(Table3[[#This Row],[Name]])</f>
        <v>Carmen Price</v>
      </c>
      <c r="C201" s="43">
        <f>VLOOKUP(B201,Customer_Dim!B:C,2,0)</f>
        <v>46</v>
      </c>
      <c r="D201" s="43" t="str">
        <f t="shared" si="3"/>
        <v>Middle-Aged</v>
      </c>
      <c r="E201" s="43" t="str" cm="1">
        <f t="array" ref="E201:G201">_xlfn.XLOOKUP(A201,Table3[Customer_ID],Table3[[Gender]:[State]])</f>
        <v>Male</v>
      </c>
      <c r="F201" s="43" t="str">
        <v>North Briannamouth</v>
      </c>
      <c r="G201" s="43" t="str">
        <v>Tennessee</v>
      </c>
      <c r="H201" s="43" t="str">
        <f>IF(OR(Customer_Dim!G201="usa",G201="United States of America"),"USA")</f>
        <v>USA</v>
      </c>
      <c r="I201" s="43" t="str">
        <f>VLOOKUP(A201,Customer_Dim!A:H,8,0)</f>
        <v>Bronze</v>
      </c>
    </row>
    <row r="202" spans="1:9" x14ac:dyDescent="0.3">
      <c r="A202" s="41" t="s">
        <v>654</v>
      </c>
      <c r="B202" s="42" t="str">
        <f>PROPER(Table3[[#This Row],[Name]])</f>
        <v>Anna Perez</v>
      </c>
      <c r="C202" s="43">
        <f>VLOOKUP(B202,Customer_Dim!B:C,2,0)</f>
        <v>30</v>
      </c>
      <c r="D202" s="43" t="str">
        <f t="shared" si="3"/>
        <v>Middle-Aged</v>
      </c>
      <c r="E202" s="43" t="str" cm="1">
        <f t="array" ref="E202:G202">_xlfn.XLOOKUP(A202,Table3[Customer_ID],Table3[[Gender]:[State]])</f>
        <v>Male</v>
      </c>
      <c r="F202" s="43" t="str">
        <v>South Jerry</v>
      </c>
      <c r="G202" s="43" t="str">
        <v>Maine</v>
      </c>
      <c r="H202" s="43" t="str">
        <f>IF(OR(Customer_Dim!G202="usa",G202="United States of America"),"USA")</f>
        <v>USA</v>
      </c>
      <c r="I202" s="43" t="str">
        <f>VLOOKUP(A202,Customer_Dim!A:H,8,0)</f>
        <v>Platinum</v>
      </c>
    </row>
    <row r="203" spans="1:9" x14ac:dyDescent="0.3">
      <c r="A203" s="41" t="s">
        <v>657</v>
      </c>
      <c r="B203" s="42" t="str">
        <f>PROPER(Table3[[#This Row],[Name]])</f>
        <v>Mary Boyd</v>
      </c>
      <c r="C203" s="43">
        <f>VLOOKUP(B203,Customer_Dim!B:C,2,0)</f>
        <v>25</v>
      </c>
      <c r="D203" s="43" t="str">
        <f t="shared" si="3"/>
        <v>Young</v>
      </c>
      <c r="E203" s="43" t="str" cm="1">
        <f t="array" ref="E203:G203">_xlfn.XLOOKUP(A203,Table3[Customer_ID],Table3[[Gender]:[State]])</f>
        <v>Female</v>
      </c>
      <c r="F203" s="43" t="str">
        <v>New Logan</v>
      </c>
      <c r="G203" s="43" t="str">
        <v>Michigan</v>
      </c>
      <c r="H203" s="43" t="str">
        <f>IF(OR(Customer_Dim!G203="usa",G203="United States of America"),"USA")</f>
        <v>USA</v>
      </c>
      <c r="I203" s="43" t="str">
        <f>VLOOKUP(A203,Customer_Dim!A:H,8,0)</f>
        <v>Bronze</v>
      </c>
    </row>
    <row r="204" spans="1:9" x14ac:dyDescent="0.3">
      <c r="A204" s="41" t="s">
        <v>660</v>
      </c>
      <c r="B204" s="42" t="str">
        <f>PROPER(Table3[[#This Row],[Name]])</f>
        <v>Christina Garcia</v>
      </c>
      <c r="C204" s="43">
        <f>VLOOKUP(B204,Customer_Dim!B:C,2,0)</f>
        <v>37</v>
      </c>
      <c r="D204" s="43" t="str">
        <f t="shared" si="3"/>
        <v>Middle-Aged</v>
      </c>
      <c r="E204" s="43" t="str" cm="1">
        <f t="array" ref="E204:G204">_xlfn.XLOOKUP(A204,Table3[Customer_ID],Table3[[Gender]:[State]])</f>
        <v>Female</v>
      </c>
      <c r="F204" s="43" t="str">
        <v>Clarkeside</v>
      </c>
      <c r="G204" s="43" t="str">
        <v>Kansas</v>
      </c>
      <c r="H204" s="43" t="str">
        <f>IF(OR(Customer_Dim!G204="usa",G204="United States of America"),"USA")</f>
        <v>USA</v>
      </c>
      <c r="I204" s="43" t="str">
        <f>VLOOKUP(A204,Customer_Dim!A:H,8,0)</f>
        <v>Platinum</v>
      </c>
    </row>
    <row r="205" spans="1:9" x14ac:dyDescent="0.3">
      <c r="A205" s="41" t="s">
        <v>663</v>
      </c>
      <c r="B205" s="42" t="str">
        <f>PROPER(Table3[[#This Row],[Name]])</f>
        <v>Sarah Brady</v>
      </c>
      <c r="C205" s="43">
        <f>VLOOKUP(B205,Customer_Dim!B:C,2,0)</f>
        <v>47</v>
      </c>
      <c r="D205" s="43" t="str">
        <f t="shared" si="3"/>
        <v>Middle-Aged</v>
      </c>
      <c r="E205" s="43" t="str" cm="1">
        <f t="array" ref="E205:G205">_xlfn.XLOOKUP(A205,Table3[Customer_ID],Table3[[Gender]:[State]])</f>
        <v>Male</v>
      </c>
      <c r="F205" s="43" t="str">
        <v>Johnsonland</v>
      </c>
      <c r="G205" s="43" t="str">
        <v>Iowa</v>
      </c>
      <c r="H205" s="43" t="str">
        <f>IF(OR(Customer_Dim!G205="usa",G205="United States of America"),"USA")</f>
        <v>USA</v>
      </c>
      <c r="I205" s="43" t="str">
        <f>VLOOKUP(A205,Customer_Dim!A:H,8,0)</f>
        <v>Platinum</v>
      </c>
    </row>
    <row r="206" spans="1:9" x14ac:dyDescent="0.3">
      <c r="A206" s="41" t="s">
        <v>666</v>
      </c>
      <c r="B206" s="42" t="str">
        <f>PROPER(Table3[[#This Row],[Name]])</f>
        <v>Tiffany Herrera</v>
      </c>
      <c r="C206" s="43">
        <f>VLOOKUP(B206,Customer_Dim!B:C,2,0)</f>
        <v>52</v>
      </c>
      <c r="D206" s="43" t="str">
        <f t="shared" si="3"/>
        <v>Senior</v>
      </c>
      <c r="E206" s="43" t="str" cm="1">
        <f t="array" ref="E206:G206">_xlfn.XLOOKUP(A206,Table3[Customer_ID],Table3[[Gender]:[State]])</f>
        <v>Male</v>
      </c>
      <c r="F206" s="43" t="str">
        <v>New Dianebury</v>
      </c>
      <c r="G206" s="43" t="str">
        <v>Virginia</v>
      </c>
      <c r="H206" s="43" t="str">
        <f>IF(OR(Customer_Dim!G206="usa",G206="United States of America"),"USA")</f>
        <v>USA</v>
      </c>
      <c r="I206" s="43" t="str">
        <f>VLOOKUP(A206,Customer_Dim!A:H,8,0)</f>
        <v>Platinum</v>
      </c>
    </row>
    <row r="207" spans="1:9" x14ac:dyDescent="0.3">
      <c r="A207" s="41" t="s">
        <v>669</v>
      </c>
      <c r="B207" s="42" t="str">
        <f>PROPER(Table3[[#This Row],[Name]])</f>
        <v>Michelle Carpenter</v>
      </c>
      <c r="C207" s="43">
        <f>VLOOKUP(B207,Customer_Dim!B:C,2,0)</f>
        <v>44</v>
      </c>
      <c r="D207" s="43" t="str">
        <f t="shared" si="3"/>
        <v>Middle-Aged</v>
      </c>
      <c r="E207" s="43" t="str" cm="1">
        <f t="array" ref="E207:G207">_xlfn.XLOOKUP(A207,Table3[Customer_ID],Table3[[Gender]:[State]])</f>
        <v>Female</v>
      </c>
      <c r="F207" s="43" t="str">
        <v>Lake Danielleton</v>
      </c>
      <c r="G207" s="43" t="str">
        <v>New Jersey</v>
      </c>
      <c r="H207" s="43" t="str">
        <f>IF(OR(Customer_Dim!G207="usa",G207="United States of America"),"USA")</f>
        <v>USA</v>
      </c>
      <c r="I207" s="43" t="str">
        <f>VLOOKUP(A207,Customer_Dim!A:H,8,0)</f>
        <v>Gold</v>
      </c>
    </row>
    <row r="208" spans="1:9" x14ac:dyDescent="0.3">
      <c r="A208" s="41" t="s">
        <v>672</v>
      </c>
      <c r="B208" s="42" t="str">
        <f>PROPER(Table3[[#This Row],[Name]])</f>
        <v>Ronald Jones</v>
      </c>
      <c r="C208" s="43">
        <f>VLOOKUP(B208,Customer_Dim!B:C,2,0)</f>
        <v>26</v>
      </c>
      <c r="D208" s="43" t="str">
        <f t="shared" si="3"/>
        <v>Young</v>
      </c>
      <c r="E208" s="43" t="str" cm="1">
        <f t="array" ref="E208:G208">_xlfn.XLOOKUP(A208,Table3[Customer_ID],Table3[[Gender]:[State]])</f>
        <v>Female</v>
      </c>
      <c r="F208" s="43" t="str">
        <v>Brownshire</v>
      </c>
      <c r="G208" s="43" t="str">
        <v>Tennessee</v>
      </c>
      <c r="H208" s="43" t="str">
        <f>IF(OR(Customer_Dim!G208="usa",G208="United States of America"),"USA")</f>
        <v>USA</v>
      </c>
      <c r="I208" s="43" t="str">
        <f>VLOOKUP(A208,Customer_Dim!A:H,8,0)</f>
        <v>Silver</v>
      </c>
    </row>
    <row r="209" spans="1:9" x14ac:dyDescent="0.3">
      <c r="A209" s="41" t="s">
        <v>675</v>
      </c>
      <c r="B209" s="42" t="str">
        <f>PROPER(Table3[[#This Row],[Name]])</f>
        <v>Jacqueline Pacheco</v>
      </c>
      <c r="C209" s="43">
        <f>VLOOKUP(B209,Customer_Dim!B:C,2,0)</f>
        <v>28</v>
      </c>
      <c r="D209" s="43" t="str">
        <f t="shared" si="3"/>
        <v>Young</v>
      </c>
      <c r="E209" s="43" t="str" cm="1">
        <f t="array" ref="E209:G209">_xlfn.XLOOKUP(A209,Table3[Customer_ID],Table3[[Gender]:[State]])</f>
        <v>Female</v>
      </c>
      <c r="F209" s="43" t="str">
        <v>South Emily</v>
      </c>
      <c r="G209" s="43" t="str">
        <v>New Jersey</v>
      </c>
      <c r="H209" s="43" t="str">
        <f>IF(OR(Customer_Dim!G209="usa",G209="United States of America"),"USA")</f>
        <v>USA</v>
      </c>
      <c r="I209" s="43" t="str">
        <f>VLOOKUP(A209,Customer_Dim!A:H,8,0)</f>
        <v>Bronze</v>
      </c>
    </row>
    <row r="210" spans="1:9" x14ac:dyDescent="0.3">
      <c r="A210" s="41" t="s">
        <v>678</v>
      </c>
      <c r="B210" s="42" t="str">
        <f>PROPER(Table3[[#This Row],[Name]])</f>
        <v>John Perez</v>
      </c>
      <c r="C210" s="43">
        <f>VLOOKUP(B210,Customer_Dim!B:C,2,0)</f>
        <v>54</v>
      </c>
      <c r="D210" s="43" t="str">
        <f t="shared" si="3"/>
        <v>Senior</v>
      </c>
      <c r="E210" s="43" t="str" cm="1">
        <f t="array" ref="E210:G210">_xlfn.XLOOKUP(A210,Table3[Customer_ID],Table3[[Gender]:[State]])</f>
        <v>Male</v>
      </c>
      <c r="F210" s="43" t="str">
        <v>Kathrynview</v>
      </c>
      <c r="G210" s="43" t="str">
        <v>Louisiana</v>
      </c>
      <c r="H210" s="43" t="str">
        <f>IF(OR(Customer_Dim!G210="usa",G210="United States of America"),"USA")</f>
        <v>USA</v>
      </c>
      <c r="I210" s="43" t="str">
        <f>VLOOKUP(A210,Customer_Dim!A:H,8,0)</f>
        <v>Platinum</v>
      </c>
    </row>
    <row r="211" spans="1:9" x14ac:dyDescent="0.3">
      <c r="A211" s="41" t="s">
        <v>681</v>
      </c>
      <c r="B211" s="42" t="str">
        <f>PROPER(Table3[[#This Row],[Name]])</f>
        <v>Joan Johnson</v>
      </c>
      <c r="C211" s="43">
        <f>VLOOKUP(B211,Customer_Dim!B:C,2,0)</f>
        <v>50</v>
      </c>
      <c r="D211" s="43" t="str">
        <f t="shared" si="3"/>
        <v>Middle-Aged</v>
      </c>
      <c r="E211" s="43" t="str" cm="1">
        <f t="array" ref="E211:G211">_xlfn.XLOOKUP(A211,Table3[Customer_ID],Table3[[Gender]:[State]])</f>
        <v>Female</v>
      </c>
      <c r="F211" s="43" t="str">
        <v>Lake Josephport</v>
      </c>
      <c r="G211" s="43" t="str">
        <v>Maine</v>
      </c>
      <c r="H211" s="43" t="str">
        <f>IF(OR(Customer_Dim!G211="usa",G211="United States of America"),"USA")</f>
        <v>USA</v>
      </c>
      <c r="I211" s="43" t="str">
        <f>VLOOKUP(A211,Customer_Dim!A:H,8,0)</f>
        <v>Platinum</v>
      </c>
    </row>
    <row r="212" spans="1:9" x14ac:dyDescent="0.3">
      <c r="A212" s="41" t="s">
        <v>684</v>
      </c>
      <c r="B212" s="42" t="str">
        <f>PROPER(Table3[[#This Row],[Name]])</f>
        <v>Antonio Jones</v>
      </c>
      <c r="C212" s="43">
        <f>VLOOKUP(B212,Customer_Dim!B:C,2,0)</f>
        <v>48</v>
      </c>
      <c r="D212" s="43" t="str">
        <f t="shared" si="3"/>
        <v>Middle-Aged</v>
      </c>
      <c r="E212" s="43" t="str" cm="1">
        <f t="array" ref="E212:G212">_xlfn.XLOOKUP(A212,Table3[Customer_ID],Table3[[Gender]:[State]])</f>
        <v>Male</v>
      </c>
      <c r="F212" s="43" t="str">
        <v>Matthewborough</v>
      </c>
      <c r="G212" s="43" t="str">
        <v>Georgia</v>
      </c>
      <c r="H212" s="43" t="str">
        <f>IF(OR(Customer_Dim!G212="usa",G212="United States of America"),"USA")</f>
        <v>USA</v>
      </c>
      <c r="I212" s="43" t="str">
        <f>VLOOKUP(A212,Customer_Dim!A:H,8,0)</f>
        <v>Silver</v>
      </c>
    </row>
    <row r="213" spans="1:9" x14ac:dyDescent="0.3">
      <c r="A213" s="41" t="s">
        <v>687</v>
      </c>
      <c r="B213" s="42" t="str">
        <f>PROPER(Table3[[#This Row],[Name]])</f>
        <v>Rodney Huffman</v>
      </c>
      <c r="C213" s="43">
        <f>VLOOKUP(B213,Customer_Dim!B:C,2,0)</f>
        <v>20</v>
      </c>
      <c r="D213" s="43" t="str">
        <f t="shared" si="3"/>
        <v>Young</v>
      </c>
      <c r="E213" s="43" t="str" cm="1">
        <f t="array" ref="E213:G213">_xlfn.XLOOKUP(A213,Table3[Customer_ID],Table3[[Gender]:[State]])</f>
        <v>Female</v>
      </c>
      <c r="F213" s="43" t="str">
        <v>Garzafort</v>
      </c>
      <c r="G213" s="43" t="str">
        <v>Delaware</v>
      </c>
      <c r="H213" s="43" t="str">
        <f>IF(OR(Customer_Dim!G213="usa",G213="United States of America"),"USA")</f>
        <v>USA</v>
      </c>
      <c r="I213" s="43" t="str">
        <f>VLOOKUP(A213,Customer_Dim!A:H,8,0)</f>
        <v>Silver</v>
      </c>
    </row>
    <row r="214" spans="1:9" x14ac:dyDescent="0.3">
      <c r="A214" s="41" t="s">
        <v>690</v>
      </c>
      <c r="B214" s="42" t="str">
        <f>PROPER(Table3[[#This Row],[Name]])</f>
        <v>Blake Harrison</v>
      </c>
      <c r="C214" s="43">
        <f>VLOOKUP(B214,Customer_Dim!B:C,2,0)</f>
        <v>63</v>
      </c>
      <c r="D214" s="43" t="str">
        <f t="shared" si="3"/>
        <v>Senior</v>
      </c>
      <c r="E214" s="43" t="str" cm="1">
        <f t="array" ref="E214:G214">_xlfn.XLOOKUP(A214,Table3[Customer_ID],Table3[[Gender]:[State]])</f>
        <v>Female</v>
      </c>
      <c r="F214" s="43" t="str">
        <v>Lyonsfort</v>
      </c>
      <c r="G214" s="43" t="str">
        <v>Washington</v>
      </c>
      <c r="H214" s="43" t="str">
        <f>IF(OR(Customer_Dim!G214="usa",G214="United States of America"),"USA")</f>
        <v>USA</v>
      </c>
      <c r="I214" s="43" t="str">
        <f>VLOOKUP(A214,Customer_Dim!A:H,8,0)</f>
        <v>Platinum</v>
      </c>
    </row>
    <row r="215" spans="1:9" x14ac:dyDescent="0.3">
      <c r="A215" s="41" t="s">
        <v>693</v>
      </c>
      <c r="B215" s="42" t="str">
        <f>PROPER(Table3[[#This Row],[Name]])</f>
        <v>Stuart Johnson</v>
      </c>
      <c r="C215" s="43">
        <f>VLOOKUP(B215,Customer_Dim!B:C,2,0)</f>
        <v>42</v>
      </c>
      <c r="D215" s="43" t="str">
        <f t="shared" si="3"/>
        <v>Middle-Aged</v>
      </c>
      <c r="E215" s="43" t="str" cm="1">
        <f t="array" ref="E215:G215">_xlfn.XLOOKUP(A215,Table3[Customer_ID],Table3[[Gender]:[State]])</f>
        <v>Female</v>
      </c>
      <c r="F215" s="43" t="str">
        <v>West Markport</v>
      </c>
      <c r="G215" s="43" t="str">
        <v>North Dakota</v>
      </c>
      <c r="H215" s="43" t="str">
        <f>IF(OR(Customer_Dim!G215="usa",G215="United States of America"),"USA")</f>
        <v>USA</v>
      </c>
      <c r="I215" s="43" t="str">
        <f>VLOOKUP(A215,Customer_Dim!A:H,8,0)</f>
        <v>Platinum</v>
      </c>
    </row>
    <row r="216" spans="1:9" x14ac:dyDescent="0.3">
      <c r="A216" s="41" t="s">
        <v>696</v>
      </c>
      <c r="B216" s="42" t="str">
        <f>PROPER(Table3[[#This Row],[Name]])</f>
        <v>Eric Todd</v>
      </c>
      <c r="C216" s="43">
        <f>VLOOKUP(B216,Customer_Dim!B:C,2,0)</f>
        <v>61</v>
      </c>
      <c r="D216" s="43" t="str">
        <f t="shared" si="3"/>
        <v>Senior</v>
      </c>
      <c r="E216" s="43" t="str" cm="1">
        <f t="array" ref="E216:G216">_xlfn.XLOOKUP(A216,Table3[Customer_ID],Table3[[Gender]:[State]])</f>
        <v>Male</v>
      </c>
      <c r="F216" s="43" t="str">
        <v>Danielstad</v>
      </c>
      <c r="G216" s="43" t="str">
        <v>Montana</v>
      </c>
      <c r="H216" s="43" t="str">
        <f>IF(OR(Customer_Dim!G216="usa",G216="United States of America"),"USA")</f>
        <v>USA</v>
      </c>
      <c r="I216" s="43" t="str">
        <f>VLOOKUP(A216,Customer_Dim!A:H,8,0)</f>
        <v>Gold</v>
      </c>
    </row>
    <row r="217" spans="1:9" x14ac:dyDescent="0.3">
      <c r="A217" s="41" t="s">
        <v>699</v>
      </c>
      <c r="B217" s="42" t="str">
        <f>PROPER(Table3[[#This Row],[Name]])</f>
        <v>Steve Medina</v>
      </c>
      <c r="C217" s="43">
        <f>VLOOKUP(B217,Customer_Dim!B:C,2,0)</f>
        <v>50</v>
      </c>
      <c r="D217" s="43" t="str">
        <f t="shared" si="3"/>
        <v>Middle-Aged</v>
      </c>
      <c r="E217" s="43" t="str" cm="1">
        <f t="array" ref="E217:G217">_xlfn.XLOOKUP(A217,Table3[Customer_ID],Table3[[Gender]:[State]])</f>
        <v>Female</v>
      </c>
      <c r="F217" s="43" t="str">
        <v>East Josephside</v>
      </c>
      <c r="G217" s="43" t="str">
        <v>Oregon</v>
      </c>
      <c r="H217" s="43" t="str">
        <f>IF(OR(Customer_Dim!G217="usa",G217="United States of America"),"USA")</f>
        <v>USA</v>
      </c>
      <c r="I217" s="43" t="str">
        <f>VLOOKUP(A217,Customer_Dim!A:H,8,0)</f>
        <v>Gold</v>
      </c>
    </row>
    <row r="218" spans="1:9" x14ac:dyDescent="0.3">
      <c r="A218" s="41" t="s">
        <v>702</v>
      </c>
      <c r="B218" s="42" t="str">
        <f>PROPER(Table3[[#This Row],[Name]])</f>
        <v>Kathryn Garcia</v>
      </c>
      <c r="C218" s="43">
        <f>VLOOKUP(B218,Customer_Dim!B:C,2,0)</f>
        <v>44</v>
      </c>
      <c r="D218" s="43" t="str">
        <f t="shared" si="3"/>
        <v>Middle-Aged</v>
      </c>
      <c r="E218" s="43" t="str" cm="1">
        <f t="array" ref="E218:G218">_xlfn.XLOOKUP(A218,Table3[Customer_ID],Table3[[Gender]:[State]])</f>
        <v>Male</v>
      </c>
      <c r="F218" s="43" t="str">
        <v>Morrismouth</v>
      </c>
      <c r="G218" s="43" t="str">
        <v>California</v>
      </c>
      <c r="H218" s="43" t="str">
        <f>IF(OR(Customer_Dim!G218="usa",G218="United States of America"),"USA")</f>
        <v>USA</v>
      </c>
      <c r="I218" s="43" t="str">
        <f>VLOOKUP(A218,Customer_Dim!A:H,8,0)</f>
        <v>Platinum</v>
      </c>
    </row>
    <row r="219" spans="1:9" x14ac:dyDescent="0.3">
      <c r="A219" s="41" t="s">
        <v>705</v>
      </c>
      <c r="B219" s="42" t="str">
        <f>PROPER(Table3[[#This Row],[Name]])</f>
        <v>Kathy Copeland</v>
      </c>
      <c r="C219" s="43">
        <f>VLOOKUP(B219,Customer_Dim!B:C,2,0)</f>
        <v>42</v>
      </c>
      <c r="D219" s="43" t="str">
        <f t="shared" si="3"/>
        <v>Middle-Aged</v>
      </c>
      <c r="E219" s="43" t="str" cm="1">
        <f t="array" ref="E219:G219">_xlfn.XLOOKUP(A219,Table3[Customer_ID],Table3[[Gender]:[State]])</f>
        <v>Male</v>
      </c>
      <c r="F219" s="43" t="str">
        <v>North Christinemouth</v>
      </c>
      <c r="G219" s="43" t="str">
        <v>Missouri</v>
      </c>
      <c r="H219" s="43" t="str">
        <f>IF(OR(Customer_Dim!G219="usa",G219="United States of America"),"USA")</f>
        <v>USA</v>
      </c>
      <c r="I219" s="43" t="str">
        <f>VLOOKUP(A219,Customer_Dim!A:H,8,0)</f>
        <v>Silver</v>
      </c>
    </row>
    <row r="220" spans="1:9" x14ac:dyDescent="0.3">
      <c r="A220" s="41" t="s">
        <v>708</v>
      </c>
      <c r="B220" s="42" t="str">
        <f>PROPER(Table3[[#This Row],[Name]])</f>
        <v>Julia Jackson</v>
      </c>
      <c r="C220" s="43">
        <f>VLOOKUP(B220,Customer_Dim!B:C,2,0)</f>
        <v>46</v>
      </c>
      <c r="D220" s="43" t="str">
        <f t="shared" si="3"/>
        <v>Middle-Aged</v>
      </c>
      <c r="E220" s="43" t="str" cm="1">
        <f t="array" ref="E220:G220">_xlfn.XLOOKUP(A220,Table3[Customer_ID],Table3[[Gender]:[State]])</f>
        <v>Male</v>
      </c>
      <c r="F220" s="43" t="str">
        <v>Edwardland</v>
      </c>
      <c r="G220" s="43" t="str">
        <v>California</v>
      </c>
      <c r="H220" s="43" t="str">
        <f>IF(OR(Customer_Dim!G220="usa",G220="United States of America"),"USA")</f>
        <v>USA</v>
      </c>
      <c r="I220" s="43" t="str">
        <f>VLOOKUP(A220,Customer_Dim!A:H,8,0)</f>
        <v>Platinum</v>
      </c>
    </row>
    <row r="221" spans="1:9" x14ac:dyDescent="0.3">
      <c r="A221" s="41" t="s">
        <v>711</v>
      </c>
      <c r="B221" s="42" t="str">
        <f>PROPER(Table3[[#This Row],[Name]])</f>
        <v>Jordan Wells</v>
      </c>
      <c r="C221" s="43">
        <f>VLOOKUP(B221,Customer_Dim!B:C,2,0)</f>
        <v>47</v>
      </c>
      <c r="D221" s="43" t="str">
        <f t="shared" si="3"/>
        <v>Middle-Aged</v>
      </c>
      <c r="E221" s="43" t="str" cm="1">
        <f t="array" ref="E221:G221">_xlfn.XLOOKUP(A221,Table3[Customer_ID],Table3[[Gender]:[State]])</f>
        <v>Female</v>
      </c>
      <c r="F221" s="43" t="str">
        <v xml:space="preserve">Phillipschester   </v>
      </c>
      <c r="G221" s="43" t="str">
        <v>New Jersey</v>
      </c>
      <c r="H221" s="43" t="str">
        <f>IF(OR(Customer_Dim!G221="usa",G221="United States of America"),"USA")</f>
        <v>USA</v>
      </c>
      <c r="I221" s="43" t="str">
        <f>VLOOKUP(A221,Customer_Dim!A:H,8,0)</f>
        <v>Gold</v>
      </c>
    </row>
    <row r="222" spans="1:9" x14ac:dyDescent="0.3">
      <c r="A222" s="41" t="s">
        <v>713</v>
      </c>
      <c r="B222" s="42" t="str">
        <f>PROPER(Table3[[#This Row],[Name]])</f>
        <v>George Davis</v>
      </c>
      <c r="C222" s="43">
        <f>VLOOKUP(B222,Customer_Dim!B:C,2,0)</f>
        <v>50</v>
      </c>
      <c r="D222" s="43" t="str">
        <f t="shared" si="3"/>
        <v>Middle-Aged</v>
      </c>
      <c r="E222" s="43" t="str" cm="1">
        <f t="array" ref="E222:G222">_xlfn.XLOOKUP(A222,Table3[Customer_ID],Table3[[Gender]:[State]])</f>
        <v>Female</v>
      </c>
      <c r="F222" s="43" t="str">
        <v xml:space="preserve">    lake lisa</v>
      </c>
      <c r="G222" s="43" t="str">
        <v>Massachusetts</v>
      </c>
      <c r="H222" s="43" t="str">
        <f>IF(OR(Customer_Dim!G222="usa",G222="United States of America"),"USA")</f>
        <v>USA</v>
      </c>
      <c r="I222" s="43" t="str">
        <f>VLOOKUP(A222,Customer_Dim!A:H,8,0)</f>
        <v>Bronze</v>
      </c>
    </row>
    <row r="223" spans="1:9" x14ac:dyDescent="0.3">
      <c r="A223" s="41" t="s">
        <v>716</v>
      </c>
      <c r="B223" s="42" t="str">
        <f>PROPER(Table3[[#This Row],[Name]])</f>
        <v>Lisa Young</v>
      </c>
      <c r="C223" s="43">
        <f>VLOOKUP(B223,Customer_Dim!B:C,2,0)</f>
        <v>38</v>
      </c>
      <c r="D223" s="43" t="str">
        <f t="shared" si="3"/>
        <v>Middle-Aged</v>
      </c>
      <c r="E223" s="43" t="str" cm="1">
        <f t="array" ref="E223:G223">_xlfn.XLOOKUP(A223,Table3[Customer_ID],Table3[[Gender]:[State]])</f>
        <v>Male</v>
      </c>
      <c r="F223" s="43" t="str">
        <v>Maybury</v>
      </c>
      <c r="G223" s="43" t="str">
        <v>Georgia</v>
      </c>
      <c r="H223" s="43" t="str">
        <f>IF(OR(Customer_Dim!G223="usa",G223="United States of America"),"USA")</f>
        <v>USA</v>
      </c>
      <c r="I223" s="43" t="str">
        <f>VLOOKUP(A223,Customer_Dim!A:H,8,0)</f>
        <v>Platinum</v>
      </c>
    </row>
    <row r="224" spans="1:9" x14ac:dyDescent="0.3">
      <c r="A224" s="41" t="s">
        <v>719</v>
      </c>
      <c r="B224" s="42" t="str">
        <f>PROPER(Table3[[#This Row],[Name]])</f>
        <v>Alejandro Doyle</v>
      </c>
      <c r="C224" s="43">
        <f>VLOOKUP(B224,Customer_Dim!B:C,2,0)</f>
        <v>35</v>
      </c>
      <c r="D224" s="43" t="str">
        <f t="shared" si="3"/>
        <v>Middle-Aged</v>
      </c>
      <c r="E224" s="43" t="str" cm="1">
        <f t="array" ref="E224:G224">_xlfn.XLOOKUP(A224,Table3[Customer_ID],Table3[[Gender]:[State]])</f>
        <v>Male</v>
      </c>
      <c r="F224" s="43" t="str">
        <v>East Crystalton</v>
      </c>
      <c r="G224" s="43" t="str">
        <v>New Mexico</v>
      </c>
      <c r="H224" s="43" t="str">
        <f>IF(OR(Customer_Dim!G224="usa",G224="United States of America"),"USA")</f>
        <v>USA</v>
      </c>
      <c r="I224" s="43" t="str">
        <f>VLOOKUP(A224,Customer_Dim!A:H,8,0)</f>
        <v>Platinum</v>
      </c>
    </row>
    <row r="225" spans="1:9" x14ac:dyDescent="0.3">
      <c r="A225" s="41" t="s">
        <v>722</v>
      </c>
      <c r="B225" s="42" t="str">
        <f>PROPER(Table3[[#This Row],[Name]])</f>
        <v>Robert Harris</v>
      </c>
      <c r="C225" s="43">
        <f>VLOOKUP(B225,Customer_Dim!B:C,2,0)</f>
        <v>50</v>
      </c>
      <c r="D225" s="43" t="str">
        <f t="shared" si="3"/>
        <v>Middle-Aged</v>
      </c>
      <c r="E225" s="43" t="str" cm="1">
        <f t="array" ref="E225:G225">_xlfn.XLOOKUP(A225,Table3[Customer_ID],Table3[[Gender]:[State]])</f>
        <v>Male</v>
      </c>
      <c r="F225" s="43" t="str">
        <v>East jeremy</v>
      </c>
      <c r="G225" s="43" t="str">
        <v>Iowa</v>
      </c>
      <c r="H225" s="43" t="str">
        <f>IF(OR(Customer_Dim!G225="usa",G225="United States of America"),"USA")</f>
        <v>USA</v>
      </c>
      <c r="I225" s="43" t="str">
        <f>VLOOKUP(A225,Customer_Dim!A:H,8,0)</f>
        <v>Platinum</v>
      </c>
    </row>
    <row r="226" spans="1:9" x14ac:dyDescent="0.3">
      <c r="A226" s="41" t="s">
        <v>724</v>
      </c>
      <c r="B226" s="42" t="str">
        <f>PROPER(Table3[[#This Row],[Name]])</f>
        <v>Anthony Morgan</v>
      </c>
      <c r="C226" s="43">
        <f>VLOOKUP(B226,Customer_Dim!B:C,2,0)</f>
        <v>29</v>
      </c>
      <c r="D226" s="43" t="str">
        <f t="shared" si="3"/>
        <v>Young</v>
      </c>
      <c r="E226" s="43" t="str" cm="1">
        <f t="array" ref="E226:G226">_xlfn.XLOOKUP(A226,Table3[Customer_ID],Table3[[Gender]:[State]])</f>
        <v>Male</v>
      </c>
      <c r="F226" s="43" t="str">
        <v>New Anthonyfurt</v>
      </c>
      <c r="G226" s="43" t="str">
        <v>Missouri</v>
      </c>
      <c r="H226" s="43" t="str">
        <f>IF(OR(Customer_Dim!G226="usa",G226="United States of America"),"USA")</f>
        <v>USA</v>
      </c>
      <c r="I226" s="43" t="str">
        <f>VLOOKUP(A226,Customer_Dim!A:H,8,0)</f>
        <v>Silver</v>
      </c>
    </row>
    <row r="227" spans="1:9" x14ac:dyDescent="0.3">
      <c r="A227" s="41" t="s">
        <v>727</v>
      </c>
      <c r="B227" s="42" t="str">
        <f>PROPER(Table3[[#This Row],[Name]])</f>
        <v>Elizabeth Stanley</v>
      </c>
      <c r="C227" s="43">
        <f>VLOOKUP(B227,Customer_Dim!B:C,2,0)</f>
        <v>46</v>
      </c>
      <c r="D227" s="43" t="str">
        <f t="shared" si="3"/>
        <v>Middle-Aged</v>
      </c>
      <c r="E227" s="43" t="str" cm="1">
        <f t="array" ref="E227:G227">_xlfn.XLOOKUP(A227,Table3[Customer_ID],Table3[[Gender]:[State]])</f>
        <v>Female</v>
      </c>
      <c r="F227" s="43" t="str">
        <v>Bethanyton</v>
      </c>
      <c r="G227" s="43" t="str">
        <v>Utah</v>
      </c>
      <c r="H227" s="43" t="str">
        <f>IF(OR(Customer_Dim!G227="usa",G227="United States of America"),"USA")</f>
        <v>USA</v>
      </c>
      <c r="I227" s="43" t="str">
        <f>VLOOKUP(A227,Customer_Dim!A:H,8,0)</f>
        <v>Platinum</v>
      </c>
    </row>
    <row r="228" spans="1:9" x14ac:dyDescent="0.3">
      <c r="A228" s="41" t="s">
        <v>730</v>
      </c>
      <c r="B228" s="42" t="str">
        <f>PROPER(Table3[[#This Row],[Name]])</f>
        <v>Alexis Castaneda</v>
      </c>
      <c r="C228" s="43">
        <f>VLOOKUP(B228,Customer_Dim!B:C,2,0)</f>
        <v>54</v>
      </c>
      <c r="D228" s="43" t="str">
        <f t="shared" si="3"/>
        <v>Senior</v>
      </c>
      <c r="E228" s="43" t="str" cm="1">
        <f t="array" ref="E228:G228">_xlfn.XLOOKUP(A228,Table3[Customer_ID],Table3[[Gender]:[State]])</f>
        <v>Male</v>
      </c>
      <c r="F228" s="43" t="str">
        <v>Morrisbury</v>
      </c>
      <c r="G228" s="43" t="str">
        <v>Alaska</v>
      </c>
      <c r="H228" s="43" t="str">
        <f>IF(OR(Customer_Dim!G228="usa",G228="United States of America"),"USA")</f>
        <v>USA</v>
      </c>
      <c r="I228" s="43" t="str">
        <f>VLOOKUP(A228,Customer_Dim!A:H,8,0)</f>
        <v>Gold</v>
      </c>
    </row>
    <row r="229" spans="1:9" x14ac:dyDescent="0.3">
      <c r="A229" s="41" t="s">
        <v>732</v>
      </c>
      <c r="B229" s="42" t="str">
        <f>PROPER(Table3[[#This Row],[Name]])</f>
        <v>Gregory Pham</v>
      </c>
      <c r="C229" s="43">
        <f>VLOOKUP(B229,Customer_Dim!B:C,2,0)</f>
        <v>63</v>
      </c>
      <c r="D229" s="43" t="str">
        <f t="shared" si="3"/>
        <v>Senior</v>
      </c>
      <c r="E229" s="43" t="str" cm="1">
        <f t="array" ref="E229:G229">_xlfn.XLOOKUP(A229,Table3[Customer_ID],Table3[[Gender]:[State]])</f>
        <v>Female</v>
      </c>
      <c r="F229" s="43" t="str">
        <v>Pollardton</v>
      </c>
      <c r="G229" s="43" t="str">
        <v>Kansas</v>
      </c>
      <c r="H229" s="43" t="str">
        <f>IF(OR(Customer_Dim!G229="usa",G229="United States of America"),"USA")</f>
        <v>USA</v>
      </c>
      <c r="I229" s="43" t="str">
        <f>VLOOKUP(A229,Customer_Dim!A:H,8,0)</f>
        <v>Gold</v>
      </c>
    </row>
    <row r="230" spans="1:9" x14ac:dyDescent="0.3">
      <c r="A230" s="41" t="s">
        <v>735</v>
      </c>
      <c r="B230" s="42" t="str">
        <f>PROPER(Table3[[#This Row],[Name]])</f>
        <v>Casey Flores</v>
      </c>
      <c r="C230" s="43">
        <f>VLOOKUP(B230,Customer_Dim!B:C,2,0)</f>
        <v>52</v>
      </c>
      <c r="D230" s="43" t="str">
        <f t="shared" si="3"/>
        <v>Senior</v>
      </c>
      <c r="E230" s="43" t="str" cm="1">
        <f t="array" ref="E230:G230">_xlfn.XLOOKUP(A230,Table3[Customer_ID],Table3[[Gender]:[State]])</f>
        <v>Female</v>
      </c>
      <c r="F230" s="43" t="str">
        <v>Lake Michael</v>
      </c>
      <c r="G230" s="43" t="str">
        <v>Utah</v>
      </c>
      <c r="H230" s="43" t="str">
        <f>IF(OR(Customer_Dim!G230="usa",G230="United States of America"),"USA")</f>
        <v>USA</v>
      </c>
      <c r="I230" s="43" t="str">
        <f>VLOOKUP(A230,Customer_Dim!A:H,8,0)</f>
        <v>Gold</v>
      </c>
    </row>
    <row r="231" spans="1:9" x14ac:dyDescent="0.3">
      <c r="A231" s="41" t="s">
        <v>737</v>
      </c>
      <c r="B231" s="42" t="str">
        <f>PROPER(Table3[[#This Row],[Name]])</f>
        <v>Tanner Thompson</v>
      </c>
      <c r="C231" s="43">
        <f>VLOOKUP(B231,Customer_Dim!B:C,2,0)</f>
        <v>32</v>
      </c>
      <c r="D231" s="43" t="str">
        <f t="shared" si="3"/>
        <v>Middle-Aged</v>
      </c>
      <c r="E231" s="43" t="str" cm="1">
        <f t="array" ref="E231:G231">_xlfn.XLOOKUP(A231,Table3[Customer_ID],Table3[[Gender]:[State]])</f>
        <v>Female</v>
      </c>
      <c r="F231" s="43" t="str">
        <v>Port Lisashire</v>
      </c>
      <c r="G231" s="43" t="str">
        <v>Maryland</v>
      </c>
      <c r="H231" s="43" t="str">
        <f>IF(OR(Customer_Dim!G231="usa",G231="United States of America"),"USA")</f>
        <v>USA</v>
      </c>
      <c r="I231" s="43" t="str">
        <f>VLOOKUP(A231,Customer_Dim!A:H,8,0)</f>
        <v>Bronze</v>
      </c>
    </row>
    <row r="232" spans="1:9" x14ac:dyDescent="0.3">
      <c r="A232" s="41" t="s">
        <v>740</v>
      </c>
      <c r="B232" s="42" t="str">
        <f>PROPER(Table3[[#This Row],[Name]])</f>
        <v>Timothy Sanders</v>
      </c>
      <c r="C232" s="43">
        <f>VLOOKUP(B232,Customer_Dim!B:C,2,0)</f>
        <v>29</v>
      </c>
      <c r="D232" s="43" t="str">
        <f t="shared" si="3"/>
        <v>Young</v>
      </c>
      <c r="E232" s="43" t="str" cm="1">
        <f t="array" ref="E232:G232">_xlfn.XLOOKUP(A232,Table3[Customer_ID],Table3[[Gender]:[State]])</f>
        <v>Male</v>
      </c>
      <c r="F232" s="43" t="str">
        <v>Aaronmouth</v>
      </c>
      <c r="G232" s="43" t="str">
        <v>Florida</v>
      </c>
      <c r="H232" s="43" t="str">
        <f>IF(OR(Customer_Dim!G232="usa",G232="United States of America"),"USA")</f>
        <v>USA</v>
      </c>
      <c r="I232" s="43" t="str">
        <f>VLOOKUP(A232,Customer_Dim!A:H,8,0)</f>
        <v>Bronze</v>
      </c>
    </row>
    <row r="233" spans="1:9" x14ac:dyDescent="0.3">
      <c r="A233" s="41" t="s">
        <v>743</v>
      </c>
      <c r="B233" s="42" t="str">
        <f>PROPER(Table3[[#This Row],[Name]])</f>
        <v>Timothy Juarez</v>
      </c>
      <c r="C233" s="43">
        <f>VLOOKUP(B233,Customer_Dim!B:C,2,0)</f>
        <v>22</v>
      </c>
      <c r="D233" s="43" t="str">
        <f t="shared" si="3"/>
        <v>Young</v>
      </c>
      <c r="E233" s="43" t="str" cm="1">
        <f t="array" ref="E233:G233">_xlfn.XLOOKUP(A233,Table3[Customer_ID],Table3[[Gender]:[State]])</f>
        <v>Female</v>
      </c>
      <c r="F233" s="43" t="str">
        <v>Grahamstad</v>
      </c>
      <c r="G233" s="43" t="str">
        <v>South Carolina</v>
      </c>
      <c r="H233" s="43" t="str">
        <f>IF(OR(Customer_Dim!G233="usa",G233="United States of America"),"USA")</f>
        <v>USA</v>
      </c>
      <c r="I233" s="43" t="str">
        <f>VLOOKUP(A233,Customer_Dim!A:H,8,0)</f>
        <v>Bronze</v>
      </c>
    </row>
    <row r="234" spans="1:9" x14ac:dyDescent="0.3">
      <c r="A234" s="41" t="s">
        <v>746</v>
      </c>
      <c r="B234" s="42" t="str">
        <f>PROPER(Table3[[#This Row],[Name]])</f>
        <v>Christy Hill</v>
      </c>
      <c r="C234" s="43">
        <f>VLOOKUP(B234,Customer_Dim!B:C,2,0)</f>
        <v>27</v>
      </c>
      <c r="D234" s="43" t="str">
        <f t="shared" si="3"/>
        <v>Young</v>
      </c>
      <c r="E234" s="43" t="str" cm="1">
        <f t="array" ref="E234:G234">_xlfn.XLOOKUP(A234,Table3[Customer_ID],Table3[[Gender]:[State]])</f>
        <v>Female</v>
      </c>
      <c r="F234" s="43" t="str">
        <v>Tammyton</v>
      </c>
      <c r="G234" s="43" t="str">
        <v>New Jersey</v>
      </c>
      <c r="H234" s="43" t="str">
        <f>IF(OR(Customer_Dim!G234="usa",G234="United States of America"),"USA")</f>
        <v>USA</v>
      </c>
      <c r="I234" s="43" t="str">
        <f>VLOOKUP(A234,Customer_Dim!A:H,8,0)</f>
        <v>Platinum</v>
      </c>
    </row>
    <row r="235" spans="1:9" x14ac:dyDescent="0.3">
      <c r="A235" s="41" t="s">
        <v>749</v>
      </c>
      <c r="B235" s="42" t="str">
        <f>PROPER(Table3[[#This Row],[Name]])</f>
        <v>Michelle Gonzalez</v>
      </c>
      <c r="C235" s="43">
        <f>VLOOKUP(B235,Customer_Dim!B:C,2,0)</f>
        <v>59</v>
      </c>
      <c r="D235" s="43" t="str">
        <f t="shared" si="3"/>
        <v>Senior</v>
      </c>
      <c r="E235" s="43" t="str" cm="1">
        <f t="array" ref="E235:G235">_xlfn.XLOOKUP(A235,Table3[Customer_ID],Table3[[Gender]:[State]])</f>
        <v>Male</v>
      </c>
      <c r="F235" s="43" t="str">
        <v>Clarkport</v>
      </c>
      <c r="G235" s="43" t="str">
        <v>West Virginia</v>
      </c>
      <c r="H235" s="43" t="str">
        <f>IF(OR(Customer_Dim!G235="usa",G235="United States of America"),"USA")</f>
        <v>USA</v>
      </c>
      <c r="I235" s="43" t="str">
        <f>VLOOKUP(A235,Customer_Dim!A:H,8,0)</f>
        <v>Silver</v>
      </c>
    </row>
    <row r="236" spans="1:9" x14ac:dyDescent="0.3">
      <c r="A236" s="41" t="s">
        <v>752</v>
      </c>
      <c r="B236" s="42" t="str">
        <f>PROPER(Table3[[#This Row],[Name]])</f>
        <v>Nathaniel Hill</v>
      </c>
      <c r="C236" s="43">
        <f>VLOOKUP(B236,Customer_Dim!B:C,2,0)</f>
        <v>43</v>
      </c>
      <c r="D236" s="43" t="str">
        <f t="shared" si="3"/>
        <v>Middle-Aged</v>
      </c>
      <c r="E236" s="43" t="str" cm="1">
        <f t="array" ref="E236:G236">_xlfn.XLOOKUP(A236,Table3[Customer_ID],Table3[[Gender]:[State]])</f>
        <v>Female</v>
      </c>
      <c r="F236" s="43" t="str">
        <v>Lake Mark</v>
      </c>
      <c r="G236" s="43" t="str">
        <v>Kansas</v>
      </c>
      <c r="H236" s="43" t="str">
        <f>IF(OR(Customer_Dim!G236="usa",G236="United States of America"),"USA")</f>
        <v>USA</v>
      </c>
      <c r="I236" s="43" t="str">
        <f>VLOOKUP(A236,Customer_Dim!A:H,8,0)</f>
        <v>Gold</v>
      </c>
    </row>
    <row r="237" spans="1:9" x14ac:dyDescent="0.3">
      <c r="A237" s="41" t="s">
        <v>755</v>
      </c>
      <c r="B237" s="42" t="str">
        <f>PROPER(Table3[[#This Row],[Name]])</f>
        <v>Jon Ortiz</v>
      </c>
      <c r="C237" s="43">
        <f>VLOOKUP(B237,Customer_Dim!B:C,2,0)</f>
        <v>28</v>
      </c>
      <c r="D237" s="43" t="str">
        <f t="shared" si="3"/>
        <v>Young</v>
      </c>
      <c r="E237" s="43" t="str" cm="1">
        <f t="array" ref="E237:G237">_xlfn.XLOOKUP(A237,Table3[Customer_ID],Table3[[Gender]:[State]])</f>
        <v>Female</v>
      </c>
      <c r="F237" s="43" t="str">
        <v>South Angelaport</v>
      </c>
      <c r="G237" s="43" t="str">
        <v>Delaware</v>
      </c>
      <c r="H237" s="43" t="str">
        <f>IF(OR(Customer_Dim!G237="usa",G237="United States of America"),"USA")</f>
        <v>USA</v>
      </c>
      <c r="I237" s="43" t="str">
        <f>VLOOKUP(A237,Customer_Dim!A:H,8,0)</f>
        <v>Bronze</v>
      </c>
    </row>
    <row r="238" spans="1:9" x14ac:dyDescent="0.3">
      <c r="A238" s="41" t="s">
        <v>758</v>
      </c>
      <c r="B238" s="42" t="str">
        <f>PROPER(Table3[[#This Row],[Name]])</f>
        <v>Joshua Wilson</v>
      </c>
      <c r="C238" s="43">
        <f>VLOOKUP(B238,Customer_Dim!B:C,2,0)</f>
        <v>42</v>
      </c>
      <c r="D238" s="43" t="str">
        <f t="shared" si="3"/>
        <v>Middle-Aged</v>
      </c>
      <c r="E238" s="43" t="str" cm="1">
        <f t="array" ref="E238:G238">_xlfn.XLOOKUP(A238,Table3[Customer_ID],Table3[[Gender]:[State]])</f>
        <v>Female</v>
      </c>
      <c r="F238" s="43" t="str">
        <v>North Larryport</v>
      </c>
      <c r="G238" s="43" t="str">
        <v>Virginia</v>
      </c>
      <c r="H238" s="43" t="str">
        <f>IF(OR(Customer_Dim!G238="usa",G238="United States of America"),"USA")</f>
        <v>USA</v>
      </c>
      <c r="I238" s="43" t="str">
        <f>VLOOKUP(A238,Customer_Dim!A:H,8,0)</f>
        <v>Bronze</v>
      </c>
    </row>
    <row r="239" spans="1:9" x14ac:dyDescent="0.3">
      <c r="A239" s="41" t="s">
        <v>761</v>
      </c>
      <c r="B239" s="42" t="str">
        <f>PROPER(Table3[[#This Row],[Name]])</f>
        <v>Wesley Short</v>
      </c>
      <c r="C239" s="43">
        <f>VLOOKUP(B239,Customer_Dim!B:C,2,0)</f>
        <v>41</v>
      </c>
      <c r="D239" s="43" t="str">
        <f t="shared" si="3"/>
        <v>Middle-Aged</v>
      </c>
      <c r="E239" s="43" t="str" cm="1">
        <f t="array" ref="E239:G239">_xlfn.XLOOKUP(A239,Table3[Customer_ID],Table3[[Gender]:[State]])</f>
        <v>Female</v>
      </c>
      <c r="F239" s="43" t="str">
        <v>Susanstad</v>
      </c>
      <c r="G239" s="43" t="str">
        <v>Montana</v>
      </c>
      <c r="H239" s="43" t="str">
        <f>IF(OR(Customer_Dim!G239="usa",G239="United States of America"),"USA")</f>
        <v>USA</v>
      </c>
      <c r="I239" s="43" t="str">
        <f>VLOOKUP(A239,Customer_Dim!A:H,8,0)</f>
        <v>Gold</v>
      </c>
    </row>
    <row r="240" spans="1:9" x14ac:dyDescent="0.3">
      <c r="A240" s="41" t="s">
        <v>764</v>
      </c>
      <c r="B240" s="42" t="str">
        <f>PROPER(Table3[[#This Row],[Name]])</f>
        <v>Steven Smith</v>
      </c>
      <c r="C240" s="43">
        <f>VLOOKUP(B240,Customer_Dim!B:C,2,0)</f>
        <v>40</v>
      </c>
      <c r="D240" s="43" t="str">
        <f t="shared" si="3"/>
        <v>Middle-Aged</v>
      </c>
      <c r="E240" s="43" t="str" cm="1">
        <f t="array" ref="E240:G240">_xlfn.XLOOKUP(A240,Table3[Customer_ID],Table3[[Gender]:[State]])</f>
        <v>Male</v>
      </c>
      <c r="F240" s="43" t="str">
        <v>Port Krista</v>
      </c>
      <c r="G240" s="43" t="str">
        <v>West Virginia</v>
      </c>
      <c r="H240" s="43" t="str">
        <f>IF(OR(Customer_Dim!G240="usa",G240="United States of America"),"USA")</f>
        <v>USA</v>
      </c>
      <c r="I240" s="43" t="str">
        <f>VLOOKUP(A240,Customer_Dim!A:H,8,0)</f>
        <v>Platinum</v>
      </c>
    </row>
    <row r="241" spans="1:9" x14ac:dyDescent="0.3">
      <c r="A241" s="41" t="s">
        <v>767</v>
      </c>
      <c r="B241" s="42" t="str">
        <f>PROPER(Table3[[#This Row],[Name]])</f>
        <v>Maria Hill</v>
      </c>
      <c r="C241" s="43">
        <f>VLOOKUP(B241,Customer_Dim!B:C,2,0)</f>
        <v>58</v>
      </c>
      <c r="D241" s="43" t="str">
        <f t="shared" si="3"/>
        <v>Senior</v>
      </c>
      <c r="E241" s="43" t="str" cm="1">
        <f t="array" ref="E241:G241">_xlfn.XLOOKUP(A241,Table3[Customer_ID],Table3[[Gender]:[State]])</f>
        <v>Female</v>
      </c>
      <c r="F241" s="43" t="str">
        <v>Zamoraborough</v>
      </c>
      <c r="G241" s="43" t="str">
        <v>Nevada</v>
      </c>
      <c r="H241" s="43" t="str">
        <f>IF(OR(Customer_Dim!G241="usa",G241="United States of America"),"USA")</f>
        <v>USA</v>
      </c>
      <c r="I241" s="43" t="str">
        <f>VLOOKUP(A241,Customer_Dim!A:H,8,0)</f>
        <v>Platinum</v>
      </c>
    </row>
    <row r="242" spans="1:9" x14ac:dyDescent="0.3">
      <c r="A242" s="41" t="s">
        <v>770</v>
      </c>
      <c r="B242" s="42" t="str">
        <f>PROPER(Table3[[#This Row],[Name]])</f>
        <v>William Hull</v>
      </c>
      <c r="C242" s="43">
        <f>VLOOKUP(B242,Customer_Dim!B:C,2,0)</f>
        <v>59</v>
      </c>
      <c r="D242" s="43" t="str">
        <f t="shared" si="3"/>
        <v>Senior</v>
      </c>
      <c r="E242" s="43" t="str" cm="1">
        <f t="array" ref="E242:G242">_xlfn.XLOOKUP(A242,Table3[Customer_ID],Table3[[Gender]:[State]])</f>
        <v>Female</v>
      </c>
      <c r="F242" s="43" t="str">
        <v>Heathfort</v>
      </c>
      <c r="G242" s="43" t="str">
        <v>Michigan</v>
      </c>
      <c r="H242" s="43" t="str">
        <f>IF(OR(Customer_Dim!G242="usa",G242="United States of America"),"USA")</f>
        <v>USA</v>
      </c>
      <c r="I242" s="43" t="str">
        <f>VLOOKUP(A242,Customer_Dim!A:H,8,0)</f>
        <v>Platinum</v>
      </c>
    </row>
    <row r="243" spans="1:9" x14ac:dyDescent="0.3">
      <c r="A243" s="41" t="s">
        <v>773</v>
      </c>
      <c r="B243" s="42" t="str">
        <f>PROPER(Table3[[#This Row],[Name]])</f>
        <v>Mr. William Horton</v>
      </c>
      <c r="C243" s="43">
        <f>VLOOKUP(B243,Customer_Dim!B:C,2,0)</f>
        <v>31</v>
      </c>
      <c r="D243" s="43" t="str">
        <f t="shared" si="3"/>
        <v>Middle-Aged</v>
      </c>
      <c r="E243" s="43" t="str" cm="1">
        <f t="array" ref="E243:G243">_xlfn.XLOOKUP(A243,Table3[Customer_ID],Table3[[Gender]:[State]])</f>
        <v>Male</v>
      </c>
      <c r="F243" s="43" t="str">
        <v>Dawsonchester</v>
      </c>
      <c r="G243" s="43" t="str">
        <v>Virginia</v>
      </c>
      <c r="H243" s="43" t="str">
        <f>IF(OR(Customer_Dim!G243="usa",G243="United States of America"),"USA")</f>
        <v>USA</v>
      </c>
      <c r="I243" s="43" t="str">
        <f>VLOOKUP(A243,Customer_Dim!A:H,8,0)</f>
        <v>Platinum</v>
      </c>
    </row>
    <row r="244" spans="1:9" x14ac:dyDescent="0.3">
      <c r="A244" s="41" t="s">
        <v>776</v>
      </c>
      <c r="B244" s="42" t="str">
        <f>PROPER(Table3[[#This Row],[Name]])</f>
        <v>William Jackson</v>
      </c>
      <c r="C244" s="43">
        <f>VLOOKUP(B244,Customer_Dim!B:C,2,0)</f>
        <v>58</v>
      </c>
      <c r="D244" s="43" t="str">
        <f t="shared" si="3"/>
        <v>Senior</v>
      </c>
      <c r="E244" s="43" t="str" cm="1">
        <f t="array" ref="E244:G244">_xlfn.XLOOKUP(A244,Table3[Customer_ID],Table3[[Gender]:[State]])</f>
        <v>Female</v>
      </c>
      <c r="F244" s="43" t="str">
        <v>New Tina</v>
      </c>
      <c r="G244" s="43" t="str">
        <v>Connecticut</v>
      </c>
      <c r="H244" s="43" t="str">
        <f>IF(OR(Customer_Dim!G244="usa",G244="United States of America"),"USA")</f>
        <v>USA</v>
      </c>
      <c r="I244" s="43" t="str">
        <f>VLOOKUP(A244,Customer_Dim!A:H,8,0)</f>
        <v>Silver</v>
      </c>
    </row>
    <row r="245" spans="1:9" x14ac:dyDescent="0.3">
      <c r="A245" s="41" t="s">
        <v>779</v>
      </c>
      <c r="B245" s="42" t="str">
        <f>PROPER(Table3[[#This Row],[Name]])</f>
        <v>Brian Hammond</v>
      </c>
      <c r="C245" s="43">
        <f>VLOOKUP(B245,Customer_Dim!B:C,2,0)</f>
        <v>56</v>
      </c>
      <c r="D245" s="43" t="str">
        <f t="shared" si="3"/>
        <v>Senior</v>
      </c>
      <c r="E245" s="43" t="str" cm="1">
        <f t="array" ref="E245:G245">_xlfn.XLOOKUP(A245,Table3[Customer_ID],Table3[[Gender]:[State]])</f>
        <v>Female</v>
      </c>
      <c r="F245" s="43" t="str">
        <v>North Nicholas</v>
      </c>
      <c r="G245" s="43" t="str">
        <v>Texas</v>
      </c>
      <c r="H245" s="43" t="str">
        <f>IF(OR(Customer_Dim!G245="usa",G245="United States of America"),"USA")</f>
        <v>USA</v>
      </c>
      <c r="I245" s="43" t="str">
        <f>VLOOKUP(A245,Customer_Dim!A:H,8,0)</f>
        <v>Gold</v>
      </c>
    </row>
    <row r="246" spans="1:9" x14ac:dyDescent="0.3">
      <c r="A246" s="41" t="s">
        <v>782</v>
      </c>
      <c r="B246" s="42" t="str">
        <f>PROPER(Table3[[#This Row],[Name]])</f>
        <v>Nancy Page</v>
      </c>
      <c r="C246" s="43">
        <f>VLOOKUP(B246,Customer_Dim!B:C,2,0)</f>
        <v>19</v>
      </c>
      <c r="D246" s="43" t="str">
        <f t="shared" si="3"/>
        <v>Young</v>
      </c>
      <c r="E246" s="43" t="str" cm="1">
        <f t="array" ref="E246:G246">_xlfn.XLOOKUP(A246,Table3[Customer_ID],Table3[[Gender]:[State]])</f>
        <v>Male</v>
      </c>
      <c r="F246" s="43" t="str">
        <v>West Julia</v>
      </c>
      <c r="G246" s="43" t="str">
        <v>Utah</v>
      </c>
      <c r="H246" s="43" t="str">
        <f>IF(OR(Customer_Dim!G246="usa",G246="United States of America"),"USA")</f>
        <v>USA</v>
      </c>
      <c r="I246" s="43" t="str">
        <f>VLOOKUP(A246,Customer_Dim!A:H,8,0)</f>
        <v>Bronze</v>
      </c>
    </row>
    <row r="247" spans="1:9" x14ac:dyDescent="0.3">
      <c r="A247" s="41" t="s">
        <v>785</v>
      </c>
      <c r="B247" s="42" t="str">
        <f>PROPER(Table3[[#This Row],[Name]])</f>
        <v>Laura Soto</v>
      </c>
      <c r="C247" s="43">
        <f>VLOOKUP(B247,Customer_Dim!B:C,2,0)</f>
        <v>57</v>
      </c>
      <c r="D247" s="43" t="str">
        <f t="shared" si="3"/>
        <v>Senior</v>
      </c>
      <c r="E247" s="43" t="str" cm="1">
        <f t="array" ref="E247:G247">_xlfn.XLOOKUP(A247,Table3[Customer_ID],Table3[[Gender]:[State]])</f>
        <v>Female</v>
      </c>
      <c r="F247" s="43" t="str">
        <v>Rodriguezton</v>
      </c>
      <c r="G247" s="43" t="str">
        <v>Michigan</v>
      </c>
      <c r="H247" s="43" t="str">
        <f>IF(OR(Customer_Dim!G247="usa",G247="United States of America"),"USA")</f>
        <v>USA</v>
      </c>
      <c r="I247" s="43" t="str">
        <f>VLOOKUP(A247,Customer_Dim!A:H,8,0)</f>
        <v>Platinum</v>
      </c>
    </row>
    <row r="248" spans="1:9" x14ac:dyDescent="0.3">
      <c r="A248" s="41" t="s">
        <v>788</v>
      </c>
      <c r="B248" s="42" t="str">
        <f>PROPER(Table3[[#This Row],[Name]])</f>
        <v>Mary Russell</v>
      </c>
      <c r="C248" s="43">
        <f>VLOOKUP(B248,Customer_Dim!B:C,2,0)</f>
        <v>58</v>
      </c>
      <c r="D248" s="43" t="str">
        <f t="shared" si="3"/>
        <v>Senior</v>
      </c>
      <c r="E248" s="43" t="str" cm="1">
        <f t="array" ref="E248:G248">_xlfn.XLOOKUP(A248,Table3[Customer_ID],Table3[[Gender]:[State]])</f>
        <v>Male</v>
      </c>
      <c r="F248" s="43" t="str">
        <v>South Regina</v>
      </c>
      <c r="G248" s="43" t="str">
        <v>Arkansas</v>
      </c>
      <c r="H248" s="43" t="str">
        <f>IF(OR(Customer_Dim!G248="usa",G248="United States of America"),"USA")</f>
        <v>USA</v>
      </c>
      <c r="I248" s="43" t="str">
        <f>VLOOKUP(A248,Customer_Dim!A:H,8,0)</f>
        <v>Bronze</v>
      </c>
    </row>
    <row r="249" spans="1:9" x14ac:dyDescent="0.3">
      <c r="A249" s="41" t="s">
        <v>791</v>
      </c>
      <c r="B249" s="42" t="str">
        <f>PROPER(Table3[[#This Row],[Name]])</f>
        <v>Douglas Rhodes</v>
      </c>
      <c r="C249" s="43">
        <f>VLOOKUP(B249,Customer_Dim!B:C,2,0)</f>
        <v>32</v>
      </c>
      <c r="D249" s="43" t="str">
        <f t="shared" si="3"/>
        <v>Middle-Aged</v>
      </c>
      <c r="E249" s="43" t="str" cm="1">
        <f t="array" ref="E249:G249">_xlfn.XLOOKUP(A249,Table3[Customer_ID],Table3[[Gender]:[State]])</f>
        <v>Male</v>
      </c>
      <c r="F249" s="43" t="str">
        <v>Mikehaven</v>
      </c>
      <c r="G249" s="43" t="str">
        <v>New Hampshire</v>
      </c>
      <c r="H249" s="43" t="str">
        <f>IF(OR(Customer_Dim!G249="usa",G249="United States of America"),"USA")</f>
        <v>USA</v>
      </c>
      <c r="I249" s="43" t="str">
        <f>VLOOKUP(A249,Customer_Dim!A:H,8,0)</f>
        <v>Platinum</v>
      </c>
    </row>
    <row r="250" spans="1:9" x14ac:dyDescent="0.3">
      <c r="A250" s="41" t="s">
        <v>794</v>
      </c>
      <c r="B250" s="42" t="str">
        <f>PROPER(Table3[[#This Row],[Name]])</f>
        <v>Nicholas Webb</v>
      </c>
      <c r="C250" s="43">
        <f>VLOOKUP(B250,Customer_Dim!B:C,2,0)</f>
        <v>19</v>
      </c>
      <c r="D250" s="43" t="str">
        <f t="shared" si="3"/>
        <v>Young</v>
      </c>
      <c r="E250" s="43" t="str" cm="1">
        <f t="array" ref="E250:G250">_xlfn.XLOOKUP(A250,Table3[Customer_ID],Table3[[Gender]:[State]])</f>
        <v>Male</v>
      </c>
      <c r="F250" s="43" t="str">
        <v>Lake Timothy</v>
      </c>
      <c r="G250" s="43" t="str">
        <v>Nevada</v>
      </c>
      <c r="H250" s="43" t="str">
        <f>IF(OR(Customer_Dim!G250="usa",G250="United States of America"),"USA")</f>
        <v>USA</v>
      </c>
      <c r="I250" s="43" t="str">
        <f>VLOOKUP(A250,Customer_Dim!A:H,8,0)</f>
        <v>Gold</v>
      </c>
    </row>
    <row r="251" spans="1:9" x14ac:dyDescent="0.3">
      <c r="A251" s="41" t="s">
        <v>797</v>
      </c>
      <c r="B251" s="42" t="str">
        <f>PROPER(Table3[[#This Row],[Name]])</f>
        <v>Lauren George</v>
      </c>
      <c r="C251" s="43">
        <f>VLOOKUP(B251,Customer_Dim!B:C,2,0)</f>
        <v>41</v>
      </c>
      <c r="D251" s="43" t="str">
        <f t="shared" si="3"/>
        <v>Middle-Aged</v>
      </c>
      <c r="E251" s="43" t="str" cm="1">
        <f t="array" ref="E251:G251">_xlfn.XLOOKUP(A251,Table3[Customer_ID],Table3[[Gender]:[State]])</f>
        <v>Female</v>
      </c>
      <c r="F251" s="43" t="str">
        <v>Garciamouth</v>
      </c>
      <c r="G251" s="43" t="str">
        <v>New York</v>
      </c>
      <c r="H251" s="43" t="str">
        <f>IF(OR(Customer_Dim!G251="usa",G251="United States of America"),"USA")</f>
        <v>USA</v>
      </c>
      <c r="I251" s="43" t="str">
        <f>VLOOKUP(A251,Customer_Dim!A:H,8,0)</f>
        <v>Gold</v>
      </c>
    </row>
    <row r="252" spans="1:9" x14ac:dyDescent="0.3">
      <c r="A252" s="41" t="s">
        <v>800</v>
      </c>
      <c r="B252" s="42" t="str">
        <f>PROPER(Table3[[#This Row],[Name]])</f>
        <v>Veronica Newman</v>
      </c>
      <c r="C252" s="43">
        <f>VLOOKUP(B252,Customer_Dim!B:C,2,0)</f>
        <v>48</v>
      </c>
      <c r="D252" s="43" t="str">
        <f t="shared" si="3"/>
        <v>Middle-Aged</v>
      </c>
      <c r="E252" s="43" t="str" cm="1">
        <f t="array" ref="E252:G252">_xlfn.XLOOKUP(A252,Table3[Customer_ID],Table3[[Gender]:[State]])</f>
        <v>Male</v>
      </c>
      <c r="F252" s="43" t="str">
        <v>New Daniel</v>
      </c>
      <c r="G252" s="43" t="str">
        <v>Delaware</v>
      </c>
      <c r="H252" s="43" t="str">
        <f>IF(OR(Customer_Dim!G252="usa",G252="United States of America"),"USA")</f>
        <v>USA</v>
      </c>
      <c r="I252" s="43" t="str">
        <f>VLOOKUP(A252,Customer_Dim!A:H,8,0)</f>
        <v>Platinum</v>
      </c>
    </row>
    <row r="253" spans="1:9" x14ac:dyDescent="0.3">
      <c r="A253" s="41" t="s">
        <v>803</v>
      </c>
      <c r="B253" s="42" t="str">
        <f>PROPER(Table3[[#This Row],[Name]])</f>
        <v>Tyler Garner</v>
      </c>
      <c r="C253" s="43">
        <f>VLOOKUP(B253,Customer_Dim!B:C,2,0)</f>
        <v>64</v>
      </c>
      <c r="D253" s="43" t="str">
        <f t="shared" si="3"/>
        <v>Senior</v>
      </c>
      <c r="E253" s="43" t="str" cm="1">
        <f t="array" ref="E253:G253">_xlfn.XLOOKUP(A253,Table3[Customer_ID],Table3[[Gender]:[State]])</f>
        <v>Male</v>
      </c>
      <c r="F253" s="43" t="str">
        <v>Port Coreyfort</v>
      </c>
      <c r="G253" s="43" t="str">
        <v>Alabama</v>
      </c>
      <c r="H253" s="43" t="str">
        <f>IF(OR(Customer_Dim!G253="usa",G253="United States of America"),"USA")</f>
        <v>USA</v>
      </c>
      <c r="I253" s="43" t="str">
        <f>VLOOKUP(A253,Customer_Dim!A:H,8,0)</f>
        <v>Silver</v>
      </c>
    </row>
    <row r="254" spans="1:9" x14ac:dyDescent="0.3">
      <c r="A254" s="41" t="s">
        <v>806</v>
      </c>
      <c r="B254" s="42" t="str">
        <f>PROPER(Table3[[#This Row],[Name]])</f>
        <v>John Mccoy</v>
      </c>
      <c r="C254" s="43">
        <f>VLOOKUP(B254,Customer_Dim!B:C,2,0)</f>
        <v>26</v>
      </c>
      <c r="D254" s="43" t="str">
        <f t="shared" si="3"/>
        <v>Young</v>
      </c>
      <c r="E254" s="43" t="str" cm="1">
        <f t="array" ref="E254:G254">_xlfn.XLOOKUP(A254,Table3[Customer_ID],Table3[[Gender]:[State]])</f>
        <v>Male</v>
      </c>
      <c r="F254" s="43" t="str">
        <v>Robinborough</v>
      </c>
      <c r="G254" s="43" t="str">
        <v>South Dakota</v>
      </c>
      <c r="H254" s="43" t="str">
        <f>IF(OR(Customer_Dim!G254="usa",G254="United States of America"),"USA")</f>
        <v>USA</v>
      </c>
      <c r="I254" s="43" t="str">
        <f>VLOOKUP(A254,Customer_Dim!A:H,8,0)</f>
        <v>Silver</v>
      </c>
    </row>
    <row r="255" spans="1:9" x14ac:dyDescent="0.3">
      <c r="A255" s="41" t="s">
        <v>809</v>
      </c>
      <c r="B255" s="42" t="str">
        <f>PROPER(Table3[[#This Row],[Name]])</f>
        <v>Dr. Ashley Yates Md</v>
      </c>
      <c r="C255" s="43">
        <f>VLOOKUP(B255,Customer_Dim!B:C,2,0)</f>
        <v>32</v>
      </c>
      <c r="D255" s="43" t="str">
        <f t="shared" si="3"/>
        <v>Middle-Aged</v>
      </c>
      <c r="E255" s="43" t="str" cm="1">
        <f t="array" ref="E255:G255">_xlfn.XLOOKUP(A255,Table3[Customer_ID],Table3[[Gender]:[State]])</f>
        <v>Male</v>
      </c>
      <c r="F255" s="43" t="str">
        <v>New Maria</v>
      </c>
      <c r="G255" s="43" t="str">
        <v>Wisconsin</v>
      </c>
      <c r="H255" s="43" t="str">
        <f>IF(OR(Customer_Dim!G255="usa",G255="United States of America"),"USA")</f>
        <v>USA</v>
      </c>
      <c r="I255" s="43" t="str">
        <f>VLOOKUP(A255,Customer_Dim!A:H,8,0)</f>
        <v>Bronze</v>
      </c>
    </row>
    <row r="256" spans="1:9" x14ac:dyDescent="0.3">
      <c r="A256" s="41" t="s">
        <v>812</v>
      </c>
      <c r="B256" s="42" t="str">
        <f>PROPER(Table3[[#This Row],[Name]])</f>
        <v>Linda Kline</v>
      </c>
      <c r="C256" s="43">
        <f>VLOOKUP(B256,Customer_Dim!B:C,2,0)</f>
        <v>34</v>
      </c>
      <c r="D256" s="43" t="str">
        <f t="shared" si="3"/>
        <v>Middle-Aged</v>
      </c>
      <c r="E256" s="43" t="str" cm="1">
        <f t="array" ref="E256:G256">_xlfn.XLOOKUP(A256,Table3[Customer_ID],Table3[[Gender]:[State]])</f>
        <v>Male</v>
      </c>
      <c r="F256" s="43" t="str">
        <v>Masseyland</v>
      </c>
      <c r="G256" s="43" t="str">
        <v>Alaska</v>
      </c>
      <c r="H256" s="43" t="str">
        <f>IF(OR(Customer_Dim!G256="usa",G256="United States of America"),"USA")</f>
        <v>USA</v>
      </c>
      <c r="I256" s="43" t="str">
        <f>VLOOKUP(A256,Customer_Dim!A:H,8,0)</f>
        <v>Silver</v>
      </c>
    </row>
    <row r="257" spans="1:9" x14ac:dyDescent="0.3">
      <c r="A257" s="41" t="s">
        <v>815</v>
      </c>
      <c r="B257" s="42" t="str">
        <f>PROPER(Table3[[#This Row],[Name]])</f>
        <v>Damon Perez</v>
      </c>
      <c r="C257" s="43">
        <f>VLOOKUP(B257,Customer_Dim!B:C,2,0)</f>
        <v>21</v>
      </c>
      <c r="D257" s="43" t="str">
        <f t="shared" si="3"/>
        <v>Young</v>
      </c>
      <c r="E257" s="43" t="str" cm="1">
        <f t="array" ref="E257:G257">_xlfn.XLOOKUP(A257,Table3[Customer_ID],Table3[[Gender]:[State]])</f>
        <v>Male</v>
      </c>
      <c r="F257" s="43" t="str">
        <v>Jasonton</v>
      </c>
      <c r="G257" s="43" t="str">
        <v>Ohio</v>
      </c>
      <c r="H257" s="43" t="str">
        <f>IF(OR(Customer_Dim!G257="usa",G257="United States of America"),"USA")</f>
        <v>USA</v>
      </c>
      <c r="I257" s="43" t="str">
        <f>VLOOKUP(A257,Customer_Dim!A:H,8,0)</f>
        <v>Gold</v>
      </c>
    </row>
    <row r="258" spans="1:9" x14ac:dyDescent="0.3">
      <c r="A258" s="41" t="s">
        <v>818</v>
      </c>
      <c r="B258" s="42" t="str">
        <f>PROPER(Table3[[#This Row],[Name]])</f>
        <v>Kristen Fischer</v>
      </c>
      <c r="C258" s="43">
        <f>VLOOKUP(B258,Customer_Dim!B:C,2,0)</f>
        <v>57</v>
      </c>
      <c r="D258" s="43" t="str">
        <f t="shared" si="3"/>
        <v>Senior</v>
      </c>
      <c r="E258" s="43" t="str" cm="1">
        <f t="array" ref="E258:G258">_xlfn.XLOOKUP(A258,Table3[Customer_ID],Table3[[Gender]:[State]])</f>
        <v>Male</v>
      </c>
      <c r="F258" s="43" t="str">
        <v>Lake Christopher</v>
      </c>
      <c r="G258" s="43" t="str">
        <v>Arkansas</v>
      </c>
      <c r="H258" s="43" t="str">
        <f>IF(OR(Customer_Dim!G258="usa",G258="United States of America"),"USA")</f>
        <v>USA</v>
      </c>
      <c r="I258" s="43" t="str">
        <f>VLOOKUP(A258,Customer_Dim!A:H,8,0)</f>
        <v>Platinum</v>
      </c>
    </row>
    <row r="259" spans="1:9" x14ac:dyDescent="0.3">
      <c r="A259" s="41" t="s">
        <v>821</v>
      </c>
      <c r="B259" s="42" t="str">
        <f>PROPER(Table3[[#This Row],[Name]])</f>
        <v>Christopher David</v>
      </c>
      <c r="C259" s="43">
        <f>VLOOKUP(B259,Customer_Dim!B:C,2,0)</f>
        <v>42</v>
      </c>
      <c r="D259" s="43" t="str">
        <f t="shared" ref="D259:D322" si="4">IF(C259&lt;30,"Young",IF(C259&lt;=50,"Middle-Aged","Senior"))</f>
        <v>Middle-Aged</v>
      </c>
      <c r="E259" s="43" t="str" cm="1">
        <f t="array" ref="E259:G259">_xlfn.XLOOKUP(A259,Table3[Customer_ID],Table3[[Gender]:[State]])</f>
        <v>Male</v>
      </c>
      <c r="F259" s="43" t="str">
        <v>Karenmouth</v>
      </c>
      <c r="G259" s="43" t="str">
        <v>Massachusetts</v>
      </c>
      <c r="H259" s="43" t="str">
        <f>IF(OR(Customer_Dim!G259="usa",G259="United States of America"),"USA")</f>
        <v>USA</v>
      </c>
      <c r="I259" s="43" t="str">
        <f>VLOOKUP(A259,Customer_Dim!A:H,8,0)</f>
        <v>Silver</v>
      </c>
    </row>
    <row r="260" spans="1:9" x14ac:dyDescent="0.3">
      <c r="A260" s="41" t="s">
        <v>824</v>
      </c>
      <c r="B260" s="42" t="str">
        <f>PROPER(Table3[[#This Row],[Name]])</f>
        <v>Sarah Stewart</v>
      </c>
      <c r="C260" s="43">
        <f>VLOOKUP(B260,Customer_Dim!B:C,2,0)</f>
        <v>24</v>
      </c>
      <c r="D260" s="43" t="str">
        <f t="shared" si="4"/>
        <v>Young</v>
      </c>
      <c r="E260" s="43" t="str" cm="1">
        <f t="array" ref="E260:G260">_xlfn.XLOOKUP(A260,Table3[Customer_ID],Table3[[Gender]:[State]])</f>
        <v>Female</v>
      </c>
      <c r="F260" s="43" t="str">
        <v>East Richard</v>
      </c>
      <c r="G260" s="43" t="str">
        <v>Texas</v>
      </c>
      <c r="H260" s="43" t="str">
        <f>IF(OR(Customer_Dim!G260="usa",G260="United States of America"),"USA")</f>
        <v>USA</v>
      </c>
      <c r="I260" s="43" t="str">
        <f>VLOOKUP(A260,Customer_Dim!A:H,8,0)</f>
        <v>Platinum</v>
      </c>
    </row>
    <row r="261" spans="1:9" x14ac:dyDescent="0.3">
      <c r="A261" s="41" t="s">
        <v>827</v>
      </c>
      <c r="B261" s="42" t="str">
        <f>PROPER(Table3[[#This Row],[Name]])</f>
        <v>Beth Allen</v>
      </c>
      <c r="C261" s="43">
        <f>VLOOKUP(B261,Customer_Dim!B:C,2,0)</f>
        <v>32</v>
      </c>
      <c r="D261" s="43" t="str">
        <f t="shared" si="4"/>
        <v>Middle-Aged</v>
      </c>
      <c r="E261" s="43" t="str" cm="1">
        <f t="array" ref="E261:G261">_xlfn.XLOOKUP(A261,Table3[Customer_ID],Table3[[Gender]:[State]])</f>
        <v>Female</v>
      </c>
      <c r="F261" s="43" t="str">
        <v>South Kathrynmouth</v>
      </c>
      <c r="G261" s="43" t="str">
        <v>Oklahoma</v>
      </c>
      <c r="H261" s="43" t="str">
        <f>IF(OR(Customer_Dim!G261="usa",G261="United States of America"),"USA")</f>
        <v>USA</v>
      </c>
      <c r="I261" s="43" t="str">
        <f>VLOOKUP(A261,Customer_Dim!A:H,8,0)</f>
        <v>Silver</v>
      </c>
    </row>
    <row r="262" spans="1:9" x14ac:dyDescent="0.3">
      <c r="A262" s="41" t="s">
        <v>830</v>
      </c>
      <c r="B262" s="42" t="str">
        <f>PROPER(Table3[[#This Row],[Name]])</f>
        <v>Russell Lamb</v>
      </c>
      <c r="C262" s="43">
        <f>VLOOKUP(B262,Customer_Dim!B:C,2,0)</f>
        <v>63</v>
      </c>
      <c r="D262" s="43" t="str">
        <f t="shared" si="4"/>
        <v>Senior</v>
      </c>
      <c r="E262" s="43" t="str" cm="1">
        <f t="array" ref="E262:G262">_xlfn.XLOOKUP(A262,Table3[Customer_ID],Table3[[Gender]:[State]])</f>
        <v>Female</v>
      </c>
      <c r="F262" s="43" t="str">
        <v>North Jonathon</v>
      </c>
      <c r="G262" s="43" t="str">
        <v>Arizona</v>
      </c>
      <c r="H262" s="43" t="str">
        <f>IF(OR(Customer_Dim!G262="usa",G262="United States of America"),"USA")</f>
        <v>USA</v>
      </c>
      <c r="I262" s="43" t="str">
        <f>VLOOKUP(A262,Customer_Dim!A:H,8,0)</f>
        <v>Platinum</v>
      </c>
    </row>
    <row r="263" spans="1:9" x14ac:dyDescent="0.3">
      <c r="A263" s="41" t="s">
        <v>833</v>
      </c>
      <c r="B263" s="42" t="str">
        <f>PROPER(Table3[[#This Row],[Name]])</f>
        <v>Carol Bishop</v>
      </c>
      <c r="C263" s="43">
        <f>VLOOKUP(B263,Customer_Dim!B:C,2,0)</f>
        <v>27</v>
      </c>
      <c r="D263" s="43" t="str">
        <f t="shared" si="4"/>
        <v>Young</v>
      </c>
      <c r="E263" s="43" t="str" cm="1">
        <f t="array" ref="E263:G263">_xlfn.XLOOKUP(A263,Table3[Customer_ID],Table3[[Gender]:[State]])</f>
        <v>Female</v>
      </c>
      <c r="F263" s="43" t="str">
        <v>Lake Saramouth</v>
      </c>
      <c r="G263" s="43" t="str">
        <v>Oregon</v>
      </c>
      <c r="H263" s="43" t="str">
        <f>IF(OR(Customer_Dim!G263="usa",G263="United States of America"),"USA")</f>
        <v>USA</v>
      </c>
      <c r="I263" s="43" t="str">
        <f>VLOOKUP(A263,Customer_Dim!A:H,8,0)</f>
        <v>Silver</v>
      </c>
    </row>
    <row r="264" spans="1:9" x14ac:dyDescent="0.3">
      <c r="A264" s="41" t="s">
        <v>836</v>
      </c>
      <c r="B264" s="42" t="str">
        <f>PROPER(Table3[[#This Row],[Name]])</f>
        <v>Katherine Cowan</v>
      </c>
      <c r="C264" s="43">
        <f>VLOOKUP(B264,Customer_Dim!B:C,2,0)</f>
        <v>60</v>
      </c>
      <c r="D264" s="43" t="str">
        <f t="shared" si="4"/>
        <v>Senior</v>
      </c>
      <c r="E264" s="43" t="str" cm="1">
        <f t="array" ref="E264:G264">_xlfn.XLOOKUP(A264,Table3[Customer_ID],Table3[[Gender]:[State]])</f>
        <v>Female</v>
      </c>
      <c r="F264" s="43" t="str">
        <v>New Ana</v>
      </c>
      <c r="G264" s="43" t="str">
        <v>Montana</v>
      </c>
      <c r="H264" s="43" t="str">
        <f>IF(OR(Customer_Dim!G264="usa",G264="United States of America"),"USA")</f>
        <v>USA</v>
      </c>
      <c r="I264" s="43" t="str">
        <f>VLOOKUP(A264,Customer_Dim!A:H,8,0)</f>
        <v>Silver</v>
      </c>
    </row>
    <row r="265" spans="1:9" x14ac:dyDescent="0.3">
      <c r="A265" s="41" t="s">
        <v>839</v>
      </c>
      <c r="B265" s="42" t="str">
        <f>PROPER(Table3[[#This Row],[Name]])</f>
        <v>Crystal Davis</v>
      </c>
      <c r="C265" s="43">
        <f>VLOOKUP(B265,Customer_Dim!B:C,2,0)</f>
        <v>50</v>
      </c>
      <c r="D265" s="43" t="str">
        <f t="shared" si="4"/>
        <v>Middle-Aged</v>
      </c>
      <c r="E265" s="43" t="str" cm="1">
        <f t="array" ref="E265:G265">_xlfn.XLOOKUP(A265,Table3[Customer_ID],Table3[[Gender]:[State]])</f>
        <v>Male</v>
      </c>
      <c r="F265" s="43" t="str">
        <v>Sallymouth</v>
      </c>
      <c r="G265" s="43" t="str">
        <v>Louisiana</v>
      </c>
      <c r="H265" s="43" t="str">
        <f>IF(OR(Customer_Dim!G265="usa",G265="United States of America"),"USA")</f>
        <v>USA</v>
      </c>
      <c r="I265" s="43" t="str">
        <f>VLOOKUP(A265,Customer_Dim!A:H,8,0)</f>
        <v>Bronze</v>
      </c>
    </row>
    <row r="266" spans="1:9" x14ac:dyDescent="0.3">
      <c r="A266" s="41" t="s">
        <v>842</v>
      </c>
      <c r="B266" s="42" t="str">
        <f>PROPER(Table3[[#This Row],[Name]])</f>
        <v>Matthew Payne</v>
      </c>
      <c r="C266" s="43">
        <f>VLOOKUP(B266,Customer_Dim!B:C,2,0)</f>
        <v>25</v>
      </c>
      <c r="D266" s="43" t="str">
        <f t="shared" si="4"/>
        <v>Young</v>
      </c>
      <c r="E266" s="43" t="str" cm="1">
        <f t="array" ref="E266:G266">_xlfn.XLOOKUP(A266,Table3[Customer_ID],Table3[[Gender]:[State]])</f>
        <v>Male</v>
      </c>
      <c r="F266" s="43" t="str">
        <v>Grahamfurt</v>
      </c>
      <c r="G266" s="43" t="str">
        <v>Wyoming</v>
      </c>
      <c r="H266" s="43" t="str">
        <f>IF(OR(Customer_Dim!G266="usa",G266="United States of America"),"USA")</f>
        <v>USA</v>
      </c>
      <c r="I266" s="43" t="str">
        <f>VLOOKUP(A266,Customer_Dim!A:H,8,0)</f>
        <v>Gold</v>
      </c>
    </row>
    <row r="267" spans="1:9" x14ac:dyDescent="0.3">
      <c r="A267" s="41" t="s">
        <v>846</v>
      </c>
      <c r="B267" s="42" t="str">
        <f>PROPER(Table3[[#This Row],[Name]])</f>
        <v>Tracy Kelly</v>
      </c>
      <c r="C267" s="43">
        <f>VLOOKUP(B267,Customer_Dim!B:C,2,0)</f>
        <v>38</v>
      </c>
      <c r="D267" s="43" t="str">
        <f t="shared" si="4"/>
        <v>Middle-Aged</v>
      </c>
      <c r="E267" s="43" t="str" cm="1">
        <f t="array" ref="E267:G267">_xlfn.XLOOKUP(A267,Table3[Customer_ID],Table3[[Gender]:[State]])</f>
        <v>Male</v>
      </c>
      <c r="F267" s="43" t="str">
        <v>West Jamieport</v>
      </c>
      <c r="G267" s="43" t="str">
        <v>Tennessee</v>
      </c>
      <c r="H267" s="43" t="str">
        <f>IF(OR(Customer_Dim!G267="usa",G267="United States of America"),"USA")</f>
        <v>USA</v>
      </c>
      <c r="I267" s="43" t="str">
        <f>VLOOKUP(A267,Customer_Dim!A:H,8,0)</f>
        <v>Silver</v>
      </c>
    </row>
    <row r="268" spans="1:9" x14ac:dyDescent="0.3">
      <c r="A268" s="41" t="s">
        <v>849</v>
      </c>
      <c r="B268" s="42" t="str">
        <f>PROPER(Table3[[#This Row],[Name]])</f>
        <v>Cynthia Payne</v>
      </c>
      <c r="C268" s="43">
        <f>VLOOKUP(B268,Customer_Dim!B:C,2,0)</f>
        <v>32</v>
      </c>
      <c r="D268" s="43" t="str">
        <f t="shared" si="4"/>
        <v>Middle-Aged</v>
      </c>
      <c r="E268" s="43" t="str" cm="1">
        <f t="array" ref="E268:G268">_xlfn.XLOOKUP(A268,Table3[Customer_ID],Table3[[Gender]:[State]])</f>
        <v>Female</v>
      </c>
      <c r="F268" s="43" t="str">
        <v>South Gina</v>
      </c>
      <c r="G268" s="43" t="str">
        <v>Kentucky</v>
      </c>
      <c r="H268" s="43" t="str">
        <f>IF(OR(Customer_Dim!G268="usa",G268="United States of America"),"USA")</f>
        <v>USA</v>
      </c>
      <c r="I268" s="43" t="str">
        <f>VLOOKUP(A268,Customer_Dim!A:H,8,0)</f>
        <v>Bronze</v>
      </c>
    </row>
    <row r="269" spans="1:9" x14ac:dyDescent="0.3">
      <c r="A269" s="41" t="s">
        <v>852</v>
      </c>
      <c r="B269" s="42" t="str">
        <f>PROPER(Table3[[#This Row],[Name]])</f>
        <v>Zachary Shelton</v>
      </c>
      <c r="C269" s="43">
        <f>VLOOKUP(B269,Customer_Dim!B:C,2,0)</f>
        <v>18</v>
      </c>
      <c r="D269" s="43" t="str">
        <f t="shared" si="4"/>
        <v>Young</v>
      </c>
      <c r="E269" s="43" t="str" cm="1">
        <f t="array" ref="E269:G269">_xlfn.XLOOKUP(A269,Table3[Customer_ID],Table3[[Gender]:[State]])</f>
        <v>Male</v>
      </c>
      <c r="F269" s="43" t="str">
        <v>North Nicholas</v>
      </c>
      <c r="G269" s="43" t="str">
        <v>Montana</v>
      </c>
      <c r="H269" s="43" t="str">
        <f>IF(OR(Customer_Dim!G269="usa",G269="United States of America"),"USA")</f>
        <v>USA</v>
      </c>
      <c r="I269" s="43" t="str">
        <f>VLOOKUP(A269,Customer_Dim!A:H,8,0)</f>
        <v>Bronze</v>
      </c>
    </row>
    <row r="270" spans="1:9" x14ac:dyDescent="0.3">
      <c r="A270" s="41" t="s">
        <v>854</v>
      </c>
      <c r="B270" s="42" t="str">
        <f>PROPER(Table3[[#This Row],[Name]])</f>
        <v>Kevin Orr</v>
      </c>
      <c r="C270" s="43">
        <f>VLOOKUP(B270,Customer_Dim!B:C,2,0)</f>
        <v>53</v>
      </c>
      <c r="D270" s="43" t="str">
        <f t="shared" si="4"/>
        <v>Senior</v>
      </c>
      <c r="E270" s="43" t="str" cm="1">
        <f t="array" ref="E270:G270">_xlfn.XLOOKUP(A270,Table3[Customer_ID],Table3[[Gender]:[State]])</f>
        <v>Female</v>
      </c>
      <c r="F270" s="43" t="str">
        <v>Ryanberg</v>
      </c>
      <c r="G270" s="43" t="str">
        <v>Minnesota</v>
      </c>
      <c r="H270" s="43" t="str">
        <f>IF(OR(Customer_Dim!G270="usa",G270="United States of America"),"USA")</f>
        <v>USA</v>
      </c>
      <c r="I270" s="43" t="str">
        <f>VLOOKUP(A270,Customer_Dim!A:H,8,0)</f>
        <v>Bronze</v>
      </c>
    </row>
    <row r="271" spans="1:9" x14ac:dyDescent="0.3">
      <c r="A271" s="41" t="s">
        <v>857</v>
      </c>
      <c r="B271" s="42" t="str">
        <f>PROPER(Table3[[#This Row],[Name]])</f>
        <v>Tyrone Olson</v>
      </c>
      <c r="C271" s="43">
        <f>VLOOKUP(B271,Customer_Dim!B:C,2,0)</f>
        <v>45</v>
      </c>
      <c r="D271" s="43" t="str">
        <f t="shared" si="4"/>
        <v>Middle-Aged</v>
      </c>
      <c r="E271" s="43" t="str" cm="1">
        <f t="array" ref="E271:G271">_xlfn.XLOOKUP(A271,Table3[Customer_ID],Table3[[Gender]:[State]])</f>
        <v>Female</v>
      </c>
      <c r="F271" s="43" t="str">
        <v>Emilytown</v>
      </c>
      <c r="G271" s="43" t="str">
        <v>California</v>
      </c>
      <c r="H271" s="43" t="str">
        <f>IF(OR(Customer_Dim!G271="usa",G271="United States of America"),"USA")</f>
        <v>USA</v>
      </c>
      <c r="I271" s="43" t="str">
        <f>VLOOKUP(A271,Customer_Dim!A:H,8,0)</f>
        <v>Silver</v>
      </c>
    </row>
    <row r="272" spans="1:9" x14ac:dyDescent="0.3">
      <c r="A272" s="41" t="s">
        <v>860</v>
      </c>
      <c r="B272" s="42" t="str">
        <f>PROPER(Table3[[#This Row],[Name]])</f>
        <v>Brian Garcia</v>
      </c>
      <c r="C272" s="43">
        <f>VLOOKUP(B272,Customer_Dim!B:C,2,0)</f>
        <v>31</v>
      </c>
      <c r="D272" s="43" t="str">
        <f t="shared" si="4"/>
        <v>Middle-Aged</v>
      </c>
      <c r="E272" s="43" t="str" cm="1">
        <f t="array" ref="E272:G272">_xlfn.XLOOKUP(A272,Table3[Customer_ID],Table3[[Gender]:[State]])</f>
        <v>Female</v>
      </c>
      <c r="F272" s="43" t="str">
        <v>Ramosmouth</v>
      </c>
      <c r="G272" s="43" t="str">
        <v>Louisiana</v>
      </c>
      <c r="H272" s="43" t="str">
        <f>IF(OR(Customer_Dim!G272="usa",G272="United States of America"),"USA")</f>
        <v>USA</v>
      </c>
      <c r="I272" s="43" t="str">
        <f>VLOOKUP(A272,Customer_Dim!A:H,8,0)</f>
        <v>Gold</v>
      </c>
    </row>
    <row r="273" spans="1:9" x14ac:dyDescent="0.3">
      <c r="A273" s="41" t="s">
        <v>863</v>
      </c>
      <c r="B273" s="42" t="str">
        <f>PROPER(Table3[[#This Row],[Name]])</f>
        <v>Daisy Johnson Dds</v>
      </c>
      <c r="C273" s="43">
        <f>VLOOKUP(B273,Customer_Dim!B:C,2,0)</f>
        <v>64</v>
      </c>
      <c r="D273" s="43" t="str">
        <f t="shared" si="4"/>
        <v>Senior</v>
      </c>
      <c r="E273" s="43" t="str" cm="1">
        <f t="array" ref="E273:G273">_xlfn.XLOOKUP(A273,Table3[Customer_ID],Table3[[Gender]:[State]])</f>
        <v>Male</v>
      </c>
      <c r="F273" s="43" t="str">
        <v>North Stephanie</v>
      </c>
      <c r="G273" s="43" t="str">
        <v>Nebraska</v>
      </c>
      <c r="H273" s="43" t="str">
        <f>IF(OR(Customer_Dim!G273="usa",G273="United States of America"),"USA")</f>
        <v>USA</v>
      </c>
      <c r="I273" s="43" t="str">
        <f>VLOOKUP(A273,Customer_Dim!A:H,8,0)</f>
        <v>Platinum</v>
      </c>
    </row>
    <row r="274" spans="1:9" x14ac:dyDescent="0.3">
      <c r="A274" s="41" t="s">
        <v>866</v>
      </c>
      <c r="B274" s="42" t="str">
        <f>PROPER(Table3[[#This Row],[Name]])</f>
        <v>Adam Rowland</v>
      </c>
      <c r="C274" s="43">
        <f>VLOOKUP(B274,Customer_Dim!B:C,2,0)</f>
        <v>48</v>
      </c>
      <c r="D274" s="43" t="str">
        <f t="shared" si="4"/>
        <v>Middle-Aged</v>
      </c>
      <c r="E274" s="43" t="str" cm="1">
        <f t="array" ref="E274:G274">_xlfn.XLOOKUP(A274,Table3[Customer_ID],Table3[[Gender]:[State]])</f>
        <v>Female</v>
      </c>
      <c r="F274" s="43" t="str">
        <v>Welchview</v>
      </c>
      <c r="G274" s="43" t="str">
        <v>California</v>
      </c>
      <c r="H274" s="43" t="str">
        <f>IF(OR(Customer_Dim!G274="usa",G274="United States of America"),"USA")</f>
        <v>USA</v>
      </c>
      <c r="I274" s="43" t="str">
        <f>VLOOKUP(A274,Customer_Dim!A:H,8,0)</f>
        <v>Gold</v>
      </c>
    </row>
    <row r="275" spans="1:9" x14ac:dyDescent="0.3">
      <c r="A275" s="41" t="s">
        <v>869</v>
      </c>
      <c r="B275" s="42" t="str">
        <f>PROPER(Table3[[#This Row],[Name]])</f>
        <v>Samantha Robinson</v>
      </c>
      <c r="C275" s="43">
        <f>VLOOKUP(B275,Customer_Dim!B:C,2,0)</f>
        <v>23</v>
      </c>
      <c r="D275" s="43" t="str">
        <f t="shared" si="4"/>
        <v>Young</v>
      </c>
      <c r="E275" s="43" t="str" cm="1">
        <f t="array" ref="E275:G275">_xlfn.XLOOKUP(A275,Table3[Customer_ID],Table3[[Gender]:[State]])</f>
        <v>Male</v>
      </c>
      <c r="F275" s="43" t="str">
        <v>North Roy</v>
      </c>
      <c r="G275" s="43" t="str">
        <v>Mississippi</v>
      </c>
      <c r="H275" s="43" t="str">
        <f>IF(OR(Customer_Dim!G275="usa",G275="United States of America"),"USA")</f>
        <v>USA</v>
      </c>
      <c r="I275" s="43" t="str">
        <f>VLOOKUP(A275,Customer_Dim!A:H,8,0)</f>
        <v>Bronze</v>
      </c>
    </row>
    <row r="276" spans="1:9" x14ac:dyDescent="0.3">
      <c r="A276" s="41" t="s">
        <v>872</v>
      </c>
      <c r="B276" s="42" t="str">
        <f>PROPER(Table3[[#This Row],[Name]])</f>
        <v>Sarah Lane</v>
      </c>
      <c r="C276" s="43">
        <f>VLOOKUP(B276,Customer_Dim!B:C,2,0)</f>
        <v>38</v>
      </c>
      <c r="D276" s="43" t="str">
        <f t="shared" si="4"/>
        <v>Middle-Aged</v>
      </c>
      <c r="E276" s="43" t="str" cm="1">
        <f t="array" ref="E276:G276">_xlfn.XLOOKUP(A276,Table3[Customer_ID],Table3[[Gender]:[State]])</f>
        <v>Male</v>
      </c>
      <c r="F276" s="43" t="str">
        <v>Edwardborough</v>
      </c>
      <c r="G276" s="43" t="str">
        <v>Vermont</v>
      </c>
      <c r="H276" s="43" t="str">
        <f>IF(OR(Customer_Dim!G276="usa",G276="United States of America"),"USA")</f>
        <v>USA</v>
      </c>
      <c r="I276" s="43" t="str">
        <f>VLOOKUP(A276,Customer_Dim!A:H,8,0)</f>
        <v>Silver</v>
      </c>
    </row>
    <row r="277" spans="1:9" x14ac:dyDescent="0.3">
      <c r="A277" s="41" t="s">
        <v>875</v>
      </c>
      <c r="B277" s="42" t="str">
        <f>PROPER(Table3[[#This Row],[Name]])</f>
        <v>Shannon Miller</v>
      </c>
      <c r="C277" s="43">
        <f>VLOOKUP(B277,Customer_Dim!B:C,2,0)</f>
        <v>22</v>
      </c>
      <c r="D277" s="43" t="str">
        <f t="shared" si="4"/>
        <v>Young</v>
      </c>
      <c r="E277" s="43" t="str" cm="1">
        <f t="array" ref="E277:G277">_xlfn.XLOOKUP(A277,Table3[Customer_ID],Table3[[Gender]:[State]])</f>
        <v>Male</v>
      </c>
      <c r="F277" s="43" t="str">
        <v>North Austinport</v>
      </c>
      <c r="G277" s="43" t="str">
        <v>Kentucky</v>
      </c>
      <c r="H277" s="43" t="str">
        <f>IF(OR(Customer_Dim!G277="usa",G277="United States of America"),"USA")</f>
        <v>USA</v>
      </c>
      <c r="I277" s="43" t="str">
        <f>VLOOKUP(A277,Customer_Dim!A:H,8,0)</f>
        <v>Gold</v>
      </c>
    </row>
    <row r="278" spans="1:9" x14ac:dyDescent="0.3">
      <c r="A278" s="41" t="s">
        <v>878</v>
      </c>
      <c r="B278" s="42" t="str">
        <f>PROPER(Table3[[#This Row],[Name]])</f>
        <v>Arthur Warren</v>
      </c>
      <c r="C278" s="43">
        <f>VLOOKUP(B278,Customer_Dim!B:C,2,0)</f>
        <v>38</v>
      </c>
      <c r="D278" s="43" t="str">
        <f t="shared" si="4"/>
        <v>Middle-Aged</v>
      </c>
      <c r="E278" s="43" t="str" cm="1">
        <f t="array" ref="E278:G278">_xlfn.XLOOKUP(A278,Table3[Customer_ID],Table3[[Gender]:[State]])</f>
        <v>Male</v>
      </c>
      <c r="F278" s="43" t="str">
        <v>Ericshire</v>
      </c>
      <c r="G278" s="43" t="str">
        <v>Nevada</v>
      </c>
      <c r="H278" s="43" t="str">
        <f>IF(OR(Customer_Dim!G278="usa",G278="United States of America"),"USA")</f>
        <v>USA</v>
      </c>
      <c r="I278" s="43" t="str">
        <f>VLOOKUP(A278,Customer_Dim!A:H,8,0)</f>
        <v>Gold</v>
      </c>
    </row>
    <row r="279" spans="1:9" x14ac:dyDescent="0.3">
      <c r="A279" s="41" t="s">
        <v>881</v>
      </c>
      <c r="B279" s="42" t="str">
        <f>PROPER(Table3[[#This Row],[Name]])</f>
        <v>Jeffrey Gomez</v>
      </c>
      <c r="C279" s="43">
        <f>VLOOKUP(B279,Customer_Dim!B:C,2,0)</f>
        <v>22</v>
      </c>
      <c r="D279" s="43" t="str">
        <f t="shared" si="4"/>
        <v>Young</v>
      </c>
      <c r="E279" s="43" t="str" cm="1">
        <f t="array" ref="E279:G279">_xlfn.XLOOKUP(A279,Table3[Customer_ID],Table3[[Gender]:[State]])</f>
        <v>Female</v>
      </c>
      <c r="F279" s="43" t="str">
        <v>Lake Nicole</v>
      </c>
      <c r="G279" s="43" t="str">
        <v>Colorado</v>
      </c>
      <c r="H279" s="43" t="str">
        <f>IF(OR(Customer_Dim!G279="usa",G279="United States of America"),"USA")</f>
        <v>USA</v>
      </c>
      <c r="I279" s="43" t="str">
        <f>VLOOKUP(A279,Customer_Dim!A:H,8,0)</f>
        <v>Platinum</v>
      </c>
    </row>
    <row r="280" spans="1:9" x14ac:dyDescent="0.3">
      <c r="A280" s="41" t="s">
        <v>884</v>
      </c>
      <c r="B280" s="42" t="str">
        <f>PROPER(Table3[[#This Row],[Name]])</f>
        <v>Stephen Fowler</v>
      </c>
      <c r="C280" s="43">
        <f>VLOOKUP(B280,Customer_Dim!B:C,2,0)</f>
        <v>42</v>
      </c>
      <c r="D280" s="43" t="str">
        <f t="shared" si="4"/>
        <v>Middle-Aged</v>
      </c>
      <c r="E280" s="43" t="str" cm="1">
        <f t="array" ref="E280:G280">_xlfn.XLOOKUP(A280,Table3[Customer_ID],Table3[[Gender]:[State]])</f>
        <v>Female</v>
      </c>
      <c r="F280" s="43" t="str">
        <v>Port Mariastad</v>
      </c>
      <c r="G280" s="43" t="str">
        <v>Rhode Island</v>
      </c>
      <c r="H280" s="43" t="str">
        <f>IF(OR(Customer_Dim!G280="usa",G280="United States of America"),"USA")</f>
        <v>USA</v>
      </c>
      <c r="I280" s="43" t="str">
        <f>VLOOKUP(A280,Customer_Dim!A:H,8,0)</f>
        <v>Platinum</v>
      </c>
    </row>
    <row r="281" spans="1:9" x14ac:dyDescent="0.3">
      <c r="A281" s="41" t="s">
        <v>887</v>
      </c>
      <c r="B281" s="42" t="str">
        <f>PROPER(Table3[[#This Row],[Name]])</f>
        <v>Aaron Luna</v>
      </c>
      <c r="C281" s="43">
        <f>VLOOKUP(B281,Customer_Dim!B:C,2,0)</f>
        <v>21</v>
      </c>
      <c r="D281" s="43" t="str">
        <f t="shared" si="4"/>
        <v>Young</v>
      </c>
      <c r="E281" s="43" t="str" cm="1">
        <f t="array" ref="E281:G281">_xlfn.XLOOKUP(A281,Table3[Customer_ID],Table3[[Gender]:[State]])</f>
        <v>Female</v>
      </c>
      <c r="F281" s="43" t="str">
        <v>Gilltown</v>
      </c>
      <c r="G281" s="43" t="str">
        <v>Ohio</v>
      </c>
      <c r="H281" s="43" t="str">
        <f>IF(OR(Customer_Dim!G281="usa",G281="United States of America"),"USA")</f>
        <v>USA</v>
      </c>
      <c r="I281" s="43" t="str">
        <f>VLOOKUP(A281,Customer_Dim!A:H,8,0)</f>
        <v>Bronze</v>
      </c>
    </row>
    <row r="282" spans="1:9" x14ac:dyDescent="0.3">
      <c r="A282" s="41" t="s">
        <v>890</v>
      </c>
      <c r="B282" s="42" t="str">
        <f>PROPER(Table3[[#This Row],[Name]])</f>
        <v>Antonio Leon</v>
      </c>
      <c r="C282" s="43">
        <f>VLOOKUP(B282,Customer_Dim!B:C,2,0)</f>
        <v>48</v>
      </c>
      <c r="D282" s="43" t="str">
        <f t="shared" si="4"/>
        <v>Middle-Aged</v>
      </c>
      <c r="E282" s="43" t="str" cm="1">
        <f t="array" ref="E282:G282">_xlfn.XLOOKUP(A282,Table3[Customer_ID],Table3[[Gender]:[State]])</f>
        <v>Male</v>
      </c>
      <c r="F282" s="43" t="str">
        <v>Morrisville</v>
      </c>
      <c r="G282" s="43" t="str">
        <v>Hawaii</v>
      </c>
      <c r="H282" s="43" t="str">
        <f>IF(OR(Customer_Dim!G282="usa",G282="United States of America"),"USA")</f>
        <v>USA</v>
      </c>
      <c r="I282" s="43" t="str">
        <f>VLOOKUP(A282,Customer_Dim!A:H,8,0)</f>
        <v>Bronze</v>
      </c>
    </row>
    <row r="283" spans="1:9" x14ac:dyDescent="0.3">
      <c r="A283" s="41" t="s">
        <v>893</v>
      </c>
      <c r="B283" s="42" t="str">
        <f>PROPER(Table3[[#This Row],[Name]])</f>
        <v>Brittany Watson</v>
      </c>
      <c r="C283" s="43">
        <f>VLOOKUP(B283,Customer_Dim!B:C,2,0)</f>
        <v>59</v>
      </c>
      <c r="D283" s="43" t="str">
        <f t="shared" si="4"/>
        <v>Senior</v>
      </c>
      <c r="E283" s="43" t="str" cm="1">
        <f t="array" ref="E283:G283">_xlfn.XLOOKUP(A283,Table3[Customer_ID],Table3[[Gender]:[State]])</f>
        <v>Male</v>
      </c>
      <c r="F283" s="43" t="str">
        <v>North Joshualand</v>
      </c>
      <c r="G283" s="43" t="str">
        <v>Connecticut</v>
      </c>
      <c r="H283" s="43" t="str">
        <f>IF(OR(Customer_Dim!G283="usa",G283="United States of America"),"USA")</f>
        <v>USA</v>
      </c>
      <c r="I283" s="43" t="str">
        <f>VLOOKUP(A283,Customer_Dim!A:H,8,0)</f>
        <v>Platinum</v>
      </c>
    </row>
    <row r="284" spans="1:9" x14ac:dyDescent="0.3">
      <c r="A284" s="41" t="s">
        <v>896</v>
      </c>
      <c r="B284" s="42" t="str">
        <f>PROPER(Table3[[#This Row],[Name]])</f>
        <v>Kristi Lopez</v>
      </c>
      <c r="C284" s="43">
        <f>VLOOKUP(B284,Customer_Dim!B:C,2,0)</f>
        <v>46</v>
      </c>
      <c r="D284" s="43" t="str">
        <f t="shared" si="4"/>
        <v>Middle-Aged</v>
      </c>
      <c r="E284" s="43" t="str" cm="1">
        <f t="array" ref="E284:G284">_xlfn.XLOOKUP(A284,Table3[Customer_ID],Table3[[Gender]:[State]])</f>
        <v>Female</v>
      </c>
      <c r="F284" s="43" t="str">
        <v>Spencermouth</v>
      </c>
      <c r="G284" s="43" t="str">
        <v>New Jersey</v>
      </c>
      <c r="H284" s="43" t="str">
        <f>IF(OR(Customer_Dim!G284="usa",G284="United States of America"),"USA")</f>
        <v>USA</v>
      </c>
      <c r="I284" s="43" t="str">
        <f>VLOOKUP(A284,Customer_Dim!A:H,8,0)</f>
        <v>Gold</v>
      </c>
    </row>
    <row r="285" spans="1:9" x14ac:dyDescent="0.3">
      <c r="A285" s="41" t="s">
        <v>899</v>
      </c>
      <c r="B285" s="42" t="str">
        <f>PROPER(Table3[[#This Row],[Name]])</f>
        <v>Bryan Garcia</v>
      </c>
      <c r="C285" s="43">
        <f>VLOOKUP(B285,Customer_Dim!B:C,2,0)</f>
        <v>54</v>
      </c>
      <c r="D285" s="43" t="str">
        <f t="shared" si="4"/>
        <v>Senior</v>
      </c>
      <c r="E285" s="43" t="str" cm="1">
        <f t="array" ref="E285:G285">_xlfn.XLOOKUP(A285,Table3[Customer_ID],Table3[[Gender]:[State]])</f>
        <v>Female</v>
      </c>
      <c r="F285" s="43" t="str">
        <v>Garciaborough</v>
      </c>
      <c r="G285" s="43" t="str">
        <v>Wyoming</v>
      </c>
      <c r="H285" s="43" t="str">
        <f>IF(OR(Customer_Dim!G285="usa",G285="United States of America"),"USA")</f>
        <v>USA</v>
      </c>
      <c r="I285" s="43" t="str">
        <f>VLOOKUP(A285,Customer_Dim!A:H,8,0)</f>
        <v>Silver</v>
      </c>
    </row>
    <row r="286" spans="1:9" x14ac:dyDescent="0.3">
      <c r="A286" s="41" t="s">
        <v>902</v>
      </c>
      <c r="B286" s="42" t="str">
        <f>PROPER(Table3[[#This Row],[Name]])</f>
        <v>Hunter Sutton</v>
      </c>
      <c r="C286" s="43">
        <f>VLOOKUP(B286,Customer_Dim!B:C,2,0)</f>
        <v>54</v>
      </c>
      <c r="D286" s="43" t="str">
        <f t="shared" si="4"/>
        <v>Senior</v>
      </c>
      <c r="E286" s="43" t="str" cm="1">
        <f t="array" ref="E286:G286">_xlfn.XLOOKUP(A286,Table3[Customer_ID],Table3[[Gender]:[State]])</f>
        <v>Male</v>
      </c>
      <c r="F286" s="43" t="str">
        <v>Patrickshire</v>
      </c>
      <c r="G286" s="43" t="str">
        <v>Connecticut</v>
      </c>
      <c r="H286" s="43" t="str">
        <f>IF(OR(Customer_Dim!G286="usa",G286="United States of America"),"USA")</f>
        <v>USA</v>
      </c>
      <c r="I286" s="43" t="str">
        <f>VLOOKUP(A286,Customer_Dim!A:H,8,0)</f>
        <v>Gold</v>
      </c>
    </row>
    <row r="287" spans="1:9" x14ac:dyDescent="0.3">
      <c r="A287" s="41" t="s">
        <v>905</v>
      </c>
      <c r="B287" s="42" t="str">
        <f>PROPER(Table3[[#This Row],[Name]])</f>
        <v>Donna Guerra</v>
      </c>
      <c r="C287" s="43">
        <f>VLOOKUP(B287,Customer_Dim!B:C,2,0)</f>
        <v>46</v>
      </c>
      <c r="D287" s="43" t="str">
        <f t="shared" si="4"/>
        <v>Middle-Aged</v>
      </c>
      <c r="E287" s="43" t="str" cm="1">
        <f t="array" ref="E287:G287">_xlfn.XLOOKUP(A287,Table3[Customer_ID],Table3[[Gender]:[State]])</f>
        <v>Female</v>
      </c>
      <c r="F287" s="43" t="str">
        <v>North Robert</v>
      </c>
      <c r="G287" s="43" t="str">
        <v>Massachusetts</v>
      </c>
      <c r="H287" s="43" t="str">
        <f>IF(OR(Customer_Dim!G287="usa",G287="United States of America"),"USA")</f>
        <v>USA</v>
      </c>
      <c r="I287" s="43" t="str">
        <f>VLOOKUP(A287,Customer_Dim!A:H,8,0)</f>
        <v>Silver</v>
      </c>
    </row>
    <row r="288" spans="1:9" x14ac:dyDescent="0.3">
      <c r="A288" s="41" t="s">
        <v>908</v>
      </c>
      <c r="B288" s="42" t="str">
        <f>PROPER(Table3[[#This Row],[Name]])</f>
        <v>Tommy Roberts</v>
      </c>
      <c r="C288" s="43">
        <f>VLOOKUP(B288,Customer_Dim!B:C,2,0)</f>
        <v>22</v>
      </c>
      <c r="D288" s="43" t="str">
        <f t="shared" si="4"/>
        <v>Young</v>
      </c>
      <c r="E288" s="43" t="str" cm="1">
        <f t="array" ref="E288:G288">_xlfn.XLOOKUP(A288,Table3[Customer_ID],Table3[[Gender]:[State]])</f>
        <v>Male</v>
      </c>
      <c r="F288" s="43" t="str">
        <v>Port Tonyfort</v>
      </c>
      <c r="G288" s="43" t="str">
        <v>South Dakota</v>
      </c>
      <c r="H288" s="43" t="str">
        <f>IF(OR(Customer_Dim!G288="usa",G288="United States of America"),"USA")</f>
        <v>USA</v>
      </c>
      <c r="I288" s="43" t="str">
        <f>VLOOKUP(A288,Customer_Dim!A:H,8,0)</f>
        <v>Silver</v>
      </c>
    </row>
    <row r="289" spans="1:9" x14ac:dyDescent="0.3">
      <c r="A289" s="41" t="s">
        <v>911</v>
      </c>
      <c r="B289" s="42" t="str">
        <f>PROPER(Table3[[#This Row],[Name]])</f>
        <v>Cynthia Roberts</v>
      </c>
      <c r="C289" s="43">
        <f>VLOOKUP(B289,Customer_Dim!B:C,2,0)</f>
        <v>22</v>
      </c>
      <c r="D289" s="43" t="str">
        <f t="shared" si="4"/>
        <v>Young</v>
      </c>
      <c r="E289" s="43" t="str" cm="1">
        <f t="array" ref="E289:G289">_xlfn.XLOOKUP(A289,Table3[Customer_ID],Table3[[Gender]:[State]])</f>
        <v>Female</v>
      </c>
      <c r="F289" s="43" t="str">
        <v>Millerfort</v>
      </c>
      <c r="G289" s="43" t="str">
        <v>Vermont</v>
      </c>
      <c r="H289" s="43" t="str">
        <f>IF(OR(Customer_Dim!G289="usa",G289="United States of America"),"USA")</f>
        <v>USA</v>
      </c>
      <c r="I289" s="43" t="str">
        <f>VLOOKUP(A289,Customer_Dim!A:H,8,0)</f>
        <v>Gold</v>
      </c>
    </row>
    <row r="290" spans="1:9" x14ac:dyDescent="0.3">
      <c r="A290" s="41" t="s">
        <v>914</v>
      </c>
      <c r="B290" s="42" t="str">
        <f>PROPER(Table3[[#This Row],[Name]])</f>
        <v>Misty Ferguson</v>
      </c>
      <c r="C290" s="43">
        <f>VLOOKUP(B290,Customer_Dim!B:C,2,0)</f>
        <v>58</v>
      </c>
      <c r="D290" s="43" t="str">
        <f t="shared" si="4"/>
        <v>Senior</v>
      </c>
      <c r="E290" s="43" t="str" cm="1">
        <f t="array" ref="E290:G290">_xlfn.XLOOKUP(A290,Table3[Customer_ID],Table3[[Gender]:[State]])</f>
        <v>Male</v>
      </c>
      <c r="F290" s="43" t="str">
        <v>North Joseside</v>
      </c>
      <c r="G290" s="43" t="str">
        <v>Connecticut</v>
      </c>
      <c r="H290" s="43" t="str">
        <f>IF(OR(Customer_Dim!G290="usa",G290="United States of America"),"USA")</f>
        <v>USA</v>
      </c>
      <c r="I290" s="43" t="str">
        <f>VLOOKUP(A290,Customer_Dim!A:H,8,0)</f>
        <v>Gold</v>
      </c>
    </row>
    <row r="291" spans="1:9" x14ac:dyDescent="0.3">
      <c r="A291" s="41" t="s">
        <v>917</v>
      </c>
      <c r="B291" s="42" t="str">
        <f>PROPER(Table3[[#This Row],[Name]])</f>
        <v>Jennifer Figueroa</v>
      </c>
      <c r="C291" s="43">
        <f>VLOOKUP(B291,Customer_Dim!B:C,2,0)</f>
        <v>45</v>
      </c>
      <c r="D291" s="43" t="str">
        <f t="shared" si="4"/>
        <v>Middle-Aged</v>
      </c>
      <c r="E291" s="43" t="str" cm="1">
        <f t="array" ref="E291:G291">_xlfn.XLOOKUP(A291,Table3[Customer_ID],Table3[[Gender]:[State]])</f>
        <v>Male</v>
      </c>
      <c r="F291" s="43" t="str">
        <v>North Brookestad</v>
      </c>
      <c r="G291" s="43" t="str">
        <v>Ohio</v>
      </c>
      <c r="H291" s="43" t="str">
        <f>IF(OR(Customer_Dim!G291="usa",G291="United States of America"),"USA")</f>
        <v>USA</v>
      </c>
      <c r="I291" s="43" t="str">
        <f>VLOOKUP(A291,Customer_Dim!A:H,8,0)</f>
        <v>Bronze</v>
      </c>
    </row>
    <row r="292" spans="1:9" x14ac:dyDescent="0.3">
      <c r="A292" s="41" t="s">
        <v>920</v>
      </c>
      <c r="B292" s="42" t="str">
        <f>PROPER(Table3[[#This Row],[Name]])</f>
        <v>Chase Williams Md</v>
      </c>
      <c r="C292" s="43">
        <f>VLOOKUP(B292,Customer_Dim!B:C,2,0)</f>
        <v>52</v>
      </c>
      <c r="D292" s="43" t="str">
        <f t="shared" si="4"/>
        <v>Senior</v>
      </c>
      <c r="E292" s="43" t="str" cm="1">
        <f t="array" ref="E292:G292">_xlfn.XLOOKUP(A292,Table3[Customer_ID],Table3[[Gender]:[State]])</f>
        <v>Female</v>
      </c>
      <c r="F292" s="43" t="str">
        <v>Sherimouth</v>
      </c>
      <c r="G292" s="43" t="str">
        <v>Virginia</v>
      </c>
      <c r="H292" s="43" t="str">
        <f>IF(OR(Customer_Dim!G292="usa",G292="United States of America"),"USA")</f>
        <v>USA</v>
      </c>
      <c r="I292" s="43" t="str">
        <f>VLOOKUP(A292,Customer_Dim!A:H,8,0)</f>
        <v>Silver</v>
      </c>
    </row>
    <row r="293" spans="1:9" x14ac:dyDescent="0.3">
      <c r="A293" s="41" t="s">
        <v>923</v>
      </c>
      <c r="B293" s="42" t="str">
        <f>PROPER(Table3[[#This Row],[Name]])</f>
        <v>James Powell</v>
      </c>
      <c r="C293" s="43">
        <f>VLOOKUP(B293,Customer_Dim!B:C,2,0)</f>
        <v>40</v>
      </c>
      <c r="D293" s="43" t="str">
        <f t="shared" si="4"/>
        <v>Middle-Aged</v>
      </c>
      <c r="E293" s="43" t="str" cm="1">
        <f t="array" ref="E293:G293">_xlfn.XLOOKUP(A293,Table3[Customer_ID],Table3[[Gender]:[State]])</f>
        <v>Female</v>
      </c>
      <c r="F293" s="43" t="str">
        <v>West Beverlymouth</v>
      </c>
      <c r="G293" s="43" t="str">
        <v>Missouri</v>
      </c>
      <c r="H293" s="43" t="str">
        <f>IF(OR(Customer_Dim!G293="usa",G293="United States of America"),"USA")</f>
        <v>USA</v>
      </c>
      <c r="I293" s="43" t="str">
        <f>VLOOKUP(A293,Customer_Dim!A:H,8,0)</f>
        <v>Bronze</v>
      </c>
    </row>
    <row r="294" spans="1:9" x14ac:dyDescent="0.3">
      <c r="A294" s="41" t="s">
        <v>926</v>
      </c>
      <c r="B294" s="42" t="str">
        <f>PROPER(Table3[[#This Row],[Name]])</f>
        <v>Ricardo Jones</v>
      </c>
      <c r="C294" s="43">
        <f>VLOOKUP(B294,Customer_Dim!B:C,2,0)</f>
        <v>30</v>
      </c>
      <c r="D294" s="43" t="str">
        <f t="shared" si="4"/>
        <v>Middle-Aged</v>
      </c>
      <c r="E294" s="43" t="str" cm="1">
        <f t="array" ref="E294:G294">_xlfn.XLOOKUP(A294,Table3[Customer_ID],Table3[[Gender]:[State]])</f>
        <v>Male</v>
      </c>
      <c r="F294" s="43" t="str">
        <v>Danielland</v>
      </c>
      <c r="G294" s="43" t="str">
        <v>Minnesota</v>
      </c>
      <c r="H294" s="43" t="str">
        <f>IF(OR(Customer_Dim!G294="usa",G294="United States of America"),"USA")</f>
        <v>USA</v>
      </c>
      <c r="I294" s="43" t="str">
        <f>VLOOKUP(A294,Customer_Dim!A:H,8,0)</f>
        <v>Silver</v>
      </c>
    </row>
    <row r="295" spans="1:9" x14ac:dyDescent="0.3">
      <c r="A295" s="41" t="s">
        <v>929</v>
      </c>
      <c r="B295" s="42" t="str">
        <f>PROPER(Table3[[#This Row],[Name]])</f>
        <v>Gloria Taylor</v>
      </c>
      <c r="C295" s="43">
        <f>VLOOKUP(B295,Customer_Dim!B:C,2,0)</f>
        <v>56</v>
      </c>
      <c r="D295" s="43" t="str">
        <f t="shared" si="4"/>
        <v>Senior</v>
      </c>
      <c r="E295" s="43" t="str" cm="1">
        <f t="array" ref="E295:G295">_xlfn.XLOOKUP(A295,Table3[Customer_ID],Table3[[Gender]:[State]])</f>
        <v>Female</v>
      </c>
      <c r="F295" s="43" t="str">
        <v>North Daniel</v>
      </c>
      <c r="G295" s="43" t="str">
        <v>Louisiana</v>
      </c>
      <c r="H295" s="43" t="str">
        <f>IF(OR(Customer_Dim!G295="usa",G295="United States of America"),"USA")</f>
        <v>USA</v>
      </c>
      <c r="I295" s="43" t="str">
        <f>VLOOKUP(A295,Customer_Dim!A:H,8,0)</f>
        <v>Platinum</v>
      </c>
    </row>
    <row r="296" spans="1:9" x14ac:dyDescent="0.3">
      <c r="A296" s="41" t="s">
        <v>932</v>
      </c>
      <c r="B296" s="42" t="str">
        <f>PROPER(Table3[[#This Row],[Name]])</f>
        <v>Lisa Chandler</v>
      </c>
      <c r="C296" s="43">
        <f>VLOOKUP(B296,Customer_Dim!B:C,2,0)</f>
        <v>29</v>
      </c>
      <c r="D296" s="43" t="str">
        <f t="shared" si="4"/>
        <v>Young</v>
      </c>
      <c r="E296" s="43" t="str" cm="1">
        <f t="array" ref="E296:G296">_xlfn.XLOOKUP(A296,Table3[Customer_ID],Table3[[Gender]:[State]])</f>
        <v>Male</v>
      </c>
      <c r="F296" s="43" t="str">
        <v>Port Richard</v>
      </c>
      <c r="G296" s="43" t="str">
        <v>Montana</v>
      </c>
      <c r="H296" s="43" t="str">
        <f>IF(OR(Customer_Dim!G296="usa",G296="United States of America"),"USA")</f>
        <v>USA</v>
      </c>
      <c r="I296" s="43" t="str">
        <f>VLOOKUP(A296,Customer_Dim!A:H,8,0)</f>
        <v>Platinum</v>
      </c>
    </row>
    <row r="297" spans="1:9" x14ac:dyDescent="0.3">
      <c r="A297" s="41" t="s">
        <v>934</v>
      </c>
      <c r="B297" s="42" t="str">
        <f>PROPER(Table3[[#This Row],[Name]])</f>
        <v>Crystal Waters</v>
      </c>
      <c r="C297" s="43">
        <f>VLOOKUP(B297,Customer_Dim!B:C,2,0)</f>
        <v>19</v>
      </c>
      <c r="D297" s="43" t="str">
        <f t="shared" si="4"/>
        <v>Young</v>
      </c>
      <c r="E297" s="43" t="str" cm="1">
        <f t="array" ref="E297:G297">_xlfn.XLOOKUP(A297,Table3[Customer_ID],Table3[[Gender]:[State]])</f>
        <v>Female</v>
      </c>
      <c r="F297" s="43" t="str">
        <v>North Michelleport</v>
      </c>
      <c r="G297" s="43" t="str">
        <v>Kansas</v>
      </c>
      <c r="H297" s="43" t="str">
        <f>IF(OR(Customer_Dim!G297="usa",G297="United States of America"),"USA")</f>
        <v>USA</v>
      </c>
      <c r="I297" s="43" t="str">
        <f>VLOOKUP(A297,Customer_Dim!A:H,8,0)</f>
        <v>Bronze</v>
      </c>
    </row>
    <row r="298" spans="1:9" x14ac:dyDescent="0.3">
      <c r="A298" s="41" t="s">
        <v>937</v>
      </c>
      <c r="B298" s="42" t="str">
        <f>PROPER(Table3[[#This Row],[Name]])</f>
        <v>Jared Moran</v>
      </c>
      <c r="C298" s="43">
        <f>VLOOKUP(B298,Customer_Dim!B:C,2,0)</f>
        <v>28</v>
      </c>
      <c r="D298" s="43" t="str">
        <f t="shared" si="4"/>
        <v>Young</v>
      </c>
      <c r="E298" s="43" t="str" cm="1">
        <f t="array" ref="E298:G298">_xlfn.XLOOKUP(A298,Table3[Customer_ID],Table3[[Gender]:[State]])</f>
        <v>Female</v>
      </c>
      <c r="F298" s="43" t="str">
        <v>South David</v>
      </c>
      <c r="G298" s="43" t="str">
        <v>West Virginia</v>
      </c>
      <c r="H298" s="43" t="str">
        <f>IF(OR(Customer_Dim!G298="usa",G298="United States of America"),"USA")</f>
        <v>USA</v>
      </c>
      <c r="I298" s="43" t="str">
        <f>VLOOKUP(A298,Customer_Dim!A:H,8,0)</f>
        <v>Bronze</v>
      </c>
    </row>
    <row r="299" spans="1:9" x14ac:dyDescent="0.3">
      <c r="A299" s="41" t="s">
        <v>939</v>
      </c>
      <c r="B299" s="42" t="str">
        <f>PROPER(Table3[[#This Row],[Name]])</f>
        <v>Jennifer Carr</v>
      </c>
      <c r="C299" s="43">
        <f>VLOOKUP(B299,Customer_Dim!B:C,2,0)</f>
        <v>47</v>
      </c>
      <c r="D299" s="43" t="str">
        <f t="shared" si="4"/>
        <v>Middle-Aged</v>
      </c>
      <c r="E299" s="43" t="str" cm="1">
        <f t="array" ref="E299:G299">_xlfn.XLOOKUP(A299,Table3[Customer_ID],Table3[[Gender]:[State]])</f>
        <v>Female</v>
      </c>
      <c r="F299" s="43" t="str">
        <v>Lake Brett</v>
      </c>
      <c r="G299" s="43" t="str">
        <v>Missouri</v>
      </c>
      <c r="H299" s="43" t="str">
        <f>IF(OR(Customer_Dim!G299="usa",G299="United States of America"),"USA")</f>
        <v>USA</v>
      </c>
      <c r="I299" s="43" t="str">
        <f>VLOOKUP(A299,Customer_Dim!A:H,8,0)</f>
        <v>Silver</v>
      </c>
    </row>
    <row r="300" spans="1:9" x14ac:dyDescent="0.3">
      <c r="A300" s="41" t="s">
        <v>942</v>
      </c>
      <c r="B300" s="42" t="str">
        <f>PROPER(Table3[[#This Row],[Name]])</f>
        <v>Tracy Stephens</v>
      </c>
      <c r="C300" s="43">
        <f>VLOOKUP(B300,Customer_Dim!B:C,2,0)</f>
        <v>64</v>
      </c>
      <c r="D300" s="43" t="str">
        <f t="shared" si="4"/>
        <v>Senior</v>
      </c>
      <c r="E300" s="43" t="str" cm="1">
        <f t="array" ref="E300:G300">_xlfn.XLOOKUP(A300,Table3[Customer_ID],Table3[[Gender]:[State]])</f>
        <v>Male</v>
      </c>
      <c r="F300" s="43" t="str">
        <v>New Joshuatown</v>
      </c>
      <c r="G300" s="43" t="str">
        <v>Maine</v>
      </c>
      <c r="H300" s="43" t="str">
        <f>IF(OR(Customer_Dim!G300="usa",G300="United States of America"),"USA")</f>
        <v>USA</v>
      </c>
      <c r="I300" s="43" t="str">
        <f>VLOOKUP(A300,Customer_Dim!A:H,8,0)</f>
        <v>Platinum</v>
      </c>
    </row>
    <row r="301" spans="1:9" x14ac:dyDescent="0.3">
      <c r="A301" s="41" t="s">
        <v>945</v>
      </c>
      <c r="B301" s="42" t="str">
        <f>PROPER(Table3[[#This Row],[Name]])</f>
        <v>Stephanie Jacobs</v>
      </c>
      <c r="C301" s="43">
        <f>VLOOKUP(B301,Customer_Dim!B:C,2,0)</f>
        <v>48</v>
      </c>
      <c r="D301" s="43" t="str">
        <f t="shared" si="4"/>
        <v>Middle-Aged</v>
      </c>
      <c r="E301" s="43" t="str" cm="1">
        <f t="array" ref="E301:G301">_xlfn.XLOOKUP(A301,Table3[Customer_ID],Table3[[Gender]:[State]])</f>
        <v>Female</v>
      </c>
      <c r="F301" s="43" t="str">
        <v>West Robinmouth</v>
      </c>
      <c r="G301" s="43" t="str">
        <v>Louisiana</v>
      </c>
      <c r="H301" s="43" t="str">
        <f>IF(OR(Customer_Dim!G301="usa",G301="United States of America"),"USA")</f>
        <v>USA</v>
      </c>
      <c r="I301" s="43" t="str">
        <f>VLOOKUP(A301,Customer_Dim!A:H,8,0)</f>
        <v>Platinum</v>
      </c>
    </row>
    <row r="302" spans="1:9" x14ac:dyDescent="0.3">
      <c r="A302" s="41" t="s">
        <v>948</v>
      </c>
      <c r="B302" s="42" t="str">
        <f>PROPER(Table3[[#This Row],[Name]])</f>
        <v>Matthew Avery</v>
      </c>
      <c r="C302" s="43">
        <f>VLOOKUP(B302,Customer_Dim!B:C,2,0)</f>
        <v>29</v>
      </c>
      <c r="D302" s="43" t="str">
        <f t="shared" si="4"/>
        <v>Young</v>
      </c>
      <c r="E302" s="43" t="str" cm="1">
        <f t="array" ref="E302:G302">_xlfn.XLOOKUP(A302,Table3[Customer_ID],Table3[[Gender]:[State]])</f>
        <v>Male</v>
      </c>
      <c r="F302" s="43" t="str">
        <v>Lake Melissashire</v>
      </c>
      <c r="G302" s="43" t="str">
        <v>Oregon</v>
      </c>
      <c r="H302" s="43" t="str">
        <f>IF(OR(Customer_Dim!G302="usa",G302="United States of America"),"USA")</f>
        <v>USA</v>
      </c>
      <c r="I302" s="43" t="str">
        <f>VLOOKUP(A302,Customer_Dim!A:H,8,0)</f>
        <v>Silver</v>
      </c>
    </row>
    <row r="303" spans="1:9" x14ac:dyDescent="0.3">
      <c r="A303" s="41" t="s">
        <v>951</v>
      </c>
      <c r="B303" s="42" t="str">
        <f>PROPER(Table3[[#This Row],[Name]])</f>
        <v>Ryan Kane</v>
      </c>
      <c r="C303" s="43">
        <f>VLOOKUP(B303,Customer_Dim!B:C,2,0)</f>
        <v>50</v>
      </c>
      <c r="D303" s="43" t="str">
        <f t="shared" si="4"/>
        <v>Middle-Aged</v>
      </c>
      <c r="E303" s="43" t="str" cm="1">
        <f t="array" ref="E303:G303">_xlfn.XLOOKUP(A303,Table3[Customer_ID],Table3[[Gender]:[State]])</f>
        <v>Male</v>
      </c>
      <c r="F303" s="43" t="str">
        <v>West Bruceburgh</v>
      </c>
      <c r="G303" s="43" t="str">
        <v>Virginia</v>
      </c>
      <c r="H303" s="43" t="str">
        <f>IF(OR(Customer_Dim!G303="usa",G303="United States of America"),"USA")</f>
        <v>USA</v>
      </c>
      <c r="I303" s="43" t="str">
        <f>VLOOKUP(A303,Customer_Dim!A:H,8,0)</f>
        <v>Gold</v>
      </c>
    </row>
    <row r="304" spans="1:9" x14ac:dyDescent="0.3">
      <c r="A304" s="41" t="s">
        <v>954</v>
      </c>
      <c r="B304" s="42" t="str">
        <f>PROPER(Table3[[#This Row],[Name]])</f>
        <v>Edward Cole</v>
      </c>
      <c r="C304" s="43">
        <f>VLOOKUP(B304,Customer_Dim!B:C,2,0)</f>
        <v>36</v>
      </c>
      <c r="D304" s="43" t="str">
        <f t="shared" si="4"/>
        <v>Middle-Aged</v>
      </c>
      <c r="E304" s="43" t="str" cm="1">
        <f t="array" ref="E304:G304">_xlfn.XLOOKUP(A304,Table3[Customer_ID],Table3[[Gender]:[State]])</f>
        <v>Male</v>
      </c>
      <c r="F304" s="43" t="str">
        <v>Lake Charlotte</v>
      </c>
      <c r="G304" s="43" t="str">
        <v>Arizona</v>
      </c>
      <c r="H304" s="43" t="str">
        <f>IF(OR(Customer_Dim!G304="usa",G304="United States of America"),"USA")</f>
        <v>USA</v>
      </c>
      <c r="I304" s="43" t="str">
        <f>VLOOKUP(A304,Customer_Dim!A:H,8,0)</f>
        <v>Gold</v>
      </c>
    </row>
    <row r="305" spans="1:9" x14ac:dyDescent="0.3">
      <c r="A305" s="41" t="s">
        <v>957</v>
      </c>
      <c r="B305" s="42" t="str">
        <f>PROPER(Table3[[#This Row],[Name]])</f>
        <v>John Sloan</v>
      </c>
      <c r="C305" s="43">
        <f>VLOOKUP(B305,Customer_Dim!B:C,2,0)</f>
        <v>23</v>
      </c>
      <c r="D305" s="43" t="str">
        <f t="shared" si="4"/>
        <v>Young</v>
      </c>
      <c r="E305" s="43" t="str" cm="1">
        <f t="array" ref="E305:G305">_xlfn.XLOOKUP(A305,Table3[Customer_ID],Table3[[Gender]:[State]])</f>
        <v>Female</v>
      </c>
      <c r="F305" s="43" t="str">
        <v>East Johntown</v>
      </c>
      <c r="G305" s="43" t="str">
        <v>Delaware</v>
      </c>
      <c r="H305" s="43" t="str">
        <f>IF(OR(Customer_Dim!G305="usa",G305="United States of America"),"USA")</f>
        <v>USA</v>
      </c>
      <c r="I305" s="43" t="str">
        <f>VLOOKUP(A305,Customer_Dim!A:H,8,0)</f>
        <v>Platinum</v>
      </c>
    </row>
    <row r="306" spans="1:9" x14ac:dyDescent="0.3">
      <c r="A306" s="41" t="s">
        <v>960</v>
      </c>
      <c r="B306" s="42" t="str">
        <f>PROPER(Table3[[#This Row],[Name]])</f>
        <v>Miss Alexandria Li Dvm</v>
      </c>
      <c r="C306" s="43">
        <f>VLOOKUP(B306,Customer_Dim!B:C,2,0)</f>
        <v>41</v>
      </c>
      <c r="D306" s="43" t="str">
        <f t="shared" si="4"/>
        <v>Middle-Aged</v>
      </c>
      <c r="E306" s="43" t="str" cm="1">
        <f t="array" ref="E306:G306">_xlfn.XLOOKUP(A306,Table3[Customer_ID],Table3[[Gender]:[State]])</f>
        <v>Male</v>
      </c>
      <c r="F306" s="43" t="str">
        <v>Port Jenniferton</v>
      </c>
      <c r="G306" s="43" t="str">
        <v>Kansas</v>
      </c>
      <c r="H306" s="43" t="str">
        <f>IF(OR(Customer_Dim!G306="usa",G306="United States of America"),"USA")</f>
        <v>USA</v>
      </c>
      <c r="I306" s="43" t="str">
        <f>VLOOKUP(A306,Customer_Dim!A:H,8,0)</f>
        <v>Silver</v>
      </c>
    </row>
    <row r="307" spans="1:9" x14ac:dyDescent="0.3">
      <c r="A307" s="41" t="s">
        <v>963</v>
      </c>
      <c r="B307" s="42" t="str">
        <f>PROPER(Table3[[#This Row],[Name]])</f>
        <v>Roberta Green</v>
      </c>
      <c r="C307" s="43">
        <f>VLOOKUP(B307,Customer_Dim!B:C,2,0)</f>
        <v>64</v>
      </c>
      <c r="D307" s="43" t="str">
        <f t="shared" si="4"/>
        <v>Senior</v>
      </c>
      <c r="E307" s="43" t="str" cm="1">
        <f t="array" ref="E307:G307">_xlfn.XLOOKUP(A307,Table3[Customer_ID],Table3[[Gender]:[State]])</f>
        <v>Male</v>
      </c>
      <c r="F307" s="43" t="str">
        <v>West Joseph</v>
      </c>
      <c r="G307" s="43" t="str">
        <v>Washington</v>
      </c>
      <c r="H307" s="43" t="str">
        <f>IF(OR(Customer_Dim!G307="usa",G307="United States of America"),"USA")</f>
        <v>USA</v>
      </c>
      <c r="I307" s="43" t="str">
        <f>VLOOKUP(A307,Customer_Dim!A:H,8,0)</f>
        <v>Platinum</v>
      </c>
    </row>
    <row r="308" spans="1:9" x14ac:dyDescent="0.3">
      <c r="A308" s="41" t="s">
        <v>966</v>
      </c>
      <c r="B308" s="42" t="str">
        <f>PROPER(Table3[[#This Row],[Name]])</f>
        <v>Angela Robinson</v>
      </c>
      <c r="C308" s="43">
        <f>VLOOKUP(B308,Customer_Dim!B:C,2,0)</f>
        <v>44</v>
      </c>
      <c r="D308" s="43" t="str">
        <f t="shared" si="4"/>
        <v>Middle-Aged</v>
      </c>
      <c r="E308" s="43" t="str" cm="1">
        <f t="array" ref="E308:G308">_xlfn.XLOOKUP(A308,Table3[Customer_ID],Table3[[Gender]:[State]])</f>
        <v>Male</v>
      </c>
      <c r="F308" s="43" t="str">
        <v>New Nicholasstad</v>
      </c>
      <c r="G308" s="43" t="str">
        <v>Tennessee</v>
      </c>
      <c r="H308" s="43" t="str">
        <f>IF(OR(Customer_Dim!G308="usa",G308="United States of America"),"USA")</f>
        <v>USA</v>
      </c>
      <c r="I308" s="43" t="str">
        <f>VLOOKUP(A308,Customer_Dim!A:H,8,0)</f>
        <v>Platinum</v>
      </c>
    </row>
    <row r="309" spans="1:9" x14ac:dyDescent="0.3">
      <c r="A309" s="41" t="s">
        <v>969</v>
      </c>
      <c r="B309" s="42" t="str">
        <f>PROPER(Table3[[#This Row],[Name]])</f>
        <v>Brandy Thompson</v>
      </c>
      <c r="C309" s="43">
        <f>VLOOKUP(B309,Customer_Dim!B:C,2,0)</f>
        <v>56</v>
      </c>
      <c r="D309" s="43" t="str">
        <f t="shared" si="4"/>
        <v>Senior</v>
      </c>
      <c r="E309" s="43" t="str" cm="1">
        <f t="array" ref="E309:G309">_xlfn.XLOOKUP(A309,Table3[Customer_ID],Table3[[Gender]:[State]])</f>
        <v>Female</v>
      </c>
      <c r="F309" s="43" t="str">
        <v>West Patriciaview</v>
      </c>
      <c r="G309" s="43" t="str">
        <v>Alabama</v>
      </c>
      <c r="H309" s="43" t="str">
        <f>IF(OR(Customer_Dim!G309="usa",G309="United States of America"),"USA")</f>
        <v>USA</v>
      </c>
      <c r="I309" s="43" t="str">
        <f>VLOOKUP(A309,Customer_Dim!A:H,8,0)</f>
        <v>Bronze</v>
      </c>
    </row>
    <row r="310" spans="1:9" x14ac:dyDescent="0.3">
      <c r="A310" s="41" t="s">
        <v>972</v>
      </c>
      <c r="B310" s="42" t="str">
        <f>PROPER(Table3[[#This Row],[Name]])</f>
        <v>Jennifer Zamora</v>
      </c>
      <c r="C310" s="43">
        <f>VLOOKUP(B310,Customer_Dim!B:C,2,0)</f>
        <v>60</v>
      </c>
      <c r="D310" s="43" t="str">
        <f t="shared" si="4"/>
        <v>Senior</v>
      </c>
      <c r="E310" s="43" t="str" cm="1">
        <f t="array" ref="E310:G310">_xlfn.XLOOKUP(A310,Table3[Customer_ID],Table3[[Gender]:[State]])</f>
        <v>Female</v>
      </c>
      <c r="F310" s="43" t="str">
        <v>Sarahland</v>
      </c>
      <c r="G310" s="43" t="str">
        <v>Iowa</v>
      </c>
      <c r="H310" s="43" t="str">
        <f>IF(OR(Customer_Dim!G310="usa",G310="United States of America"),"USA")</f>
        <v>USA</v>
      </c>
      <c r="I310" s="43" t="str">
        <f>VLOOKUP(A310,Customer_Dim!A:H,8,0)</f>
        <v>Gold</v>
      </c>
    </row>
    <row r="311" spans="1:9" x14ac:dyDescent="0.3">
      <c r="A311" s="41" t="s">
        <v>975</v>
      </c>
      <c r="B311" s="42" t="str">
        <f>PROPER(Table3[[#This Row],[Name]])</f>
        <v>Stacy Collins</v>
      </c>
      <c r="C311" s="43">
        <f>VLOOKUP(B311,Customer_Dim!B:C,2,0)</f>
        <v>41</v>
      </c>
      <c r="D311" s="43" t="str">
        <f t="shared" si="4"/>
        <v>Middle-Aged</v>
      </c>
      <c r="E311" s="43" t="str" cm="1">
        <f t="array" ref="E311:G311">_xlfn.XLOOKUP(A311,Table3[Customer_ID],Table3[[Gender]:[State]])</f>
        <v>Female</v>
      </c>
      <c r="F311" s="43" t="str">
        <v>Randychester</v>
      </c>
      <c r="G311" s="43" t="str">
        <v>California</v>
      </c>
      <c r="H311" s="43" t="str">
        <f>IF(OR(Customer_Dim!G311="usa",G311="United States of America"),"USA")</f>
        <v>USA</v>
      </c>
      <c r="I311" s="43" t="str">
        <f>VLOOKUP(A311,Customer_Dim!A:H,8,0)</f>
        <v>Bronze</v>
      </c>
    </row>
    <row r="312" spans="1:9" x14ac:dyDescent="0.3">
      <c r="A312" s="41" t="s">
        <v>978</v>
      </c>
      <c r="B312" s="42" t="str">
        <f>PROPER(Table3[[#This Row],[Name]])</f>
        <v>Kara Dodson</v>
      </c>
      <c r="C312" s="43">
        <f>VLOOKUP(B312,Customer_Dim!B:C,2,0)</f>
        <v>20</v>
      </c>
      <c r="D312" s="43" t="str">
        <f t="shared" si="4"/>
        <v>Young</v>
      </c>
      <c r="E312" s="43" t="str" cm="1">
        <f t="array" ref="E312:G312">_xlfn.XLOOKUP(A312,Table3[Customer_ID],Table3[[Gender]:[State]])</f>
        <v>Male</v>
      </c>
      <c r="F312" s="43" t="str">
        <v>Joelside</v>
      </c>
      <c r="G312" s="43" t="str">
        <v>Vermont</v>
      </c>
      <c r="H312" s="43" t="str">
        <f>IF(OR(Customer_Dim!G312="usa",G312="United States of America"),"USA")</f>
        <v>USA</v>
      </c>
      <c r="I312" s="43" t="str">
        <f>VLOOKUP(A312,Customer_Dim!A:H,8,0)</f>
        <v>Silver</v>
      </c>
    </row>
    <row r="313" spans="1:9" x14ac:dyDescent="0.3">
      <c r="A313" s="41" t="s">
        <v>981</v>
      </c>
      <c r="B313" s="42" t="str">
        <f>PROPER(Table3[[#This Row],[Name]])</f>
        <v>Kevin Larson</v>
      </c>
      <c r="C313" s="43">
        <f>VLOOKUP(B313,Customer_Dim!B:C,2,0)</f>
        <v>35</v>
      </c>
      <c r="D313" s="43" t="str">
        <f t="shared" si="4"/>
        <v>Middle-Aged</v>
      </c>
      <c r="E313" s="43" t="str" cm="1">
        <f t="array" ref="E313:G313">_xlfn.XLOOKUP(A313,Table3[Customer_ID],Table3[[Gender]:[State]])</f>
        <v>Male</v>
      </c>
      <c r="F313" s="43" t="str">
        <v>Port Edwardmouth</v>
      </c>
      <c r="G313" s="43" t="str">
        <v>Oregon</v>
      </c>
      <c r="H313" s="43" t="str">
        <f>IF(OR(Customer_Dim!G313="usa",G313="United States of America"),"USA")</f>
        <v>USA</v>
      </c>
      <c r="I313" s="43" t="str">
        <f>VLOOKUP(A313,Customer_Dim!A:H,8,0)</f>
        <v>Platinum</v>
      </c>
    </row>
    <row r="314" spans="1:9" x14ac:dyDescent="0.3">
      <c r="A314" s="41" t="s">
        <v>984</v>
      </c>
      <c r="B314" s="42" t="str">
        <f>PROPER(Table3[[#This Row],[Name]])</f>
        <v>Jason Mullins</v>
      </c>
      <c r="C314" s="43">
        <f>VLOOKUP(B314,Customer_Dim!B:C,2,0)</f>
        <v>47</v>
      </c>
      <c r="D314" s="43" t="str">
        <f t="shared" si="4"/>
        <v>Middle-Aged</v>
      </c>
      <c r="E314" s="43" t="str" cm="1">
        <f t="array" ref="E314:G314">_xlfn.XLOOKUP(A314,Table3[Customer_ID],Table3[[Gender]:[State]])</f>
        <v>Female</v>
      </c>
      <c r="F314" s="43" t="str">
        <v>Brianchester</v>
      </c>
      <c r="G314" s="43" t="str">
        <v>Delaware</v>
      </c>
      <c r="H314" s="43" t="str">
        <f>IF(OR(Customer_Dim!G314="usa",G314="United States of America"),"USA")</f>
        <v>USA</v>
      </c>
      <c r="I314" s="43" t="str">
        <f>VLOOKUP(A314,Customer_Dim!A:H,8,0)</f>
        <v>Silver</v>
      </c>
    </row>
    <row r="315" spans="1:9" x14ac:dyDescent="0.3">
      <c r="A315" s="41" t="s">
        <v>987</v>
      </c>
      <c r="B315" s="42" t="str">
        <f>PROPER(Table3[[#This Row],[Name]])</f>
        <v>Elizabeth Jones</v>
      </c>
      <c r="C315" s="43">
        <f>VLOOKUP(B315,Customer_Dim!B:C,2,0)</f>
        <v>62</v>
      </c>
      <c r="D315" s="43" t="str">
        <f t="shared" si="4"/>
        <v>Senior</v>
      </c>
      <c r="E315" s="43" t="str" cm="1">
        <f t="array" ref="E315:G315">_xlfn.XLOOKUP(A315,Table3[Customer_ID],Table3[[Gender]:[State]])</f>
        <v>Male</v>
      </c>
      <c r="F315" s="43" t="str">
        <v>Brownburgh</v>
      </c>
      <c r="G315" s="43" t="str">
        <v>Maryland</v>
      </c>
      <c r="H315" s="43" t="str">
        <f>IF(OR(Customer_Dim!G315="usa",G315="United States of America"),"USA")</f>
        <v>USA</v>
      </c>
      <c r="I315" s="43" t="str">
        <f>VLOOKUP(A315,Customer_Dim!A:H,8,0)</f>
        <v>Platinum</v>
      </c>
    </row>
    <row r="316" spans="1:9" x14ac:dyDescent="0.3">
      <c r="A316" s="41" t="s">
        <v>990</v>
      </c>
      <c r="B316" s="42" t="str">
        <f>PROPER(Table3[[#This Row],[Name]])</f>
        <v>Elizabeth Johnson</v>
      </c>
      <c r="C316" s="43">
        <f>VLOOKUP(B316,Customer_Dim!B:C,2,0)</f>
        <v>53</v>
      </c>
      <c r="D316" s="43" t="str">
        <f t="shared" si="4"/>
        <v>Senior</v>
      </c>
      <c r="E316" s="43" t="str" cm="1">
        <f t="array" ref="E316:G316">_xlfn.XLOOKUP(A316,Table3[Customer_ID],Table3[[Gender]:[State]])</f>
        <v>Female</v>
      </c>
      <c r="F316" s="43" t="str">
        <v>Anitaland</v>
      </c>
      <c r="G316" s="43" t="str">
        <v>Washington</v>
      </c>
      <c r="H316" s="43" t="str">
        <f>IF(OR(Customer_Dim!G316="usa",G316="United States of America"),"USA")</f>
        <v>USA</v>
      </c>
      <c r="I316" s="43" t="str">
        <f>VLOOKUP(A316,Customer_Dim!A:H,8,0)</f>
        <v>Silver</v>
      </c>
    </row>
    <row r="317" spans="1:9" x14ac:dyDescent="0.3">
      <c r="A317" s="41" t="s">
        <v>993</v>
      </c>
      <c r="B317" s="42" t="str">
        <f>PROPER(Table3[[#This Row],[Name]])</f>
        <v>William Rodriguez</v>
      </c>
      <c r="C317" s="43">
        <f>VLOOKUP(B317,Customer_Dim!B:C,2,0)</f>
        <v>49</v>
      </c>
      <c r="D317" s="43" t="str">
        <f t="shared" si="4"/>
        <v>Middle-Aged</v>
      </c>
      <c r="E317" s="43" t="str" cm="1">
        <f t="array" ref="E317:G317">_xlfn.XLOOKUP(A317,Table3[Customer_ID],Table3[[Gender]:[State]])</f>
        <v>Male</v>
      </c>
      <c r="F317" s="43" t="str">
        <v>Port Chad</v>
      </c>
      <c r="G317" s="43" t="str">
        <v>Massachusetts</v>
      </c>
      <c r="H317" s="43" t="str">
        <f>IF(OR(Customer_Dim!G317="usa",G317="United States of America"),"USA")</f>
        <v>USA</v>
      </c>
      <c r="I317" s="43" t="str">
        <f>VLOOKUP(A317,Customer_Dim!A:H,8,0)</f>
        <v>Silver</v>
      </c>
    </row>
    <row r="318" spans="1:9" x14ac:dyDescent="0.3">
      <c r="A318" s="41" t="s">
        <v>996</v>
      </c>
      <c r="B318" s="42" t="str">
        <f>PROPER(Table3[[#This Row],[Name]])</f>
        <v>Robert House</v>
      </c>
      <c r="C318" s="43">
        <f>VLOOKUP(B318,Customer_Dim!B:C,2,0)</f>
        <v>34</v>
      </c>
      <c r="D318" s="43" t="str">
        <f t="shared" si="4"/>
        <v>Middle-Aged</v>
      </c>
      <c r="E318" s="43" t="str" cm="1">
        <f t="array" ref="E318:G318">_xlfn.XLOOKUP(A318,Table3[Customer_ID],Table3[[Gender]:[State]])</f>
        <v>Male</v>
      </c>
      <c r="F318" s="43" t="str">
        <v>Lake James</v>
      </c>
      <c r="G318" s="43" t="str">
        <v>Maryland</v>
      </c>
      <c r="H318" s="43" t="str">
        <f>IF(OR(Customer_Dim!G318="usa",G318="United States of America"),"USA")</f>
        <v>USA</v>
      </c>
      <c r="I318" s="43" t="str">
        <f>VLOOKUP(A318,Customer_Dim!A:H,8,0)</f>
        <v>Gold</v>
      </c>
    </row>
    <row r="319" spans="1:9" x14ac:dyDescent="0.3">
      <c r="A319" s="41" t="s">
        <v>999</v>
      </c>
      <c r="B319" s="42" t="str">
        <f>PROPER(Table3[[#This Row],[Name]])</f>
        <v>Tiffany Williams</v>
      </c>
      <c r="C319" s="43">
        <f>VLOOKUP(B319,Customer_Dim!B:C,2,0)</f>
        <v>64</v>
      </c>
      <c r="D319" s="43" t="str">
        <f t="shared" si="4"/>
        <v>Senior</v>
      </c>
      <c r="E319" s="43" t="str" cm="1">
        <f t="array" ref="E319:G319">_xlfn.XLOOKUP(A319,Table3[Customer_ID],Table3[[Gender]:[State]])</f>
        <v>Female</v>
      </c>
      <c r="F319" s="43" t="str">
        <v>Richardsport</v>
      </c>
      <c r="G319" s="43" t="str">
        <v>New Hampshire</v>
      </c>
      <c r="H319" s="43" t="str">
        <f>IF(OR(Customer_Dim!G319="usa",G319="United States of America"),"USA")</f>
        <v>USA</v>
      </c>
      <c r="I319" s="43" t="str">
        <f>VLOOKUP(A319,Customer_Dim!A:H,8,0)</f>
        <v>Gold</v>
      </c>
    </row>
    <row r="320" spans="1:9" x14ac:dyDescent="0.3">
      <c r="A320" s="41" t="s">
        <v>1002</v>
      </c>
      <c r="B320" s="42" t="str">
        <f>PROPER(Table3[[#This Row],[Name]])</f>
        <v>Madison Wright</v>
      </c>
      <c r="C320" s="43">
        <f>VLOOKUP(B320,Customer_Dim!B:C,2,0)</f>
        <v>25</v>
      </c>
      <c r="D320" s="43" t="str">
        <f t="shared" si="4"/>
        <v>Young</v>
      </c>
      <c r="E320" s="43" t="str" cm="1">
        <f t="array" ref="E320:G320">_xlfn.XLOOKUP(A320,Table3[Customer_ID],Table3[[Gender]:[State]])</f>
        <v>Male</v>
      </c>
      <c r="F320" s="43" t="str">
        <v>Monicaview</v>
      </c>
      <c r="G320" s="43" t="str">
        <v>Kansas</v>
      </c>
      <c r="H320" s="43" t="str">
        <f>IF(OR(Customer_Dim!G320="usa",G320="United States of America"),"USA")</f>
        <v>USA</v>
      </c>
      <c r="I320" s="43" t="str">
        <f>VLOOKUP(A320,Customer_Dim!A:H,8,0)</f>
        <v>Platinum</v>
      </c>
    </row>
    <row r="321" spans="1:9" x14ac:dyDescent="0.3">
      <c r="A321" s="41" t="s">
        <v>1005</v>
      </c>
      <c r="B321" s="42" t="str">
        <f>PROPER(Table3[[#This Row],[Name]])</f>
        <v>Casey Simpson</v>
      </c>
      <c r="C321" s="43">
        <f>VLOOKUP(B321,Customer_Dim!B:C,2,0)</f>
        <v>54</v>
      </c>
      <c r="D321" s="43" t="str">
        <f t="shared" si="4"/>
        <v>Senior</v>
      </c>
      <c r="E321" s="43" t="str" cm="1">
        <f t="array" ref="E321:G321">_xlfn.XLOOKUP(A321,Table3[Customer_ID],Table3[[Gender]:[State]])</f>
        <v>Male</v>
      </c>
      <c r="F321" s="43" t="str">
        <v>West Mathewside</v>
      </c>
      <c r="G321" s="43" t="str">
        <v>Mississippi</v>
      </c>
      <c r="H321" s="43" t="str">
        <f>IF(OR(Customer_Dim!G321="usa",G321="United States of America"),"USA")</f>
        <v>USA</v>
      </c>
      <c r="I321" s="43" t="str">
        <f>VLOOKUP(A321,Customer_Dim!A:H,8,0)</f>
        <v>Platinum</v>
      </c>
    </row>
    <row r="322" spans="1:9" x14ac:dyDescent="0.3">
      <c r="A322" s="41" t="s">
        <v>1008</v>
      </c>
      <c r="B322" s="42" t="str">
        <f>PROPER(Table3[[#This Row],[Name]])</f>
        <v>Jessica Gonzalez</v>
      </c>
      <c r="C322" s="43">
        <f>VLOOKUP(B322,Customer_Dim!B:C,2,0)</f>
        <v>34</v>
      </c>
      <c r="D322" s="43" t="str">
        <f t="shared" si="4"/>
        <v>Middle-Aged</v>
      </c>
      <c r="E322" s="43" t="str" cm="1">
        <f t="array" ref="E322:G322">_xlfn.XLOOKUP(A322,Table3[Customer_ID],Table3[[Gender]:[State]])</f>
        <v>Female</v>
      </c>
      <c r="F322" s="43" t="str">
        <v>South Darrenland</v>
      </c>
      <c r="G322" s="43" t="str">
        <v>Iowa</v>
      </c>
      <c r="H322" s="43" t="str">
        <f>IF(OR(Customer_Dim!G322="usa",G322="United States of America"),"USA")</f>
        <v>USA</v>
      </c>
      <c r="I322" s="43" t="str">
        <f>VLOOKUP(A322,Customer_Dim!A:H,8,0)</f>
        <v>Bronze</v>
      </c>
    </row>
    <row r="323" spans="1:9" x14ac:dyDescent="0.3">
      <c r="A323" s="41" t="s">
        <v>1011</v>
      </c>
      <c r="B323" s="42" t="str">
        <f>PROPER(Table3[[#This Row],[Name]])</f>
        <v>Darren Burton</v>
      </c>
      <c r="C323" s="43">
        <f>VLOOKUP(B323,Customer_Dim!B:C,2,0)</f>
        <v>21</v>
      </c>
      <c r="D323" s="43" t="str">
        <f t="shared" ref="D323:D386" si="5">IF(C323&lt;30,"Young",IF(C323&lt;=50,"Middle-Aged","Senior"))</f>
        <v>Young</v>
      </c>
      <c r="E323" s="43" t="str" cm="1">
        <f t="array" ref="E323:G323">_xlfn.XLOOKUP(A323,Table3[Customer_ID],Table3[[Gender]:[State]])</f>
        <v>Female</v>
      </c>
      <c r="F323" s="43" t="str">
        <v>Lake Alice</v>
      </c>
      <c r="G323" s="43" t="str">
        <v>Tennessee</v>
      </c>
      <c r="H323" s="43" t="str">
        <f>IF(OR(Customer_Dim!G323="usa",G323="United States of America"),"USA")</f>
        <v>USA</v>
      </c>
      <c r="I323" s="43" t="str">
        <f>VLOOKUP(A323,Customer_Dim!A:H,8,0)</f>
        <v>Bronze</v>
      </c>
    </row>
    <row r="324" spans="1:9" x14ac:dyDescent="0.3">
      <c r="A324" s="41" t="s">
        <v>1014</v>
      </c>
      <c r="B324" s="42" t="str">
        <f>PROPER(Table3[[#This Row],[Name]])</f>
        <v>Samuel Arias</v>
      </c>
      <c r="C324" s="43">
        <f>VLOOKUP(B324,Customer_Dim!B:C,2,0)</f>
        <v>54</v>
      </c>
      <c r="D324" s="43" t="str">
        <f t="shared" si="5"/>
        <v>Senior</v>
      </c>
      <c r="E324" s="43" t="str" cm="1">
        <f t="array" ref="E324:G324">_xlfn.XLOOKUP(A324,Table3[Customer_ID],Table3[[Gender]:[State]])</f>
        <v>Male</v>
      </c>
      <c r="F324" s="43" t="str">
        <v>North Nicole</v>
      </c>
      <c r="G324" s="43" t="str">
        <v>Wyoming</v>
      </c>
      <c r="H324" s="43" t="str">
        <f>IF(OR(Customer_Dim!G324="usa",G324="United States of America"),"USA")</f>
        <v>USA</v>
      </c>
      <c r="I324" s="43" t="str">
        <f>VLOOKUP(A324,Customer_Dim!A:H,8,0)</f>
        <v>Bronze</v>
      </c>
    </row>
    <row r="325" spans="1:9" x14ac:dyDescent="0.3">
      <c r="A325" s="41" t="s">
        <v>1017</v>
      </c>
      <c r="B325" s="42" t="str">
        <f>PROPER(Table3[[#This Row],[Name]])</f>
        <v>Kristy Dunlap</v>
      </c>
      <c r="C325" s="43">
        <f>VLOOKUP(B325,Customer_Dim!B:C,2,0)</f>
        <v>64</v>
      </c>
      <c r="D325" s="43" t="str">
        <f t="shared" si="5"/>
        <v>Senior</v>
      </c>
      <c r="E325" s="43" t="str" cm="1">
        <f t="array" ref="E325:G325">_xlfn.XLOOKUP(A325,Table3[Customer_ID],Table3[[Gender]:[State]])</f>
        <v>Female</v>
      </c>
      <c r="F325" s="43" t="str">
        <v>Whiteport</v>
      </c>
      <c r="G325" s="43" t="str">
        <v>North Carolina</v>
      </c>
      <c r="H325" s="43" t="str">
        <f>IF(OR(Customer_Dim!G325="usa",G325="United States of America"),"USA")</f>
        <v>USA</v>
      </c>
      <c r="I325" s="43" t="str">
        <f>VLOOKUP(A325,Customer_Dim!A:H,8,0)</f>
        <v>Platinum</v>
      </c>
    </row>
    <row r="326" spans="1:9" x14ac:dyDescent="0.3">
      <c r="A326" s="41" t="s">
        <v>1020</v>
      </c>
      <c r="B326" s="42" t="str">
        <f>PROPER(Table3[[#This Row],[Name]])</f>
        <v>Alex Mann Ii</v>
      </c>
      <c r="C326" s="43">
        <f>VLOOKUP(B326,Customer_Dim!B:C,2,0)</f>
        <v>58</v>
      </c>
      <c r="D326" s="43" t="str">
        <f t="shared" si="5"/>
        <v>Senior</v>
      </c>
      <c r="E326" s="43" t="str" cm="1">
        <f t="array" ref="E326:G326">_xlfn.XLOOKUP(A326,Table3[Customer_ID],Table3[[Gender]:[State]])</f>
        <v>Male</v>
      </c>
      <c r="F326" s="43" t="str">
        <v>South Zacharychester</v>
      </c>
      <c r="G326" s="43" t="str">
        <v>Oklahoma</v>
      </c>
      <c r="H326" s="43" t="str">
        <f>IF(OR(Customer_Dim!G326="usa",G326="United States of America"),"USA")</f>
        <v>USA</v>
      </c>
      <c r="I326" s="43" t="str">
        <f>VLOOKUP(A326,Customer_Dim!A:H,8,0)</f>
        <v>Bronze</v>
      </c>
    </row>
    <row r="327" spans="1:9" x14ac:dyDescent="0.3">
      <c r="A327" s="41" t="s">
        <v>1023</v>
      </c>
      <c r="B327" s="42" t="str">
        <f>PROPER(Table3[[#This Row],[Name]])</f>
        <v>Andrew Smith</v>
      </c>
      <c r="C327" s="43">
        <f>VLOOKUP(B327,Customer_Dim!B:C,2,0)</f>
        <v>60</v>
      </c>
      <c r="D327" s="43" t="str">
        <f t="shared" si="5"/>
        <v>Senior</v>
      </c>
      <c r="E327" s="43" t="str" cm="1">
        <f t="array" ref="E327:G327">_xlfn.XLOOKUP(A327,Table3[Customer_ID],Table3[[Gender]:[State]])</f>
        <v>Male</v>
      </c>
      <c r="F327" s="43" t="str">
        <v>East Matthew</v>
      </c>
      <c r="G327" s="43" t="str">
        <v>Wisconsin</v>
      </c>
      <c r="H327" s="43" t="str">
        <f>IF(OR(Customer_Dim!G327="usa",G327="United States of America"),"USA")</f>
        <v>USA</v>
      </c>
      <c r="I327" s="43" t="str">
        <f>VLOOKUP(A327,Customer_Dim!A:H,8,0)</f>
        <v>Bronze</v>
      </c>
    </row>
    <row r="328" spans="1:9" x14ac:dyDescent="0.3">
      <c r="A328" s="41" t="s">
        <v>1026</v>
      </c>
      <c r="B328" s="42" t="str">
        <f>PROPER(Table3[[#This Row],[Name]])</f>
        <v>Robert King</v>
      </c>
      <c r="C328" s="43">
        <f>VLOOKUP(B328,Customer_Dim!B:C,2,0)</f>
        <v>58</v>
      </c>
      <c r="D328" s="43" t="str">
        <f t="shared" si="5"/>
        <v>Senior</v>
      </c>
      <c r="E328" s="43" t="str" cm="1">
        <f t="array" ref="E328:G328">_xlfn.XLOOKUP(A328,Table3[Customer_ID],Table3[[Gender]:[State]])</f>
        <v>Female</v>
      </c>
      <c r="F328" s="43" t="str">
        <v>Cindyton</v>
      </c>
      <c r="G328" s="43" t="str">
        <v>Rhode Island</v>
      </c>
      <c r="H328" s="43" t="str">
        <f>IF(OR(Customer_Dim!G328="usa",G328="United States of America"),"USA")</f>
        <v>USA</v>
      </c>
      <c r="I328" s="43" t="str">
        <f>VLOOKUP(A328,Customer_Dim!A:H,8,0)</f>
        <v>Gold</v>
      </c>
    </row>
    <row r="329" spans="1:9" x14ac:dyDescent="0.3">
      <c r="A329" s="41" t="s">
        <v>1029</v>
      </c>
      <c r="B329" s="42" t="str">
        <f>PROPER(Table3[[#This Row],[Name]])</f>
        <v>Reginald Willis</v>
      </c>
      <c r="C329" s="43">
        <f>VLOOKUP(B329,Customer_Dim!B:C,2,0)</f>
        <v>62</v>
      </c>
      <c r="D329" s="43" t="str">
        <f t="shared" si="5"/>
        <v>Senior</v>
      </c>
      <c r="E329" s="43" t="str" cm="1">
        <f t="array" ref="E329:G329">_xlfn.XLOOKUP(A329,Table3[Customer_ID],Table3[[Gender]:[State]])</f>
        <v>Female</v>
      </c>
      <c r="F329" s="43" t="str">
        <v>Kellybury</v>
      </c>
      <c r="G329" s="43" t="str">
        <v>New York</v>
      </c>
      <c r="H329" s="43" t="str">
        <f>IF(OR(Customer_Dim!G329="usa",G329="United States of America"),"USA")</f>
        <v>USA</v>
      </c>
      <c r="I329" s="43" t="str">
        <f>VLOOKUP(A329,Customer_Dim!A:H,8,0)</f>
        <v>Bronze</v>
      </c>
    </row>
    <row r="330" spans="1:9" x14ac:dyDescent="0.3">
      <c r="A330" s="41" t="s">
        <v>1032</v>
      </c>
      <c r="B330" s="42" t="str">
        <f>PROPER(Table3[[#This Row],[Name]])</f>
        <v>Mario Harvey Jr.</v>
      </c>
      <c r="C330" s="43">
        <f>VLOOKUP(B330,Customer_Dim!B:C,2,0)</f>
        <v>46</v>
      </c>
      <c r="D330" s="43" t="str">
        <f t="shared" si="5"/>
        <v>Middle-Aged</v>
      </c>
      <c r="E330" s="43" t="str" cm="1">
        <f t="array" ref="E330:G330">_xlfn.XLOOKUP(A330,Table3[Customer_ID],Table3[[Gender]:[State]])</f>
        <v>Male</v>
      </c>
      <c r="F330" s="43" t="str">
        <v>Jessicaport</v>
      </c>
      <c r="G330" s="43" t="str">
        <v>Minnesota</v>
      </c>
      <c r="H330" s="43" t="str">
        <f>IF(OR(Customer_Dim!G330="usa",G330="United States of America"),"USA")</f>
        <v>USA</v>
      </c>
      <c r="I330" s="43" t="str">
        <f>VLOOKUP(A330,Customer_Dim!A:H,8,0)</f>
        <v>Platinum</v>
      </c>
    </row>
    <row r="331" spans="1:9" x14ac:dyDescent="0.3">
      <c r="A331" s="41" t="s">
        <v>1035</v>
      </c>
      <c r="B331" s="42" t="str">
        <f>PROPER(Table3[[#This Row],[Name]])</f>
        <v>Victor Mcintosh</v>
      </c>
      <c r="C331" s="43">
        <f>VLOOKUP(B331,Customer_Dim!B:C,2,0)</f>
        <v>62</v>
      </c>
      <c r="D331" s="43" t="str">
        <f t="shared" si="5"/>
        <v>Senior</v>
      </c>
      <c r="E331" s="43" t="str" cm="1">
        <f t="array" ref="E331:G331">_xlfn.XLOOKUP(A331,Table3[Customer_ID],Table3[[Gender]:[State]])</f>
        <v>Female</v>
      </c>
      <c r="F331" s="43" t="str">
        <v>Tiffanyshire</v>
      </c>
      <c r="G331" s="43" t="str">
        <v>Minnesota</v>
      </c>
      <c r="H331" s="43" t="str">
        <f>IF(OR(Customer_Dim!G331="usa",G331="United States of America"),"USA")</f>
        <v>USA</v>
      </c>
      <c r="I331" s="43" t="str">
        <f>VLOOKUP(A331,Customer_Dim!A:H,8,0)</f>
        <v>Bronze</v>
      </c>
    </row>
    <row r="332" spans="1:9" x14ac:dyDescent="0.3">
      <c r="A332" s="41" t="s">
        <v>1038</v>
      </c>
      <c r="B332" s="42" t="str">
        <f>PROPER(Table3[[#This Row],[Name]])</f>
        <v>Pamela Mcguire</v>
      </c>
      <c r="C332" s="43">
        <f>VLOOKUP(B332,Customer_Dim!B:C,2,0)</f>
        <v>54</v>
      </c>
      <c r="D332" s="43" t="str">
        <f t="shared" si="5"/>
        <v>Senior</v>
      </c>
      <c r="E332" s="43" t="str" cm="1">
        <f t="array" ref="E332:G332">_xlfn.XLOOKUP(A332,Table3[Customer_ID],Table3[[Gender]:[State]])</f>
        <v>Male</v>
      </c>
      <c r="F332" s="43" t="str">
        <v>South Jasontown</v>
      </c>
      <c r="G332" s="43" t="str">
        <v>Illinois</v>
      </c>
      <c r="H332" s="43" t="str">
        <f>IF(OR(Customer_Dim!G332="usa",G332="United States of America"),"USA")</f>
        <v>USA</v>
      </c>
      <c r="I332" s="43" t="str">
        <f>VLOOKUP(A332,Customer_Dim!A:H,8,0)</f>
        <v>Platinum</v>
      </c>
    </row>
    <row r="333" spans="1:9" x14ac:dyDescent="0.3">
      <c r="A333" s="41" t="s">
        <v>1041</v>
      </c>
      <c r="B333" s="42" t="str">
        <f>PROPER(Table3[[#This Row],[Name]])</f>
        <v>Maria Phillips</v>
      </c>
      <c r="C333" s="43">
        <f>VLOOKUP(B333,Customer_Dim!B:C,2,0)</f>
        <v>38</v>
      </c>
      <c r="D333" s="43" t="str">
        <f t="shared" si="5"/>
        <v>Middle-Aged</v>
      </c>
      <c r="E333" s="43" t="str" cm="1">
        <f t="array" ref="E333:G333">_xlfn.XLOOKUP(A333,Table3[Customer_ID],Table3[[Gender]:[State]])</f>
        <v>Female</v>
      </c>
      <c r="F333" s="43" t="str">
        <v>North Kathytown</v>
      </c>
      <c r="G333" s="43" t="str">
        <v>Montana</v>
      </c>
      <c r="H333" s="43" t="str">
        <f>IF(OR(Customer_Dim!G333="usa",G333="United States of America"),"USA")</f>
        <v>USA</v>
      </c>
      <c r="I333" s="43" t="str">
        <f>VLOOKUP(A333,Customer_Dim!A:H,8,0)</f>
        <v>Bronze</v>
      </c>
    </row>
    <row r="334" spans="1:9" x14ac:dyDescent="0.3">
      <c r="A334" s="41" t="s">
        <v>1044</v>
      </c>
      <c r="B334" s="42" t="str">
        <f>PROPER(Table3[[#This Row],[Name]])</f>
        <v>Dr. Lindsay Hanna</v>
      </c>
      <c r="C334" s="43">
        <f>VLOOKUP(B334,Customer_Dim!B:C,2,0)</f>
        <v>34</v>
      </c>
      <c r="D334" s="43" t="str">
        <f t="shared" si="5"/>
        <v>Middle-Aged</v>
      </c>
      <c r="E334" s="43" t="str" cm="1">
        <f t="array" ref="E334:G334">_xlfn.XLOOKUP(A334,Table3[Customer_ID],Table3[[Gender]:[State]])</f>
        <v>Female</v>
      </c>
      <c r="F334" s="43" t="str">
        <v>New Paulstad</v>
      </c>
      <c r="G334" s="43" t="str">
        <v>Hawaii</v>
      </c>
      <c r="H334" s="43" t="str">
        <f>IF(OR(Customer_Dim!G334="usa",G334="United States of America"),"USA")</f>
        <v>USA</v>
      </c>
      <c r="I334" s="43" t="str">
        <f>VLOOKUP(A334,Customer_Dim!A:H,8,0)</f>
        <v>Bronze</v>
      </c>
    </row>
    <row r="335" spans="1:9" x14ac:dyDescent="0.3">
      <c r="A335" s="41" t="s">
        <v>1047</v>
      </c>
      <c r="B335" s="42" t="str">
        <f>PROPER(Table3[[#This Row],[Name]])</f>
        <v>Teresa Johnson</v>
      </c>
      <c r="C335" s="43">
        <f>VLOOKUP(B335,Customer_Dim!B:C,2,0)</f>
        <v>64</v>
      </c>
      <c r="D335" s="43" t="str">
        <f t="shared" si="5"/>
        <v>Senior</v>
      </c>
      <c r="E335" s="43" t="str" cm="1">
        <f t="array" ref="E335:G335">_xlfn.XLOOKUP(A335,Table3[Customer_ID],Table3[[Gender]:[State]])</f>
        <v>Female</v>
      </c>
      <c r="F335" s="43" t="str">
        <v>Johnsonbury</v>
      </c>
      <c r="G335" s="43" t="str">
        <v>Georgia</v>
      </c>
      <c r="H335" s="43" t="str">
        <f>IF(OR(Customer_Dim!G335="usa",G335="United States of America"),"USA")</f>
        <v>USA</v>
      </c>
      <c r="I335" s="43" t="str">
        <f>VLOOKUP(A335,Customer_Dim!A:H,8,0)</f>
        <v>Gold</v>
      </c>
    </row>
    <row r="336" spans="1:9" x14ac:dyDescent="0.3">
      <c r="A336" s="41" t="s">
        <v>1050</v>
      </c>
      <c r="B336" s="42" t="str">
        <f>PROPER(Table3[[#This Row],[Name]])</f>
        <v>Mr. Christopher Sims</v>
      </c>
      <c r="C336" s="43">
        <f>VLOOKUP(B336,Customer_Dim!B:C,2,0)</f>
        <v>50</v>
      </c>
      <c r="D336" s="43" t="str">
        <f t="shared" si="5"/>
        <v>Middle-Aged</v>
      </c>
      <c r="E336" s="43" t="str" cm="1">
        <f t="array" ref="E336:G336">_xlfn.XLOOKUP(A336,Table3[Customer_ID],Table3[[Gender]:[State]])</f>
        <v>Female</v>
      </c>
      <c r="F336" s="43" t="str">
        <v>Donaldsontown</v>
      </c>
      <c r="G336" s="43" t="str">
        <v>Connecticut</v>
      </c>
      <c r="H336" s="43" t="str">
        <f>IF(OR(Customer_Dim!G336="usa",G336="United States of America"),"USA")</f>
        <v>USA</v>
      </c>
      <c r="I336" s="43" t="str">
        <f>VLOOKUP(A336,Customer_Dim!A:H,8,0)</f>
        <v>Silver</v>
      </c>
    </row>
    <row r="337" spans="1:9" x14ac:dyDescent="0.3">
      <c r="A337" s="41" t="s">
        <v>1053</v>
      </c>
      <c r="B337" s="42" t="str">
        <f>PROPER(Table3[[#This Row],[Name]])</f>
        <v>Jennifer Woods</v>
      </c>
      <c r="C337" s="43">
        <f>VLOOKUP(B337,Customer_Dim!B:C,2,0)</f>
        <v>37</v>
      </c>
      <c r="D337" s="43" t="str">
        <f t="shared" si="5"/>
        <v>Middle-Aged</v>
      </c>
      <c r="E337" s="43" t="str" cm="1">
        <f t="array" ref="E337:G337">_xlfn.XLOOKUP(A337,Table3[Customer_ID],Table3[[Gender]:[State]])</f>
        <v>Male</v>
      </c>
      <c r="F337" s="43" t="str">
        <v>West Brendamouth</v>
      </c>
      <c r="G337" s="43" t="str">
        <v>North Carolina</v>
      </c>
      <c r="H337" s="43" t="str">
        <f>IF(OR(Customer_Dim!G337="usa",G337="United States of America"),"USA")</f>
        <v>USA</v>
      </c>
      <c r="I337" s="43" t="str">
        <f>VLOOKUP(A337,Customer_Dim!A:H,8,0)</f>
        <v>Platinum</v>
      </c>
    </row>
    <row r="338" spans="1:9" x14ac:dyDescent="0.3">
      <c r="A338" s="41" t="s">
        <v>1056</v>
      </c>
      <c r="B338" s="42" t="str">
        <f>PROPER(Table3[[#This Row],[Name]])</f>
        <v>John Jones</v>
      </c>
      <c r="C338" s="43">
        <f>VLOOKUP(B338,Customer_Dim!B:C,2,0)</f>
        <v>58</v>
      </c>
      <c r="D338" s="43" t="str">
        <f t="shared" si="5"/>
        <v>Senior</v>
      </c>
      <c r="E338" s="43" t="str" cm="1">
        <f t="array" ref="E338:G338">_xlfn.XLOOKUP(A338,Table3[Customer_ID],Table3[[Gender]:[State]])</f>
        <v>Female</v>
      </c>
      <c r="F338" s="43" t="str">
        <v>North Michaelborough</v>
      </c>
      <c r="G338" s="43" t="str">
        <v>Oregon</v>
      </c>
      <c r="H338" s="43" t="str">
        <f>IF(OR(Customer_Dim!G338="usa",G338="United States of America"),"USA")</f>
        <v>USA</v>
      </c>
      <c r="I338" s="43" t="str">
        <f>VLOOKUP(A338,Customer_Dim!A:H,8,0)</f>
        <v>Silver</v>
      </c>
    </row>
    <row r="339" spans="1:9" x14ac:dyDescent="0.3">
      <c r="A339" s="41" t="s">
        <v>1059</v>
      </c>
      <c r="B339" s="42" t="str">
        <f>PROPER(Table3[[#This Row],[Name]])</f>
        <v>Carol Lewis</v>
      </c>
      <c r="C339" s="43">
        <f>VLOOKUP(B339,Customer_Dim!B:C,2,0)</f>
        <v>40</v>
      </c>
      <c r="D339" s="43" t="str">
        <f t="shared" si="5"/>
        <v>Middle-Aged</v>
      </c>
      <c r="E339" s="43" t="str" cm="1">
        <f t="array" ref="E339:G339">_xlfn.XLOOKUP(A339,Table3[Customer_ID],Table3[[Gender]:[State]])</f>
        <v>Female</v>
      </c>
      <c r="F339" s="43" t="str">
        <v>Ryanport</v>
      </c>
      <c r="G339" s="43" t="str">
        <v>North Carolina</v>
      </c>
      <c r="H339" s="43" t="str">
        <f>IF(OR(Customer_Dim!G339="usa",G339="United States of America"),"USA")</f>
        <v>USA</v>
      </c>
      <c r="I339" s="43" t="str">
        <f>VLOOKUP(A339,Customer_Dim!A:H,8,0)</f>
        <v>Bronze</v>
      </c>
    </row>
    <row r="340" spans="1:9" x14ac:dyDescent="0.3">
      <c r="A340" s="41" t="s">
        <v>1062</v>
      </c>
      <c r="B340" s="42" t="str">
        <f>PROPER(Table3[[#This Row],[Name]])</f>
        <v>Jasmine Snyder</v>
      </c>
      <c r="C340" s="43">
        <f>VLOOKUP(B340,Customer_Dim!B:C,2,0)</f>
        <v>46</v>
      </c>
      <c r="D340" s="43" t="str">
        <f t="shared" si="5"/>
        <v>Middle-Aged</v>
      </c>
      <c r="E340" s="43" t="str" cm="1">
        <f t="array" ref="E340:G340">_xlfn.XLOOKUP(A340,Table3[Customer_ID],Table3[[Gender]:[State]])</f>
        <v>Female</v>
      </c>
      <c r="F340" s="43" t="str">
        <v>Hudsonfort</v>
      </c>
      <c r="G340" s="43" t="str">
        <v>Connecticut</v>
      </c>
      <c r="H340" s="43" t="str">
        <f>IF(OR(Customer_Dim!G340="usa",G340="United States of America"),"USA")</f>
        <v>USA</v>
      </c>
      <c r="I340" s="43" t="str">
        <f>VLOOKUP(A340,Customer_Dim!A:H,8,0)</f>
        <v>Silver</v>
      </c>
    </row>
    <row r="341" spans="1:9" x14ac:dyDescent="0.3">
      <c r="A341" s="41" t="s">
        <v>1065</v>
      </c>
      <c r="B341" s="42" t="str">
        <f>PROPER(Table3[[#This Row],[Name]])</f>
        <v>Mrs. Susan Buckley</v>
      </c>
      <c r="C341" s="43">
        <f>VLOOKUP(B341,Customer_Dim!B:C,2,0)</f>
        <v>52</v>
      </c>
      <c r="D341" s="43" t="str">
        <f t="shared" si="5"/>
        <v>Senior</v>
      </c>
      <c r="E341" s="43" t="str" cm="1">
        <f t="array" ref="E341:G341">_xlfn.XLOOKUP(A341,Table3[Customer_ID],Table3[[Gender]:[State]])</f>
        <v>Female</v>
      </c>
      <c r="F341" s="43" t="str">
        <v>Stevensbury</v>
      </c>
      <c r="G341" s="43" t="str">
        <v>Arizona</v>
      </c>
      <c r="H341" s="43" t="str">
        <f>IF(OR(Customer_Dim!G341="usa",G341="United States of America"),"USA")</f>
        <v>USA</v>
      </c>
      <c r="I341" s="43" t="str">
        <f>VLOOKUP(A341,Customer_Dim!A:H,8,0)</f>
        <v>Platinum</v>
      </c>
    </row>
    <row r="342" spans="1:9" x14ac:dyDescent="0.3">
      <c r="A342" s="41" t="s">
        <v>1068</v>
      </c>
      <c r="B342" s="42" t="str">
        <f>PROPER(Table3[[#This Row],[Name]])</f>
        <v>Eric Davis</v>
      </c>
      <c r="C342" s="43">
        <f>VLOOKUP(B342,Customer_Dim!B:C,2,0)</f>
        <v>27</v>
      </c>
      <c r="D342" s="43" t="str">
        <f t="shared" si="5"/>
        <v>Young</v>
      </c>
      <c r="E342" s="43" t="str" cm="1">
        <f t="array" ref="E342:G342">_xlfn.XLOOKUP(A342,Table3[Customer_ID],Table3[[Gender]:[State]])</f>
        <v>Male</v>
      </c>
      <c r="F342" s="43" t="str">
        <v>Johntown</v>
      </c>
      <c r="G342" s="43" t="str">
        <v>Colorado</v>
      </c>
      <c r="H342" s="43" t="str">
        <f>IF(OR(Customer_Dim!G342="usa",G342="United States of America"),"USA")</f>
        <v>USA</v>
      </c>
      <c r="I342" s="43" t="str">
        <f>VLOOKUP(A342,Customer_Dim!A:H,8,0)</f>
        <v>Bronze</v>
      </c>
    </row>
    <row r="343" spans="1:9" x14ac:dyDescent="0.3">
      <c r="A343" s="41" t="s">
        <v>1071</v>
      </c>
      <c r="B343" s="42" t="str">
        <f>PROPER(Table3[[#This Row],[Name]])</f>
        <v>Angela Williams</v>
      </c>
      <c r="C343" s="43">
        <f>VLOOKUP(B343,Customer_Dim!B:C,2,0)</f>
        <v>56</v>
      </c>
      <c r="D343" s="43" t="str">
        <f t="shared" si="5"/>
        <v>Senior</v>
      </c>
      <c r="E343" s="43" t="str" cm="1">
        <f t="array" ref="E343:G343">_xlfn.XLOOKUP(A343,Table3[Customer_ID],Table3[[Gender]:[State]])</f>
        <v>Female</v>
      </c>
      <c r="F343" s="43" t="str">
        <v>Lake Alyssaburgh</v>
      </c>
      <c r="G343" s="43" t="str">
        <v>Illinois</v>
      </c>
      <c r="H343" s="43" t="str">
        <f>IF(OR(Customer_Dim!G343="usa",G343="United States of America"),"USA")</f>
        <v>USA</v>
      </c>
      <c r="I343" s="43" t="str">
        <f>VLOOKUP(A343,Customer_Dim!A:H,8,0)</f>
        <v>Bronze</v>
      </c>
    </row>
    <row r="344" spans="1:9" x14ac:dyDescent="0.3">
      <c r="A344" s="41" t="s">
        <v>1074</v>
      </c>
      <c r="B344" s="42" t="str">
        <f>PROPER(Table3[[#This Row],[Name]])</f>
        <v>Michelle Cunningham</v>
      </c>
      <c r="C344" s="43">
        <f>VLOOKUP(B344,Customer_Dim!B:C,2,0)</f>
        <v>30</v>
      </c>
      <c r="D344" s="43" t="str">
        <f t="shared" si="5"/>
        <v>Middle-Aged</v>
      </c>
      <c r="E344" s="43" t="str" cm="1">
        <f t="array" ref="E344:G344">_xlfn.XLOOKUP(A344,Table3[Customer_ID],Table3[[Gender]:[State]])</f>
        <v>Female</v>
      </c>
      <c r="F344" s="43" t="str">
        <v>Amandaborough</v>
      </c>
      <c r="G344" s="43" t="str">
        <v>Connecticut</v>
      </c>
      <c r="H344" s="43" t="str">
        <f>IF(OR(Customer_Dim!G344="usa",G344="United States of America"),"USA")</f>
        <v>USA</v>
      </c>
      <c r="I344" s="43" t="str">
        <f>VLOOKUP(A344,Customer_Dim!A:H,8,0)</f>
        <v>Bronze</v>
      </c>
    </row>
    <row r="345" spans="1:9" x14ac:dyDescent="0.3">
      <c r="A345" s="41" t="s">
        <v>1077</v>
      </c>
      <c r="B345" s="42" t="str">
        <f>PROPER(Table3[[#This Row],[Name]])</f>
        <v>Ryan Moore</v>
      </c>
      <c r="C345" s="43">
        <f>VLOOKUP(B345,Customer_Dim!B:C,2,0)</f>
        <v>38</v>
      </c>
      <c r="D345" s="43" t="str">
        <f t="shared" si="5"/>
        <v>Middle-Aged</v>
      </c>
      <c r="E345" s="43" t="str" cm="1">
        <f t="array" ref="E345:G345">_xlfn.XLOOKUP(A345,Table3[Customer_ID],Table3[[Gender]:[State]])</f>
        <v>Male</v>
      </c>
      <c r="F345" s="43" t="str">
        <v>Cartershire</v>
      </c>
      <c r="G345" s="43" t="str">
        <v>Virginia</v>
      </c>
      <c r="H345" s="43" t="str">
        <f>IF(OR(Customer_Dim!G345="usa",G345="United States of America"),"USA")</f>
        <v>USA</v>
      </c>
      <c r="I345" s="43" t="str">
        <f>VLOOKUP(A345,Customer_Dim!A:H,8,0)</f>
        <v>Bronze</v>
      </c>
    </row>
    <row r="346" spans="1:9" x14ac:dyDescent="0.3">
      <c r="A346" s="41" t="s">
        <v>1080</v>
      </c>
      <c r="B346" s="42" t="str">
        <f>PROPER(Table3[[#This Row],[Name]])</f>
        <v>Evelyn Brown</v>
      </c>
      <c r="C346" s="43">
        <f>VLOOKUP(B346,Customer_Dim!B:C,2,0)</f>
        <v>39</v>
      </c>
      <c r="D346" s="43" t="str">
        <f t="shared" si="5"/>
        <v>Middle-Aged</v>
      </c>
      <c r="E346" s="43" t="str" cm="1">
        <f t="array" ref="E346:G346">_xlfn.XLOOKUP(A346,Table3[Customer_ID],Table3[[Gender]:[State]])</f>
        <v>Male</v>
      </c>
      <c r="F346" s="43" t="str">
        <v>West Victoriaborough</v>
      </c>
      <c r="G346" s="43" t="str">
        <v>New Mexico</v>
      </c>
      <c r="H346" s="43" t="str">
        <f>IF(OR(Customer_Dim!G346="usa",G346="United States of America"),"USA")</f>
        <v>USA</v>
      </c>
      <c r="I346" s="43" t="str">
        <f>VLOOKUP(A346,Customer_Dim!A:H,8,0)</f>
        <v>Gold</v>
      </c>
    </row>
    <row r="347" spans="1:9" x14ac:dyDescent="0.3">
      <c r="A347" s="41" t="s">
        <v>1083</v>
      </c>
      <c r="B347" s="42" t="str">
        <f>PROPER(Table3[[#This Row],[Name]])</f>
        <v>Daniel Nelson</v>
      </c>
      <c r="C347" s="43">
        <f>VLOOKUP(B347,Customer_Dim!B:C,2,0)</f>
        <v>33</v>
      </c>
      <c r="D347" s="43" t="str">
        <f t="shared" si="5"/>
        <v>Middle-Aged</v>
      </c>
      <c r="E347" s="43" t="str" cm="1">
        <f t="array" ref="E347:G347">_xlfn.XLOOKUP(A347,Table3[Customer_ID],Table3[[Gender]:[State]])</f>
        <v>Male</v>
      </c>
      <c r="F347" s="43" t="str">
        <v>North Jonathan</v>
      </c>
      <c r="G347" s="43" t="str">
        <v>Oklahoma</v>
      </c>
      <c r="H347" s="43" t="str">
        <f>IF(OR(Customer_Dim!G347="usa",G347="United States of America"),"USA")</f>
        <v>USA</v>
      </c>
      <c r="I347" s="43" t="str">
        <f>VLOOKUP(A347,Customer_Dim!A:H,8,0)</f>
        <v>Bronze</v>
      </c>
    </row>
    <row r="348" spans="1:9" x14ac:dyDescent="0.3">
      <c r="A348" s="41" t="s">
        <v>1086</v>
      </c>
      <c r="B348" s="42" t="str">
        <f>PROPER(Table3[[#This Row],[Name]])</f>
        <v>John Jordan</v>
      </c>
      <c r="C348" s="43">
        <f>VLOOKUP(B348,Customer_Dim!B:C,2,0)</f>
        <v>58</v>
      </c>
      <c r="D348" s="43" t="str">
        <f t="shared" si="5"/>
        <v>Senior</v>
      </c>
      <c r="E348" s="43" t="str" cm="1">
        <f t="array" ref="E348:G348">_xlfn.XLOOKUP(A348,Table3[Customer_ID],Table3[[Gender]:[State]])</f>
        <v>Female</v>
      </c>
      <c r="F348" s="43" t="str">
        <v>Port Crystalberg</v>
      </c>
      <c r="G348" s="43" t="str">
        <v>Tennessee</v>
      </c>
      <c r="H348" s="43" t="str">
        <f>IF(OR(Customer_Dim!G348="usa",G348="United States of America"),"USA")</f>
        <v>USA</v>
      </c>
      <c r="I348" s="43" t="str">
        <f>VLOOKUP(A348,Customer_Dim!A:H,8,0)</f>
        <v>Platinum</v>
      </c>
    </row>
    <row r="349" spans="1:9" x14ac:dyDescent="0.3">
      <c r="A349" s="41" t="s">
        <v>1089</v>
      </c>
      <c r="B349" s="42" t="str">
        <f>PROPER(Table3[[#This Row],[Name]])</f>
        <v>Justin Mason Dds</v>
      </c>
      <c r="C349" s="43">
        <f>VLOOKUP(B349,Customer_Dim!B:C,2,0)</f>
        <v>39</v>
      </c>
      <c r="D349" s="43" t="str">
        <f t="shared" si="5"/>
        <v>Middle-Aged</v>
      </c>
      <c r="E349" s="43" t="str" cm="1">
        <f t="array" ref="E349:G349">_xlfn.XLOOKUP(A349,Table3[Customer_ID],Table3[[Gender]:[State]])</f>
        <v>Female</v>
      </c>
      <c r="F349" s="43" t="str">
        <v>Peggystad</v>
      </c>
      <c r="G349" s="43" t="str">
        <v>Connecticut</v>
      </c>
      <c r="H349" s="43" t="str">
        <f>IF(OR(Customer_Dim!G349="usa",G349="United States of America"),"USA")</f>
        <v>USA</v>
      </c>
      <c r="I349" s="43" t="str">
        <f>VLOOKUP(A349,Customer_Dim!A:H,8,0)</f>
        <v>Gold</v>
      </c>
    </row>
    <row r="350" spans="1:9" x14ac:dyDescent="0.3">
      <c r="A350" s="41" t="s">
        <v>1092</v>
      </c>
      <c r="B350" s="42" t="str">
        <f>PROPER(Table3[[#This Row],[Name]])</f>
        <v>Sherry Cabrera</v>
      </c>
      <c r="C350" s="43">
        <f>VLOOKUP(B350,Customer_Dim!B:C,2,0)</f>
        <v>55</v>
      </c>
      <c r="D350" s="43" t="str">
        <f t="shared" si="5"/>
        <v>Senior</v>
      </c>
      <c r="E350" s="43" t="str" cm="1">
        <f t="array" ref="E350:G350">_xlfn.XLOOKUP(A350,Table3[Customer_ID],Table3[[Gender]:[State]])</f>
        <v>Male</v>
      </c>
      <c r="F350" s="43" t="str">
        <v>Shannonview</v>
      </c>
      <c r="G350" s="43" t="str">
        <v>Pennsylvania</v>
      </c>
      <c r="H350" s="43" t="str">
        <f>IF(OR(Customer_Dim!G350="usa",G350="United States of America"),"USA")</f>
        <v>USA</v>
      </c>
      <c r="I350" s="43" t="str">
        <f>VLOOKUP(A350,Customer_Dim!A:H,8,0)</f>
        <v>Silver</v>
      </c>
    </row>
    <row r="351" spans="1:9" x14ac:dyDescent="0.3">
      <c r="A351" s="41" t="s">
        <v>1095</v>
      </c>
      <c r="B351" s="42" t="str">
        <f>PROPER(Table3[[#This Row],[Name]])</f>
        <v>Heather Valenzuela</v>
      </c>
      <c r="C351" s="43">
        <f>VLOOKUP(B351,Customer_Dim!B:C,2,0)</f>
        <v>31</v>
      </c>
      <c r="D351" s="43" t="str">
        <f t="shared" si="5"/>
        <v>Middle-Aged</v>
      </c>
      <c r="E351" s="43" t="str" cm="1">
        <f t="array" ref="E351:G351">_xlfn.XLOOKUP(A351,Table3[Customer_ID],Table3[[Gender]:[State]])</f>
        <v>Male</v>
      </c>
      <c r="F351" s="43" t="str">
        <v>New Angiefurt</v>
      </c>
      <c r="G351" s="43" t="str">
        <v>Alaska</v>
      </c>
      <c r="H351" s="43" t="str">
        <f>IF(OR(Customer_Dim!G351="usa",G351="United States of America"),"USA")</f>
        <v>USA</v>
      </c>
      <c r="I351" s="43" t="str">
        <f>VLOOKUP(A351,Customer_Dim!A:H,8,0)</f>
        <v>Bronze</v>
      </c>
    </row>
    <row r="352" spans="1:9" x14ac:dyDescent="0.3">
      <c r="A352" s="41" t="s">
        <v>1098</v>
      </c>
      <c r="B352" s="42" t="str">
        <f>PROPER(Table3[[#This Row],[Name]])</f>
        <v>Charles Miller</v>
      </c>
      <c r="C352" s="43">
        <f>VLOOKUP(B352,Customer_Dim!B:C,2,0)</f>
        <v>26</v>
      </c>
      <c r="D352" s="43" t="str">
        <f t="shared" si="5"/>
        <v>Young</v>
      </c>
      <c r="E352" s="43" t="str" cm="1">
        <f t="array" ref="E352:G352">_xlfn.XLOOKUP(A352,Table3[Customer_ID],Table3[[Gender]:[State]])</f>
        <v>Male</v>
      </c>
      <c r="F352" s="43" t="str">
        <v>Lake Allisonborough</v>
      </c>
      <c r="G352" s="43" t="str">
        <v>Iowa</v>
      </c>
      <c r="H352" s="43" t="str">
        <f>IF(OR(Customer_Dim!G352="usa",G352="United States of America"),"USA")</f>
        <v>USA</v>
      </c>
      <c r="I352" s="43" t="str">
        <f>VLOOKUP(A352,Customer_Dim!A:H,8,0)</f>
        <v>Silver</v>
      </c>
    </row>
    <row r="353" spans="1:9" x14ac:dyDescent="0.3">
      <c r="A353" s="41" t="s">
        <v>1101</v>
      </c>
      <c r="B353" s="42" t="str">
        <f>PROPER(Table3[[#This Row],[Name]])</f>
        <v>Jeffrey Mccarthy</v>
      </c>
      <c r="C353" s="43">
        <f>VLOOKUP(B353,Customer_Dim!B:C,2,0)</f>
        <v>25</v>
      </c>
      <c r="D353" s="43" t="str">
        <f t="shared" si="5"/>
        <v>Young</v>
      </c>
      <c r="E353" s="43" t="str" cm="1">
        <f t="array" ref="E353:G353">_xlfn.XLOOKUP(A353,Table3[Customer_ID],Table3[[Gender]:[State]])</f>
        <v>Female</v>
      </c>
      <c r="F353" s="43" t="str">
        <v>North Samuel</v>
      </c>
      <c r="G353" s="43" t="str">
        <v>Nebraska</v>
      </c>
      <c r="H353" s="43" t="str">
        <f>IF(OR(Customer_Dim!G353="usa",G353="United States of America"),"USA")</f>
        <v>USA</v>
      </c>
      <c r="I353" s="43" t="str">
        <f>VLOOKUP(A353,Customer_Dim!A:H,8,0)</f>
        <v>Bronze</v>
      </c>
    </row>
    <row r="354" spans="1:9" x14ac:dyDescent="0.3">
      <c r="A354" s="41" t="s">
        <v>1104</v>
      </c>
      <c r="B354" s="42" t="str">
        <f>PROPER(Table3[[#This Row],[Name]])</f>
        <v>Michael Greene</v>
      </c>
      <c r="C354" s="43">
        <f>VLOOKUP(B354,Customer_Dim!B:C,2,0)</f>
        <v>52</v>
      </c>
      <c r="D354" s="43" t="str">
        <f t="shared" si="5"/>
        <v>Senior</v>
      </c>
      <c r="E354" s="43" t="str" cm="1">
        <f t="array" ref="E354:G354">_xlfn.XLOOKUP(A354,Table3[Customer_ID],Table3[[Gender]:[State]])</f>
        <v>Female</v>
      </c>
      <c r="F354" s="43" t="str">
        <v>Port Saramouth</v>
      </c>
      <c r="G354" s="43" t="str">
        <v>Wisconsin</v>
      </c>
      <c r="H354" s="43" t="str">
        <f>IF(OR(Customer_Dim!G354="usa",G354="United States of America"),"USA")</f>
        <v>USA</v>
      </c>
      <c r="I354" s="43" t="str">
        <f>VLOOKUP(A354,Customer_Dim!A:H,8,0)</f>
        <v>Silver</v>
      </c>
    </row>
    <row r="355" spans="1:9" x14ac:dyDescent="0.3">
      <c r="A355" s="41" t="s">
        <v>1107</v>
      </c>
      <c r="B355" s="42" t="str">
        <f>PROPER(Table3[[#This Row],[Name]])</f>
        <v>Laura Green</v>
      </c>
      <c r="C355" s="43">
        <f>VLOOKUP(B355,Customer_Dim!B:C,2,0)</f>
        <v>56</v>
      </c>
      <c r="D355" s="43" t="str">
        <f t="shared" si="5"/>
        <v>Senior</v>
      </c>
      <c r="E355" s="43" t="str" cm="1">
        <f t="array" ref="E355:G355">_xlfn.XLOOKUP(A355,Table3[Customer_ID],Table3[[Gender]:[State]])</f>
        <v>Female</v>
      </c>
      <c r="F355" s="43" t="str">
        <v>Westbury</v>
      </c>
      <c r="G355" s="43" t="str">
        <v>Oregon</v>
      </c>
      <c r="H355" s="43" t="str">
        <f>IF(OR(Customer_Dim!G355="usa",G355="United States of America"),"USA")</f>
        <v>USA</v>
      </c>
      <c r="I355" s="43" t="str">
        <f>VLOOKUP(A355,Customer_Dim!A:H,8,0)</f>
        <v>Platinum</v>
      </c>
    </row>
    <row r="356" spans="1:9" x14ac:dyDescent="0.3">
      <c r="A356" s="41" t="s">
        <v>1109</v>
      </c>
      <c r="B356" s="42" t="str">
        <f>PROPER(Table3[[#This Row],[Name]])</f>
        <v>Ryan Torres</v>
      </c>
      <c r="C356" s="43">
        <f>VLOOKUP(B356,Customer_Dim!B:C,2,0)</f>
        <v>38</v>
      </c>
      <c r="D356" s="43" t="str">
        <f t="shared" si="5"/>
        <v>Middle-Aged</v>
      </c>
      <c r="E356" s="43" t="str" cm="1">
        <f t="array" ref="E356:G356">_xlfn.XLOOKUP(A356,Table3[Customer_ID],Table3[[Gender]:[State]])</f>
        <v>Male</v>
      </c>
      <c r="F356" s="43" t="str">
        <v>Guerreroport</v>
      </c>
      <c r="G356" s="43" t="str">
        <v>Connecticut</v>
      </c>
      <c r="H356" s="43" t="str">
        <f>IF(OR(Customer_Dim!G356="usa",G356="United States of America"),"USA")</f>
        <v>USA</v>
      </c>
      <c r="I356" s="43" t="str">
        <f>VLOOKUP(A356,Customer_Dim!A:H,8,0)</f>
        <v>Silver</v>
      </c>
    </row>
    <row r="357" spans="1:9" x14ac:dyDescent="0.3">
      <c r="A357" s="41" t="s">
        <v>1112</v>
      </c>
      <c r="B357" s="42" t="str">
        <f>PROPER(Table3[[#This Row],[Name]])</f>
        <v>Carlos Flores</v>
      </c>
      <c r="C357" s="43">
        <f>VLOOKUP(B357,Customer_Dim!B:C,2,0)</f>
        <v>20</v>
      </c>
      <c r="D357" s="43" t="str">
        <f t="shared" si="5"/>
        <v>Young</v>
      </c>
      <c r="E357" s="43" t="str" cm="1">
        <f t="array" ref="E357:G357">_xlfn.XLOOKUP(A357,Table3[Customer_ID],Table3[[Gender]:[State]])</f>
        <v>Male</v>
      </c>
      <c r="F357" s="43" t="str">
        <v>North Johnfurt</v>
      </c>
      <c r="G357" s="43" t="str">
        <v>Washington</v>
      </c>
      <c r="H357" s="43" t="str">
        <f>IF(OR(Customer_Dim!G357="usa",G357="United States of America"),"USA")</f>
        <v>USA</v>
      </c>
      <c r="I357" s="43" t="str">
        <f>VLOOKUP(A357,Customer_Dim!A:H,8,0)</f>
        <v>Gold</v>
      </c>
    </row>
    <row r="358" spans="1:9" x14ac:dyDescent="0.3">
      <c r="A358" s="41" t="s">
        <v>1115</v>
      </c>
      <c r="B358" s="42" t="str">
        <f>PROPER(Table3[[#This Row],[Name]])</f>
        <v>Steve Hunt</v>
      </c>
      <c r="C358" s="43">
        <f>VLOOKUP(B358,Customer_Dim!B:C,2,0)</f>
        <v>54</v>
      </c>
      <c r="D358" s="43" t="str">
        <f t="shared" si="5"/>
        <v>Senior</v>
      </c>
      <c r="E358" s="43" t="str" cm="1">
        <f t="array" ref="E358:G358">_xlfn.XLOOKUP(A358,Table3[Customer_ID],Table3[[Gender]:[State]])</f>
        <v>Male</v>
      </c>
      <c r="F358" s="43" t="str">
        <v>North Richard</v>
      </c>
      <c r="G358" s="43" t="str">
        <v>Virginia</v>
      </c>
      <c r="H358" s="43" t="str">
        <f>IF(OR(Customer_Dim!G358="usa",G358="United States of America"),"USA")</f>
        <v>USA</v>
      </c>
      <c r="I358" s="43" t="str">
        <f>VLOOKUP(A358,Customer_Dim!A:H,8,0)</f>
        <v>Bronze</v>
      </c>
    </row>
    <row r="359" spans="1:9" x14ac:dyDescent="0.3">
      <c r="A359" s="41" t="s">
        <v>1118</v>
      </c>
      <c r="B359" s="42" t="str">
        <f>PROPER(Table3[[#This Row],[Name]])</f>
        <v>Manuel Castillo</v>
      </c>
      <c r="C359" s="43">
        <f>VLOOKUP(B359,Customer_Dim!B:C,2,0)</f>
        <v>41</v>
      </c>
      <c r="D359" s="43" t="str">
        <f t="shared" si="5"/>
        <v>Middle-Aged</v>
      </c>
      <c r="E359" s="43" t="str" cm="1">
        <f t="array" ref="E359:G359">_xlfn.XLOOKUP(A359,Table3[Customer_ID],Table3[[Gender]:[State]])</f>
        <v>Male</v>
      </c>
      <c r="F359" s="43" t="str">
        <v>Nealview</v>
      </c>
      <c r="G359" s="43" t="str">
        <v>Tennessee</v>
      </c>
      <c r="H359" s="43" t="str">
        <f>IF(OR(Customer_Dim!G359="usa",G359="United States of America"),"USA")</f>
        <v>USA</v>
      </c>
      <c r="I359" s="43" t="str">
        <f>VLOOKUP(A359,Customer_Dim!A:H,8,0)</f>
        <v>Gold</v>
      </c>
    </row>
    <row r="360" spans="1:9" x14ac:dyDescent="0.3">
      <c r="A360" s="41" t="s">
        <v>1121</v>
      </c>
      <c r="B360" s="42" t="str">
        <f>PROPER(Table3[[#This Row],[Name]])</f>
        <v>Ashley Anderson</v>
      </c>
      <c r="C360" s="43">
        <f>VLOOKUP(B360,Customer_Dim!B:C,2,0)</f>
        <v>60</v>
      </c>
      <c r="D360" s="43" t="str">
        <f t="shared" si="5"/>
        <v>Senior</v>
      </c>
      <c r="E360" s="43" t="str" cm="1">
        <f t="array" ref="E360:G360">_xlfn.XLOOKUP(A360,Table3[Customer_ID],Table3[[Gender]:[State]])</f>
        <v>Female</v>
      </c>
      <c r="F360" s="43" t="str">
        <v>West Johnmouth</v>
      </c>
      <c r="G360" s="43" t="str">
        <v>Mississippi</v>
      </c>
      <c r="H360" s="43" t="str">
        <f>IF(OR(Customer_Dim!G360="usa",G360="United States of America"),"USA")</f>
        <v>USA</v>
      </c>
      <c r="I360" s="43" t="str">
        <f>VLOOKUP(A360,Customer_Dim!A:H,8,0)</f>
        <v>Gold</v>
      </c>
    </row>
    <row r="361" spans="1:9" x14ac:dyDescent="0.3">
      <c r="A361" s="41" t="s">
        <v>1124</v>
      </c>
      <c r="B361" s="42" t="str">
        <f>PROPER(Table3[[#This Row],[Name]])</f>
        <v>Melanie Lam</v>
      </c>
      <c r="C361" s="43">
        <f>VLOOKUP(B361,Customer_Dim!B:C,2,0)</f>
        <v>32</v>
      </c>
      <c r="D361" s="43" t="str">
        <f t="shared" si="5"/>
        <v>Middle-Aged</v>
      </c>
      <c r="E361" s="43" t="str" cm="1">
        <f t="array" ref="E361:G361">_xlfn.XLOOKUP(A361,Table3[Customer_ID],Table3[[Gender]:[State]])</f>
        <v>Male</v>
      </c>
      <c r="F361" s="43" t="str">
        <v>East Michaelton</v>
      </c>
      <c r="G361" s="43" t="str">
        <v>Kansas</v>
      </c>
      <c r="H361" s="43" t="str">
        <f>IF(OR(Customer_Dim!G361="usa",G361="United States of America"),"USA")</f>
        <v>USA</v>
      </c>
      <c r="I361" s="43" t="str">
        <f>VLOOKUP(A361,Customer_Dim!A:H,8,0)</f>
        <v>Silver</v>
      </c>
    </row>
    <row r="362" spans="1:9" x14ac:dyDescent="0.3">
      <c r="A362" s="41" t="s">
        <v>1127</v>
      </c>
      <c r="B362" s="42" t="str">
        <f>PROPER(Table3[[#This Row],[Name]])</f>
        <v>Denise Tate</v>
      </c>
      <c r="C362" s="43">
        <f>VLOOKUP(B362,Customer_Dim!B:C,2,0)</f>
        <v>34</v>
      </c>
      <c r="D362" s="43" t="str">
        <f t="shared" si="5"/>
        <v>Middle-Aged</v>
      </c>
      <c r="E362" s="43" t="str" cm="1">
        <f t="array" ref="E362:G362">_xlfn.XLOOKUP(A362,Table3[Customer_ID],Table3[[Gender]:[State]])</f>
        <v>Male</v>
      </c>
      <c r="F362" s="43" t="str">
        <v>Andersonside</v>
      </c>
      <c r="G362" s="43" t="str">
        <v>Arkansas</v>
      </c>
      <c r="H362" s="43" t="str">
        <f>IF(OR(Customer_Dim!G362="usa",G362="United States of America"),"USA")</f>
        <v>USA</v>
      </c>
      <c r="I362" s="43" t="str">
        <f>VLOOKUP(A362,Customer_Dim!A:H,8,0)</f>
        <v>Platinum</v>
      </c>
    </row>
    <row r="363" spans="1:9" x14ac:dyDescent="0.3">
      <c r="A363" s="41" t="s">
        <v>1130</v>
      </c>
      <c r="B363" s="42" t="str">
        <f>PROPER(Table3[[#This Row],[Name]])</f>
        <v>Natalie Johnson</v>
      </c>
      <c r="C363" s="43">
        <f>VLOOKUP(B363,Customer_Dim!B:C,2,0)</f>
        <v>64</v>
      </c>
      <c r="D363" s="43" t="str">
        <f t="shared" si="5"/>
        <v>Senior</v>
      </c>
      <c r="E363" s="43" t="str" cm="1">
        <f t="array" ref="E363:G363">_xlfn.XLOOKUP(A363,Table3[Customer_ID],Table3[[Gender]:[State]])</f>
        <v>Male</v>
      </c>
      <c r="F363" s="43" t="str">
        <v>New Jessechester</v>
      </c>
      <c r="G363" s="43" t="str">
        <v>Indiana</v>
      </c>
      <c r="H363" s="43" t="str">
        <f>IF(OR(Customer_Dim!G363="usa",G363="United States of America"),"USA")</f>
        <v>USA</v>
      </c>
      <c r="I363" s="43" t="str">
        <f>VLOOKUP(A363,Customer_Dim!A:H,8,0)</f>
        <v>Platinum</v>
      </c>
    </row>
    <row r="364" spans="1:9" x14ac:dyDescent="0.3">
      <c r="A364" s="41" t="s">
        <v>1133</v>
      </c>
      <c r="B364" s="42" t="str">
        <f>PROPER(Table3[[#This Row],[Name]])</f>
        <v>Joshua Smith Dvm</v>
      </c>
      <c r="C364" s="43">
        <f>VLOOKUP(B364,Customer_Dim!B:C,2,0)</f>
        <v>60</v>
      </c>
      <c r="D364" s="43" t="str">
        <f t="shared" si="5"/>
        <v>Senior</v>
      </c>
      <c r="E364" s="43" t="str" cm="1">
        <f t="array" ref="E364:G364">_xlfn.XLOOKUP(A364,Table3[Customer_ID],Table3[[Gender]:[State]])</f>
        <v>Male</v>
      </c>
      <c r="F364" s="43" t="str">
        <v>Melvinton</v>
      </c>
      <c r="G364" s="43" t="str">
        <v>Alaska</v>
      </c>
      <c r="H364" s="43" t="str">
        <f>IF(OR(Customer_Dim!G364="usa",G364="United States of America"),"USA")</f>
        <v>USA</v>
      </c>
      <c r="I364" s="43" t="str">
        <f>VLOOKUP(A364,Customer_Dim!A:H,8,0)</f>
        <v>Gold</v>
      </c>
    </row>
    <row r="365" spans="1:9" x14ac:dyDescent="0.3">
      <c r="A365" s="41" t="s">
        <v>1136</v>
      </c>
      <c r="B365" s="42" t="str">
        <f>PROPER(Table3[[#This Row],[Name]])</f>
        <v>Elizabeth Smith</v>
      </c>
      <c r="C365" s="43">
        <f>VLOOKUP(B365,Customer_Dim!B:C,2,0)</f>
        <v>23</v>
      </c>
      <c r="D365" s="43" t="str">
        <f t="shared" si="5"/>
        <v>Young</v>
      </c>
      <c r="E365" s="43" t="str" cm="1">
        <f t="array" ref="E365:G365">_xlfn.XLOOKUP(A365,Table3[Customer_ID],Table3[[Gender]:[State]])</f>
        <v>Male</v>
      </c>
      <c r="F365" s="43" t="str">
        <v>Murphytown</v>
      </c>
      <c r="G365" s="43" t="str">
        <v>Ohio</v>
      </c>
      <c r="H365" s="43" t="str">
        <f>IF(OR(Customer_Dim!G365="usa",G365="United States of America"),"USA")</f>
        <v>USA</v>
      </c>
      <c r="I365" s="43" t="str">
        <f>VLOOKUP(A365,Customer_Dim!A:H,8,0)</f>
        <v>Bronze</v>
      </c>
    </row>
    <row r="366" spans="1:9" x14ac:dyDescent="0.3">
      <c r="A366" s="41" t="s">
        <v>1139</v>
      </c>
      <c r="B366" s="42" t="str">
        <f>PROPER(Table3[[#This Row],[Name]])</f>
        <v>Chloe Aguilar</v>
      </c>
      <c r="C366" s="43">
        <f>VLOOKUP(B366,Customer_Dim!B:C,2,0)</f>
        <v>58</v>
      </c>
      <c r="D366" s="43" t="str">
        <f t="shared" si="5"/>
        <v>Senior</v>
      </c>
      <c r="E366" s="43" t="str" cm="1">
        <f t="array" ref="E366:G366">_xlfn.XLOOKUP(A366,Table3[Customer_ID],Table3[[Gender]:[State]])</f>
        <v>Male</v>
      </c>
      <c r="F366" s="43" t="str">
        <v>Lake Johnside</v>
      </c>
      <c r="G366" s="43" t="str">
        <v>Arizona</v>
      </c>
      <c r="H366" s="43" t="str">
        <f>IF(OR(Customer_Dim!G366="usa",G366="United States of America"),"USA")</f>
        <v>USA</v>
      </c>
      <c r="I366" s="43" t="str">
        <f>VLOOKUP(A366,Customer_Dim!A:H,8,0)</f>
        <v>Bronze</v>
      </c>
    </row>
    <row r="367" spans="1:9" x14ac:dyDescent="0.3">
      <c r="A367" s="41" t="s">
        <v>1142</v>
      </c>
      <c r="B367" s="42" t="str">
        <f>PROPER(Table3[[#This Row],[Name]])</f>
        <v>Brandon Mcbride</v>
      </c>
      <c r="C367" s="43">
        <f>VLOOKUP(B367,Customer_Dim!B:C,2,0)</f>
        <v>63</v>
      </c>
      <c r="D367" s="43" t="str">
        <f t="shared" si="5"/>
        <v>Senior</v>
      </c>
      <c r="E367" s="43" t="str" cm="1">
        <f t="array" ref="E367:G367">_xlfn.XLOOKUP(A367,Table3[Customer_ID],Table3[[Gender]:[State]])</f>
        <v>Female</v>
      </c>
      <c r="F367" s="43" t="str">
        <v>Kellyside</v>
      </c>
      <c r="G367" s="43" t="str">
        <v>Alaska</v>
      </c>
      <c r="H367" s="43" t="str">
        <f>IF(OR(Customer_Dim!G367="usa",G367="United States of America"),"USA")</f>
        <v>USA</v>
      </c>
      <c r="I367" s="43" t="str">
        <f>VLOOKUP(A367,Customer_Dim!A:H,8,0)</f>
        <v>Platinum</v>
      </c>
    </row>
    <row r="368" spans="1:9" x14ac:dyDescent="0.3">
      <c r="A368" s="41" t="s">
        <v>1145</v>
      </c>
      <c r="B368" s="42" t="str">
        <f>PROPER(Table3[[#This Row],[Name]])</f>
        <v>Mallory Allen</v>
      </c>
      <c r="C368" s="43">
        <f>VLOOKUP(B368,Customer_Dim!B:C,2,0)</f>
        <v>40</v>
      </c>
      <c r="D368" s="43" t="str">
        <f t="shared" si="5"/>
        <v>Middle-Aged</v>
      </c>
      <c r="E368" s="43" t="str" cm="1">
        <f t="array" ref="E368:G368">_xlfn.XLOOKUP(A368,Table3[Customer_ID],Table3[[Gender]:[State]])</f>
        <v>Female</v>
      </c>
      <c r="F368" s="43" t="str">
        <v>North Theresa</v>
      </c>
      <c r="G368" s="43" t="str">
        <v>Alabama</v>
      </c>
      <c r="H368" s="43" t="str">
        <f>IF(OR(Customer_Dim!G368="usa",G368="United States of America"),"USA")</f>
        <v>USA</v>
      </c>
      <c r="I368" s="43" t="str">
        <f>VLOOKUP(A368,Customer_Dim!A:H,8,0)</f>
        <v>Platinum</v>
      </c>
    </row>
    <row r="369" spans="1:9" x14ac:dyDescent="0.3">
      <c r="A369" s="41" t="s">
        <v>1148</v>
      </c>
      <c r="B369" s="42" t="str">
        <f>PROPER(Table3[[#This Row],[Name]])</f>
        <v>Melinda Johnson</v>
      </c>
      <c r="C369" s="43">
        <f>VLOOKUP(B369,Customer_Dim!B:C,2,0)</f>
        <v>51</v>
      </c>
      <c r="D369" s="43" t="str">
        <f t="shared" si="5"/>
        <v>Senior</v>
      </c>
      <c r="E369" s="43" t="str" cm="1">
        <f t="array" ref="E369:G369">_xlfn.XLOOKUP(A369,Table3[Customer_ID],Table3[[Gender]:[State]])</f>
        <v>Male</v>
      </c>
      <c r="F369" s="43" t="str">
        <v>Kaufmanfurt</v>
      </c>
      <c r="G369" s="43" t="str">
        <v>Ohio</v>
      </c>
      <c r="H369" s="43" t="str">
        <f>IF(OR(Customer_Dim!G369="usa",G369="United States of America"),"USA")</f>
        <v>USA</v>
      </c>
      <c r="I369" s="43" t="str">
        <f>VLOOKUP(A369,Customer_Dim!A:H,8,0)</f>
        <v>Bronze</v>
      </c>
    </row>
    <row r="370" spans="1:9" x14ac:dyDescent="0.3">
      <c r="A370" s="41" t="s">
        <v>1151</v>
      </c>
      <c r="B370" s="42" t="str">
        <f>PROPER(Table3[[#This Row],[Name]])</f>
        <v>Miranda King</v>
      </c>
      <c r="C370" s="43">
        <f>VLOOKUP(B370,Customer_Dim!B:C,2,0)</f>
        <v>34</v>
      </c>
      <c r="D370" s="43" t="str">
        <f t="shared" si="5"/>
        <v>Middle-Aged</v>
      </c>
      <c r="E370" s="43" t="str" cm="1">
        <f t="array" ref="E370:G370">_xlfn.XLOOKUP(A370,Table3[Customer_ID],Table3[[Gender]:[State]])</f>
        <v>Female</v>
      </c>
      <c r="F370" s="43" t="str">
        <v>West Mathew</v>
      </c>
      <c r="G370" s="43" t="str">
        <v>New York</v>
      </c>
      <c r="H370" s="43" t="str">
        <f>IF(OR(Customer_Dim!G370="usa",G370="United States of America"),"USA")</f>
        <v>USA</v>
      </c>
      <c r="I370" s="43" t="str">
        <f>VLOOKUP(A370,Customer_Dim!A:H,8,0)</f>
        <v>Platinum</v>
      </c>
    </row>
    <row r="371" spans="1:9" x14ac:dyDescent="0.3">
      <c r="A371" s="41" t="s">
        <v>1154</v>
      </c>
      <c r="B371" s="42" t="str">
        <f>PROPER(Table3[[#This Row],[Name]])</f>
        <v>Gregory Allen</v>
      </c>
      <c r="C371" s="43">
        <f>VLOOKUP(B371,Customer_Dim!B:C,2,0)</f>
        <v>20</v>
      </c>
      <c r="D371" s="43" t="str">
        <f t="shared" si="5"/>
        <v>Young</v>
      </c>
      <c r="E371" s="43" t="str" cm="1">
        <f t="array" ref="E371:G371">_xlfn.XLOOKUP(A371,Table3[Customer_ID],Table3[[Gender]:[State]])</f>
        <v>Female</v>
      </c>
      <c r="F371" s="43" t="str">
        <v>West Bruce</v>
      </c>
      <c r="G371" s="43" t="str">
        <v>Vermont</v>
      </c>
      <c r="H371" s="43" t="str">
        <f>IF(OR(Customer_Dim!G371="usa",G371="United States of America"),"USA")</f>
        <v>USA</v>
      </c>
      <c r="I371" s="43" t="str">
        <f>VLOOKUP(A371,Customer_Dim!A:H,8,0)</f>
        <v>Platinum</v>
      </c>
    </row>
    <row r="372" spans="1:9" x14ac:dyDescent="0.3">
      <c r="A372" s="41" t="s">
        <v>1157</v>
      </c>
      <c r="B372" s="42" t="str">
        <f>PROPER(Table3[[#This Row],[Name]])</f>
        <v>James Holloway Jr.</v>
      </c>
      <c r="C372" s="43">
        <f>VLOOKUP(B372,Customer_Dim!B:C,2,0)</f>
        <v>45</v>
      </c>
      <c r="D372" s="43" t="str">
        <f t="shared" si="5"/>
        <v>Middle-Aged</v>
      </c>
      <c r="E372" s="43" t="str" cm="1">
        <f t="array" ref="E372:G372">_xlfn.XLOOKUP(A372,Table3[Customer_ID],Table3[[Gender]:[State]])</f>
        <v>Male</v>
      </c>
      <c r="F372" s="43" t="str">
        <v>Millston</v>
      </c>
      <c r="G372" s="43" t="str">
        <v>Indiana</v>
      </c>
      <c r="H372" s="43" t="str">
        <f>IF(OR(Customer_Dim!G372="usa",G372="United States of America"),"USA")</f>
        <v>USA</v>
      </c>
      <c r="I372" s="43" t="str">
        <f>VLOOKUP(A372,Customer_Dim!A:H,8,0)</f>
        <v>Silver</v>
      </c>
    </row>
    <row r="373" spans="1:9" x14ac:dyDescent="0.3">
      <c r="A373" s="41" t="s">
        <v>1160</v>
      </c>
      <c r="B373" s="42" t="str">
        <f>PROPER(Table3[[#This Row],[Name]])</f>
        <v>Michael Garner</v>
      </c>
      <c r="C373" s="43">
        <f>VLOOKUP(B373,Customer_Dim!B:C,2,0)</f>
        <v>21</v>
      </c>
      <c r="D373" s="43" t="str">
        <f t="shared" si="5"/>
        <v>Young</v>
      </c>
      <c r="E373" s="43" t="str" cm="1">
        <f t="array" ref="E373:G373">_xlfn.XLOOKUP(A373,Table3[Customer_ID],Table3[[Gender]:[State]])</f>
        <v>Female</v>
      </c>
      <c r="F373" s="43" t="str">
        <v>Port Crystal</v>
      </c>
      <c r="G373" s="43" t="str">
        <v>New Hampshire</v>
      </c>
      <c r="H373" s="43" t="str">
        <f>IF(OR(Customer_Dim!G373="usa",G373="United States of America"),"USA")</f>
        <v>USA</v>
      </c>
      <c r="I373" s="43" t="str">
        <f>VLOOKUP(A373,Customer_Dim!A:H,8,0)</f>
        <v>Platinum</v>
      </c>
    </row>
    <row r="374" spans="1:9" x14ac:dyDescent="0.3">
      <c r="A374" s="41" t="s">
        <v>1163</v>
      </c>
      <c r="B374" s="42" t="str">
        <f>PROPER(Table3[[#This Row],[Name]])</f>
        <v>Jacqueline Anthony</v>
      </c>
      <c r="C374" s="43">
        <f>VLOOKUP(B374,Customer_Dim!B:C,2,0)</f>
        <v>28</v>
      </c>
      <c r="D374" s="43" t="str">
        <f t="shared" si="5"/>
        <v>Young</v>
      </c>
      <c r="E374" s="43" t="str" cm="1">
        <f t="array" ref="E374:G374">_xlfn.XLOOKUP(A374,Table3[Customer_ID],Table3[[Gender]:[State]])</f>
        <v>Male</v>
      </c>
      <c r="F374" s="43" t="str">
        <v>Vincentside</v>
      </c>
      <c r="G374" s="43" t="str">
        <v>Ohio</v>
      </c>
      <c r="H374" s="43" t="str">
        <f>IF(OR(Customer_Dim!G374="usa",G374="United States of America"),"USA")</f>
        <v>USA</v>
      </c>
      <c r="I374" s="43" t="str">
        <f>VLOOKUP(A374,Customer_Dim!A:H,8,0)</f>
        <v>Bronze</v>
      </c>
    </row>
    <row r="375" spans="1:9" x14ac:dyDescent="0.3">
      <c r="A375" s="41" t="s">
        <v>1166</v>
      </c>
      <c r="B375" s="42" t="str">
        <f>PROPER(Table3[[#This Row],[Name]])</f>
        <v>James Orozco</v>
      </c>
      <c r="C375" s="43">
        <f>VLOOKUP(B375,Customer_Dim!B:C,2,0)</f>
        <v>37</v>
      </c>
      <c r="D375" s="43" t="str">
        <f t="shared" si="5"/>
        <v>Middle-Aged</v>
      </c>
      <c r="E375" s="43" t="str" cm="1">
        <f t="array" ref="E375:G375">_xlfn.XLOOKUP(A375,Table3[Customer_ID],Table3[[Gender]:[State]])</f>
        <v>Female</v>
      </c>
      <c r="F375" s="43" t="str">
        <v>Simpsonfort</v>
      </c>
      <c r="G375" s="43" t="str">
        <v>Maine</v>
      </c>
      <c r="H375" s="43" t="str">
        <f>IF(OR(Customer_Dim!G375="usa",G375="United States of America"),"USA")</f>
        <v>USA</v>
      </c>
      <c r="I375" s="43" t="str">
        <f>VLOOKUP(A375,Customer_Dim!A:H,8,0)</f>
        <v>Gold</v>
      </c>
    </row>
    <row r="376" spans="1:9" x14ac:dyDescent="0.3">
      <c r="A376" s="41" t="s">
        <v>1169</v>
      </c>
      <c r="B376" s="42" t="str">
        <f>PROPER(Table3[[#This Row],[Name]])</f>
        <v>Emma Wilson</v>
      </c>
      <c r="C376" s="43">
        <f>VLOOKUP(B376,Customer_Dim!B:C,2,0)</f>
        <v>60</v>
      </c>
      <c r="D376" s="43" t="str">
        <f t="shared" si="5"/>
        <v>Senior</v>
      </c>
      <c r="E376" s="43" t="str" cm="1">
        <f t="array" ref="E376:G376">_xlfn.XLOOKUP(A376,Table3[Customer_ID],Table3[[Gender]:[State]])</f>
        <v>Male</v>
      </c>
      <c r="F376" s="43" t="str">
        <v>Andersonburgh</v>
      </c>
      <c r="G376" s="43" t="str">
        <v>Hawaii</v>
      </c>
      <c r="H376" s="43" t="str">
        <f>IF(OR(Customer_Dim!G376="usa",G376="United States of America"),"USA")</f>
        <v>USA</v>
      </c>
      <c r="I376" s="43" t="str">
        <f>VLOOKUP(A376,Customer_Dim!A:H,8,0)</f>
        <v>Platinum</v>
      </c>
    </row>
    <row r="377" spans="1:9" x14ac:dyDescent="0.3">
      <c r="A377" s="41" t="s">
        <v>1172</v>
      </c>
      <c r="B377" s="42" t="str">
        <f>PROPER(Table3[[#This Row],[Name]])</f>
        <v>Joshua Bell</v>
      </c>
      <c r="C377" s="43">
        <f>VLOOKUP(B377,Customer_Dim!B:C,2,0)</f>
        <v>26</v>
      </c>
      <c r="D377" s="43" t="str">
        <f t="shared" si="5"/>
        <v>Young</v>
      </c>
      <c r="E377" s="43" t="str" cm="1">
        <f t="array" ref="E377:G377">_xlfn.XLOOKUP(A377,Table3[Customer_ID],Table3[[Gender]:[State]])</f>
        <v>Male</v>
      </c>
      <c r="F377" s="43" t="str">
        <v>Port Richardshire</v>
      </c>
      <c r="G377" s="43" t="str">
        <v>Minnesota</v>
      </c>
      <c r="H377" s="43" t="str">
        <f>IF(OR(Customer_Dim!G377="usa",G377="United States of America"),"USA")</f>
        <v>USA</v>
      </c>
      <c r="I377" s="43" t="str">
        <f>VLOOKUP(A377,Customer_Dim!A:H,8,0)</f>
        <v>Platinum</v>
      </c>
    </row>
    <row r="378" spans="1:9" x14ac:dyDescent="0.3">
      <c r="A378" s="41" t="s">
        <v>1175</v>
      </c>
      <c r="B378" s="42" t="str">
        <f>PROPER(Table3[[#This Row],[Name]])</f>
        <v>Michele Burke</v>
      </c>
      <c r="C378" s="43">
        <f>VLOOKUP(B378,Customer_Dim!B:C,2,0)</f>
        <v>30</v>
      </c>
      <c r="D378" s="43" t="str">
        <f t="shared" si="5"/>
        <v>Middle-Aged</v>
      </c>
      <c r="E378" s="43" t="str" cm="1">
        <f t="array" ref="E378:G378">_xlfn.XLOOKUP(A378,Table3[Customer_ID],Table3[[Gender]:[State]])</f>
        <v>Male</v>
      </c>
      <c r="F378" s="43" t="str">
        <v>Chambersberg</v>
      </c>
      <c r="G378" s="43" t="str">
        <v>Connecticut</v>
      </c>
      <c r="H378" s="43" t="str">
        <f>IF(OR(Customer_Dim!G378="usa",G378="United States of America"),"USA")</f>
        <v>USA</v>
      </c>
      <c r="I378" s="43" t="str">
        <f>VLOOKUP(A378,Customer_Dim!A:H,8,0)</f>
        <v>Bronze</v>
      </c>
    </row>
    <row r="379" spans="1:9" x14ac:dyDescent="0.3">
      <c r="A379" s="41" t="s">
        <v>1178</v>
      </c>
      <c r="B379" s="42" t="str">
        <f>PROPER(Table3[[#This Row],[Name]])</f>
        <v>Charles Conley</v>
      </c>
      <c r="C379" s="43">
        <f>VLOOKUP(B379,Customer_Dim!B:C,2,0)</f>
        <v>39</v>
      </c>
      <c r="D379" s="43" t="str">
        <f t="shared" si="5"/>
        <v>Middle-Aged</v>
      </c>
      <c r="E379" s="43" t="str" cm="1">
        <f t="array" ref="E379:G379">_xlfn.XLOOKUP(A379,Table3[Customer_ID],Table3[[Gender]:[State]])</f>
        <v>Female</v>
      </c>
      <c r="F379" s="43" t="str">
        <v>Nathanshire</v>
      </c>
      <c r="G379" s="43" t="str">
        <v>Maine</v>
      </c>
      <c r="H379" s="43" t="str">
        <f>IF(OR(Customer_Dim!G379="usa",G379="United States of America"),"USA")</f>
        <v>USA</v>
      </c>
      <c r="I379" s="43" t="str">
        <f>VLOOKUP(A379,Customer_Dim!A:H,8,0)</f>
        <v>Gold</v>
      </c>
    </row>
    <row r="380" spans="1:9" x14ac:dyDescent="0.3">
      <c r="A380" s="41" t="s">
        <v>1181</v>
      </c>
      <c r="B380" s="42" t="str">
        <f>PROPER(Table3[[#This Row],[Name]])</f>
        <v>Frank Stewart</v>
      </c>
      <c r="C380" s="43">
        <f>VLOOKUP(B380,Customer_Dim!B:C,2,0)</f>
        <v>44</v>
      </c>
      <c r="D380" s="43" t="str">
        <f t="shared" si="5"/>
        <v>Middle-Aged</v>
      </c>
      <c r="E380" s="43" t="str" cm="1">
        <f t="array" ref="E380:G380">_xlfn.XLOOKUP(A380,Table3[Customer_ID],Table3[[Gender]:[State]])</f>
        <v>Female</v>
      </c>
      <c r="F380" s="43" t="str">
        <v>Fischerborough</v>
      </c>
      <c r="G380" s="43" t="str">
        <v>Delaware</v>
      </c>
      <c r="H380" s="43" t="str">
        <f>IF(OR(Customer_Dim!G380="usa",G380="United States of America"),"USA")</f>
        <v>USA</v>
      </c>
      <c r="I380" s="43" t="str">
        <f>VLOOKUP(A380,Customer_Dim!A:H,8,0)</f>
        <v>Bronze</v>
      </c>
    </row>
    <row r="381" spans="1:9" x14ac:dyDescent="0.3">
      <c r="A381" s="41" t="s">
        <v>1184</v>
      </c>
      <c r="B381" s="42" t="str">
        <f>PROPER(Table3[[#This Row],[Name]])</f>
        <v>Tanya Lopez</v>
      </c>
      <c r="C381" s="43">
        <f>VLOOKUP(B381,Customer_Dim!B:C,2,0)</f>
        <v>34</v>
      </c>
      <c r="D381" s="43" t="str">
        <f t="shared" si="5"/>
        <v>Middle-Aged</v>
      </c>
      <c r="E381" s="43" t="str" cm="1">
        <f t="array" ref="E381:G381">_xlfn.XLOOKUP(A381,Table3[Customer_ID],Table3[[Gender]:[State]])</f>
        <v>Female</v>
      </c>
      <c r="F381" s="43" t="str">
        <v>West Jeffreyburgh</v>
      </c>
      <c r="G381" s="43" t="str">
        <v>Iowa</v>
      </c>
      <c r="H381" s="43" t="str">
        <f>IF(OR(Customer_Dim!G381="usa",G381="United States of America"),"USA")</f>
        <v>USA</v>
      </c>
      <c r="I381" s="43" t="str">
        <f>VLOOKUP(A381,Customer_Dim!A:H,8,0)</f>
        <v>Gold</v>
      </c>
    </row>
    <row r="382" spans="1:9" x14ac:dyDescent="0.3">
      <c r="A382" s="41" t="s">
        <v>1187</v>
      </c>
      <c r="B382" s="42" t="str">
        <f>PROPER(Table3[[#This Row],[Name]])</f>
        <v>Shelley Ponce</v>
      </c>
      <c r="C382" s="43">
        <f>VLOOKUP(B382,Customer_Dim!B:C,2,0)</f>
        <v>23</v>
      </c>
      <c r="D382" s="43" t="str">
        <f t="shared" si="5"/>
        <v>Young</v>
      </c>
      <c r="E382" s="43" t="str" cm="1">
        <f t="array" ref="E382:G382">_xlfn.XLOOKUP(A382,Table3[Customer_ID],Table3[[Gender]:[State]])</f>
        <v>Male</v>
      </c>
      <c r="F382" s="43" t="str">
        <v>South Cassandrachester</v>
      </c>
      <c r="G382" s="43" t="str">
        <v>Rhode Island</v>
      </c>
      <c r="H382" s="43" t="str">
        <f>IF(OR(Customer_Dim!G382="usa",G382="United States of America"),"USA")</f>
        <v>USA</v>
      </c>
      <c r="I382" s="43" t="str">
        <f>VLOOKUP(A382,Customer_Dim!A:H,8,0)</f>
        <v>Gold</v>
      </c>
    </row>
    <row r="383" spans="1:9" x14ac:dyDescent="0.3">
      <c r="A383" s="41" t="s">
        <v>1190</v>
      </c>
      <c r="B383" s="42" t="str">
        <f>PROPER(Table3[[#This Row],[Name]])</f>
        <v>Erika Padilla</v>
      </c>
      <c r="C383" s="43">
        <f>VLOOKUP(B383,Customer_Dim!B:C,2,0)</f>
        <v>50</v>
      </c>
      <c r="D383" s="43" t="str">
        <f t="shared" si="5"/>
        <v>Middle-Aged</v>
      </c>
      <c r="E383" s="43" t="str" cm="1">
        <f t="array" ref="E383:G383">_xlfn.XLOOKUP(A383,Table3[Customer_ID],Table3[[Gender]:[State]])</f>
        <v>Male</v>
      </c>
      <c r="F383" s="43" t="str">
        <v>Andrewsland</v>
      </c>
      <c r="G383" s="43" t="str">
        <v>Alabama</v>
      </c>
      <c r="H383" s="43" t="str">
        <f>IF(OR(Customer_Dim!G383="usa",G383="United States of America"),"USA")</f>
        <v>USA</v>
      </c>
      <c r="I383" s="43" t="str">
        <f>VLOOKUP(A383,Customer_Dim!A:H,8,0)</f>
        <v>Silver</v>
      </c>
    </row>
    <row r="384" spans="1:9" x14ac:dyDescent="0.3">
      <c r="A384" s="41" t="s">
        <v>1193</v>
      </c>
      <c r="B384" s="42" t="str">
        <f>PROPER(Table3[[#This Row],[Name]])</f>
        <v>Martha Brown</v>
      </c>
      <c r="C384" s="43">
        <f>VLOOKUP(B384,Customer_Dim!B:C,2,0)</f>
        <v>20</v>
      </c>
      <c r="D384" s="43" t="str">
        <f t="shared" si="5"/>
        <v>Young</v>
      </c>
      <c r="E384" s="43" t="str" cm="1">
        <f t="array" ref="E384:G384">_xlfn.XLOOKUP(A384,Table3[Customer_ID],Table3[[Gender]:[State]])</f>
        <v>Female</v>
      </c>
      <c r="F384" s="43" t="str">
        <v>Novakstad</v>
      </c>
      <c r="G384" s="43" t="str">
        <v>California</v>
      </c>
      <c r="H384" s="43" t="str">
        <f>IF(OR(Customer_Dim!G384="usa",G384="United States of America"),"USA")</f>
        <v>USA</v>
      </c>
      <c r="I384" s="43" t="str">
        <f>VLOOKUP(A384,Customer_Dim!A:H,8,0)</f>
        <v>Gold</v>
      </c>
    </row>
    <row r="385" spans="1:9" x14ac:dyDescent="0.3">
      <c r="A385" s="41" t="s">
        <v>1196</v>
      </c>
      <c r="B385" s="42" t="str">
        <f>PROPER(Table3[[#This Row],[Name]])</f>
        <v>Kristine Higgins</v>
      </c>
      <c r="C385" s="43">
        <f>VLOOKUP(B385,Customer_Dim!B:C,2,0)</f>
        <v>27</v>
      </c>
      <c r="D385" s="43" t="str">
        <f t="shared" si="5"/>
        <v>Young</v>
      </c>
      <c r="E385" s="43" t="str" cm="1">
        <f t="array" ref="E385:G385">_xlfn.XLOOKUP(A385,Table3[Customer_ID],Table3[[Gender]:[State]])</f>
        <v>Female</v>
      </c>
      <c r="F385" s="43" t="str">
        <v>Jennifertown</v>
      </c>
      <c r="G385" s="43" t="str">
        <v>South Carolina</v>
      </c>
      <c r="H385" s="43" t="str">
        <f>IF(OR(Customer_Dim!G385="usa",G385="United States of America"),"USA")</f>
        <v>USA</v>
      </c>
      <c r="I385" s="43" t="str">
        <f>VLOOKUP(A385,Customer_Dim!A:H,8,0)</f>
        <v>Silver</v>
      </c>
    </row>
    <row r="386" spans="1:9" x14ac:dyDescent="0.3">
      <c r="A386" s="41" t="s">
        <v>1199</v>
      </c>
      <c r="B386" s="42" t="str">
        <f>PROPER(Table3[[#This Row],[Name]])</f>
        <v>Andrew Mason</v>
      </c>
      <c r="C386" s="43">
        <f>VLOOKUP(B386,Customer_Dim!B:C,2,0)</f>
        <v>52</v>
      </c>
      <c r="D386" s="43" t="str">
        <f t="shared" si="5"/>
        <v>Senior</v>
      </c>
      <c r="E386" s="43" t="str" cm="1">
        <f t="array" ref="E386:G386">_xlfn.XLOOKUP(A386,Table3[Customer_ID],Table3[[Gender]:[State]])</f>
        <v>Female</v>
      </c>
      <c r="F386" s="43" t="str">
        <v>North Michael</v>
      </c>
      <c r="G386" s="43" t="str">
        <v>Iowa</v>
      </c>
      <c r="H386" s="43" t="str">
        <f>IF(OR(Customer_Dim!G386="usa",G386="United States of America"),"USA")</f>
        <v>USA</v>
      </c>
      <c r="I386" s="43" t="str">
        <f>VLOOKUP(A386,Customer_Dim!A:H,8,0)</f>
        <v>Bronze</v>
      </c>
    </row>
    <row r="387" spans="1:9" x14ac:dyDescent="0.3">
      <c r="A387" s="41" t="s">
        <v>1202</v>
      </c>
      <c r="B387" s="42" t="str">
        <f>PROPER(Table3[[#This Row],[Name]])</f>
        <v>Tammy Brennan</v>
      </c>
      <c r="C387" s="43">
        <f>VLOOKUP(B387,Customer_Dim!B:C,2,0)</f>
        <v>60</v>
      </c>
      <c r="D387" s="43" t="str">
        <f t="shared" ref="D387:D450" si="6">IF(C387&lt;30,"Young",IF(C387&lt;=50,"Middle-Aged","Senior"))</f>
        <v>Senior</v>
      </c>
      <c r="E387" s="43" t="str" cm="1">
        <f t="array" ref="E387:G387">_xlfn.XLOOKUP(A387,Table3[Customer_ID],Table3[[Gender]:[State]])</f>
        <v>Male</v>
      </c>
      <c r="F387" s="43" t="str">
        <v>Lake Brandontown</v>
      </c>
      <c r="G387" s="43" t="str">
        <v>South Carolina</v>
      </c>
      <c r="H387" s="43" t="str">
        <f>IF(OR(Customer_Dim!G387="usa",G387="United States of America"),"USA")</f>
        <v>USA</v>
      </c>
      <c r="I387" s="43" t="str">
        <f>VLOOKUP(A387,Customer_Dim!A:H,8,0)</f>
        <v>Gold</v>
      </c>
    </row>
    <row r="388" spans="1:9" x14ac:dyDescent="0.3">
      <c r="A388" s="41" t="s">
        <v>1205</v>
      </c>
      <c r="B388" s="42" t="str">
        <f>PROPER(Table3[[#This Row],[Name]])</f>
        <v>Melanie Mitchell</v>
      </c>
      <c r="C388" s="43">
        <f>VLOOKUP(B388,Customer_Dim!B:C,2,0)</f>
        <v>18</v>
      </c>
      <c r="D388" s="43" t="str">
        <f t="shared" si="6"/>
        <v>Young</v>
      </c>
      <c r="E388" s="43" t="str" cm="1">
        <f t="array" ref="E388:G388">_xlfn.XLOOKUP(A388,Table3[Customer_ID],Table3[[Gender]:[State]])</f>
        <v>Female</v>
      </c>
      <c r="F388" s="43" t="str">
        <v>West Laura</v>
      </c>
      <c r="G388" s="43" t="str">
        <v>Maryland</v>
      </c>
      <c r="H388" s="43" t="str">
        <f>IF(OR(Customer_Dim!G388="usa",G388="United States of America"),"USA")</f>
        <v>USA</v>
      </c>
      <c r="I388" s="43" t="str">
        <f>VLOOKUP(A388,Customer_Dim!A:H,8,0)</f>
        <v>Bronze</v>
      </c>
    </row>
    <row r="389" spans="1:9" x14ac:dyDescent="0.3">
      <c r="A389" s="41" t="s">
        <v>1208</v>
      </c>
      <c r="B389" s="42" t="str">
        <f>PROPER(Table3[[#This Row],[Name]])</f>
        <v>Timothy Gardner</v>
      </c>
      <c r="C389" s="43">
        <f>VLOOKUP(B389,Customer_Dim!B:C,2,0)</f>
        <v>28</v>
      </c>
      <c r="D389" s="43" t="str">
        <f t="shared" si="6"/>
        <v>Young</v>
      </c>
      <c r="E389" s="43" t="str" cm="1">
        <f t="array" ref="E389:G389">_xlfn.XLOOKUP(A389,Table3[Customer_ID],Table3[[Gender]:[State]])</f>
        <v>Female</v>
      </c>
      <c r="F389" s="43" t="str">
        <v>New Dawn</v>
      </c>
      <c r="G389" s="43" t="str">
        <v>New Jersey</v>
      </c>
      <c r="H389" s="43" t="str">
        <f>IF(OR(Customer_Dim!G389="usa",G389="United States of America"),"USA")</f>
        <v>USA</v>
      </c>
      <c r="I389" s="43" t="str">
        <f>VLOOKUP(A389,Customer_Dim!A:H,8,0)</f>
        <v>Silver</v>
      </c>
    </row>
    <row r="390" spans="1:9" x14ac:dyDescent="0.3">
      <c r="A390" s="41" t="s">
        <v>1211</v>
      </c>
      <c r="B390" s="42" t="str">
        <f>PROPER(Table3[[#This Row],[Name]])</f>
        <v>Timothy Valenzuela</v>
      </c>
      <c r="C390" s="43">
        <f>VLOOKUP(B390,Customer_Dim!B:C,2,0)</f>
        <v>53</v>
      </c>
      <c r="D390" s="43" t="str">
        <f t="shared" si="6"/>
        <v>Senior</v>
      </c>
      <c r="E390" s="43" t="str" cm="1">
        <f t="array" ref="E390:G390">_xlfn.XLOOKUP(A390,Table3[Customer_ID],Table3[[Gender]:[State]])</f>
        <v>Male</v>
      </c>
      <c r="F390" s="43" t="str">
        <v>Stevensshire</v>
      </c>
      <c r="G390" s="43" t="str">
        <v>Missouri</v>
      </c>
      <c r="H390" s="43" t="str">
        <f>IF(OR(Customer_Dim!G390="usa",G390="United States of America"),"USA")</f>
        <v>USA</v>
      </c>
      <c r="I390" s="43" t="str">
        <f>VLOOKUP(A390,Customer_Dim!A:H,8,0)</f>
        <v>Platinum</v>
      </c>
    </row>
    <row r="391" spans="1:9" x14ac:dyDescent="0.3">
      <c r="A391" s="41" t="s">
        <v>1214</v>
      </c>
      <c r="B391" s="42" t="str">
        <f>PROPER(Table3[[#This Row],[Name]])</f>
        <v>Cynthia Lopez</v>
      </c>
      <c r="C391" s="43">
        <f>VLOOKUP(B391,Customer_Dim!B:C,2,0)</f>
        <v>50</v>
      </c>
      <c r="D391" s="43" t="str">
        <f t="shared" si="6"/>
        <v>Middle-Aged</v>
      </c>
      <c r="E391" s="43" t="str" cm="1">
        <f t="array" ref="E391:G391">_xlfn.XLOOKUP(A391,Table3[Customer_ID],Table3[[Gender]:[State]])</f>
        <v>Male</v>
      </c>
      <c r="F391" s="43" t="str">
        <v>Joseland</v>
      </c>
      <c r="G391" s="43" t="str">
        <v>Nebraska</v>
      </c>
      <c r="H391" s="43" t="str">
        <f>IF(OR(Customer_Dim!G391="usa",G391="United States of America"),"USA")</f>
        <v>USA</v>
      </c>
      <c r="I391" s="43" t="str">
        <f>VLOOKUP(A391,Customer_Dim!A:H,8,0)</f>
        <v>Platinum</v>
      </c>
    </row>
    <row r="392" spans="1:9" x14ac:dyDescent="0.3">
      <c r="A392" s="41" t="s">
        <v>1217</v>
      </c>
      <c r="B392" s="42" t="str">
        <f>PROPER(Table3[[#This Row],[Name]])</f>
        <v>Daniel Bell</v>
      </c>
      <c r="C392" s="43">
        <f>VLOOKUP(B392,Customer_Dim!B:C,2,0)</f>
        <v>56</v>
      </c>
      <c r="D392" s="43" t="str">
        <f t="shared" si="6"/>
        <v>Senior</v>
      </c>
      <c r="E392" s="43" t="str" cm="1">
        <f t="array" ref="E392:G392">_xlfn.XLOOKUP(A392,Table3[Customer_ID],Table3[[Gender]:[State]])</f>
        <v>Male</v>
      </c>
      <c r="F392" s="43" t="str">
        <v>Deniseberg</v>
      </c>
      <c r="G392" s="43" t="str">
        <v>Arkansas</v>
      </c>
      <c r="H392" s="43" t="str">
        <f>IF(OR(Customer_Dim!G392="usa",G392="United States of America"),"USA")</f>
        <v>USA</v>
      </c>
      <c r="I392" s="43" t="str">
        <f>VLOOKUP(A392,Customer_Dim!A:H,8,0)</f>
        <v>Silver</v>
      </c>
    </row>
    <row r="393" spans="1:9" x14ac:dyDescent="0.3">
      <c r="A393" s="41" t="s">
        <v>1220</v>
      </c>
      <c r="B393" s="42" t="str">
        <f>PROPER(Table3[[#This Row],[Name]])</f>
        <v>Heidi Tyler</v>
      </c>
      <c r="C393" s="43">
        <f>VLOOKUP(B393,Customer_Dim!B:C,2,0)</f>
        <v>40</v>
      </c>
      <c r="D393" s="43" t="str">
        <f t="shared" si="6"/>
        <v>Middle-Aged</v>
      </c>
      <c r="E393" s="43" t="str" cm="1">
        <f t="array" ref="E393:G393">_xlfn.XLOOKUP(A393,Table3[Customer_ID],Table3[[Gender]:[State]])</f>
        <v>Female</v>
      </c>
      <c r="F393" s="43" t="str">
        <v>Dawnstad</v>
      </c>
      <c r="G393" s="43" t="str">
        <v>Oregon</v>
      </c>
      <c r="H393" s="43" t="str">
        <f>IF(OR(Customer_Dim!G393="usa",G393="United States of America"),"USA")</f>
        <v>USA</v>
      </c>
      <c r="I393" s="43" t="str">
        <f>VLOOKUP(A393,Customer_Dim!A:H,8,0)</f>
        <v>Bronze</v>
      </c>
    </row>
    <row r="394" spans="1:9" x14ac:dyDescent="0.3">
      <c r="A394" s="41" t="s">
        <v>1223</v>
      </c>
      <c r="B394" s="42" t="str">
        <f>PROPER(Table3[[#This Row],[Name]])</f>
        <v>Jacqueline Payne</v>
      </c>
      <c r="C394" s="43">
        <f>VLOOKUP(B394,Customer_Dim!B:C,2,0)</f>
        <v>46</v>
      </c>
      <c r="D394" s="43" t="str">
        <f t="shared" si="6"/>
        <v>Middle-Aged</v>
      </c>
      <c r="E394" s="43" t="str" cm="1">
        <f t="array" ref="E394:G394">_xlfn.XLOOKUP(A394,Table3[Customer_ID],Table3[[Gender]:[State]])</f>
        <v>Male</v>
      </c>
      <c r="F394" s="43" t="str">
        <v>Gutierrezstad</v>
      </c>
      <c r="G394" s="43" t="str">
        <v>Missouri</v>
      </c>
      <c r="H394" s="43" t="str">
        <f>IF(OR(Customer_Dim!G394="usa",G394="United States of America"),"USA")</f>
        <v>USA</v>
      </c>
      <c r="I394" s="43" t="str">
        <f>VLOOKUP(A394,Customer_Dim!A:H,8,0)</f>
        <v>Gold</v>
      </c>
    </row>
    <row r="395" spans="1:9" x14ac:dyDescent="0.3">
      <c r="A395" s="41" t="s">
        <v>1226</v>
      </c>
      <c r="B395" s="42" t="str">
        <f>PROPER(Table3[[#This Row],[Name]])</f>
        <v>Michael Mcneil</v>
      </c>
      <c r="C395" s="43">
        <f>VLOOKUP(B395,Customer_Dim!B:C,2,0)</f>
        <v>46</v>
      </c>
      <c r="D395" s="43" t="str">
        <f t="shared" si="6"/>
        <v>Middle-Aged</v>
      </c>
      <c r="E395" s="43" t="str" cm="1">
        <f t="array" ref="E395:G395">_xlfn.XLOOKUP(A395,Table3[Customer_ID],Table3[[Gender]:[State]])</f>
        <v>Male</v>
      </c>
      <c r="F395" s="43" t="str">
        <v>Stewartchester</v>
      </c>
      <c r="G395" s="43" t="str">
        <v>Utah</v>
      </c>
      <c r="H395" s="43" t="str">
        <f>IF(OR(Customer_Dim!G395="usa",G395="United States of America"),"USA")</f>
        <v>USA</v>
      </c>
      <c r="I395" s="43" t="str">
        <f>VLOOKUP(A395,Customer_Dim!A:H,8,0)</f>
        <v>Bronze</v>
      </c>
    </row>
    <row r="396" spans="1:9" x14ac:dyDescent="0.3">
      <c r="A396" s="41" t="s">
        <v>1229</v>
      </c>
      <c r="B396" s="42" t="str">
        <f>PROPER(Table3[[#This Row],[Name]])</f>
        <v>Alejandro Evans</v>
      </c>
      <c r="C396" s="43">
        <f>VLOOKUP(B396,Customer_Dim!B:C,2,0)</f>
        <v>43</v>
      </c>
      <c r="D396" s="43" t="str">
        <f t="shared" si="6"/>
        <v>Middle-Aged</v>
      </c>
      <c r="E396" s="43" t="str" cm="1">
        <f t="array" ref="E396:G396">_xlfn.XLOOKUP(A396,Table3[Customer_ID],Table3[[Gender]:[State]])</f>
        <v>Female</v>
      </c>
      <c r="F396" s="43" t="str">
        <v>Cannonberg</v>
      </c>
      <c r="G396" s="43" t="str">
        <v>Connecticut</v>
      </c>
      <c r="H396" s="43" t="str">
        <f>IF(OR(Customer_Dim!G396="usa",G396="United States of America"),"USA")</f>
        <v>USA</v>
      </c>
      <c r="I396" s="43" t="str">
        <f>VLOOKUP(A396,Customer_Dim!A:H,8,0)</f>
        <v>Bronze</v>
      </c>
    </row>
    <row r="397" spans="1:9" x14ac:dyDescent="0.3">
      <c r="A397" s="41" t="s">
        <v>1232</v>
      </c>
      <c r="B397" s="42" t="str">
        <f>PROPER(Table3[[#This Row],[Name]])</f>
        <v>Brandon Mcguire</v>
      </c>
      <c r="C397" s="43">
        <f>VLOOKUP(B397,Customer_Dim!B:C,2,0)</f>
        <v>50</v>
      </c>
      <c r="D397" s="43" t="str">
        <f t="shared" si="6"/>
        <v>Middle-Aged</v>
      </c>
      <c r="E397" s="43" t="str" cm="1">
        <f t="array" ref="E397:G397">_xlfn.XLOOKUP(A397,Table3[Customer_ID],Table3[[Gender]:[State]])</f>
        <v>Male</v>
      </c>
      <c r="F397" s="43" t="str">
        <v>Lake Morganland</v>
      </c>
      <c r="G397" s="43" t="str">
        <v>Kansas</v>
      </c>
      <c r="H397" s="43" t="str">
        <f>IF(OR(Customer_Dim!G397="usa",G397="United States of America"),"USA")</f>
        <v>USA</v>
      </c>
      <c r="I397" s="43" t="str">
        <f>VLOOKUP(A397,Customer_Dim!A:H,8,0)</f>
        <v>Gold</v>
      </c>
    </row>
    <row r="398" spans="1:9" x14ac:dyDescent="0.3">
      <c r="A398" s="41" t="s">
        <v>1235</v>
      </c>
      <c r="B398" s="42" t="str">
        <f>PROPER(Table3[[#This Row],[Name]])</f>
        <v>Alexander Byrd</v>
      </c>
      <c r="C398" s="43">
        <f>VLOOKUP(B398,Customer_Dim!B:C,2,0)</f>
        <v>25</v>
      </c>
      <c r="D398" s="43" t="str">
        <f t="shared" si="6"/>
        <v>Young</v>
      </c>
      <c r="E398" s="43" t="str" cm="1">
        <f t="array" ref="E398:G398">_xlfn.XLOOKUP(A398,Table3[Customer_ID],Table3[[Gender]:[State]])</f>
        <v>Female</v>
      </c>
      <c r="F398" s="43" t="str">
        <v>Parkerview</v>
      </c>
      <c r="G398" s="43" t="str">
        <v>New York</v>
      </c>
      <c r="H398" s="43" t="str">
        <f>IF(OR(Customer_Dim!G398="usa",G398="United States of America"),"USA")</f>
        <v>USA</v>
      </c>
      <c r="I398" s="43" t="str">
        <f>VLOOKUP(A398,Customer_Dim!A:H,8,0)</f>
        <v>Silver</v>
      </c>
    </row>
    <row r="399" spans="1:9" x14ac:dyDescent="0.3">
      <c r="A399" s="41" t="s">
        <v>1238</v>
      </c>
      <c r="B399" s="42" t="str">
        <f>PROPER(Table3[[#This Row],[Name]])</f>
        <v>Charles Norman Phd</v>
      </c>
      <c r="C399" s="43">
        <f>VLOOKUP(B399,Customer_Dim!B:C,2,0)</f>
        <v>62</v>
      </c>
      <c r="D399" s="43" t="str">
        <f t="shared" si="6"/>
        <v>Senior</v>
      </c>
      <c r="E399" s="43" t="str" cm="1">
        <f t="array" ref="E399:G399">_xlfn.XLOOKUP(A399,Table3[Customer_ID],Table3[[Gender]:[State]])</f>
        <v>Female</v>
      </c>
      <c r="F399" s="43" t="str">
        <v>East Jennifer</v>
      </c>
      <c r="G399" s="43" t="str">
        <v>Kansas</v>
      </c>
      <c r="H399" s="43" t="str">
        <f>IF(OR(Customer_Dim!G399="usa",G399="United States of America"),"USA")</f>
        <v>USA</v>
      </c>
      <c r="I399" s="43" t="str">
        <f>VLOOKUP(A399,Customer_Dim!A:H,8,0)</f>
        <v>Platinum</v>
      </c>
    </row>
    <row r="400" spans="1:9" x14ac:dyDescent="0.3">
      <c r="A400" s="41" t="s">
        <v>1240</v>
      </c>
      <c r="B400" s="42" t="str">
        <f>PROPER(Table3[[#This Row],[Name]])</f>
        <v>Jennifer Johnson</v>
      </c>
      <c r="C400" s="43">
        <f>VLOOKUP(B400,Customer_Dim!B:C,2,0)</f>
        <v>54</v>
      </c>
      <c r="D400" s="43" t="str">
        <f t="shared" si="6"/>
        <v>Senior</v>
      </c>
      <c r="E400" s="43" t="str" cm="1">
        <f t="array" ref="E400:G400">_xlfn.XLOOKUP(A400,Table3[Customer_ID],Table3[[Gender]:[State]])</f>
        <v>Male</v>
      </c>
      <c r="F400" s="43" t="str">
        <v>Cheyenneborough</v>
      </c>
      <c r="G400" s="43" t="str">
        <v>New Hampshire</v>
      </c>
      <c r="H400" s="43" t="str">
        <f>IF(OR(Customer_Dim!G400="usa",G400="United States of America"),"USA")</f>
        <v>USA</v>
      </c>
      <c r="I400" s="43" t="str">
        <f>VLOOKUP(A400,Customer_Dim!A:H,8,0)</f>
        <v>Bronze</v>
      </c>
    </row>
    <row r="401" spans="1:9" x14ac:dyDescent="0.3">
      <c r="A401" s="41" t="s">
        <v>1243</v>
      </c>
      <c r="B401" s="42" t="str">
        <f>PROPER(Table3[[#This Row],[Name]])</f>
        <v>John Donaldson</v>
      </c>
      <c r="C401" s="43">
        <f>VLOOKUP(B401,Customer_Dim!B:C,2,0)</f>
        <v>27</v>
      </c>
      <c r="D401" s="43" t="str">
        <f t="shared" si="6"/>
        <v>Young</v>
      </c>
      <c r="E401" s="43" t="str" cm="1">
        <f t="array" ref="E401:G401">_xlfn.XLOOKUP(A401,Table3[Customer_ID],Table3[[Gender]:[State]])</f>
        <v>Male</v>
      </c>
      <c r="F401" s="43" t="str">
        <v>New Edward</v>
      </c>
      <c r="G401" s="43" t="str">
        <v>Maine</v>
      </c>
      <c r="H401" s="43" t="str">
        <f>IF(OR(Customer_Dim!G401="usa",G401="United States of America"),"USA")</f>
        <v>USA</v>
      </c>
      <c r="I401" s="43" t="str">
        <f>VLOOKUP(A401,Customer_Dim!A:H,8,0)</f>
        <v>Bronze</v>
      </c>
    </row>
    <row r="402" spans="1:9" x14ac:dyDescent="0.3">
      <c r="A402" s="41" t="s">
        <v>1246</v>
      </c>
      <c r="B402" s="42" t="str">
        <f>PROPER(Table3[[#This Row],[Name]])</f>
        <v>Mark Rogers</v>
      </c>
      <c r="C402" s="43">
        <f>VLOOKUP(B402,Customer_Dim!B:C,2,0)</f>
        <v>57</v>
      </c>
      <c r="D402" s="43" t="str">
        <f t="shared" si="6"/>
        <v>Senior</v>
      </c>
      <c r="E402" s="43" t="str" cm="1">
        <f t="array" ref="E402:G402">_xlfn.XLOOKUP(A402,Table3[Customer_ID],Table3[[Gender]:[State]])</f>
        <v>Female</v>
      </c>
      <c r="F402" s="43" t="str">
        <v>Bookertown</v>
      </c>
      <c r="G402" s="43" t="str">
        <v>Oklahoma</v>
      </c>
      <c r="H402" s="43" t="str">
        <f>IF(OR(Customer_Dim!G402="usa",G402="United States of America"),"USA")</f>
        <v>USA</v>
      </c>
      <c r="I402" s="43" t="str">
        <f>VLOOKUP(A402,Customer_Dim!A:H,8,0)</f>
        <v>Platinum</v>
      </c>
    </row>
    <row r="403" spans="1:9" x14ac:dyDescent="0.3">
      <c r="A403" s="41" t="s">
        <v>1249</v>
      </c>
      <c r="B403" s="42" t="str">
        <f>PROPER(Table3[[#This Row],[Name]])</f>
        <v>Terry Moses</v>
      </c>
      <c r="C403" s="43">
        <f>VLOOKUP(B403,Customer_Dim!B:C,2,0)</f>
        <v>51</v>
      </c>
      <c r="D403" s="43" t="str">
        <f t="shared" si="6"/>
        <v>Senior</v>
      </c>
      <c r="E403" s="43" t="str" cm="1">
        <f t="array" ref="E403:G403">_xlfn.XLOOKUP(A403,Table3[Customer_ID],Table3[[Gender]:[State]])</f>
        <v>Female</v>
      </c>
      <c r="F403" s="43" t="str">
        <v>Leahmouth</v>
      </c>
      <c r="G403" s="43" t="str">
        <v>Nevada</v>
      </c>
      <c r="H403" s="43" t="str">
        <f>IF(OR(Customer_Dim!G403="usa",G403="United States of America"),"USA")</f>
        <v>USA</v>
      </c>
      <c r="I403" s="43" t="str">
        <f>VLOOKUP(A403,Customer_Dim!A:H,8,0)</f>
        <v>Platinum</v>
      </c>
    </row>
    <row r="404" spans="1:9" x14ac:dyDescent="0.3">
      <c r="A404" s="41" t="s">
        <v>1252</v>
      </c>
      <c r="B404" s="42" t="str">
        <f>PROPER(Table3[[#This Row],[Name]])</f>
        <v>Cassandra Perez</v>
      </c>
      <c r="C404" s="43">
        <f>VLOOKUP(B404,Customer_Dim!B:C,2,0)</f>
        <v>31</v>
      </c>
      <c r="D404" s="43" t="str">
        <f t="shared" si="6"/>
        <v>Middle-Aged</v>
      </c>
      <c r="E404" s="43" t="str" cm="1">
        <f t="array" ref="E404:G404">_xlfn.XLOOKUP(A404,Table3[Customer_ID],Table3[[Gender]:[State]])</f>
        <v>Male</v>
      </c>
      <c r="F404" s="43" t="str">
        <v>Brandonville</v>
      </c>
      <c r="G404" s="43" t="str">
        <v>Mississippi</v>
      </c>
      <c r="H404" s="43" t="str">
        <f>IF(OR(Customer_Dim!G404="usa",G404="United States of America"),"USA")</f>
        <v>USA</v>
      </c>
      <c r="I404" s="43" t="str">
        <f>VLOOKUP(A404,Customer_Dim!A:H,8,0)</f>
        <v>Bronze</v>
      </c>
    </row>
    <row r="405" spans="1:9" x14ac:dyDescent="0.3">
      <c r="A405" s="41" t="s">
        <v>1254</v>
      </c>
      <c r="B405" s="42" t="str">
        <f>PROPER(Table3[[#This Row],[Name]])</f>
        <v>Justin Ingram</v>
      </c>
      <c r="C405" s="43">
        <f>VLOOKUP(B405,Customer_Dim!B:C,2,0)</f>
        <v>34</v>
      </c>
      <c r="D405" s="43" t="str">
        <f t="shared" si="6"/>
        <v>Middle-Aged</v>
      </c>
      <c r="E405" s="43" t="str" cm="1">
        <f t="array" ref="E405:G405">_xlfn.XLOOKUP(A405,Table3[Customer_ID],Table3[[Gender]:[State]])</f>
        <v>Male</v>
      </c>
      <c r="F405" s="43" t="str">
        <v>Lake Lisaland</v>
      </c>
      <c r="G405" s="43" t="str">
        <v>Louisiana</v>
      </c>
      <c r="H405" s="43" t="str">
        <f>IF(OR(Customer_Dim!G405="usa",G405="United States of America"),"USA")</f>
        <v>USA</v>
      </c>
      <c r="I405" s="43" t="str">
        <f>VLOOKUP(A405,Customer_Dim!A:H,8,0)</f>
        <v>Bronze</v>
      </c>
    </row>
    <row r="406" spans="1:9" x14ac:dyDescent="0.3">
      <c r="A406" s="41" t="s">
        <v>1257</v>
      </c>
      <c r="B406" s="42" t="str">
        <f>PROPER(Table3[[#This Row],[Name]])</f>
        <v>David Ross</v>
      </c>
      <c r="C406" s="43">
        <f>VLOOKUP(B406,Customer_Dim!B:C,2,0)</f>
        <v>22</v>
      </c>
      <c r="D406" s="43" t="str">
        <f t="shared" si="6"/>
        <v>Young</v>
      </c>
      <c r="E406" s="43" t="str" cm="1">
        <f t="array" ref="E406:G406">_xlfn.XLOOKUP(A406,Table3[Customer_ID],Table3[[Gender]:[State]])</f>
        <v>Female</v>
      </c>
      <c r="F406" s="43" t="str">
        <v>South Angela</v>
      </c>
      <c r="G406" s="43" t="str">
        <v>Arkansas</v>
      </c>
      <c r="H406" s="43" t="str">
        <f>IF(OR(Customer_Dim!G406="usa",G406="United States of America"),"USA")</f>
        <v>USA</v>
      </c>
      <c r="I406" s="43" t="str">
        <f>VLOOKUP(A406,Customer_Dim!A:H,8,0)</f>
        <v>Silver</v>
      </c>
    </row>
    <row r="407" spans="1:9" x14ac:dyDescent="0.3">
      <c r="A407" s="41" t="s">
        <v>1260</v>
      </c>
      <c r="B407" s="42" t="str">
        <f>PROPER(Table3[[#This Row],[Name]])</f>
        <v>Eric Wolfe</v>
      </c>
      <c r="C407" s="43">
        <f>VLOOKUP(B407,Customer_Dim!B:C,2,0)</f>
        <v>18</v>
      </c>
      <c r="D407" s="43" t="str">
        <f t="shared" si="6"/>
        <v>Young</v>
      </c>
      <c r="E407" s="43" t="str" cm="1">
        <f t="array" ref="E407:G407">_xlfn.XLOOKUP(A407,Table3[Customer_ID],Table3[[Gender]:[State]])</f>
        <v>Female</v>
      </c>
      <c r="F407" s="43" t="str">
        <v>Garciaview</v>
      </c>
      <c r="G407" s="43" t="str">
        <v>Louisiana</v>
      </c>
      <c r="H407" s="43" t="str">
        <f>IF(OR(Customer_Dim!G407="usa",G407="United States of America"),"USA")</f>
        <v>USA</v>
      </c>
      <c r="I407" s="43" t="str">
        <f>VLOOKUP(A407,Customer_Dim!A:H,8,0)</f>
        <v>Gold</v>
      </c>
    </row>
    <row r="408" spans="1:9" x14ac:dyDescent="0.3">
      <c r="A408" s="41" t="s">
        <v>1263</v>
      </c>
      <c r="B408" s="42" t="str">
        <f>PROPER(Table3[[#This Row],[Name]])</f>
        <v>David Lozano</v>
      </c>
      <c r="C408" s="43">
        <f>VLOOKUP(B408,Customer_Dim!B:C,2,0)</f>
        <v>23</v>
      </c>
      <c r="D408" s="43" t="str">
        <f t="shared" si="6"/>
        <v>Young</v>
      </c>
      <c r="E408" s="43" t="str" cm="1">
        <f t="array" ref="E408:G408">_xlfn.XLOOKUP(A408,Table3[Customer_ID],Table3[[Gender]:[State]])</f>
        <v>Female</v>
      </c>
      <c r="F408" s="43" t="str">
        <v>North Michaelfurt</v>
      </c>
      <c r="G408" s="43" t="str">
        <v>Wisconsin</v>
      </c>
      <c r="H408" s="43" t="str">
        <f>IF(OR(Customer_Dim!G408="usa",G408="United States of America"),"USA")</f>
        <v>USA</v>
      </c>
      <c r="I408" s="43" t="str">
        <f>VLOOKUP(A408,Customer_Dim!A:H,8,0)</f>
        <v>Gold</v>
      </c>
    </row>
    <row r="409" spans="1:9" x14ac:dyDescent="0.3">
      <c r="A409" s="41" t="s">
        <v>1266</v>
      </c>
      <c r="B409" s="42" t="str">
        <f>PROPER(Table3[[#This Row],[Name]])</f>
        <v>Joseph Mendoza</v>
      </c>
      <c r="C409" s="43">
        <f>VLOOKUP(B409,Customer_Dim!B:C,2,0)</f>
        <v>33</v>
      </c>
      <c r="D409" s="43" t="str">
        <f t="shared" si="6"/>
        <v>Middle-Aged</v>
      </c>
      <c r="E409" s="43" t="str" cm="1">
        <f t="array" ref="E409:G409">_xlfn.XLOOKUP(A409,Table3[Customer_ID],Table3[[Gender]:[State]])</f>
        <v>Male</v>
      </c>
      <c r="F409" s="43" t="str">
        <v>Ashleymouth</v>
      </c>
      <c r="G409" s="43" t="str">
        <v>Maryland</v>
      </c>
      <c r="H409" s="43" t="str">
        <f>IF(OR(Customer_Dim!G409="usa",G409="United States of America"),"USA")</f>
        <v>USA</v>
      </c>
      <c r="I409" s="43" t="str">
        <f>VLOOKUP(A409,Customer_Dim!A:H,8,0)</f>
        <v>Gold</v>
      </c>
    </row>
    <row r="410" spans="1:9" x14ac:dyDescent="0.3">
      <c r="A410" s="41" t="s">
        <v>1269</v>
      </c>
      <c r="B410" s="42" t="str">
        <f>PROPER(Table3[[#This Row],[Name]])</f>
        <v>Isabel Foster</v>
      </c>
      <c r="C410" s="43">
        <f>VLOOKUP(B410,Customer_Dim!B:C,2,0)</f>
        <v>36</v>
      </c>
      <c r="D410" s="43" t="str">
        <f t="shared" si="6"/>
        <v>Middle-Aged</v>
      </c>
      <c r="E410" s="43" t="str" cm="1">
        <f t="array" ref="E410:G410">_xlfn.XLOOKUP(A410,Table3[Customer_ID],Table3[[Gender]:[State]])</f>
        <v>Male</v>
      </c>
      <c r="F410" s="43" t="str">
        <v>Port Joshuaville</v>
      </c>
      <c r="G410" s="43" t="str">
        <v>New Jersey</v>
      </c>
      <c r="H410" s="43" t="str">
        <f>IF(OR(Customer_Dim!G410="usa",G410="United States of America"),"USA")</f>
        <v>USA</v>
      </c>
      <c r="I410" s="43" t="str">
        <f>VLOOKUP(A410,Customer_Dim!A:H,8,0)</f>
        <v>Gold</v>
      </c>
    </row>
    <row r="411" spans="1:9" x14ac:dyDescent="0.3">
      <c r="A411" s="41" t="s">
        <v>1272</v>
      </c>
      <c r="B411" s="42" t="str">
        <f>PROPER(Table3[[#This Row],[Name]])</f>
        <v>Sarah Smith</v>
      </c>
      <c r="C411" s="43">
        <f>VLOOKUP(B411,Customer_Dim!B:C,2,0)</f>
        <v>55</v>
      </c>
      <c r="D411" s="43" t="str">
        <f t="shared" si="6"/>
        <v>Senior</v>
      </c>
      <c r="E411" s="43" t="str" cm="1">
        <f t="array" ref="E411:G411">_xlfn.XLOOKUP(A411,Table3[Customer_ID],Table3[[Gender]:[State]])</f>
        <v>Male</v>
      </c>
      <c r="F411" s="43" t="str">
        <v>Kathleenport</v>
      </c>
      <c r="G411" s="43" t="str">
        <v>Wyoming</v>
      </c>
      <c r="H411" s="43" t="str">
        <f>IF(OR(Customer_Dim!G411="usa",G411="United States of America"),"USA")</f>
        <v>USA</v>
      </c>
      <c r="I411" s="43" t="str">
        <f>VLOOKUP(A411,Customer_Dim!A:H,8,0)</f>
        <v>Gold</v>
      </c>
    </row>
    <row r="412" spans="1:9" x14ac:dyDescent="0.3">
      <c r="A412" s="41" t="s">
        <v>1275</v>
      </c>
      <c r="B412" s="42" t="str">
        <f>PROPER(Table3[[#This Row],[Name]])</f>
        <v>Jackie Thompson</v>
      </c>
      <c r="C412" s="43">
        <f>VLOOKUP(B412,Customer_Dim!B:C,2,0)</f>
        <v>48</v>
      </c>
      <c r="D412" s="43" t="str">
        <f t="shared" si="6"/>
        <v>Middle-Aged</v>
      </c>
      <c r="E412" s="43" t="str" cm="1">
        <f t="array" ref="E412:G412">_xlfn.XLOOKUP(A412,Table3[Customer_ID],Table3[[Gender]:[State]])</f>
        <v>Female</v>
      </c>
      <c r="F412" s="43" t="str">
        <v>South Edwin</v>
      </c>
      <c r="G412" s="43" t="str">
        <v>New Jersey</v>
      </c>
      <c r="H412" s="43" t="str">
        <f>IF(OR(Customer_Dim!G412="usa",G412="United States of America"),"USA")</f>
        <v>USA</v>
      </c>
      <c r="I412" s="43" t="str">
        <f>VLOOKUP(A412,Customer_Dim!A:H,8,0)</f>
        <v>Bronze</v>
      </c>
    </row>
    <row r="413" spans="1:9" x14ac:dyDescent="0.3">
      <c r="A413" s="41" t="s">
        <v>1278</v>
      </c>
      <c r="B413" s="42" t="str">
        <f>PROPER(Table3[[#This Row],[Name]])</f>
        <v>Katrina Perez</v>
      </c>
      <c r="C413" s="43">
        <f>VLOOKUP(B413,Customer_Dim!B:C,2,0)</f>
        <v>63</v>
      </c>
      <c r="D413" s="43" t="str">
        <f t="shared" si="6"/>
        <v>Senior</v>
      </c>
      <c r="E413" s="43" t="str" cm="1">
        <f t="array" ref="E413:G413">_xlfn.XLOOKUP(A413,Table3[Customer_ID],Table3[[Gender]:[State]])</f>
        <v>Male</v>
      </c>
      <c r="F413" s="43" t="str">
        <v>West Rebecca</v>
      </c>
      <c r="G413" s="43" t="str">
        <v>Ohio</v>
      </c>
      <c r="H413" s="43" t="str">
        <f>IF(OR(Customer_Dim!G413="usa",G413="United States of America"),"USA")</f>
        <v>USA</v>
      </c>
      <c r="I413" s="43" t="str">
        <f>VLOOKUP(A413,Customer_Dim!A:H,8,0)</f>
        <v>Silver</v>
      </c>
    </row>
    <row r="414" spans="1:9" x14ac:dyDescent="0.3">
      <c r="A414" s="41" t="s">
        <v>1281</v>
      </c>
      <c r="B414" s="42" t="str">
        <f>PROPER(Table3[[#This Row],[Name]])</f>
        <v>Shane Brown</v>
      </c>
      <c r="C414" s="43">
        <f>VLOOKUP(B414,Customer_Dim!B:C,2,0)</f>
        <v>23</v>
      </c>
      <c r="D414" s="43" t="str">
        <f t="shared" si="6"/>
        <v>Young</v>
      </c>
      <c r="E414" s="43" t="str" cm="1">
        <f t="array" ref="E414:G414">_xlfn.XLOOKUP(A414,Table3[Customer_ID],Table3[[Gender]:[State]])</f>
        <v>Female</v>
      </c>
      <c r="F414" s="43" t="str">
        <v>East Andrea</v>
      </c>
      <c r="G414" s="43" t="str">
        <v>Michigan</v>
      </c>
      <c r="H414" s="43" t="str">
        <f>IF(OR(Customer_Dim!G414="usa",G414="United States of America"),"USA")</f>
        <v>USA</v>
      </c>
      <c r="I414" s="43" t="str">
        <f>VLOOKUP(A414,Customer_Dim!A:H,8,0)</f>
        <v>Gold</v>
      </c>
    </row>
    <row r="415" spans="1:9" x14ac:dyDescent="0.3">
      <c r="A415" s="41" t="s">
        <v>1283</v>
      </c>
      <c r="B415" s="42" t="str">
        <f>PROPER(Table3[[#This Row],[Name]])</f>
        <v>Megan Ryan</v>
      </c>
      <c r="C415" s="43">
        <f>VLOOKUP(B415,Customer_Dim!B:C,2,0)</f>
        <v>59</v>
      </c>
      <c r="D415" s="43" t="str">
        <f t="shared" si="6"/>
        <v>Senior</v>
      </c>
      <c r="E415" s="43" t="str" cm="1">
        <f t="array" ref="E415:G415">_xlfn.XLOOKUP(A415,Table3[Customer_ID],Table3[[Gender]:[State]])</f>
        <v>Female</v>
      </c>
      <c r="F415" s="43" t="str">
        <v>Andrewsfurt</v>
      </c>
      <c r="G415" s="43" t="str">
        <v>Idaho</v>
      </c>
      <c r="H415" s="43" t="str">
        <f>IF(OR(Customer_Dim!G415="usa",G415="United States of America"),"USA")</f>
        <v>USA</v>
      </c>
      <c r="I415" s="43" t="str">
        <f>VLOOKUP(A415,Customer_Dim!A:H,8,0)</f>
        <v>Bronze</v>
      </c>
    </row>
    <row r="416" spans="1:9" x14ac:dyDescent="0.3">
      <c r="A416" s="41" t="s">
        <v>1286</v>
      </c>
      <c r="B416" s="42" t="str">
        <f>PROPER(Table3[[#This Row],[Name]])</f>
        <v>Melissa Valentine</v>
      </c>
      <c r="C416" s="43">
        <f>VLOOKUP(B416,Customer_Dim!B:C,2,0)</f>
        <v>35</v>
      </c>
      <c r="D416" s="43" t="str">
        <f t="shared" si="6"/>
        <v>Middle-Aged</v>
      </c>
      <c r="E416" s="43" t="str" cm="1">
        <f t="array" ref="E416:G416">_xlfn.XLOOKUP(A416,Table3[Customer_ID],Table3[[Gender]:[State]])</f>
        <v>Female</v>
      </c>
      <c r="F416" s="43" t="str">
        <v>East Patriciafort</v>
      </c>
      <c r="G416" s="43" t="str">
        <v>Missouri</v>
      </c>
      <c r="H416" s="43" t="str">
        <f>IF(OR(Customer_Dim!G416="usa",G416="United States of America"),"USA")</f>
        <v>USA</v>
      </c>
      <c r="I416" s="43" t="str">
        <f>VLOOKUP(A416,Customer_Dim!A:H,8,0)</f>
        <v>Gold</v>
      </c>
    </row>
    <row r="417" spans="1:9" x14ac:dyDescent="0.3">
      <c r="A417" s="41" t="s">
        <v>1289</v>
      </c>
      <c r="B417" s="42" t="str">
        <f>PROPER(Table3[[#This Row],[Name]])</f>
        <v>Tyler Cook</v>
      </c>
      <c r="C417" s="43">
        <f>VLOOKUP(B417,Customer_Dim!B:C,2,0)</f>
        <v>26</v>
      </c>
      <c r="D417" s="43" t="str">
        <f t="shared" si="6"/>
        <v>Young</v>
      </c>
      <c r="E417" s="43" t="str" cm="1">
        <f t="array" ref="E417:G417">_xlfn.XLOOKUP(A417,Table3[Customer_ID],Table3[[Gender]:[State]])</f>
        <v>Female</v>
      </c>
      <c r="F417" s="43" t="str">
        <v>Kramerview</v>
      </c>
      <c r="G417" s="43" t="str">
        <v>Alaska</v>
      </c>
      <c r="H417" s="43" t="str">
        <f>IF(OR(Customer_Dim!G417="usa",G417="United States of America"),"USA")</f>
        <v>USA</v>
      </c>
      <c r="I417" s="43" t="str">
        <f>VLOOKUP(A417,Customer_Dim!A:H,8,0)</f>
        <v>Silver</v>
      </c>
    </row>
    <row r="418" spans="1:9" x14ac:dyDescent="0.3">
      <c r="A418" s="41" t="s">
        <v>1292</v>
      </c>
      <c r="B418" s="42" t="str">
        <f>PROPER(Table3[[#This Row],[Name]])</f>
        <v>Jennifer Myers</v>
      </c>
      <c r="C418" s="43">
        <f>VLOOKUP(B418,Customer_Dim!B:C,2,0)</f>
        <v>46</v>
      </c>
      <c r="D418" s="43" t="str">
        <f t="shared" si="6"/>
        <v>Middle-Aged</v>
      </c>
      <c r="E418" s="43" t="str" cm="1">
        <f t="array" ref="E418:G418">_xlfn.XLOOKUP(A418,Table3[Customer_ID],Table3[[Gender]:[State]])</f>
        <v>Male</v>
      </c>
      <c r="F418" s="43" t="str">
        <v>Marthaborough</v>
      </c>
      <c r="G418" s="43" t="str">
        <v>Wisconsin</v>
      </c>
      <c r="H418" s="43" t="str">
        <f>IF(OR(Customer_Dim!G418="usa",G418="United States of America"),"USA")</f>
        <v>USA</v>
      </c>
      <c r="I418" s="43" t="str">
        <f>VLOOKUP(A418,Customer_Dim!A:H,8,0)</f>
        <v>Platinum</v>
      </c>
    </row>
    <row r="419" spans="1:9" x14ac:dyDescent="0.3">
      <c r="A419" s="41" t="s">
        <v>1295</v>
      </c>
      <c r="B419" s="42" t="str">
        <f>PROPER(Table3[[#This Row],[Name]])</f>
        <v>Karen King</v>
      </c>
      <c r="C419" s="43">
        <f>VLOOKUP(B419,Customer_Dim!B:C,2,0)</f>
        <v>64</v>
      </c>
      <c r="D419" s="43" t="str">
        <f t="shared" si="6"/>
        <v>Senior</v>
      </c>
      <c r="E419" s="43" t="str" cm="1">
        <f t="array" ref="E419:G419">_xlfn.XLOOKUP(A419,Table3[Customer_ID],Table3[[Gender]:[State]])</f>
        <v>Female</v>
      </c>
      <c r="F419" s="43" t="str">
        <v>Kimburgh</v>
      </c>
      <c r="G419" s="43" t="str">
        <v>North Carolina</v>
      </c>
      <c r="H419" s="43" t="str">
        <f>IF(OR(Customer_Dim!G419="usa",G419="United States of America"),"USA")</f>
        <v>USA</v>
      </c>
      <c r="I419" s="43" t="str">
        <f>VLOOKUP(A419,Customer_Dim!A:H,8,0)</f>
        <v>Bronze</v>
      </c>
    </row>
    <row r="420" spans="1:9" x14ac:dyDescent="0.3">
      <c r="A420" s="41" t="s">
        <v>1298</v>
      </c>
      <c r="B420" s="42" t="str">
        <f>PROPER(Table3[[#This Row],[Name]])</f>
        <v>Luke Parks</v>
      </c>
      <c r="C420" s="43">
        <f>VLOOKUP(B420,Customer_Dim!B:C,2,0)</f>
        <v>60</v>
      </c>
      <c r="D420" s="43" t="str">
        <f t="shared" si="6"/>
        <v>Senior</v>
      </c>
      <c r="E420" s="43" t="str" cm="1">
        <f t="array" ref="E420:G420">_xlfn.XLOOKUP(A420,Table3[Customer_ID],Table3[[Gender]:[State]])</f>
        <v>Female</v>
      </c>
      <c r="F420" s="43" t="str">
        <v>West Mario</v>
      </c>
      <c r="G420" s="43" t="str">
        <v>New Hampshire</v>
      </c>
      <c r="H420" s="43" t="str">
        <f>IF(OR(Customer_Dim!G420="usa",G420="United States of America"),"USA")</f>
        <v>USA</v>
      </c>
      <c r="I420" s="43" t="str">
        <f>VLOOKUP(A420,Customer_Dim!A:H,8,0)</f>
        <v>Silver</v>
      </c>
    </row>
    <row r="421" spans="1:9" x14ac:dyDescent="0.3">
      <c r="A421" s="41" t="s">
        <v>1301</v>
      </c>
      <c r="B421" s="42" t="str">
        <f>PROPER(Table3[[#This Row],[Name]])</f>
        <v>Monica Miller</v>
      </c>
      <c r="C421" s="43">
        <f>VLOOKUP(B421,Customer_Dim!B:C,2,0)</f>
        <v>33</v>
      </c>
      <c r="D421" s="43" t="str">
        <f t="shared" si="6"/>
        <v>Middle-Aged</v>
      </c>
      <c r="E421" s="43" t="str" cm="1">
        <f t="array" ref="E421:G421">_xlfn.XLOOKUP(A421,Table3[Customer_ID],Table3[[Gender]:[State]])</f>
        <v>Male</v>
      </c>
      <c r="F421" s="43" t="str">
        <v>Lake David</v>
      </c>
      <c r="G421" s="43" t="str">
        <v>Mississippi</v>
      </c>
      <c r="H421" s="43" t="str">
        <f>IF(OR(Customer_Dim!G421="usa",G421="United States of America"),"USA")</f>
        <v>USA</v>
      </c>
      <c r="I421" s="43" t="str">
        <f>VLOOKUP(A421,Customer_Dim!A:H,8,0)</f>
        <v>Gold</v>
      </c>
    </row>
    <row r="422" spans="1:9" x14ac:dyDescent="0.3">
      <c r="A422" s="41" t="s">
        <v>1304</v>
      </c>
      <c r="B422" s="42" t="str">
        <f>PROPER(Table3[[#This Row],[Name]])</f>
        <v>Dr. Tamara White Md</v>
      </c>
      <c r="C422" s="43">
        <f>VLOOKUP(B422,Customer_Dim!B:C,2,0)</f>
        <v>60</v>
      </c>
      <c r="D422" s="43" t="str">
        <f t="shared" si="6"/>
        <v>Senior</v>
      </c>
      <c r="E422" s="43" t="str" cm="1">
        <f t="array" ref="E422:G422">_xlfn.XLOOKUP(A422,Table3[Customer_ID],Table3[[Gender]:[State]])</f>
        <v>Male</v>
      </c>
      <c r="F422" s="43" t="str">
        <v>New Benjamin</v>
      </c>
      <c r="G422" s="43" t="str">
        <v>North Carolina</v>
      </c>
      <c r="H422" s="43" t="str">
        <f>IF(OR(Customer_Dim!G422="usa",G422="United States of America"),"USA")</f>
        <v>USA</v>
      </c>
      <c r="I422" s="43" t="str">
        <f>VLOOKUP(A422,Customer_Dim!A:H,8,0)</f>
        <v>Bronze</v>
      </c>
    </row>
    <row r="423" spans="1:9" x14ac:dyDescent="0.3">
      <c r="A423" s="41" t="s">
        <v>1307</v>
      </c>
      <c r="B423" s="42" t="str">
        <f>PROPER(Table3[[#This Row],[Name]])</f>
        <v>Holly Robinson</v>
      </c>
      <c r="C423" s="43">
        <f>VLOOKUP(B423,Customer_Dim!B:C,2,0)</f>
        <v>45</v>
      </c>
      <c r="D423" s="43" t="str">
        <f t="shared" si="6"/>
        <v>Middle-Aged</v>
      </c>
      <c r="E423" s="43" t="str" cm="1">
        <f t="array" ref="E423:G423">_xlfn.XLOOKUP(A423,Table3[Customer_ID],Table3[[Gender]:[State]])</f>
        <v>Female</v>
      </c>
      <c r="F423" s="43" t="str">
        <v>East Amy</v>
      </c>
      <c r="G423" s="43" t="str">
        <v>Washington</v>
      </c>
      <c r="H423" s="43" t="str">
        <f>IF(OR(Customer_Dim!G423="usa",G423="United States of America"),"USA")</f>
        <v>USA</v>
      </c>
      <c r="I423" s="43" t="str">
        <f>VLOOKUP(A423,Customer_Dim!A:H,8,0)</f>
        <v>Platinum</v>
      </c>
    </row>
    <row r="424" spans="1:9" x14ac:dyDescent="0.3">
      <c r="A424" s="41" t="s">
        <v>1310</v>
      </c>
      <c r="B424" s="42" t="str">
        <f>PROPER(Table3[[#This Row],[Name]])</f>
        <v>Brittany Edwards Dds</v>
      </c>
      <c r="C424" s="43">
        <f>VLOOKUP(B424,Customer_Dim!B:C,2,0)</f>
        <v>42</v>
      </c>
      <c r="D424" s="43" t="str">
        <f t="shared" si="6"/>
        <v>Middle-Aged</v>
      </c>
      <c r="E424" s="43" t="str" cm="1">
        <f t="array" ref="E424:G424">_xlfn.XLOOKUP(A424,Table3[Customer_ID],Table3[[Gender]:[State]])</f>
        <v>Female</v>
      </c>
      <c r="F424" s="43" t="str">
        <v>Aliciahaven</v>
      </c>
      <c r="G424" s="43" t="str">
        <v>Kansas</v>
      </c>
      <c r="H424" s="43" t="str">
        <f>IF(OR(Customer_Dim!G424="usa",G424="United States of America"),"USA")</f>
        <v>USA</v>
      </c>
      <c r="I424" s="43" t="str">
        <f>VLOOKUP(A424,Customer_Dim!A:H,8,0)</f>
        <v>Platinum</v>
      </c>
    </row>
    <row r="425" spans="1:9" x14ac:dyDescent="0.3">
      <c r="A425" s="41" t="s">
        <v>1313</v>
      </c>
      <c r="B425" s="42" t="str">
        <f>PROPER(Table3[[#This Row],[Name]])</f>
        <v>Rebecca Baker</v>
      </c>
      <c r="C425" s="43">
        <f>VLOOKUP(B425,Customer_Dim!B:C,2,0)</f>
        <v>35</v>
      </c>
      <c r="D425" s="43" t="str">
        <f t="shared" si="6"/>
        <v>Middle-Aged</v>
      </c>
      <c r="E425" s="43" t="str" cm="1">
        <f t="array" ref="E425:G425">_xlfn.XLOOKUP(A425,Table3[Customer_ID],Table3[[Gender]:[State]])</f>
        <v>Male</v>
      </c>
      <c r="F425" s="43" t="str">
        <v>New Katherine</v>
      </c>
      <c r="G425" s="43" t="str">
        <v>Kansas</v>
      </c>
      <c r="H425" s="43" t="str">
        <f>IF(OR(Customer_Dim!G425="usa",G425="United States of America"),"USA")</f>
        <v>USA</v>
      </c>
      <c r="I425" s="43" t="str">
        <f>VLOOKUP(A425,Customer_Dim!A:H,8,0)</f>
        <v>Silver</v>
      </c>
    </row>
    <row r="426" spans="1:9" x14ac:dyDescent="0.3">
      <c r="A426" s="41" t="s">
        <v>1316</v>
      </c>
      <c r="B426" s="42" t="str">
        <f>PROPER(Table3[[#This Row],[Name]])</f>
        <v>Edwin Barnes</v>
      </c>
      <c r="C426" s="43">
        <f>VLOOKUP(B426,Customer_Dim!B:C,2,0)</f>
        <v>53</v>
      </c>
      <c r="D426" s="43" t="str">
        <f t="shared" si="6"/>
        <v>Senior</v>
      </c>
      <c r="E426" s="43" t="str" cm="1">
        <f t="array" ref="E426:G426">_xlfn.XLOOKUP(A426,Table3[Customer_ID],Table3[[Gender]:[State]])</f>
        <v>Male</v>
      </c>
      <c r="F426" s="43" t="str">
        <v>Lake Alexandra</v>
      </c>
      <c r="G426" s="43" t="str">
        <v>North Carolina</v>
      </c>
      <c r="H426" s="43" t="str">
        <f>IF(OR(Customer_Dim!G426="usa",G426="United States of America"),"USA")</f>
        <v>USA</v>
      </c>
      <c r="I426" s="43" t="str">
        <f>VLOOKUP(A426,Customer_Dim!A:H,8,0)</f>
        <v>Bronze</v>
      </c>
    </row>
    <row r="427" spans="1:9" x14ac:dyDescent="0.3">
      <c r="A427" s="41" t="s">
        <v>1319</v>
      </c>
      <c r="B427" s="42" t="str">
        <f>PROPER(Table3[[#This Row],[Name]])</f>
        <v>Bryce Hawkins</v>
      </c>
      <c r="C427" s="43">
        <f>VLOOKUP(B427,Customer_Dim!B:C,2,0)</f>
        <v>40</v>
      </c>
      <c r="D427" s="43" t="str">
        <f t="shared" si="6"/>
        <v>Middle-Aged</v>
      </c>
      <c r="E427" s="43" t="str" cm="1">
        <f t="array" ref="E427:G427">_xlfn.XLOOKUP(A427,Table3[Customer_ID],Table3[[Gender]:[State]])</f>
        <v>Male</v>
      </c>
      <c r="F427" s="43" t="str">
        <v>Lake Monique</v>
      </c>
      <c r="G427" s="43" t="str">
        <v>Utah</v>
      </c>
      <c r="H427" s="43" t="str">
        <f>IF(OR(Customer_Dim!G427="usa",G427="United States of America"),"USA")</f>
        <v>USA</v>
      </c>
      <c r="I427" s="43" t="str">
        <f>VLOOKUP(A427,Customer_Dim!A:H,8,0)</f>
        <v>Bronze</v>
      </c>
    </row>
    <row r="428" spans="1:9" x14ac:dyDescent="0.3">
      <c r="A428" s="41" t="s">
        <v>1322</v>
      </c>
      <c r="B428" s="42" t="str">
        <f>PROPER(Table3[[#This Row],[Name]])</f>
        <v>Jeanette Nichols</v>
      </c>
      <c r="C428" s="43">
        <f>VLOOKUP(B428,Customer_Dim!B:C,2,0)</f>
        <v>28</v>
      </c>
      <c r="D428" s="43" t="str">
        <f t="shared" si="6"/>
        <v>Young</v>
      </c>
      <c r="E428" s="43" t="str" cm="1">
        <f t="array" ref="E428:G428">_xlfn.XLOOKUP(A428,Table3[Customer_ID],Table3[[Gender]:[State]])</f>
        <v>Male</v>
      </c>
      <c r="F428" s="43" t="str">
        <v>Aguilarland</v>
      </c>
      <c r="G428" s="43" t="str">
        <v>North Carolina</v>
      </c>
      <c r="H428" s="43" t="str">
        <f>IF(OR(Customer_Dim!G428="usa",G428="United States of America"),"USA")</f>
        <v>USA</v>
      </c>
      <c r="I428" s="43" t="str">
        <f>VLOOKUP(A428,Customer_Dim!A:H,8,0)</f>
        <v>Platinum</v>
      </c>
    </row>
    <row r="429" spans="1:9" x14ac:dyDescent="0.3">
      <c r="A429" s="41" t="s">
        <v>1325</v>
      </c>
      <c r="B429" s="42" t="str">
        <f>PROPER(Table3[[#This Row],[Name]])</f>
        <v>Jose Stewart</v>
      </c>
      <c r="C429" s="43">
        <f>VLOOKUP(B429,Customer_Dim!B:C,2,0)</f>
        <v>18</v>
      </c>
      <c r="D429" s="43" t="str">
        <f t="shared" si="6"/>
        <v>Young</v>
      </c>
      <c r="E429" s="43" t="str" cm="1">
        <f t="array" ref="E429:G429">_xlfn.XLOOKUP(A429,Table3[Customer_ID],Table3[[Gender]:[State]])</f>
        <v>Female</v>
      </c>
      <c r="F429" s="43" t="str">
        <v>South Robert</v>
      </c>
      <c r="G429" s="43" t="str">
        <v>Maine</v>
      </c>
      <c r="H429" s="43" t="str">
        <f>IF(OR(Customer_Dim!G429="usa",G429="United States of America"),"USA")</f>
        <v>USA</v>
      </c>
      <c r="I429" s="43" t="str">
        <f>VLOOKUP(A429,Customer_Dim!A:H,8,0)</f>
        <v>Gold</v>
      </c>
    </row>
    <row r="430" spans="1:9" x14ac:dyDescent="0.3">
      <c r="A430" s="41" t="s">
        <v>1328</v>
      </c>
      <c r="B430" s="42" t="str">
        <f>PROPER(Table3[[#This Row],[Name]])</f>
        <v>Samuel Mullins</v>
      </c>
      <c r="C430" s="43">
        <f>VLOOKUP(B430,Customer_Dim!B:C,2,0)</f>
        <v>27</v>
      </c>
      <c r="D430" s="43" t="str">
        <f t="shared" si="6"/>
        <v>Young</v>
      </c>
      <c r="E430" s="43" t="str" cm="1">
        <f t="array" ref="E430:G430">_xlfn.XLOOKUP(A430,Table3[Customer_ID],Table3[[Gender]:[State]])</f>
        <v>Female</v>
      </c>
      <c r="F430" s="43" t="str">
        <v>Hartmouth</v>
      </c>
      <c r="G430" s="43" t="str">
        <v>Louisiana</v>
      </c>
      <c r="H430" s="43" t="str">
        <f>IF(OR(Customer_Dim!G430="usa",G430="United States of America"),"USA")</f>
        <v>USA</v>
      </c>
      <c r="I430" s="43" t="str">
        <f>VLOOKUP(A430,Customer_Dim!A:H,8,0)</f>
        <v>Bronze</v>
      </c>
    </row>
    <row r="431" spans="1:9" x14ac:dyDescent="0.3">
      <c r="A431" s="41" t="s">
        <v>1331</v>
      </c>
      <c r="B431" s="42" t="str">
        <f>PROPER(Table3[[#This Row],[Name]])</f>
        <v>Sean Vang</v>
      </c>
      <c r="C431" s="43">
        <f>VLOOKUP(B431,Customer_Dim!B:C,2,0)</f>
        <v>43</v>
      </c>
      <c r="D431" s="43" t="str">
        <f t="shared" si="6"/>
        <v>Middle-Aged</v>
      </c>
      <c r="E431" s="43" t="str" cm="1">
        <f t="array" ref="E431:G431">_xlfn.XLOOKUP(A431,Table3[Customer_ID],Table3[[Gender]:[State]])</f>
        <v>Male</v>
      </c>
      <c r="F431" s="43" t="str">
        <v>Davidchester</v>
      </c>
      <c r="G431" s="43" t="str">
        <v>Idaho</v>
      </c>
      <c r="H431" s="43" t="str">
        <f>IF(OR(Customer_Dim!G431="usa",G431="United States of America"),"USA")</f>
        <v>USA</v>
      </c>
      <c r="I431" s="43" t="str">
        <f>VLOOKUP(A431,Customer_Dim!A:H,8,0)</f>
        <v>Platinum</v>
      </c>
    </row>
    <row r="432" spans="1:9" x14ac:dyDescent="0.3">
      <c r="A432" s="41" t="s">
        <v>1334</v>
      </c>
      <c r="B432" s="42" t="str">
        <f>PROPER(Table3[[#This Row],[Name]])</f>
        <v>Kimberly Roberts</v>
      </c>
      <c r="C432" s="43">
        <f>VLOOKUP(B432,Customer_Dim!B:C,2,0)</f>
        <v>36</v>
      </c>
      <c r="D432" s="43" t="str">
        <f t="shared" si="6"/>
        <v>Middle-Aged</v>
      </c>
      <c r="E432" s="43" t="str" cm="1">
        <f t="array" ref="E432:G432">_xlfn.XLOOKUP(A432,Table3[Customer_ID],Table3[[Gender]:[State]])</f>
        <v>Female</v>
      </c>
      <c r="F432" s="43" t="str">
        <v>Josephchester</v>
      </c>
      <c r="G432" s="43" t="str">
        <v>New Jersey</v>
      </c>
      <c r="H432" s="43" t="str">
        <f>IF(OR(Customer_Dim!G432="usa",G432="United States of America"),"USA")</f>
        <v>USA</v>
      </c>
      <c r="I432" s="43" t="str">
        <f>VLOOKUP(A432,Customer_Dim!A:H,8,0)</f>
        <v>Gold</v>
      </c>
    </row>
    <row r="433" spans="1:9" x14ac:dyDescent="0.3">
      <c r="A433" s="41" t="s">
        <v>1337</v>
      </c>
      <c r="B433" s="42" t="str">
        <f>PROPER(Table3[[#This Row],[Name]])</f>
        <v>John Smith</v>
      </c>
      <c r="C433" s="43">
        <f>VLOOKUP(B433,Customer_Dim!B:C,2,0)</f>
        <v>27</v>
      </c>
      <c r="D433" s="43" t="str">
        <f t="shared" si="6"/>
        <v>Young</v>
      </c>
      <c r="E433" s="43" t="str" cm="1">
        <f t="array" ref="E433:G433">_xlfn.XLOOKUP(A433,Table3[Customer_ID],Table3[[Gender]:[State]])</f>
        <v>Male</v>
      </c>
      <c r="F433" s="43" t="str">
        <v>South Andrewport</v>
      </c>
      <c r="G433" s="43" t="str">
        <v>California</v>
      </c>
      <c r="H433" s="43" t="str">
        <f>IF(OR(Customer_Dim!G433="usa",G433="United States of America"),"USA")</f>
        <v>USA</v>
      </c>
      <c r="I433" s="43" t="str">
        <f>VLOOKUP(A433,Customer_Dim!A:H,8,0)</f>
        <v>Platinum</v>
      </c>
    </row>
    <row r="434" spans="1:9" x14ac:dyDescent="0.3">
      <c r="A434" s="41" t="s">
        <v>1340</v>
      </c>
      <c r="B434" s="42" t="str">
        <f>PROPER(Table3[[#This Row],[Name]])</f>
        <v>Summer Weiss</v>
      </c>
      <c r="C434" s="43">
        <f>VLOOKUP(B434,Customer_Dim!B:C,2,0)</f>
        <v>37</v>
      </c>
      <c r="D434" s="43" t="str">
        <f t="shared" si="6"/>
        <v>Middle-Aged</v>
      </c>
      <c r="E434" s="43" t="str" cm="1">
        <f t="array" ref="E434:G434">_xlfn.XLOOKUP(A434,Table3[Customer_ID],Table3[[Gender]:[State]])</f>
        <v>Male</v>
      </c>
      <c r="F434" s="43" t="str">
        <v>Phyllisport</v>
      </c>
      <c r="G434" s="43" t="str">
        <v>New Jersey</v>
      </c>
      <c r="H434" s="43" t="str">
        <f>IF(OR(Customer_Dim!G434="usa",G434="United States of America"),"USA")</f>
        <v>USA</v>
      </c>
      <c r="I434" s="43" t="str">
        <f>VLOOKUP(A434,Customer_Dim!A:H,8,0)</f>
        <v>Bronze</v>
      </c>
    </row>
    <row r="435" spans="1:9" x14ac:dyDescent="0.3">
      <c r="A435" s="41" t="s">
        <v>1343</v>
      </c>
      <c r="B435" s="42" t="str">
        <f>PROPER(Table3[[#This Row],[Name]])</f>
        <v>Thomas Moore</v>
      </c>
      <c r="C435" s="43">
        <f>VLOOKUP(B435,Customer_Dim!B:C,2,0)</f>
        <v>51</v>
      </c>
      <c r="D435" s="43" t="str">
        <f t="shared" si="6"/>
        <v>Senior</v>
      </c>
      <c r="E435" s="43" t="str" cm="1">
        <f t="array" ref="E435:G435">_xlfn.XLOOKUP(A435,Table3[Customer_ID],Table3[[Gender]:[State]])</f>
        <v>Female</v>
      </c>
      <c r="F435" s="43" t="str">
        <v>Williamsberg</v>
      </c>
      <c r="G435" s="43" t="str">
        <v>New York</v>
      </c>
      <c r="H435" s="43" t="str">
        <f>IF(OR(Customer_Dim!G435="usa",G435="United States of America"),"USA")</f>
        <v>USA</v>
      </c>
      <c r="I435" s="43" t="str">
        <f>VLOOKUP(A435,Customer_Dim!A:H,8,0)</f>
        <v>Silver</v>
      </c>
    </row>
    <row r="436" spans="1:9" x14ac:dyDescent="0.3">
      <c r="A436" s="41" t="s">
        <v>1346</v>
      </c>
      <c r="B436" s="42" t="str">
        <f>PROPER(Table3[[#This Row],[Name]])</f>
        <v>Monique Castro</v>
      </c>
      <c r="C436" s="43">
        <f>VLOOKUP(B436,Customer_Dim!B:C,2,0)</f>
        <v>48</v>
      </c>
      <c r="D436" s="43" t="str">
        <f t="shared" si="6"/>
        <v>Middle-Aged</v>
      </c>
      <c r="E436" s="43" t="str" cm="1">
        <f t="array" ref="E436:G436">_xlfn.XLOOKUP(A436,Table3[Customer_ID],Table3[[Gender]:[State]])</f>
        <v>Female</v>
      </c>
      <c r="F436" s="43" t="str">
        <v>New Sarah</v>
      </c>
      <c r="G436" s="43" t="str">
        <v>Indiana</v>
      </c>
      <c r="H436" s="43" t="str">
        <f>IF(OR(Customer_Dim!G436="usa",G436="United States of America"),"USA")</f>
        <v>USA</v>
      </c>
      <c r="I436" s="43" t="str">
        <f>VLOOKUP(A436,Customer_Dim!A:H,8,0)</f>
        <v>Gold</v>
      </c>
    </row>
    <row r="437" spans="1:9" x14ac:dyDescent="0.3">
      <c r="A437" s="41" t="s">
        <v>1349</v>
      </c>
      <c r="B437" s="42" t="str">
        <f>PROPER(Table3[[#This Row],[Name]])</f>
        <v>Lindsay Beasley</v>
      </c>
      <c r="C437" s="43">
        <f>VLOOKUP(B437,Customer_Dim!B:C,2,0)</f>
        <v>37</v>
      </c>
      <c r="D437" s="43" t="str">
        <f t="shared" si="6"/>
        <v>Middle-Aged</v>
      </c>
      <c r="E437" s="43" t="str" cm="1">
        <f t="array" ref="E437:G437">_xlfn.XLOOKUP(A437,Table3[Customer_ID],Table3[[Gender]:[State]])</f>
        <v>Female</v>
      </c>
      <c r="F437" s="43" t="str">
        <v>Wesleyhaven</v>
      </c>
      <c r="G437" s="43" t="str">
        <v>Idaho</v>
      </c>
      <c r="H437" s="43" t="str">
        <f>IF(OR(Customer_Dim!G437="usa",G437="United States of America"),"USA")</f>
        <v>USA</v>
      </c>
      <c r="I437" s="43" t="str">
        <f>VLOOKUP(A437,Customer_Dim!A:H,8,0)</f>
        <v>Silver</v>
      </c>
    </row>
    <row r="438" spans="1:9" x14ac:dyDescent="0.3">
      <c r="A438" s="41" t="s">
        <v>1352</v>
      </c>
      <c r="B438" s="42" t="str">
        <f>PROPER(Table3[[#This Row],[Name]])</f>
        <v>Sharon Simpson</v>
      </c>
      <c r="C438" s="43">
        <f>VLOOKUP(B438,Customer_Dim!B:C,2,0)</f>
        <v>61</v>
      </c>
      <c r="D438" s="43" t="str">
        <f t="shared" si="6"/>
        <v>Senior</v>
      </c>
      <c r="E438" s="43" t="str" cm="1">
        <f t="array" ref="E438:G438">_xlfn.XLOOKUP(A438,Table3[Customer_ID],Table3[[Gender]:[State]])</f>
        <v>Male</v>
      </c>
      <c r="F438" s="43" t="str">
        <v>South Michellebury</v>
      </c>
      <c r="G438" s="43" t="str">
        <v>South Dakota</v>
      </c>
      <c r="H438" s="43" t="str">
        <f>IF(OR(Customer_Dim!G438="usa",G438="United States of America"),"USA")</f>
        <v>USA</v>
      </c>
      <c r="I438" s="43" t="str">
        <f>VLOOKUP(A438,Customer_Dim!A:H,8,0)</f>
        <v>Gold</v>
      </c>
    </row>
    <row r="439" spans="1:9" x14ac:dyDescent="0.3">
      <c r="A439" s="41" t="s">
        <v>1355</v>
      </c>
      <c r="B439" s="42" t="str">
        <f>PROPER(Table3[[#This Row],[Name]])</f>
        <v>Melinda Rivera</v>
      </c>
      <c r="C439" s="43">
        <f>VLOOKUP(B439,Customer_Dim!B:C,2,0)</f>
        <v>47</v>
      </c>
      <c r="D439" s="43" t="str">
        <f t="shared" si="6"/>
        <v>Middle-Aged</v>
      </c>
      <c r="E439" s="43" t="str" cm="1">
        <f t="array" ref="E439:G439">_xlfn.XLOOKUP(A439,Table3[Customer_ID],Table3[[Gender]:[State]])</f>
        <v>Female</v>
      </c>
      <c r="F439" s="43" t="str">
        <v>East Davidmouth</v>
      </c>
      <c r="G439" s="43" t="str">
        <v>New Hampshire</v>
      </c>
      <c r="H439" s="43" t="str">
        <f>IF(OR(Customer_Dim!G439="usa",G439="United States of America"),"USA")</f>
        <v>USA</v>
      </c>
      <c r="I439" s="43" t="str">
        <f>VLOOKUP(A439,Customer_Dim!A:H,8,0)</f>
        <v>Platinum</v>
      </c>
    </row>
    <row r="440" spans="1:9" x14ac:dyDescent="0.3">
      <c r="A440" s="41" t="s">
        <v>1357</v>
      </c>
      <c r="B440" s="42" t="str">
        <f>PROPER(Table3[[#This Row],[Name]])</f>
        <v>Monica Flynn</v>
      </c>
      <c r="C440" s="43">
        <f>VLOOKUP(B440,Customer_Dim!B:C,2,0)</f>
        <v>59</v>
      </c>
      <c r="D440" s="43" t="str">
        <f t="shared" si="6"/>
        <v>Senior</v>
      </c>
      <c r="E440" s="43" t="str" cm="1">
        <f t="array" ref="E440:G440">_xlfn.XLOOKUP(A440,Table3[Customer_ID],Table3[[Gender]:[State]])</f>
        <v>Female</v>
      </c>
      <c r="F440" s="43" t="str">
        <v>Amberburgh</v>
      </c>
      <c r="G440" s="43" t="str">
        <v>Tennessee</v>
      </c>
      <c r="H440" s="43" t="str">
        <f>IF(OR(Customer_Dim!G440="usa",G440="United States of America"),"USA")</f>
        <v>USA</v>
      </c>
      <c r="I440" s="43" t="str">
        <f>VLOOKUP(A440,Customer_Dim!A:H,8,0)</f>
        <v>Platinum</v>
      </c>
    </row>
    <row r="441" spans="1:9" x14ac:dyDescent="0.3">
      <c r="A441" s="41" t="s">
        <v>1360</v>
      </c>
      <c r="B441" s="42" t="str">
        <f>PROPER(Table3[[#This Row],[Name]])</f>
        <v>John Compton</v>
      </c>
      <c r="C441" s="43">
        <f>VLOOKUP(B441,Customer_Dim!B:C,2,0)</f>
        <v>53</v>
      </c>
      <c r="D441" s="43" t="str">
        <f t="shared" si="6"/>
        <v>Senior</v>
      </c>
      <c r="E441" s="43" t="str" cm="1">
        <f t="array" ref="E441:G441">_xlfn.XLOOKUP(A441,Table3[Customer_ID],Table3[[Gender]:[State]])</f>
        <v>Male</v>
      </c>
      <c r="F441" s="43" t="str">
        <v>North Daniel</v>
      </c>
      <c r="G441" s="43" t="str">
        <v>Michigan</v>
      </c>
      <c r="H441" s="43" t="str">
        <f>IF(OR(Customer_Dim!G441="usa",G441="United States of America"),"USA")</f>
        <v>USA</v>
      </c>
      <c r="I441" s="43" t="str">
        <f>VLOOKUP(A441,Customer_Dim!A:H,8,0)</f>
        <v>Silver</v>
      </c>
    </row>
    <row r="442" spans="1:9" x14ac:dyDescent="0.3">
      <c r="A442" s="41" t="s">
        <v>1362</v>
      </c>
      <c r="B442" s="42" t="str">
        <f>PROPER(Table3[[#This Row],[Name]])</f>
        <v>Tammy Trevino</v>
      </c>
      <c r="C442" s="43">
        <f>VLOOKUP(B442,Customer_Dim!B:C,2,0)</f>
        <v>60</v>
      </c>
      <c r="D442" s="43" t="str">
        <f t="shared" si="6"/>
        <v>Senior</v>
      </c>
      <c r="E442" s="43" t="str" cm="1">
        <f t="array" ref="E442:G442">_xlfn.XLOOKUP(A442,Table3[Customer_ID],Table3[[Gender]:[State]])</f>
        <v>Male</v>
      </c>
      <c r="F442" s="43" t="str">
        <v>Justinberg</v>
      </c>
      <c r="G442" s="43" t="str">
        <v>North Dakota</v>
      </c>
      <c r="H442" s="43" t="str">
        <f>IF(OR(Customer_Dim!G442="usa",G442="United States of America"),"USA")</f>
        <v>USA</v>
      </c>
      <c r="I442" s="43" t="str">
        <f>VLOOKUP(A442,Customer_Dim!A:H,8,0)</f>
        <v>Silver</v>
      </c>
    </row>
    <row r="443" spans="1:9" x14ac:dyDescent="0.3">
      <c r="A443" s="41" t="s">
        <v>1365</v>
      </c>
      <c r="B443" s="42" t="str">
        <f>PROPER(Table3[[#This Row],[Name]])</f>
        <v>Dalton Walters</v>
      </c>
      <c r="C443" s="43">
        <f>VLOOKUP(B443,Customer_Dim!B:C,2,0)</f>
        <v>31</v>
      </c>
      <c r="D443" s="43" t="str">
        <f t="shared" si="6"/>
        <v>Middle-Aged</v>
      </c>
      <c r="E443" s="43" t="str" cm="1">
        <f t="array" ref="E443:G443">_xlfn.XLOOKUP(A443,Table3[Customer_ID],Table3[[Gender]:[State]])</f>
        <v>Male</v>
      </c>
      <c r="F443" s="43" t="str">
        <v>Jonesstad</v>
      </c>
      <c r="G443" s="43" t="str">
        <v>Wisconsin</v>
      </c>
      <c r="H443" s="43" t="str">
        <f>IF(OR(Customer_Dim!G443="usa",G443="United States of America"),"USA")</f>
        <v>USA</v>
      </c>
      <c r="I443" s="43" t="str">
        <f>VLOOKUP(A443,Customer_Dim!A:H,8,0)</f>
        <v>Silver</v>
      </c>
    </row>
    <row r="444" spans="1:9" x14ac:dyDescent="0.3">
      <c r="A444" s="41" t="s">
        <v>1368</v>
      </c>
      <c r="B444" s="42" t="str">
        <f>PROPER(Table3[[#This Row],[Name]])</f>
        <v>Kelli Smith</v>
      </c>
      <c r="C444" s="43">
        <f>VLOOKUP(B444,Customer_Dim!B:C,2,0)</f>
        <v>42</v>
      </c>
      <c r="D444" s="43" t="str">
        <f t="shared" si="6"/>
        <v>Middle-Aged</v>
      </c>
      <c r="E444" s="43" t="str" cm="1">
        <f t="array" ref="E444:G444">_xlfn.XLOOKUP(A444,Table3[Customer_ID],Table3[[Gender]:[State]])</f>
        <v>Female</v>
      </c>
      <c r="F444" s="43" t="str">
        <v>North Maryfort</v>
      </c>
      <c r="G444" s="43" t="str">
        <v>Oregon</v>
      </c>
      <c r="H444" s="43" t="str">
        <f>IF(OR(Customer_Dim!G444="usa",G444="United States of America"),"USA")</f>
        <v>USA</v>
      </c>
      <c r="I444" s="43" t="str">
        <f>VLOOKUP(A444,Customer_Dim!A:H,8,0)</f>
        <v>Bronze</v>
      </c>
    </row>
    <row r="445" spans="1:9" x14ac:dyDescent="0.3">
      <c r="A445" s="41" t="s">
        <v>1371</v>
      </c>
      <c r="B445" s="42" t="str">
        <f>PROPER(Table3[[#This Row],[Name]])</f>
        <v>Adam Castro</v>
      </c>
      <c r="C445" s="43">
        <f>VLOOKUP(B445,Customer_Dim!B:C,2,0)</f>
        <v>51</v>
      </c>
      <c r="D445" s="43" t="str">
        <f t="shared" si="6"/>
        <v>Senior</v>
      </c>
      <c r="E445" s="43" t="str" cm="1">
        <f t="array" ref="E445:G445">_xlfn.XLOOKUP(A445,Table3[Customer_ID],Table3[[Gender]:[State]])</f>
        <v>Male</v>
      </c>
      <c r="F445" s="43" t="str">
        <v>New Donnabury</v>
      </c>
      <c r="G445" s="43" t="str">
        <v>Texas</v>
      </c>
      <c r="H445" s="43" t="str">
        <f>IF(OR(Customer_Dim!G445="usa",G445="United States of America"),"USA")</f>
        <v>USA</v>
      </c>
      <c r="I445" s="43" t="str">
        <f>VLOOKUP(A445,Customer_Dim!A:H,8,0)</f>
        <v>Silver</v>
      </c>
    </row>
    <row r="446" spans="1:9" x14ac:dyDescent="0.3">
      <c r="A446" s="41" t="s">
        <v>1374</v>
      </c>
      <c r="B446" s="42" t="str">
        <f>PROPER(Table3[[#This Row],[Name]])</f>
        <v>Cheryl Carr</v>
      </c>
      <c r="C446" s="43">
        <f>VLOOKUP(B446,Customer_Dim!B:C,2,0)</f>
        <v>19</v>
      </c>
      <c r="D446" s="43" t="str">
        <f t="shared" si="6"/>
        <v>Young</v>
      </c>
      <c r="E446" s="43" t="str" cm="1">
        <f t="array" ref="E446:G446">_xlfn.XLOOKUP(A446,Table3[Customer_ID],Table3[[Gender]:[State]])</f>
        <v>Male</v>
      </c>
      <c r="F446" s="43" t="str">
        <v>Jessicaland</v>
      </c>
      <c r="G446" s="43" t="str">
        <v>Wyoming</v>
      </c>
      <c r="H446" s="43" t="str">
        <f>IF(OR(Customer_Dim!G446="usa",G446="United States of America"),"USA")</f>
        <v>USA</v>
      </c>
      <c r="I446" s="43" t="str">
        <f>VLOOKUP(A446,Customer_Dim!A:H,8,0)</f>
        <v>Gold</v>
      </c>
    </row>
    <row r="447" spans="1:9" x14ac:dyDescent="0.3">
      <c r="A447" s="41" t="s">
        <v>1377</v>
      </c>
      <c r="B447" s="42" t="str">
        <f>PROPER(Table3[[#This Row],[Name]])</f>
        <v>Gene Lee</v>
      </c>
      <c r="C447" s="43">
        <f>VLOOKUP(B447,Customer_Dim!B:C,2,0)</f>
        <v>41</v>
      </c>
      <c r="D447" s="43" t="str">
        <f t="shared" si="6"/>
        <v>Middle-Aged</v>
      </c>
      <c r="E447" s="43" t="str" cm="1">
        <f t="array" ref="E447:G447">_xlfn.XLOOKUP(A447,Table3[Customer_ID],Table3[[Gender]:[State]])</f>
        <v>Female</v>
      </c>
      <c r="F447" s="43" t="str">
        <v>Mcfarlandmouth</v>
      </c>
      <c r="G447" s="43" t="str">
        <v>Virginia</v>
      </c>
      <c r="H447" s="43" t="str">
        <f>IF(OR(Customer_Dim!G447="usa",G447="United States of America"),"USA")</f>
        <v>USA</v>
      </c>
      <c r="I447" s="43" t="str">
        <f>VLOOKUP(A447,Customer_Dim!A:H,8,0)</f>
        <v>Platinum</v>
      </c>
    </row>
    <row r="448" spans="1:9" x14ac:dyDescent="0.3">
      <c r="A448" s="41" t="s">
        <v>1380</v>
      </c>
      <c r="B448" s="42" t="str">
        <f>PROPER(Table3[[#This Row],[Name]])</f>
        <v>Shannon Turner</v>
      </c>
      <c r="C448" s="43">
        <f>VLOOKUP(B448,Customer_Dim!B:C,2,0)</f>
        <v>35</v>
      </c>
      <c r="D448" s="43" t="str">
        <f t="shared" si="6"/>
        <v>Middle-Aged</v>
      </c>
      <c r="E448" s="43" t="str" cm="1">
        <f t="array" ref="E448:G448">_xlfn.XLOOKUP(A448,Table3[Customer_ID],Table3[[Gender]:[State]])</f>
        <v>Male</v>
      </c>
      <c r="F448" s="43" t="str">
        <v>West Jorge</v>
      </c>
      <c r="G448" s="43" t="str">
        <v>Oklahoma</v>
      </c>
      <c r="H448" s="43" t="str">
        <f>IF(OR(Customer_Dim!G448="usa",G448="United States of America"),"USA")</f>
        <v>USA</v>
      </c>
      <c r="I448" s="43" t="str">
        <f>VLOOKUP(A448,Customer_Dim!A:H,8,0)</f>
        <v>Silver</v>
      </c>
    </row>
    <row r="449" spans="1:9" x14ac:dyDescent="0.3">
      <c r="A449" s="41" t="s">
        <v>1383</v>
      </c>
      <c r="B449" s="42" t="str">
        <f>PROPER(Table3[[#This Row],[Name]])</f>
        <v>Monica Wright</v>
      </c>
      <c r="C449" s="43">
        <f>VLOOKUP(B449,Customer_Dim!B:C,2,0)</f>
        <v>45</v>
      </c>
      <c r="D449" s="43" t="str">
        <f t="shared" si="6"/>
        <v>Middle-Aged</v>
      </c>
      <c r="E449" s="43" t="str" cm="1">
        <f t="array" ref="E449:G449">_xlfn.XLOOKUP(A449,Table3[Customer_ID],Table3[[Gender]:[State]])</f>
        <v>Male</v>
      </c>
      <c r="F449" s="43" t="str">
        <v>Paulside</v>
      </c>
      <c r="G449" s="43" t="str">
        <v>North Carolina</v>
      </c>
      <c r="H449" s="43" t="str">
        <f>IF(OR(Customer_Dim!G449="usa",G449="United States of America"),"USA")</f>
        <v>USA</v>
      </c>
      <c r="I449" s="43" t="str">
        <f>VLOOKUP(A449,Customer_Dim!A:H,8,0)</f>
        <v>Gold</v>
      </c>
    </row>
    <row r="450" spans="1:9" x14ac:dyDescent="0.3">
      <c r="A450" s="41" t="s">
        <v>1386</v>
      </c>
      <c r="B450" s="42" t="str">
        <f>PROPER(Table3[[#This Row],[Name]])</f>
        <v>Eric Holmes</v>
      </c>
      <c r="C450" s="43">
        <f>VLOOKUP(B450,Customer_Dim!B:C,2,0)</f>
        <v>64</v>
      </c>
      <c r="D450" s="43" t="str">
        <f t="shared" si="6"/>
        <v>Senior</v>
      </c>
      <c r="E450" s="43" t="str" cm="1">
        <f t="array" ref="E450:G450">_xlfn.XLOOKUP(A450,Table3[Customer_ID],Table3[[Gender]:[State]])</f>
        <v>Female</v>
      </c>
      <c r="F450" s="43" t="str">
        <v>Smithville</v>
      </c>
      <c r="G450" s="43" t="str">
        <v>Wyoming</v>
      </c>
      <c r="H450" s="43" t="str">
        <f>IF(OR(Customer_Dim!G450="usa",G450="United States of America"),"USA")</f>
        <v>USA</v>
      </c>
      <c r="I450" s="43" t="str">
        <f>VLOOKUP(A450,Customer_Dim!A:H,8,0)</f>
        <v>Bronze</v>
      </c>
    </row>
    <row r="451" spans="1:9" x14ac:dyDescent="0.3">
      <c r="A451" s="41" t="s">
        <v>1389</v>
      </c>
      <c r="B451" s="42" t="str">
        <f>PROPER(Table3[[#This Row],[Name]])</f>
        <v>William Cortez</v>
      </c>
      <c r="C451" s="43">
        <f>VLOOKUP(B451,Customer_Dim!B:C,2,0)</f>
        <v>29</v>
      </c>
      <c r="D451" s="43" t="str">
        <f t="shared" ref="D451:D501" si="7">IF(C451&lt;30,"Young",IF(C451&lt;=50,"Middle-Aged","Senior"))</f>
        <v>Young</v>
      </c>
      <c r="E451" s="43" t="str" cm="1">
        <f t="array" ref="E451:G451">_xlfn.XLOOKUP(A451,Table3[Customer_ID],Table3[[Gender]:[State]])</f>
        <v>Male</v>
      </c>
      <c r="F451" s="43" t="str">
        <v>Port Hannahport</v>
      </c>
      <c r="G451" s="43" t="str">
        <v>Ohio</v>
      </c>
      <c r="H451" s="43" t="str">
        <f>IF(OR(Customer_Dim!G451="usa",G451="United States of America"),"USA")</f>
        <v>USA</v>
      </c>
      <c r="I451" s="43" t="str">
        <f>VLOOKUP(A451,Customer_Dim!A:H,8,0)</f>
        <v>Bronze</v>
      </c>
    </row>
    <row r="452" spans="1:9" x14ac:dyDescent="0.3">
      <c r="A452" s="41" t="s">
        <v>1392</v>
      </c>
      <c r="B452" s="42" t="str">
        <f>PROPER(Table3[[#This Row],[Name]])</f>
        <v>Shane Mills</v>
      </c>
      <c r="C452" s="43">
        <f>VLOOKUP(B452,Customer_Dim!B:C,2,0)</f>
        <v>59</v>
      </c>
      <c r="D452" s="43" t="str">
        <f t="shared" si="7"/>
        <v>Senior</v>
      </c>
      <c r="E452" s="43" t="str" cm="1">
        <f t="array" ref="E452:G452">_xlfn.XLOOKUP(A452,Table3[Customer_ID],Table3[[Gender]:[State]])</f>
        <v>Male</v>
      </c>
      <c r="F452" s="43" t="str">
        <v>Lake Meganstad</v>
      </c>
      <c r="G452" s="43" t="str">
        <v>Nebraska</v>
      </c>
      <c r="H452" s="43" t="str">
        <f>IF(OR(Customer_Dim!G452="usa",G452="United States of America"),"USA")</f>
        <v>USA</v>
      </c>
      <c r="I452" s="43" t="str">
        <f>VLOOKUP(A452,Customer_Dim!A:H,8,0)</f>
        <v>Bronze</v>
      </c>
    </row>
    <row r="453" spans="1:9" x14ac:dyDescent="0.3">
      <c r="A453" s="41" t="s">
        <v>1395</v>
      </c>
      <c r="B453" s="42" t="str">
        <f>PROPER(Table3[[#This Row],[Name]])</f>
        <v>Ashley Roberts</v>
      </c>
      <c r="C453" s="43">
        <f>VLOOKUP(B453,Customer_Dim!B:C,2,0)</f>
        <v>46</v>
      </c>
      <c r="D453" s="43" t="str">
        <f t="shared" si="7"/>
        <v>Middle-Aged</v>
      </c>
      <c r="E453" s="43" t="str" cm="1">
        <f t="array" ref="E453:G453">_xlfn.XLOOKUP(A453,Table3[Customer_ID],Table3[[Gender]:[State]])</f>
        <v>Male</v>
      </c>
      <c r="F453" s="43" t="str">
        <v>Josephmouth</v>
      </c>
      <c r="G453" s="43" t="str">
        <v>New Mexico</v>
      </c>
      <c r="H453" s="43" t="str">
        <f>IF(OR(Customer_Dim!G453="usa",G453="United States of America"),"USA")</f>
        <v>USA</v>
      </c>
      <c r="I453" s="43" t="str">
        <f>VLOOKUP(A453,Customer_Dim!A:H,8,0)</f>
        <v>Gold</v>
      </c>
    </row>
    <row r="454" spans="1:9" x14ac:dyDescent="0.3">
      <c r="A454" s="41" t="s">
        <v>1397</v>
      </c>
      <c r="B454" s="42" t="str">
        <f>PROPER(Table3[[#This Row],[Name]])</f>
        <v>Jeffery Wolf</v>
      </c>
      <c r="C454" s="43">
        <f>VLOOKUP(B454,Customer_Dim!B:C,2,0)</f>
        <v>60</v>
      </c>
      <c r="D454" s="43" t="str">
        <f t="shared" si="7"/>
        <v>Senior</v>
      </c>
      <c r="E454" s="43" t="str" cm="1">
        <f t="array" ref="E454:G454">_xlfn.XLOOKUP(A454,Table3[Customer_ID],Table3[[Gender]:[State]])</f>
        <v>Female</v>
      </c>
      <c r="F454" s="43" t="str">
        <v>New Laura</v>
      </c>
      <c r="G454" s="43" t="str">
        <v>Mississippi</v>
      </c>
      <c r="H454" s="43" t="str">
        <f>IF(OR(Customer_Dim!G454="usa",G454="United States of America"),"USA")</f>
        <v>USA</v>
      </c>
      <c r="I454" s="43" t="str">
        <f>VLOOKUP(A454,Customer_Dim!A:H,8,0)</f>
        <v>Bronze</v>
      </c>
    </row>
    <row r="455" spans="1:9" x14ac:dyDescent="0.3">
      <c r="A455" s="41" t="s">
        <v>1400</v>
      </c>
      <c r="B455" s="42" t="str">
        <f>PROPER(Table3[[#This Row],[Name]])</f>
        <v>April Phillips</v>
      </c>
      <c r="C455" s="43">
        <f>VLOOKUP(B455,Customer_Dim!B:C,2,0)</f>
        <v>62</v>
      </c>
      <c r="D455" s="43" t="str">
        <f t="shared" si="7"/>
        <v>Senior</v>
      </c>
      <c r="E455" s="43" t="str" cm="1">
        <f t="array" ref="E455:G455">_xlfn.XLOOKUP(A455,Table3[Customer_ID],Table3[[Gender]:[State]])</f>
        <v>Female</v>
      </c>
      <c r="F455" s="43" t="str">
        <v>Lake Carolyn</v>
      </c>
      <c r="G455" s="43" t="str">
        <v>Hawaii</v>
      </c>
      <c r="H455" s="43" t="str">
        <f>IF(OR(Customer_Dim!G455="usa",G455="United States of America"),"USA")</f>
        <v>USA</v>
      </c>
      <c r="I455" s="43" t="str">
        <f>VLOOKUP(A455,Customer_Dim!A:H,8,0)</f>
        <v>Platinum</v>
      </c>
    </row>
    <row r="456" spans="1:9" x14ac:dyDescent="0.3">
      <c r="A456" s="41" t="s">
        <v>1403</v>
      </c>
      <c r="B456" s="42" t="str">
        <f>PROPER(Table3[[#This Row],[Name]])</f>
        <v>John Berg</v>
      </c>
      <c r="C456" s="43">
        <f>VLOOKUP(B456,Customer_Dim!B:C,2,0)</f>
        <v>60</v>
      </c>
      <c r="D456" s="43" t="str">
        <f t="shared" si="7"/>
        <v>Senior</v>
      </c>
      <c r="E456" s="43" t="str" cm="1">
        <f t="array" ref="E456:G456">_xlfn.XLOOKUP(A456,Table3[Customer_ID],Table3[[Gender]:[State]])</f>
        <v>Male</v>
      </c>
      <c r="F456" s="43" t="str">
        <v>Johnsonville</v>
      </c>
      <c r="G456" s="43" t="str">
        <v>Oklahoma</v>
      </c>
      <c r="H456" s="43" t="str">
        <f>IF(OR(Customer_Dim!G456="usa",G456="United States of America"),"USA")</f>
        <v>USA</v>
      </c>
      <c r="I456" s="43" t="str">
        <f>VLOOKUP(A456,Customer_Dim!A:H,8,0)</f>
        <v>Gold</v>
      </c>
    </row>
    <row r="457" spans="1:9" x14ac:dyDescent="0.3">
      <c r="A457" s="41" t="s">
        <v>1405</v>
      </c>
      <c r="B457" s="42" t="str">
        <f>PROPER(Table3[[#This Row],[Name]])</f>
        <v>Tyler Weber</v>
      </c>
      <c r="C457" s="43">
        <f>VLOOKUP(B457,Customer_Dim!B:C,2,0)</f>
        <v>54</v>
      </c>
      <c r="D457" s="43" t="str">
        <f t="shared" si="7"/>
        <v>Senior</v>
      </c>
      <c r="E457" s="43" t="str" cm="1">
        <f t="array" ref="E457:G457">_xlfn.XLOOKUP(A457,Table3[Customer_ID],Table3[[Gender]:[State]])</f>
        <v>Male</v>
      </c>
      <c r="F457" s="43" t="str">
        <v>East Yvette</v>
      </c>
      <c r="G457" s="43" t="str">
        <v>Illinois</v>
      </c>
      <c r="H457" s="43" t="str">
        <f>IF(OR(Customer_Dim!G457="usa",G457="United States of America"),"USA")</f>
        <v>USA</v>
      </c>
      <c r="I457" s="43" t="str">
        <f>VLOOKUP(A457,Customer_Dim!A:H,8,0)</f>
        <v>Gold</v>
      </c>
    </row>
    <row r="458" spans="1:9" x14ac:dyDescent="0.3">
      <c r="A458" s="41" t="s">
        <v>1408</v>
      </c>
      <c r="B458" s="42" t="str">
        <f>PROPER(Table3[[#This Row],[Name]])</f>
        <v>Julie Powell</v>
      </c>
      <c r="C458" s="43">
        <f>VLOOKUP(B458,Customer_Dim!B:C,2,0)</f>
        <v>59</v>
      </c>
      <c r="D458" s="43" t="str">
        <f t="shared" si="7"/>
        <v>Senior</v>
      </c>
      <c r="E458" s="43" t="str" cm="1">
        <f t="array" ref="E458:G458">_xlfn.XLOOKUP(A458,Table3[Customer_ID],Table3[[Gender]:[State]])</f>
        <v>Female</v>
      </c>
      <c r="F458" s="43" t="str">
        <v>South Barbara</v>
      </c>
      <c r="G458" s="43" t="str">
        <v>Arkansas</v>
      </c>
      <c r="H458" s="43" t="str">
        <f>IF(OR(Customer_Dim!G458="usa",G458="United States of America"),"USA")</f>
        <v>USA</v>
      </c>
      <c r="I458" s="43" t="str">
        <f>VLOOKUP(A458,Customer_Dim!A:H,8,0)</f>
        <v>Gold</v>
      </c>
    </row>
    <row r="459" spans="1:9" x14ac:dyDescent="0.3">
      <c r="A459" s="41" t="s">
        <v>1411</v>
      </c>
      <c r="B459" s="42" t="str">
        <f>PROPER(Table3[[#This Row],[Name]])</f>
        <v>Christina Robertson</v>
      </c>
      <c r="C459" s="43">
        <f>VLOOKUP(B459,Customer_Dim!B:C,2,0)</f>
        <v>59</v>
      </c>
      <c r="D459" s="43" t="str">
        <f t="shared" si="7"/>
        <v>Senior</v>
      </c>
      <c r="E459" s="43" t="str" cm="1">
        <f t="array" ref="E459:G459">_xlfn.XLOOKUP(A459,Table3[Customer_ID],Table3[[Gender]:[State]])</f>
        <v>Male</v>
      </c>
      <c r="F459" s="43" t="str">
        <v>Hubbardborough</v>
      </c>
      <c r="G459" s="43" t="str">
        <v>Kentucky</v>
      </c>
      <c r="H459" s="43" t="str">
        <f>IF(OR(Customer_Dim!G459="usa",G459="United States of America"),"USA")</f>
        <v>USA</v>
      </c>
      <c r="I459" s="43" t="str">
        <f>VLOOKUP(A459,Customer_Dim!A:H,8,0)</f>
        <v>Platinum</v>
      </c>
    </row>
    <row r="460" spans="1:9" x14ac:dyDescent="0.3">
      <c r="A460" s="41" t="s">
        <v>1414</v>
      </c>
      <c r="B460" s="42" t="str">
        <f>PROPER(Table3[[#This Row],[Name]])</f>
        <v>Kelly Garrett</v>
      </c>
      <c r="C460" s="43">
        <f>VLOOKUP(B460,Customer_Dim!B:C,2,0)</f>
        <v>62</v>
      </c>
      <c r="D460" s="43" t="str">
        <f t="shared" si="7"/>
        <v>Senior</v>
      </c>
      <c r="E460" s="43" t="str" cm="1">
        <f t="array" ref="E460:G460">_xlfn.XLOOKUP(A460,Table3[Customer_ID],Table3[[Gender]:[State]])</f>
        <v>Female</v>
      </c>
      <c r="F460" s="43" t="str">
        <v>Port Taylorberg</v>
      </c>
      <c r="G460" s="43" t="str">
        <v>Pennsylvania</v>
      </c>
      <c r="H460" s="43" t="str">
        <f>IF(OR(Customer_Dim!G460="usa",G460="United States of America"),"USA")</f>
        <v>USA</v>
      </c>
      <c r="I460" s="43" t="str">
        <f>VLOOKUP(A460,Customer_Dim!A:H,8,0)</f>
        <v>Silver</v>
      </c>
    </row>
    <row r="461" spans="1:9" x14ac:dyDescent="0.3">
      <c r="A461" s="41" t="s">
        <v>1417</v>
      </c>
      <c r="B461" s="42" t="str">
        <f>PROPER(Table3[[#This Row],[Name]])</f>
        <v>John Perez</v>
      </c>
      <c r="C461" s="43">
        <f>VLOOKUP(B461,Customer_Dim!B:C,2,0)</f>
        <v>54</v>
      </c>
      <c r="D461" s="43" t="str">
        <f t="shared" si="7"/>
        <v>Senior</v>
      </c>
      <c r="E461" s="43" t="str" cm="1">
        <f t="array" ref="E461:G461">_xlfn.XLOOKUP(A461,Table3[Customer_ID],Table3[[Gender]:[State]])</f>
        <v>Female</v>
      </c>
      <c r="F461" s="43" t="str">
        <v>Brandontown</v>
      </c>
      <c r="G461" s="43" t="str">
        <v>South Carolina</v>
      </c>
      <c r="H461" s="43" t="str">
        <f>IF(OR(Customer_Dim!G461="usa",G461="United States of America"),"USA")</f>
        <v>USA</v>
      </c>
      <c r="I461" s="43" t="str">
        <f>VLOOKUP(A461,Customer_Dim!A:H,8,0)</f>
        <v>Gold</v>
      </c>
    </row>
    <row r="462" spans="1:9" x14ac:dyDescent="0.3">
      <c r="A462" s="41" t="s">
        <v>1419</v>
      </c>
      <c r="B462" s="42" t="str">
        <f>PROPER(Table3[[#This Row],[Name]])</f>
        <v>Justin Johnson</v>
      </c>
      <c r="C462" s="43">
        <f>VLOOKUP(B462,Customer_Dim!B:C,2,0)</f>
        <v>35</v>
      </c>
      <c r="D462" s="43" t="str">
        <f t="shared" si="7"/>
        <v>Middle-Aged</v>
      </c>
      <c r="E462" s="43" t="str" cm="1">
        <f t="array" ref="E462:G462">_xlfn.XLOOKUP(A462,Table3[Customer_ID],Table3[[Gender]:[State]])</f>
        <v>Male</v>
      </c>
      <c r="F462" s="43" t="str">
        <v>Hughesview</v>
      </c>
      <c r="G462" s="43" t="str">
        <v>Iowa</v>
      </c>
      <c r="H462" s="43" t="str">
        <f>IF(OR(Customer_Dim!G462="usa",G462="United States of America"),"USA")</f>
        <v>USA</v>
      </c>
      <c r="I462" s="43" t="str">
        <f>VLOOKUP(A462,Customer_Dim!A:H,8,0)</f>
        <v>Gold</v>
      </c>
    </row>
    <row r="463" spans="1:9" x14ac:dyDescent="0.3">
      <c r="A463" s="41" t="s">
        <v>1422</v>
      </c>
      <c r="B463" s="42" t="str">
        <f>PROPER(Table3[[#This Row],[Name]])</f>
        <v>Paul Cox</v>
      </c>
      <c r="C463" s="43">
        <f>VLOOKUP(B463,Customer_Dim!B:C,2,0)</f>
        <v>60</v>
      </c>
      <c r="D463" s="43" t="str">
        <f t="shared" si="7"/>
        <v>Senior</v>
      </c>
      <c r="E463" s="43" t="str" cm="1">
        <f t="array" ref="E463:G463">_xlfn.XLOOKUP(A463,Table3[Customer_ID],Table3[[Gender]:[State]])</f>
        <v>Female</v>
      </c>
      <c r="F463" s="43" t="str">
        <v>East Julie</v>
      </c>
      <c r="G463" s="43" t="str">
        <v>Kansas</v>
      </c>
      <c r="H463" s="43" t="str">
        <f>IF(OR(Customer_Dim!G463="usa",G463="United States of America"),"USA")</f>
        <v>USA</v>
      </c>
      <c r="I463" s="43" t="str">
        <f>VLOOKUP(A463,Customer_Dim!A:H,8,0)</f>
        <v>Silver</v>
      </c>
    </row>
    <row r="464" spans="1:9" x14ac:dyDescent="0.3">
      <c r="A464" s="41" t="s">
        <v>1425</v>
      </c>
      <c r="B464" s="42" t="str">
        <f>PROPER(Table3[[#This Row],[Name]])</f>
        <v>Beth Martin</v>
      </c>
      <c r="C464" s="43">
        <f>VLOOKUP(B464,Customer_Dim!B:C,2,0)</f>
        <v>34</v>
      </c>
      <c r="D464" s="43" t="str">
        <f t="shared" si="7"/>
        <v>Middle-Aged</v>
      </c>
      <c r="E464" s="43" t="str" cm="1">
        <f t="array" ref="E464:G464">_xlfn.XLOOKUP(A464,Table3[Customer_ID],Table3[[Gender]:[State]])</f>
        <v>Female</v>
      </c>
      <c r="F464" s="43" t="str">
        <v>Burkefurt</v>
      </c>
      <c r="G464" s="43" t="str">
        <v>West Virginia</v>
      </c>
      <c r="H464" s="43" t="str">
        <f>IF(OR(Customer_Dim!G464="usa",G464="United States of America"),"USA")</f>
        <v>USA</v>
      </c>
      <c r="I464" s="43" t="str">
        <f>VLOOKUP(A464,Customer_Dim!A:H,8,0)</f>
        <v>Silver</v>
      </c>
    </row>
    <row r="465" spans="1:9" x14ac:dyDescent="0.3">
      <c r="A465" s="41" t="s">
        <v>1428</v>
      </c>
      <c r="B465" s="42" t="str">
        <f>PROPER(Table3[[#This Row],[Name]])</f>
        <v>Samantha Lee</v>
      </c>
      <c r="C465" s="43">
        <f>VLOOKUP(B465,Customer_Dim!B:C,2,0)</f>
        <v>36</v>
      </c>
      <c r="D465" s="43" t="str">
        <f t="shared" si="7"/>
        <v>Middle-Aged</v>
      </c>
      <c r="E465" s="43" t="str" cm="1">
        <f t="array" ref="E465:G465">_xlfn.XLOOKUP(A465,Table3[Customer_ID],Table3[[Gender]:[State]])</f>
        <v>Female</v>
      </c>
      <c r="F465" s="43" t="str">
        <v>Port Anthony</v>
      </c>
      <c r="G465" s="43" t="str">
        <v>Connecticut</v>
      </c>
      <c r="H465" s="43" t="str">
        <f>IF(OR(Customer_Dim!G465="usa",G465="United States of America"),"USA")</f>
        <v>USA</v>
      </c>
      <c r="I465" s="43" t="str">
        <f>VLOOKUP(A465,Customer_Dim!A:H,8,0)</f>
        <v>Bronze</v>
      </c>
    </row>
    <row r="466" spans="1:9" x14ac:dyDescent="0.3">
      <c r="A466" s="41" t="s">
        <v>1431</v>
      </c>
      <c r="B466" s="42" t="str">
        <f>PROPER(Table3[[#This Row],[Name]])</f>
        <v>David Pierce</v>
      </c>
      <c r="C466" s="43">
        <f>VLOOKUP(B466,Customer_Dim!B:C,2,0)</f>
        <v>45</v>
      </c>
      <c r="D466" s="43" t="str">
        <f t="shared" si="7"/>
        <v>Middle-Aged</v>
      </c>
      <c r="E466" s="43" t="str" cm="1">
        <f t="array" ref="E466:G466">_xlfn.XLOOKUP(A466,Table3[Customer_ID],Table3[[Gender]:[State]])</f>
        <v>Female</v>
      </c>
      <c r="F466" s="43" t="str">
        <v>Grayland</v>
      </c>
      <c r="G466" s="43" t="str">
        <v>Washington</v>
      </c>
      <c r="H466" s="43" t="str">
        <f>IF(OR(Customer_Dim!G466="usa",G466="United States of America"),"USA")</f>
        <v>USA</v>
      </c>
      <c r="I466" s="43" t="str">
        <f>VLOOKUP(A466,Customer_Dim!A:H,8,0)</f>
        <v>Platinum</v>
      </c>
    </row>
    <row r="467" spans="1:9" x14ac:dyDescent="0.3">
      <c r="A467" s="41" t="s">
        <v>1434</v>
      </c>
      <c r="B467" s="42" t="str">
        <f>PROPER(Table3[[#This Row],[Name]])</f>
        <v>Ronald Ross</v>
      </c>
      <c r="C467" s="43">
        <f>VLOOKUP(B467,Customer_Dim!B:C,2,0)</f>
        <v>28</v>
      </c>
      <c r="D467" s="43" t="str">
        <f t="shared" si="7"/>
        <v>Young</v>
      </c>
      <c r="E467" s="43" t="str" cm="1">
        <f t="array" ref="E467:G467">_xlfn.XLOOKUP(A467,Table3[Customer_ID],Table3[[Gender]:[State]])</f>
        <v>Female</v>
      </c>
      <c r="F467" s="43" t="str">
        <v>Hartmanside</v>
      </c>
      <c r="G467" s="43" t="str">
        <v>North Carolina</v>
      </c>
      <c r="H467" s="43" t="str">
        <f>IF(OR(Customer_Dim!G467="usa",G467="United States of America"),"USA")</f>
        <v>USA</v>
      </c>
      <c r="I467" s="43" t="str">
        <f>VLOOKUP(A467,Customer_Dim!A:H,8,0)</f>
        <v>Silver</v>
      </c>
    </row>
    <row r="468" spans="1:9" x14ac:dyDescent="0.3">
      <c r="A468" s="41" t="s">
        <v>1437</v>
      </c>
      <c r="B468" s="42" t="str">
        <f>PROPER(Table3[[#This Row],[Name]])</f>
        <v>Cynthia Parrish</v>
      </c>
      <c r="C468" s="43">
        <f>VLOOKUP(B468,Customer_Dim!B:C,2,0)</f>
        <v>18</v>
      </c>
      <c r="D468" s="43" t="str">
        <f t="shared" si="7"/>
        <v>Young</v>
      </c>
      <c r="E468" s="43" t="str" cm="1">
        <f t="array" ref="E468:G468">_xlfn.XLOOKUP(A468,Table3[Customer_ID],Table3[[Gender]:[State]])</f>
        <v>Male</v>
      </c>
      <c r="F468" s="43" t="str">
        <v>Espinozaberg</v>
      </c>
      <c r="G468" s="43" t="str">
        <v>Minnesota</v>
      </c>
      <c r="H468" s="43" t="str">
        <f>IF(OR(Customer_Dim!G468="usa",G468="United States of America"),"USA")</f>
        <v>USA</v>
      </c>
      <c r="I468" s="43" t="str">
        <f>VLOOKUP(A468,Customer_Dim!A:H,8,0)</f>
        <v>Silver</v>
      </c>
    </row>
    <row r="469" spans="1:9" x14ac:dyDescent="0.3">
      <c r="A469" s="41" t="s">
        <v>1440</v>
      </c>
      <c r="B469" s="42" t="str">
        <f>PROPER(Table3[[#This Row],[Name]])</f>
        <v>Michael Foley</v>
      </c>
      <c r="C469" s="43">
        <f>VLOOKUP(B469,Customer_Dim!B:C,2,0)</f>
        <v>63</v>
      </c>
      <c r="D469" s="43" t="str">
        <f t="shared" si="7"/>
        <v>Senior</v>
      </c>
      <c r="E469" s="43" t="str" cm="1">
        <f t="array" ref="E469:G469">_xlfn.XLOOKUP(A469,Table3[Customer_ID],Table3[[Gender]:[State]])</f>
        <v>Female</v>
      </c>
      <c r="F469" s="43" t="str">
        <v>Oneillfurt</v>
      </c>
      <c r="G469" s="43" t="str">
        <v>Vermont</v>
      </c>
      <c r="H469" s="43" t="str">
        <f>IF(OR(Customer_Dim!G469="usa",G469="United States of America"),"USA")</f>
        <v>USA</v>
      </c>
      <c r="I469" s="43" t="str">
        <f>VLOOKUP(A469,Customer_Dim!A:H,8,0)</f>
        <v>Gold</v>
      </c>
    </row>
    <row r="470" spans="1:9" x14ac:dyDescent="0.3">
      <c r="A470" s="41" t="s">
        <v>1443</v>
      </c>
      <c r="B470" s="42" t="str">
        <f>PROPER(Table3[[#This Row],[Name]])</f>
        <v>Gregory Curtis</v>
      </c>
      <c r="C470" s="43">
        <f>VLOOKUP(B470,Customer_Dim!B:C,2,0)</f>
        <v>45</v>
      </c>
      <c r="D470" s="43" t="str">
        <f t="shared" si="7"/>
        <v>Middle-Aged</v>
      </c>
      <c r="E470" s="43" t="str" cm="1">
        <f t="array" ref="E470:G470">_xlfn.XLOOKUP(A470,Table3[Customer_ID],Table3[[Gender]:[State]])</f>
        <v>Male</v>
      </c>
      <c r="F470" s="43" t="str">
        <v>Bergermouth</v>
      </c>
      <c r="G470" s="43" t="str">
        <v>Vermont</v>
      </c>
      <c r="H470" s="43" t="str">
        <f>IF(OR(Customer_Dim!G470="usa",G470="United States of America"),"USA")</f>
        <v>USA</v>
      </c>
      <c r="I470" s="43" t="str">
        <f>VLOOKUP(A470,Customer_Dim!A:H,8,0)</f>
        <v>Bronze</v>
      </c>
    </row>
    <row r="471" spans="1:9" x14ac:dyDescent="0.3">
      <c r="A471" s="41" t="s">
        <v>1446</v>
      </c>
      <c r="B471" s="42" t="str">
        <f>PROPER(Table3[[#This Row],[Name]])</f>
        <v>James Foster</v>
      </c>
      <c r="C471" s="43">
        <f>VLOOKUP(B471,Customer_Dim!B:C,2,0)</f>
        <v>19</v>
      </c>
      <c r="D471" s="43" t="str">
        <f t="shared" si="7"/>
        <v>Young</v>
      </c>
      <c r="E471" s="43" t="str" cm="1">
        <f t="array" ref="E471:G471">_xlfn.XLOOKUP(A471,Table3[Customer_ID],Table3[[Gender]:[State]])</f>
        <v>Male</v>
      </c>
      <c r="F471" s="43" t="str">
        <v>East Audrey</v>
      </c>
      <c r="G471" s="43" t="str">
        <v>Utah</v>
      </c>
      <c r="H471" s="43" t="str">
        <f>IF(OR(Customer_Dim!G471="usa",G471="United States of America"),"USA")</f>
        <v>USA</v>
      </c>
      <c r="I471" s="43" t="str">
        <f>VLOOKUP(A471,Customer_Dim!A:H,8,0)</f>
        <v>Gold</v>
      </c>
    </row>
    <row r="472" spans="1:9" x14ac:dyDescent="0.3">
      <c r="A472" s="41" t="s">
        <v>1449</v>
      </c>
      <c r="B472" s="42" t="str">
        <f>PROPER(Table3[[#This Row],[Name]])</f>
        <v>Manuel Fisher</v>
      </c>
      <c r="C472" s="43">
        <f>VLOOKUP(B472,Customer_Dim!B:C,2,0)</f>
        <v>21</v>
      </c>
      <c r="D472" s="43" t="str">
        <f t="shared" si="7"/>
        <v>Young</v>
      </c>
      <c r="E472" s="43" t="str" cm="1">
        <f t="array" ref="E472:G472">_xlfn.XLOOKUP(A472,Table3[Customer_ID],Table3[[Gender]:[State]])</f>
        <v>Female</v>
      </c>
      <c r="F472" s="43" t="str">
        <v>Kanebury</v>
      </c>
      <c r="G472" s="43" t="str">
        <v>New Hampshire</v>
      </c>
      <c r="H472" s="43" t="str">
        <f>IF(OR(Customer_Dim!G472="usa",G472="United States of America"),"USA")</f>
        <v>USA</v>
      </c>
      <c r="I472" s="43" t="str">
        <f>VLOOKUP(A472,Customer_Dim!A:H,8,0)</f>
        <v>Gold</v>
      </c>
    </row>
    <row r="473" spans="1:9" x14ac:dyDescent="0.3">
      <c r="A473" s="41" t="s">
        <v>1452</v>
      </c>
      <c r="B473" s="42" t="str">
        <f>PROPER(Table3[[#This Row],[Name]])</f>
        <v>Debra Mccullough</v>
      </c>
      <c r="C473" s="43">
        <f>VLOOKUP(B473,Customer_Dim!B:C,2,0)</f>
        <v>42</v>
      </c>
      <c r="D473" s="43" t="str">
        <f t="shared" si="7"/>
        <v>Middle-Aged</v>
      </c>
      <c r="E473" s="43" t="str" cm="1">
        <f t="array" ref="E473:G473">_xlfn.XLOOKUP(A473,Table3[Customer_ID],Table3[[Gender]:[State]])</f>
        <v>Male</v>
      </c>
      <c r="F473" s="43" t="str">
        <v>Mcdanielfurt</v>
      </c>
      <c r="G473" s="43" t="str">
        <v>Montana</v>
      </c>
      <c r="H473" s="43" t="str">
        <f>IF(OR(Customer_Dim!G473="usa",G473="United States of America"),"USA")</f>
        <v>USA</v>
      </c>
      <c r="I473" s="43" t="str">
        <f>VLOOKUP(A473,Customer_Dim!A:H,8,0)</f>
        <v>Platinum</v>
      </c>
    </row>
    <row r="474" spans="1:9" x14ac:dyDescent="0.3">
      <c r="A474" s="41" t="s">
        <v>1455</v>
      </c>
      <c r="B474" s="42" t="str">
        <f>PROPER(Table3[[#This Row],[Name]])</f>
        <v>Philip Mendoza</v>
      </c>
      <c r="C474" s="43">
        <f>VLOOKUP(B474,Customer_Dim!B:C,2,0)</f>
        <v>42</v>
      </c>
      <c r="D474" s="43" t="str">
        <f t="shared" si="7"/>
        <v>Middle-Aged</v>
      </c>
      <c r="E474" s="43" t="str" cm="1">
        <f t="array" ref="E474:G474">_xlfn.XLOOKUP(A474,Table3[Customer_ID],Table3[[Gender]:[State]])</f>
        <v>Male</v>
      </c>
      <c r="F474" s="43" t="str">
        <v>Tylermouth</v>
      </c>
      <c r="G474" s="43" t="str">
        <v>Massachusetts</v>
      </c>
      <c r="H474" s="43" t="str">
        <f>IF(OR(Customer_Dim!G474="usa",G474="United States of America"),"USA")</f>
        <v>USA</v>
      </c>
      <c r="I474" s="43" t="str">
        <f>VLOOKUP(A474,Customer_Dim!A:H,8,0)</f>
        <v>Silver</v>
      </c>
    </row>
    <row r="475" spans="1:9" x14ac:dyDescent="0.3">
      <c r="A475" s="41" t="s">
        <v>1458</v>
      </c>
      <c r="B475" s="42" t="str">
        <f>PROPER(Table3[[#This Row],[Name]])</f>
        <v>Laura Mathews</v>
      </c>
      <c r="C475" s="43">
        <f>VLOOKUP(B475,Customer_Dim!B:C,2,0)</f>
        <v>53</v>
      </c>
      <c r="D475" s="43" t="str">
        <f t="shared" si="7"/>
        <v>Senior</v>
      </c>
      <c r="E475" s="43" t="str" cm="1">
        <f t="array" ref="E475:G475">_xlfn.XLOOKUP(A475,Table3[Customer_ID],Table3[[Gender]:[State]])</f>
        <v>Male</v>
      </c>
      <c r="F475" s="43" t="str">
        <v>Chambersfurt</v>
      </c>
      <c r="G475" s="43" t="str">
        <v>Wisconsin</v>
      </c>
      <c r="H475" s="43" t="str">
        <f>IF(OR(Customer_Dim!G475="usa",G475="United States of America"),"USA")</f>
        <v>USA</v>
      </c>
      <c r="I475" s="43" t="str">
        <f>VLOOKUP(A475,Customer_Dim!A:H,8,0)</f>
        <v>Bronze</v>
      </c>
    </row>
    <row r="476" spans="1:9" x14ac:dyDescent="0.3">
      <c r="A476" s="41" t="s">
        <v>1461</v>
      </c>
      <c r="B476" s="42" t="str">
        <f>PROPER(Table3[[#This Row],[Name]])</f>
        <v>Joshua Howard</v>
      </c>
      <c r="C476" s="43">
        <f>VLOOKUP(B476,Customer_Dim!B:C,2,0)</f>
        <v>32</v>
      </c>
      <c r="D476" s="43" t="str">
        <f t="shared" si="7"/>
        <v>Middle-Aged</v>
      </c>
      <c r="E476" s="43" t="str" cm="1">
        <f t="array" ref="E476:G476">_xlfn.XLOOKUP(A476,Table3[Customer_ID],Table3[[Gender]:[State]])</f>
        <v>Female</v>
      </c>
      <c r="F476" s="43" t="str">
        <v>East Christopherhaven</v>
      </c>
      <c r="G476" s="43" t="str">
        <v>South Dakota</v>
      </c>
      <c r="H476" s="43" t="str">
        <f>IF(OR(Customer_Dim!G476="usa",G476="United States of America"),"USA")</f>
        <v>USA</v>
      </c>
      <c r="I476" s="43" t="str">
        <f>VLOOKUP(A476,Customer_Dim!A:H,8,0)</f>
        <v>Platinum</v>
      </c>
    </row>
    <row r="477" spans="1:9" x14ac:dyDescent="0.3">
      <c r="A477" s="41" t="s">
        <v>1464</v>
      </c>
      <c r="B477" s="42" t="str">
        <f>PROPER(Table3[[#This Row],[Name]])</f>
        <v>Barbara Berry</v>
      </c>
      <c r="C477" s="43">
        <f>VLOOKUP(B477,Customer_Dim!B:C,2,0)</f>
        <v>18</v>
      </c>
      <c r="D477" s="43" t="str">
        <f t="shared" si="7"/>
        <v>Young</v>
      </c>
      <c r="E477" s="43" t="str" cm="1">
        <f t="array" ref="E477:G477">_xlfn.XLOOKUP(A477,Table3[Customer_ID],Table3[[Gender]:[State]])</f>
        <v>Female</v>
      </c>
      <c r="F477" s="43" t="str">
        <v>Lake Michael</v>
      </c>
      <c r="G477" s="43" t="str">
        <v>Vermont</v>
      </c>
      <c r="H477" s="43" t="str">
        <f>IF(OR(Customer_Dim!G477="usa",G477="United States of America"),"USA")</f>
        <v>USA</v>
      </c>
      <c r="I477" s="43" t="str">
        <f>VLOOKUP(A477,Customer_Dim!A:H,8,0)</f>
        <v>Platinum</v>
      </c>
    </row>
    <row r="478" spans="1:9" x14ac:dyDescent="0.3">
      <c r="A478" s="41" t="s">
        <v>1466</v>
      </c>
      <c r="B478" s="42" t="str">
        <f>PROPER(Table3[[#This Row],[Name]])</f>
        <v>Elizabeth Foster</v>
      </c>
      <c r="C478" s="43">
        <f>VLOOKUP(B478,Customer_Dim!B:C,2,0)</f>
        <v>33</v>
      </c>
      <c r="D478" s="43" t="str">
        <f t="shared" si="7"/>
        <v>Middle-Aged</v>
      </c>
      <c r="E478" s="43" t="str" cm="1">
        <f t="array" ref="E478:G478">_xlfn.XLOOKUP(A478,Table3[Customer_ID],Table3[[Gender]:[State]])</f>
        <v>Female</v>
      </c>
      <c r="F478" s="43" t="str">
        <v>Anthonymouth</v>
      </c>
      <c r="G478" s="43" t="str">
        <v>Oklahoma</v>
      </c>
      <c r="H478" s="43" t="str">
        <f>IF(OR(Customer_Dim!G478="usa",G478="United States of America"),"USA")</f>
        <v>USA</v>
      </c>
      <c r="I478" s="43" t="str">
        <f>VLOOKUP(A478,Customer_Dim!A:H,8,0)</f>
        <v>Gold</v>
      </c>
    </row>
    <row r="479" spans="1:9" x14ac:dyDescent="0.3">
      <c r="A479" s="41" t="s">
        <v>1469</v>
      </c>
      <c r="B479" s="42" t="str">
        <f>PROPER(Table3[[#This Row],[Name]])</f>
        <v>Andrea Harris</v>
      </c>
      <c r="C479" s="43">
        <f>VLOOKUP(B479,Customer_Dim!B:C,2,0)</f>
        <v>41</v>
      </c>
      <c r="D479" s="43" t="str">
        <f t="shared" si="7"/>
        <v>Middle-Aged</v>
      </c>
      <c r="E479" s="43" t="str" cm="1">
        <f t="array" ref="E479:G479">_xlfn.XLOOKUP(A479,Table3[Customer_ID],Table3[[Gender]:[State]])</f>
        <v>Female</v>
      </c>
      <c r="F479" s="43" t="str">
        <v>West Kelseyberg</v>
      </c>
      <c r="G479" s="43" t="str">
        <v>Kansas</v>
      </c>
      <c r="H479" s="43" t="str">
        <f>IF(OR(Customer_Dim!G479="usa",G479="United States of America"),"USA")</f>
        <v>USA</v>
      </c>
      <c r="I479" s="43" t="str">
        <f>VLOOKUP(A479,Customer_Dim!A:H,8,0)</f>
        <v>Platinum</v>
      </c>
    </row>
    <row r="480" spans="1:9" x14ac:dyDescent="0.3">
      <c r="A480" s="41" t="s">
        <v>1472</v>
      </c>
      <c r="B480" s="42" t="str">
        <f>PROPER(Table3[[#This Row],[Name]])</f>
        <v>Earl Smith Dds</v>
      </c>
      <c r="C480" s="43">
        <f>VLOOKUP(B480,Customer_Dim!B:C,2,0)</f>
        <v>59</v>
      </c>
      <c r="D480" s="43" t="str">
        <f t="shared" si="7"/>
        <v>Senior</v>
      </c>
      <c r="E480" s="43" t="str" cm="1">
        <f t="array" ref="E480:G480">_xlfn.XLOOKUP(A480,Table3[Customer_ID],Table3[[Gender]:[State]])</f>
        <v>Male</v>
      </c>
      <c r="F480" s="43" t="str">
        <v>West Sarah</v>
      </c>
      <c r="G480" s="43" t="str">
        <v>South Dakota</v>
      </c>
      <c r="H480" s="43" t="str">
        <f>IF(OR(Customer_Dim!G480="usa",G480="United States of America"),"USA")</f>
        <v>USA</v>
      </c>
      <c r="I480" s="43" t="str">
        <f>VLOOKUP(A480,Customer_Dim!A:H,8,0)</f>
        <v>Gold</v>
      </c>
    </row>
    <row r="481" spans="1:9" x14ac:dyDescent="0.3">
      <c r="A481" s="41" t="s">
        <v>1475</v>
      </c>
      <c r="B481" s="42" t="str">
        <f>PROPER(Table3[[#This Row],[Name]])</f>
        <v>Dylan Gutierrez</v>
      </c>
      <c r="C481" s="43">
        <f>VLOOKUP(B481,Customer_Dim!B:C,2,0)</f>
        <v>40</v>
      </c>
      <c r="D481" s="43" t="str">
        <f t="shared" si="7"/>
        <v>Middle-Aged</v>
      </c>
      <c r="E481" s="43" t="str" cm="1">
        <f t="array" ref="E481:G481">_xlfn.XLOOKUP(A481,Table3[Customer_ID],Table3[[Gender]:[State]])</f>
        <v>Male</v>
      </c>
      <c r="F481" s="43" t="str">
        <v>New Jamesview</v>
      </c>
      <c r="G481" s="43" t="str">
        <v>West Virginia</v>
      </c>
      <c r="H481" s="43" t="str">
        <f>IF(OR(Customer_Dim!G481="usa",G481="United States of America"),"USA")</f>
        <v>USA</v>
      </c>
      <c r="I481" s="43" t="str">
        <f>VLOOKUP(A481,Customer_Dim!A:H,8,0)</f>
        <v>Bronze</v>
      </c>
    </row>
    <row r="482" spans="1:9" x14ac:dyDescent="0.3">
      <c r="A482" s="41" t="s">
        <v>1478</v>
      </c>
      <c r="B482" s="42" t="str">
        <f>PROPER(Table3[[#This Row],[Name]])</f>
        <v>Jordan Medina</v>
      </c>
      <c r="C482" s="43">
        <f>VLOOKUP(B482,Customer_Dim!B:C,2,0)</f>
        <v>33</v>
      </c>
      <c r="D482" s="43" t="str">
        <f t="shared" si="7"/>
        <v>Middle-Aged</v>
      </c>
      <c r="E482" s="43" t="str" cm="1">
        <f t="array" ref="E482:G482">_xlfn.XLOOKUP(A482,Table3[Customer_ID],Table3[[Gender]:[State]])</f>
        <v>Male</v>
      </c>
      <c r="F482" s="43" t="str">
        <v>Robinchester</v>
      </c>
      <c r="G482" s="43" t="str">
        <v>Florida</v>
      </c>
      <c r="H482" s="43" t="str">
        <f>IF(OR(Customer_Dim!G482="usa",G482="United States of America"),"USA")</f>
        <v>USA</v>
      </c>
      <c r="I482" s="43" t="str">
        <f>VLOOKUP(A482,Customer_Dim!A:H,8,0)</f>
        <v>Bronze</v>
      </c>
    </row>
    <row r="483" spans="1:9" x14ac:dyDescent="0.3">
      <c r="A483" s="41" t="s">
        <v>1481</v>
      </c>
      <c r="B483" s="42" t="str">
        <f>PROPER(Table3[[#This Row],[Name]])</f>
        <v>Bryan Tran</v>
      </c>
      <c r="C483" s="43">
        <f>VLOOKUP(B483,Customer_Dim!B:C,2,0)</f>
        <v>21</v>
      </c>
      <c r="D483" s="43" t="str">
        <f t="shared" si="7"/>
        <v>Young</v>
      </c>
      <c r="E483" s="43" t="str" cm="1">
        <f t="array" ref="E483:G483">_xlfn.XLOOKUP(A483,Table3[Customer_ID],Table3[[Gender]:[State]])</f>
        <v>Male</v>
      </c>
      <c r="F483" s="43" t="str">
        <v>Kelseybury</v>
      </c>
      <c r="G483" s="43" t="str">
        <v>Georgia</v>
      </c>
      <c r="H483" s="43" t="str">
        <f>IF(OR(Customer_Dim!G483="usa",G483="United States of America"),"USA")</f>
        <v>USA</v>
      </c>
      <c r="I483" s="43" t="str">
        <f>VLOOKUP(A483,Customer_Dim!A:H,8,0)</f>
        <v>Gold</v>
      </c>
    </row>
    <row r="484" spans="1:9" x14ac:dyDescent="0.3">
      <c r="A484" s="41" t="s">
        <v>1484</v>
      </c>
      <c r="B484" s="42" t="str">
        <f>PROPER(Table3[[#This Row],[Name]])</f>
        <v>Sheri Joyce</v>
      </c>
      <c r="C484" s="43">
        <f>VLOOKUP(B484,Customer_Dim!B:C,2,0)</f>
        <v>26</v>
      </c>
      <c r="D484" s="43" t="str">
        <f t="shared" si="7"/>
        <v>Young</v>
      </c>
      <c r="E484" s="43" t="str" cm="1">
        <f t="array" ref="E484:G484">_xlfn.XLOOKUP(A484,Table3[Customer_ID],Table3[[Gender]:[State]])</f>
        <v>Male</v>
      </c>
      <c r="F484" s="43" t="str">
        <v>West Tylerfort</v>
      </c>
      <c r="G484" s="43" t="str">
        <v>Kentucky</v>
      </c>
      <c r="H484" s="43" t="str">
        <f>IF(OR(Customer_Dim!G484="usa",G484="United States of America"),"USA")</f>
        <v>USA</v>
      </c>
      <c r="I484" s="43" t="str">
        <f>VLOOKUP(A484,Customer_Dim!A:H,8,0)</f>
        <v>Platinum</v>
      </c>
    </row>
    <row r="485" spans="1:9" x14ac:dyDescent="0.3">
      <c r="A485" s="41" t="s">
        <v>1487</v>
      </c>
      <c r="B485" s="42" t="str">
        <f>PROPER(Table3[[#This Row],[Name]])</f>
        <v>Sarah Smith</v>
      </c>
      <c r="C485" s="43">
        <f>VLOOKUP(B485,Customer_Dim!B:C,2,0)</f>
        <v>55</v>
      </c>
      <c r="D485" s="43" t="str">
        <f t="shared" si="7"/>
        <v>Senior</v>
      </c>
      <c r="E485" s="43" t="str" cm="1">
        <f t="array" ref="E485:G485">_xlfn.XLOOKUP(A485,Table3[Customer_ID],Table3[[Gender]:[State]])</f>
        <v>Male</v>
      </c>
      <c r="F485" s="43" t="str">
        <v>East Rodney</v>
      </c>
      <c r="G485" s="43" t="str">
        <v>Nevada</v>
      </c>
      <c r="H485" s="43" t="str">
        <f>IF(OR(Customer_Dim!G485="usa",G485="United States of America"),"USA")</f>
        <v>USA</v>
      </c>
      <c r="I485" s="43" t="str">
        <f>VLOOKUP(A485,Customer_Dim!A:H,8,0)</f>
        <v>Gold</v>
      </c>
    </row>
    <row r="486" spans="1:9" x14ac:dyDescent="0.3">
      <c r="A486" s="41" t="s">
        <v>1489</v>
      </c>
      <c r="B486" s="42" t="str">
        <f>PROPER(Table3[[#This Row],[Name]])</f>
        <v>Jessica Castro</v>
      </c>
      <c r="C486" s="43">
        <f>VLOOKUP(B486,Customer_Dim!B:C,2,0)</f>
        <v>32</v>
      </c>
      <c r="D486" s="43" t="str">
        <f t="shared" si="7"/>
        <v>Middle-Aged</v>
      </c>
      <c r="E486" s="43" t="str" cm="1">
        <f t="array" ref="E486:G486">_xlfn.XLOOKUP(A486,Table3[Customer_ID],Table3[[Gender]:[State]])</f>
        <v>Male</v>
      </c>
      <c r="F486" s="43" t="str">
        <v>West Markton</v>
      </c>
      <c r="G486" s="43" t="str">
        <v>Massachusetts</v>
      </c>
      <c r="H486" s="43" t="str">
        <f>IF(OR(Customer_Dim!G486="usa",G486="United States of America"),"USA")</f>
        <v>USA</v>
      </c>
      <c r="I486" s="43" t="str">
        <f>VLOOKUP(A486,Customer_Dim!A:H,8,0)</f>
        <v>Bronze</v>
      </c>
    </row>
    <row r="487" spans="1:9" x14ac:dyDescent="0.3">
      <c r="A487" s="41" t="s">
        <v>1492</v>
      </c>
      <c r="B487" s="42" t="str">
        <f>PROPER(Table3[[#This Row],[Name]])</f>
        <v>Sara Ingram</v>
      </c>
      <c r="C487" s="43">
        <f>VLOOKUP(B487,Customer_Dim!B:C,2,0)</f>
        <v>46</v>
      </c>
      <c r="D487" s="43" t="str">
        <f t="shared" si="7"/>
        <v>Middle-Aged</v>
      </c>
      <c r="E487" s="43" t="str" cm="1">
        <f t="array" ref="E487:G487">_xlfn.XLOOKUP(A487,Table3[Customer_ID],Table3[[Gender]:[State]])</f>
        <v>Female</v>
      </c>
      <c r="F487" s="43" t="str">
        <v>East Dillonview</v>
      </c>
      <c r="G487" s="43" t="str">
        <v>Virginia</v>
      </c>
      <c r="H487" s="43" t="str">
        <f>IF(OR(Customer_Dim!G487="usa",G487="United States of America"),"USA")</f>
        <v>USA</v>
      </c>
      <c r="I487" s="43" t="str">
        <f>VLOOKUP(A487,Customer_Dim!A:H,8,0)</f>
        <v>Bronze</v>
      </c>
    </row>
    <row r="488" spans="1:9" x14ac:dyDescent="0.3">
      <c r="A488" s="41" t="s">
        <v>1495</v>
      </c>
      <c r="B488" s="42" t="str">
        <f>PROPER(Table3[[#This Row],[Name]])</f>
        <v>Eric Lee</v>
      </c>
      <c r="C488" s="43">
        <f>VLOOKUP(B488,Customer_Dim!B:C,2,0)</f>
        <v>22</v>
      </c>
      <c r="D488" s="43" t="str">
        <f t="shared" si="7"/>
        <v>Young</v>
      </c>
      <c r="E488" s="43" t="str" cm="1">
        <f t="array" ref="E488:G488">_xlfn.XLOOKUP(A488,Table3[Customer_ID],Table3[[Gender]:[State]])</f>
        <v>Female</v>
      </c>
      <c r="F488" s="43" t="str">
        <v>Lake April</v>
      </c>
      <c r="G488" s="43" t="str">
        <v>Vermont</v>
      </c>
      <c r="H488" s="43" t="str">
        <f>IF(OR(Customer_Dim!G488="usa",G488="United States of America"),"USA")</f>
        <v>USA</v>
      </c>
      <c r="I488" s="43" t="str">
        <f>VLOOKUP(A488,Customer_Dim!A:H,8,0)</f>
        <v>Bronze</v>
      </c>
    </row>
    <row r="489" spans="1:9" x14ac:dyDescent="0.3">
      <c r="A489" s="41" t="s">
        <v>1498</v>
      </c>
      <c r="B489" s="42" t="str">
        <f>PROPER(Table3[[#This Row],[Name]])</f>
        <v>Amanda Medina</v>
      </c>
      <c r="C489" s="43">
        <f>VLOOKUP(B489,Customer_Dim!B:C,2,0)</f>
        <v>36</v>
      </c>
      <c r="D489" s="43" t="str">
        <f t="shared" si="7"/>
        <v>Middle-Aged</v>
      </c>
      <c r="E489" s="43" t="str" cm="1">
        <f t="array" ref="E489:G489">_xlfn.XLOOKUP(A489,Table3[Customer_ID],Table3[[Gender]:[State]])</f>
        <v>Female</v>
      </c>
      <c r="F489" s="43" t="str">
        <v>East Patriciastad</v>
      </c>
      <c r="G489" s="43" t="str">
        <v>Utah</v>
      </c>
      <c r="H489" s="43" t="str">
        <f>IF(OR(Customer_Dim!G489="usa",G489="United States of America"),"USA")</f>
        <v>USA</v>
      </c>
      <c r="I489" s="43" t="str">
        <f>VLOOKUP(A489,Customer_Dim!A:H,8,0)</f>
        <v>Platinum</v>
      </c>
    </row>
    <row r="490" spans="1:9" x14ac:dyDescent="0.3">
      <c r="A490" s="41" t="s">
        <v>1501</v>
      </c>
      <c r="B490" s="42" t="str">
        <f>PROPER(Table3[[#This Row],[Name]])</f>
        <v>Zachary Andrade</v>
      </c>
      <c r="C490" s="43">
        <f>VLOOKUP(B490,Customer_Dim!B:C,2,0)</f>
        <v>23</v>
      </c>
      <c r="D490" s="43" t="str">
        <f t="shared" si="7"/>
        <v>Young</v>
      </c>
      <c r="E490" s="43" t="str" cm="1">
        <f t="array" ref="E490:G490">_xlfn.XLOOKUP(A490,Table3[Customer_ID],Table3[[Gender]:[State]])</f>
        <v>Female</v>
      </c>
      <c r="F490" s="43" t="str">
        <v>South Davidport</v>
      </c>
      <c r="G490" s="43" t="str">
        <v>California</v>
      </c>
      <c r="H490" s="43" t="str">
        <f>IF(OR(Customer_Dim!G490="usa",G490="United States of America"),"USA")</f>
        <v>USA</v>
      </c>
      <c r="I490" s="43" t="str">
        <f>VLOOKUP(A490,Customer_Dim!A:H,8,0)</f>
        <v>Platinum</v>
      </c>
    </row>
    <row r="491" spans="1:9" x14ac:dyDescent="0.3">
      <c r="A491" s="41" t="s">
        <v>1504</v>
      </c>
      <c r="B491" s="42" t="str">
        <f>PROPER(Table3[[#This Row],[Name]])</f>
        <v>Melinda Thomas</v>
      </c>
      <c r="C491" s="43">
        <f>VLOOKUP(B491,Customer_Dim!B:C,2,0)</f>
        <v>42</v>
      </c>
      <c r="D491" s="43" t="str">
        <f t="shared" si="7"/>
        <v>Middle-Aged</v>
      </c>
      <c r="E491" s="43" t="str" cm="1">
        <f t="array" ref="E491:G491">_xlfn.XLOOKUP(A491,Table3[Customer_ID],Table3[[Gender]:[State]])</f>
        <v>Female</v>
      </c>
      <c r="F491" s="43" t="str">
        <v>Lake Elizabethside</v>
      </c>
      <c r="G491" s="43" t="str">
        <v>Indiana</v>
      </c>
      <c r="H491" s="43" t="str">
        <f>IF(OR(Customer_Dim!G491="usa",G491="United States of America"),"USA")</f>
        <v>USA</v>
      </c>
      <c r="I491" s="43" t="str">
        <f>VLOOKUP(A491,Customer_Dim!A:H,8,0)</f>
        <v>Silver</v>
      </c>
    </row>
    <row r="492" spans="1:9" x14ac:dyDescent="0.3">
      <c r="A492" s="41" t="s">
        <v>1507</v>
      </c>
      <c r="B492" s="42" t="str">
        <f>PROPER(Table3[[#This Row],[Name]])</f>
        <v>Scott Harris</v>
      </c>
      <c r="C492" s="43">
        <f>VLOOKUP(B492,Customer_Dim!B:C,2,0)</f>
        <v>23</v>
      </c>
      <c r="D492" s="43" t="str">
        <f t="shared" si="7"/>
        <v>Young</v>
      </c>
      <c r="E492" s="43" t="str" cm="1">
        <f t="array" ref="E492:G492">_xlfn.XLOOKUP(A492,Table3[Customer_ID],Table3[[Gender]:[State]])</f>
        <v>Male</v>
      </c>
      <c r="F492" s="43" t="str">
        <v>North Nataliemouth</v>
      </c>
      <c r="G492" s="43" t="str">
        <v>Maryland</v>
      </c>
      <c r="H492" s="43" t="str">
        <f>IF(OR(Customer_Dim!G492="usa",G492="United States of America"),"USA")</f>
        <v>USA</v>
      </c>
      <c r="I492" s="43" t="str">
        <f>VLOOKUP(A492,Customer_Dim!A:H,8,0)</f>
        <v>Platinum</v>
      </c>
    </row>
    <row r="493" spans="1:9" x14ac:dyDescent="0.3">
      <c r="A493" s="41" t="s">
        <v>1510</v>
      </c>
      <c r="B493" s="42" t="str">
        <f>PROPER(Table3[[#This Row],[Name]])</f>
        <v>Kaitlin Brown</v>
      </c>
      <c r="C493" s="43">
        <f>VLOOKUP(B493,Customer_Dim!B:C,2,0)</f>
        <v>52</v>
      </c>
      <c r="D493" s="43" t="str">
        <f t="shared" si="7"/>
        <v>Senior</v>
      </c>
      <c r="E493" s="43" t="str" cm="1">
        <f t="array" ref="E493:G493">_xlfn.XLOOKUP(A493,Table3[Customer_ID],Table3[[Gender]:[State]])</f>
        <v>Female</v>
      </c>
      <c r="F493" s="43" t="str">
        <v>Kellyberg</v>
      </c>
      <c r="G493" s="43" t="str">
        <v>South Dakota</v>
      </c>
      <c r="H493" s="43" t="str">
        <f>IF(OR(Customer_Dim!G493="usa",G493="United States of America"),"USA")</f>
        <v>USA</v>
      </c>
      <c r="I493" s="43" t="str">
        <f>VLOOKUP(A493,Customer_Dim!A:H,8,0)</f>
        <v>Gold</v>
      </c>
    </row>
    <row r="494" spans="1:9" x14ac:dyDescent="0.3">
      <c r="A494" s="41" t="s">
        <v>1513</v>
      </c>
      <c r="B494" s="42" t="str">
        <f>PROPER(Table3[[#This Row],[Name]])</f>
        <v>Darrell Miller</v>
      </c>
      <c r="C494" s="43">
        <f>VLOOKUP(B494,Customer_Dim!B:C,2,0)</f>
        <v>59</v>
      </c>
      <c r="D494" s="43" t="str">
        <f t="shared" si="7"/>
        <v>Senior</v>
      </c>
      <c r="E494" s="43" t="str" cm="1">
        <f t="array" ref="E494:G494">_xlfn.XLOOKUP(A494,Table3[Customer_ID],Table3[[Gender]:[State]])</f>
        <v>Female</v>
      </c>
      <c r="F494" s="43" t="str">
        <v>Port Carol</v>
      </c>
      <c r="G494" s="43" t="str">
        <v>Florida</v>
      </c>
      <c r="H494" s="43" t="str">
        <f>IF(OR(Customer_Dim!G494="usa",G494="United States of America"),"USA")</f>
        <v>USA</v>
      </c>
      <c r="I494" s="43" t="str">
        <f>VLOOKUP(A494,Customer_Dim!A:H,8,0)</f>
        <v>Platinum</v>
      </c>
    </row>
    <row r="495" spans="1:9" x14ac:dyDescent="0.3">
      <c r="A495" s="41" t="s">
        <v>1516</v>
      </c>
      <c r="B495" s="42" t="str">
        <f>PROPER(Table3[[#This Row],[Name]])</f>
        <v>Amanda Powell</v>
      </c>
      <c r="C495" s="43">
        <f>VLOOKUP(B495,Customer_Dim!B:C,2,0)</f>
        <v>28</v>
      </c>
      <c r="D495" s="43" t="str">
        <f t="shared" si="7"/>
        <v>Young</v>
      </c>
      <c r="E495" s="43" t="str" cm="1">
        <f t="array" ref="E495:G495">_xlfn.XLOOKUP(A495,Table3[Customer_ID],Table3[[Gender]:[State]])</f>
        <v>Male</v>
      </c>
      <c r="F495" s="43" t="str">
        <v>South William</v>
      </c>
      <c r="G495" s="43" t="str">
        <v>Alabama</v>
      </c>
      <c r="H495" s="43" t="str">
        <f>IF(OR(Customer_Dim!G495="usa",G495="United States of America"),"USA")</f>
        <v>USA</v>
      </c>
      <c r="I495" s="43" t="str">
        <f>VLOOKUP(A495,Customer_Dim!A:H,8,0)</f>
        <v>Silver</v>
      </c>
    </row>
    <row r="496" spans="1:9" x14ac:dyDescent="0.3">
      <c r="A496" s="41" t="s">
        <v>1518</v>
      </c>
      <c r="B496" s="42" t="str">
        <f>PROPER(Table3[[#This Row],[Name]])</f>
        <v>Justin Lopez</v>
      </c>
      <c r="C496" s="43">
        <f>VLOOKUP(B496,Customer_Dim!B:C,2,0)</f>
        <v>21</v>
      </c>
      <c r="D496" s="43" t="str">
        <f t="shared" si="7"/>
        <v>Young</v>
      </c>
      <c r="E496" s="43" t="str" cm="1">
        <f t="array" ref="E496:G496">_xlfn.XLOOKUP(A496,Table3[Customer_ID],Table3[[Gender]:[State]])</f>
        <v>Male</v>
      </c>
      <c r="F496" s="43" t="str">
        <v>Port Cheryl</v>
      </c>
      <c r="G496" s="43" t="str">
        <v>Texas</v>
      </c>
      <c r="H496" s="43" t="str">
        <f>IF(OR(Customer_Dim!G496="usa",G496="United States of America"),"USA")</f>
        <v>USA</v>
      </c>
      <c r="I496" s="43" t="str">
        <f>VLOOKUP(A496,Customer_Dim!A:H,8,0)</f>
        <v>Gold</v>
      </c>
    </row>
    <row r="497" spans="1:9" x14ac:dyDescent="0.3">
      <c r="A497" s="41" t="s">
        <v>1521</v>
      </c>
      <c r="B497" s="42" t="str">
        <f>PROPER(Table3[[#This Row],[Name]])</f>
        <v>James Berger</v>
      </c>
      <c r="C497" s="43">
        <f>VLOOKUP(B497,Customer_Dim!B:C,2,0)</f>
        <v>23</v>
      </c>
      <c r="D497" s="43" t="str">
        <f t="shared" si="7"/>
        <v>Young</v>
      </c>
      <c r="E497" s="43" t="str" cm="1">
        <f t="array" ref="E497:G497">_xlfn.XLOOKUP(A497,Table3[Customer_ID],Table3[[Gender]:[State]])</f>
        <v>Female</v>
      </c>
      <c r="F497" s="43" t="str">
        <v>Bryanmouth</v>
      </c>
      <c r="G497" s="43" t="str">
        <v>Delaware</v>
      </c>
      <c r="H497" s="43" t="str">
        <f>IF(OR(Customer_Dim!G497="usa",G497="United States of America"),"USA")</f>
        <v>USA</v>
      </c>
      <c r="I497" s="43" t="str">
        <f>VLOOKUP(A497,Customer_Dim!A:H,8,0)</f>
        <v>Bronze</v>
      </c>
    </row>
    <row r="498" spans="1:9" x14ac:dyDescent="0.3">
      <c r="A498" s="41" t="s">
        <v>1524</v>
      </c>
      <c r="B498" s="42" t="str">
        <f>PROPER(Table3[[#This Row],[Name]])</f>
        <v>Christopher Ford</v>
      </c>
      <c r="C498" s="43">
        <f>VLOOKUP(B498,Customer_Dim!B:C,2,0)</f>
        <v>56</v>
      </c>
      <c r="D498" s="43" t="str">
        <f t="shared" si="7"/>
        <v>Senior</v>
      </c>
      <c r="E498" s="43" t="str" cm="1">
        <f t="array" ref="E498:G498">_xlfn.XLOOKUP(A498,Table3[Customer_ID],Table3[[Gender]:[State]])</f>
        <v>Male</v>
      </c>
      <c r="F498" s="43" t="str">
        <v>North Seanfurt</v>
      </c>
      <c r="G498" s="43" t="str">
        <v>Ohio</v>
      </c>
      <c r="H498" s="43" t="str">
        <f>IF(OR(Customer_Dim!G498="usa",G498="United States of America"),"USA")</f>
        <v>USA</v>
      </c>
      <c r="I498" s="43" t="str">
        <f>VLOOKUP(A498,Customer_Dim!A:H,8,0)</f>
        <v>Bronze</v>
      </c>
    </row>
    <row r="499" spans="1:9" x14ac:dyDescent="0.3">
      <c r="A499" s="41" t="s">
        <v>1527</v>
      </c>
      <c r="B499" s="42" t="str">
        <f>PROPER(Table3[[#This Row],[Name]])</f>
        <v>Sarah Marsh</v>
      </c>
      <c r="C499" s="43">
        <f>VLOOKUP(B499,Customer_Dim!B:C,2,0)</f>
        <v>47</v>
      </c>
      <c r="D499" s="43" t="str">
        <f t="shared" si="7"/>
        <v>Middle-Aged</v>
      </c>
      <c r="E499" s="43" t="str" cm="1">
        <f t="array" ref="E499:G499">_xlfn.XLOOKUP(A499,Table3[Customer_ID],Table3[[Gender]:[State]])</f>
        <v>Female</v>
      </c>
      <c r="F499" s="43" t="str">
        <v>Port William</v>
      </c>
      <c r="G499" s="43" t="str">
        <v>New York</v>
      </c>
      <c r="H499" s="43" t="str">
        <f>IF(OR(Customer_Dim!G499="usa",G499="United States of America"),"USA")</f>
        <v>USA</v>
      </c>
      <c r="I499" s="43" t="str">
        <f>VLOOKUP(A499,Customer_Dim!A:H,8,0)</f>
        <v>Gold</v>
      </c>
    </row>
    <row r="500" spans="1:9" x14ac:dyDescent="0.3">
      <c r="A500" s="41" t="s">
        <v>1530</v>
      </c>
      <c r="B500" s="42" t="str">
        <f>PROPER(Table3[[#This Row],[Name]])</f>
        <v>Traci Gonzalez</v>
      </c>
      <c r="C500" s="43">
        <f>VLOOKUP(B500,Customer_Dim!B:C,2,0)</f>
        <v>35</v>
      </c>
      <c r="D500" s="43" t="str">
        <f t="shared" si="7"/>
        <v>Middle-Aged</v>
      </c>
      <c r="E500" s="43" t="str" cm="1">
        <f t="array" ref="E500:G500">_xlfn.XLOOKUP(A500,Table3[Customer_ID],Table3[[Gender]:[State]])</f>
        <v>Male</v>
      </c>
      <c r="F500" s="43" t="str">
        <v>Snyderfurt</v>
      </c>
      <c r="G500" s="43" t="str">
        <v>New Mexico</v>
      </c>
      <c r="H500" s="43" t="str">
        <f>IF(OR(Customer_Dim!G500="usa",G500="United States of America"),"USA")</f>
        <v>USA</v>
      </c>
      <c r="I500" s="43" t="str">
        <f>VLOOKUP(A500,Customer_Dim!A:H,8,0)</f>
        <v>Silver</v>
      </c>
    </row>
    <row r="501" spans="1:9" x14ac:dyDescent="0.3">
      <c r="A501" s="41" t="s">
        <v>1533</v>
      </c>
      <c r="B501" s="42" t="str">
        <f>PROPER(Table3[[#This Row],[Name]])</f>
        <v>Philip Pennington</v>
      </c>
      <c r="C501" s="43">
        <f>VLOOKUP(B501,Customer_Dim!B:C,2,0)</f>
        <v>27</v>
      </c>
      <c r="D501" s="43" t="str">
        <f t="shared" si="7"/>
        <v>Young</v>
      </c>
      <c r="E501" s="43" t="str" cm="1">
        <f t="array" ref="E501:G501">_xlfn.XLOOKUP(A501,Table3[Customer_ID],Table3[[Gender]:[State]])</f>
        <v>Female</v>
      </c>
      <c r="F501" s="43" t="str">
        <v>East Valerieview</v>
      </c>
      <c r="G501" s="43" t="str">
        <v>Oregon</v>
      </c>
      <c r="H501" s="43" t="str">
        <f>IF(OR(Customer_Dim!G501="usa",G501="United States of America"),"USA")</f>
        <v>USA</v>
      </c>
      <c r="I501" s="43" t="str">
        <f>VLOOKUP(A501,Customer_Dim!A:H,8,0)</f>
        <v>Platinum</v>
      </c>
    </row>
  </sheetData>
  <autoFilter ref="A1:I501" xr:uid="{A386BBE4-4E1D-44DE-B328-A6554C45C55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2A0F-D3E6-426F-97C6-1BF98C69151E}">
  <sheetPr>
    <tabColor theme="6" tint="0.59999389629810485"/>
  </sheetPr>
  <dimension ref="A3:E10"/>
  <sheetViews>
    <sheetView workbookViewId="0">
      <selection activeCell="E18" sqref="E18"/>
    </sheetView>
  </sheetViews>
  <sheetFormatPr defaultRowHeight="14.4" x14ac:dyDescent="0.3"/>
  <cols>
    <col min="1" max="1" width="16.21875" bestFit="1" customWidth="1"/>
    <col min="2" max="2" width="17.77734375" bestFit="1" customWidth="1"/>
    <col min="3" max="3" width="10.33203125" bestFit="1" customWidth="1"/>
    <col min="4" max="4" width="10" bestFit="1" customWidth="1"/>
    <col min="5" max="6" width="11" bestFit="1" customWidth="1"/>
    <col min="7" max="11" width="8" bestFit="1" customWidth="1"/>
    <col min="12" max="12" width="7" bestFit="1" customWidth="1"/>
    <col min="13" max="13" width="8" bestFit="1" customWidth="1"/>
    <col min="14" max="14" width="7" bestFit="1" customWidth="1"/>
    <col min="15" max="23" width="8" bestFit="1" customWidth="1"/>
    <col min="24" max="24" width="7" bestFit="1" customWidth="1"/>
    <col min="25" max="25" width="8" bestFit="1" customWidth="1"/>
    <col min="26" max="26" width="6" bestFit="1" customWidth="1"/>
    <col min="27" max="27" width="7" bestFit="1" customWidth="1"/>
    <col min="28" max="29" width="8" bestFit="1" customWidth="1"/>
    <col min="30" max="30" width="7" bestFit="1" customWidth="1"/>
    <col min="31" max="32" width="8" bestFit="1" customWidth="1"/>
    <col min="33" max="33" width="7" bestFit="1" customWidth="1"/>
    <col min="34" max="35" width="9" bestFit="1" customWidth="1"/>
    <col min="36" max="36" width="8" bestFit="1" customWidth="1"/>
    <col min="37" max="41" width="9" bestFit="1" customWidth="1"/>
    <col min="42" max="42" width="6" bestFit="1" customWidth="1"/>
    <col min="43" max="52" width="9" bestFit="1" customWidth="1"/>
    <col min="53" max="53" width="8" bestFit="1" customWidth="1"/>
    <col min="54" max="55" width="9" bestFit="1" customWidth="1"/>
    <col min="56" max="56" width="8" bestFit="1" customWidth="1"/>
    <col min="57" max="57" width="9" bestFit="1" customWidth="1"/>
    <col min="58" max="58" width="7" bestFit="1" customWidth="1"/>
    <col min="59" max="61" width="9" bestFit="1" customWidth="1"/>
    <col min="62" max="62" width="8" bestFit="1" customWidth="1"/>
    <col min="63" max="64" width="9" bestFit="1" customWidth="1"/>
    <col min="65" max="66" width="8" bestFit="1" customWidth="1"/>
    <col min="67" max="69" width="9" bestFit="1" customWidth="1"/>
    <col min="70" max="70" width="8" bestFit="1" customWidth="1"/>
    <col min="71" max="72" width="9" bestFit="1" customWidth="1"/>
    <col min="73" max="73" width="8" bestFit="1" customWidth="1"/>
    <col min="74" max="74" width="9" bestFit="1" customWidth="1"/>
    <col min="75" max="75" width="7" bestFit="1" customWidth="1"/>
    <col min="76" max="76" width="8" bestFit="1" customWidth="1"/>
    <col min="77" max="81" width="9" bestFit="1" customWidth="1"/>
    <col min="82" max="83" width="8" bestFit="1" customWidth="1"/>
    <col min="84" max="84" width="9" bestFit="1" customWidth="1"/>
    <col min="85" max="85" width="8" bestFit="1" customWidth="1"/>
    <col min="86" max="86" width="9" bestFit="1" customWidth="1"/>
    <col min="87" max="88" width="8" bestFit="1" customWidth="1"/>
    <col min="89" max="90" width="9" bestFit="1" customWidth="1"/>
    <col min="91" max="91" width="8" bestFit="1" customWidth="1"/>
    <col min="92" max="99" width="9" bestFit="1" customWidth="1"/>
    <col min="100" max="100" width="8" bestFit="1" customWidth="1"/>
    <col min="101" max="103" width="9" bestFit="1" customWidth="1"/>
    <col min="104" max="105" width="8" bestFit="1" customWidth="1"/>
    <col min="106" max="107" width="9" bestFit="1" customWidth="1"/>
    <col min="108" max="109" width="8" bestFit="1" customWidth="1"/>
    <col min="110" max="120" width="9" bestFit="1" customWidth="1"/>
    <col min="121" max="121" width="7" bestFit="1" customWidth="1"/>
    <col min="122" max="128" width="9" bestFit="1" customWidth="1"/>
    <col min="129" max="130" width="8" bestFit="1" customWidth="1"/>
    <col min="131" max="131" width="9" bestFit="1" customWidth="1"/>
    <col min="132" max="132" width="8" bestFit="1" customWidth="1"/>
    <col min="133" max="134" width="9" bestFit="1" customWidth="1"/>
    <col min="135" max="135" width="8" bestFit="1" customWidth="1"/>
    <col min="136" max="140" width="9" bestFit="1" customWidth="1"/>
    <col min="141" max="141" width="8" bestFit="1" customWidth="1"/>
    <col min="142" max="145" width="9" bestFit="1" customWidth="1"/>
    <col min="146" max="147" width="8" bestFit="1" customWidth="1"/>
    <col min="148" max="148" width="9" bestFit="1" customWidth="1"/>
    <col min="149" max="149" width="8" bestFit="1" customWidth="1"/>
    <col min="150" max="150" width="9" bestFit="1" customWidth="1"/>
    <col min="151" max="151" width="8" bestFit="1" customWidth="1"/>
    <col min="152" max="152" width="9" bestFit="1" customWidth="1"/>
    <col min="153" max="154" width="8" bestFit="1" customWidth="1"/>
    <col min="155" max="157" width="9" bestFit="1" customWidth="1"/>
    <col min="158" max="158" width="8" bestFit="1" customWidth="1"/>
    <col min="159" max="162" width="9" bestFit="1" customWidth="1"/>
    <col min="163" max="163" width="8" bestFit="1" customWidth="1"/>
    <col min="164" max="168" width="9" bestFit="1" customWidth="1"/>
    <col min="169" max="169" width="8" bestFit="1" customWidth="1"/>
    <col min="170" max="173" width="9" bestFit="1" customWidth="1"/>
    <col min="174" max="174" width="8" bestFit="1" customWidth="1"/>
    <col min="175" max="176" width="9" bestFit="1" customWidth="1"/>
    <col min="177" max="178" width="8" bestFit="1" customWidth="1"/>
    <col min="179" max="184" width="9" bestFit="1" customWidth="1"/>
    <col min="185" max="185" width="8" bestFit="1" customWidth="1"/>
    <col min="186" max="200" width="9" bestFit="1" customWidth="1"/>
    <col min="201" max="201" width="6" bestFit="1" customWidth="1"/>
    <col min="202" max="203" width="8" bestFit="1" customWidth="1"/>
    <col min="204" max="206" width="9" bestFit="1" customWidth="1"/>
    <col min="207" max="207" width="8" bestFit="1" customWidth="1"/>
    <col min="208" max="210" width="9" bestFit="1" customWidth="1"/>
    <col min="211" max="211" width="7" bestFit="1" customWidth="1"/>
    <col min="212" max="215" width="9" bestFit="1" customWidth="1"/>
    <col min="216" max="217" width="8" bestFit="1" customWidth="1"/>
    <col min="218" max="218" width="9" bestFit="1" customWidth="1"/>
    <col min="219" max="219" width="8" bestFit="1" customWidth="1"/>
    <col min="220" max="222" width="9" bestFit="1" customWidth="1"/>
    <col min="223" max="223" width="7" bestFit="1" customWidth="1"/>
    <col min="224" max="227" width="9" bestFit="1" customWidth="1"/>
    <col min="228" max="228" width="8" bestFit="1" customWidth="1"/>
    <col min="229" max="234" width="9" bestFit="1" customWidth="1"/>
    <col min="235" max="235" width="8" bestFit="1" customWidth="1"/>
    <col min="236" max="244" width="9" bestFit="1" customWidth="1"/>
    <col min="245" max="245" width="8" bestFit="1" customWidth="1"/>
    <col min="246" max="247" width="9" bestFit="1" customWidth="1"/>
    <col min="248" max="250" width="8" bestFit="1" customWidth="1"/>
    <col min="251" max="253" width="9" bestFit="1" customWidth="1"/>
    <col min="254" max="254" width="8" bestFit="1" customWidth="1"/>
    <col min="255" max="255" width="9" bestFit="1" customWidth="1"/>
    <col min="256" max="257" width="8" bestFit="1" customWidth="1"/>
    <col min="258" max="258" width="9" bestFit="1" customWidth="1"/>
    <col min="259" max="259" width="8" bestFit="1" customWidth="1"/>
    <col min="260" max="261" width="9" bestFit="1" customWidth="1"/>
    <col min="262" max="264" width="8" bestFit="1" customWidth="1"/>
    <col min="265" max="266" width="9" bestFit="1" customWidth="1"/>
    <col min="267" max="267" width="8" bestFit="1" customWidth="1"/>
    <col min="268" max="276" width="9" bestFit="1" customWidth="1"/>
    <col min="277" max="277" width="6" bestFit="1" customWidth="1"/>
    <col min="278" max="279" width="9" bestFit="1" customWidth="1"/>
    <col min="280" max="280" width="6" bestFit="1" customWidth="1"/>
    <col min="281" max="282" width="9" bestFit="1" customWidth="1"/>
    <col min="283" max="283" width="7" bestFit="1" customWidth="1"/>
    <col min="284" max="290" width="9" bestFit="1" customWidth="1"/>
    <col min="291" max="292" width="7" bestFit="1" customWidth="1"/>
    <col min="293" max="293" width="9" bestFit="1" customWidth="1"/>
    <col min="294" max="294" width="8" bestFit="1" customWidth="1"/>
    <col min="295" max="295" width="9" bestFit="1" customWidth="1"/>
    <col min="296" max="296" width="8" bestFit="1" customWidth="1"/>
    <col min="297" max="301" width="9" bestFit="1" customWidth="1"/>
    <col min="302" max="302" width="8" bestFit="1" customWidth="1"/>
    <col min="303" max="303" width="7" bestFit="1" customWidth="1"/>
    <col min="304" max="304" width="9" bestFit="1" customWidth="1"/>
    <col min="305" max="306" width="8" bestFit="1" customWidth="1"/>
    <col min="307" max="311" width="9" bestFit="1" customWidth="1"/>
    <col min="312" max="312" width="8" bestFit="1" customWidth="1"/>
    <col min="313" max="313" width="9" bestFit="1" customWidth="1"/>
    <col min="314" max="314" width="8" bestFit="1" customWidth="1"/>
    <col min="315" max="315" width="9" bestFit="1" customWidth="1"/>
    <col min="316" max="316" width="8" bestFit="1" customWidth="1"/>
    <col min="317" max="317" width="9" bestFit="1" customWidth="1"/>
    <col min="318" max="318" width="8" bestFit="1" customWidth="1"/>
    <col min="319" max="319" width="9" bestFit="1" customWidth="1"/>
    <col min="320" max="321" width="8" bestFit="1" customWidth="1"/>
    <col min="322" max="325" width="9" bestFit="1" customWidth="1"/>
    <col min="326" max="326" width="8" bestFit="1" customWidth="1"/>
    <col min="327" max="331" width="9" bestFit="1" customWidth="1"/>
    <col min="332" max="332" width="8" bestFit="1" customWidth="1"/>
    <col min="333" max="333" width="7" bestFit="1" customWidth="1"/>
    <col min="334" max="334" width="9" bestFit="1" customWidth="1"/>
    <col min="335" max="336" width="8" bestFit="1" customWidth="1"/>
    <col min="337" max="338" width="9" bestFit="1" customWidth="1"/>
    <col min="339" max="339" width="7" bestFit="1" customWidth="1"/>
    <col min="340" max="340" width="8" bestFit="1" customWidth="1"/>
    <col min="341" max="342" width="9" bestFit="1" customWidth="1"/>
    <col min="343" max="343" width="7" bestFit="1" customWidth="1"/>
    <col min="344" max="348" width="9" bestFit="1" customWidth="1"/>
    <col min="349" max="349" width="8" bestFit="1" customWidth="1"/>
    <col min="350" max="350" width="9" bestFit="1" customWidth="1"/>
    <col min="351" max="351" width="8" bestFit="1" customWidth="1"/>
    <col min="352" max="352" width="9" bestFit="1" customWidth="1"/>
    <col min="353" max="354" width="8" bestFit="1" customWidth="1"/>
    <col min="355" max="361" width="9" bestFit="1" customWidth="1"/>
    <col min="362" max="363" width="8" bestFit="1" customWidth="1"/>
    <col min="364" max="370" width="9" bestFit="1" customWidth="1"/>
    <col min="371" max="371" width="8" bestFit="1" customWidth="1"/>
    <col min="372" max="372" width="10" bestFit="1" customWidth="1"/>
    <col min="373" max="373" width="8" bestFit="1" customWidth="1"/>
    <col min="374" max="374" width="10" bestFit="1" customWidth="1"/>
    <col min="375" max="377" width="9" bestFit="1" customWidth="1"/>
    <col min="378" max="382" width="10" bestFit="1" customWidth="1"/>
    <col min="383" max="383" width="9" bestFit="1" customWidth="1"/>
    <col min="384" max="384" width="10" bestFit="1" customWidth="1"/>
    <col min="385" max="385" width="8" bestFit="1" customWidth="1"/>
    <col min="386" max="386" width="9" bestFit="1" customWidth="1"/>
    <col min="387" max="387" width="10" bestFit="1" customWidth="1"/>
    <col min="388" max="388" width="9" bestFit="1" customWidth="1"/>
    <col min="389" max="390" width="10" bestFit="1" customWidth="1"/>
    <col min="391" max="391" width="8" bestFit="1" customWidth="1"/>
    <col min="392" max="392" width="10" bestFit="1" customWidth="1"/>
    <col min="393" max="393" width="9" bestFit="1" customWidth="1"/>
    <col min="394" max="394" width="8" bestFit="1" customWidth="1"/>
    <col min="395" max="395" width="10" bestFit="1" customWidth="1"/>
    <col min="396" max="396" width="9" bestFit="1" customWidth="1"/>
    <col min="397" max="399" width="10" bestFit="1" customWidth="1"/>
    <col min="400" max="401" width="9" bestFit="1" customWidth="1"/>
    <col min="402" max="403" width="10" bestFit="1" customWidth="1"/>
    <col min="404" max="404" width="8" bestFit="1" customWidth="1"/>
    <col min="405" max="405" width="9" bestFit="1" customWidth="1"/>
    <col min="406" max="406" width="10" bestFit="1" customWidth="1"/>
    <col min="407" max="407" width="9" bestFit="1" customWidth="1"/>
    <col min="408" max="412" width="10" bestFit="1" customWidth="1"/>
    <col min="413" max="413" width="8" bestFit="1" customWidth="1"/>
    <col min="414" max="417" width="10" bestFit="1" customWidth="1"/>
    <col min="418" max="418" width="9" bestFit="1" customWidth="1"/>
    <col min="419" max="420" width="10" bestFit="1" customWidth="1"/>
    <col min="421" max="422" width="9" bestFit="1" customWidth="1"/>
    <col min="423" max="425" width="10" bestFit="1" customWidth="1"/>
    <col min="426" max="426" width="9" bestFit="1" customWidth="1"/>
    <col min="427" max="427" width="8" bestFit="1" customWidth="1"/>
    <col min="428" max="432" width="10" bestFit="1" customWidth="1"/>
    <col min="433" max="436" width="9" bestFit="1" customWidth="1"/>
    <col min="437" max="439" width="10" bestFit="1" customWidth="1"/>
    <col min="440" max="440" width="9" bestFit="1" customWidth="1"/>
    <col min="441" max="442" width="8" bestFit="1" customWidth="1"/>
    <col min="443" max="444" width="10" bestFit="1" customWidth="1"/>
    <col min="445" max="445" width="7" bestFit="1" customWidth="1"/>
    <col min="446" max="450" width="10" bestFit="1" customWidth="1"/>
    <col min="451" max="451" width="8" bestFit="1" customWidth="1"/>
    <col min="452" max="452" width="10" bestFit="1" customWidth="1"/>
    <col min="453" max="453" width="9" bestFit="1" customWidth="1"/>
    <col min="454" max="454" width="10" bestFit="1" customWidth="1"/>
    <col min="455" max="455" width="9" bestFit="1" customWidth="1"/>
    <col min="456" max="459" width="10" bestFit="1" customWidth="1"/>
    <col min="460" max="460" width="9" bestFit="1" customWidth="1"/>
    <col min="461" max="466" width="10" bestFit="1" customWidth="1"/>
    <col min="467" max="467" width="9" bestFit="1" customWidth="1"/>
    <col min="468" max="469" width="10" bestFit="1" customWidth="1"/>
    <col min="470" max="470" width="9" bestFit="1" customWidth="1"/>
    <col min="471" max="474" width="10" bestFit="1" customWidth="1"/>
    <col min="475" max="475" width="9" bestFit="1" customWidth="1"/>
    <col min="476" max="476" width="10" bestFit="1" customWidth="1"/>
    <col min="477" max="477" width="9" bestFit="1" customWidth="1"/>
    <col min="478" max="481" width="10" bestFit="1" customWidth="1"/>
    <col min="482" max="482" width="9" bestFit="1" customWidth="1"/>
    <col min="483" max="485" width="10" bestFit="1" customWidth="1"/>
    <col min="486" max="486" width="9" bestFit="1" customWidth="1"/>
    <col min="487" max="487" width="10" bestFit="1" customWidth="1"/>
    <col min="488" max="488" width="9" bestFit="1" customWidth="1"/>
    <col min="489" max="489" width="10" bestFit="1" customWidth="1"/>
    <col min="490" max="490" width="9" bestFit="1" customWidth="1"/>
    <col min="491" max="492" width="10" bestFit="1" customWidth="1"/>
    <col min="493" max="493" width="9" bestFit="1" customWidth="1"/>
    <col min="494" max="494" width="10" bestFit="1" customWidth="1"/>
    <col min="495" max="496" width="9" bestFit="1" customWidth="1"/>
    <col min="497" max="497" width="10" bestFit="1" customWidth="1"/>
    <col min="498" max="498" width="9" bestFit="1" customWidth="1"/>
    <col min="499" max="499" width="10" bestFit="1" customWidth="1"/>
    <col min="500" max="500" width="9" bestFit="1" customWidth="1"/>
    <col min="501" max="502" width="10" bestFit="1" customWidth="1"/>
    <col min="503" max="504" width="9" bestFit="1" customWidth="1"/>
    <col min="505" max="506" width="10" bestFit="1" customWidth="1"/>
    <col min="507" max="507" width="9" bestFit="1" customWidth="1"/>
    <col min="508" max="522" width="10" bestFit="1" customWidth="1"/>
    <col min="523" max="523" width="8" bestFit="1" customWidth="1"/>
    <col min="524" max="525" width="10" bestFit="1" customWidth="1"/>
    <col min="526" max="528" width="9" bestFit="1" customWidth="1"/>
    <col min="529" max="529" width="10" bestFit="1" customWidth="1"/>
    <col min="530" max="530" width="9" bestFit="1" customWidth="1"/>
    <col min="531" max="531" width="10" bestFit="1" customWidth="1"/>
    <col min="532" max="533" width="8" bestFit="1" customWidth="1"/>
    <col min="534" max="534" width="10" bestFit="1" customWidth="1"/>
    <col min="535" max="535" width="8" bestFit="1" customWidth="1"/>
    <col min="536" max="538" width="10" bestFit="1" customWidth="1"/>
    <col min="539" max="539" width="9" bestFit="1" customWidth="1"/>
    <col min="540" max="541" width="10" bestFit="1" customWidth="1"/>
    <col min="542" max="542" width="9" bestFit="1" customWidth="1"/>
    <col min="543" max="545" width="10" bestFit="1" customWidth="1"/>
    <col min="546" max="547" width="9" bestFit="1" customWidth="1"/>
    <col min="548" max="548" width="8" bestFit="1" customWidth="1"/>
    <col min="549" max="550" width="10" bestFit="1" customWidth="1"/>
    <col min="551" max="551" width="8" bestFit="1" customWidth="1"/>
    <col min="552" max="559" width="10" bestFit="1" customWidth="1"/>
    <col min="560" max="560" width="9" bestFit="1" customWidth="1"/>
    <col min="561" max="562" width="10" bestFit="1" customWidth="1"/>
    <col min="563" max="565" width="9" bestFit="1" customWidth="1"/>
    <col min="566" max="572" width="10" bestFit="1" customWidth="1"/>
    <col min="573" max="573" width="9" bestFit="1" customWidth="1"/>
    <col min="574" max="575" width="10" bestFit="1" customWidth="1"/>
    <col min="576" max="577" width="9" bestFit="1" customWidth="1"/>
    <col min="578" max="581" width="10" bestFit="1" customWidth="1"/>
    <col min="582" max="582" width="8" bestFit="1" customWidth="1"/>
    <col min="583" max="585" width="9" bestFit="1" customWidth="1"/>
    <col min="586" max="592" width="10" bestFit="1" customWidth="1"/>
    <col min="593" max="593" width="9" bestFit="1" customWidth="1"/>
    <col min="594" max="594" width="10" bestFit="1" customWidth="1"/>
    <col min="595" max="595" width="8" bestFit="1" customWidth="1"/>
    <col min="596" max="608" width="10" bestFit="1" customWidth="1"/>
    <col min="609" max="609" width="9" bestFit="1" customWidth="1"/>
    <col min="610" max="610" width="10" bestFit="1" customWidth="1"/>
    <col min="611" max="611" width="8" bestFit="1" customWidth="1"/>
    <col min="612" max="612" width="10" bestFit="1" customWidth="1"/>
    <col min="613" max="613" width="8" bestFit="1" customWidth="1"/>
    <col min="614" max="614" width="9" bestFit="1" customWidth="1"/>
    <col min="615" max="617" width="10" bestFit="1" customWidth="1"/>
    <col min="618" max="619" width="9" bestFit="1" customWidth="1"/>
    <col min="620" max="620" width="8" bestFit="1" customWidth="1"/>
    <col min="621" max="621" width="9" bestFit="1" customWidth="1"/>
    <col min="622" max="631" width="10" bestFit="1" customWidth="1"/>
    <col min="632" max="632" width="9" bestFit="1" customWidth="1"/>
    <col min="633" max="637" width="10" bestFit="1" customWidth="1"/>
    <col min="638" max="638" width="9" bestFit="1" customWidth="1"/>
    <col min="639" max="639" width="10" bestFit="1" customWidth="1"/>
    <col min="640" max="640" width="8" bestFit="1" customWidth="1"/>
    <col min="641" max="641" width="10" bestFit="1" customWidth="1"/>
    <col min="642" max="643" width="9" bestFit="1" customWidth="1"/>
    <col min="644" max="646" width="10" bestFit="1" customWidth="1"/>
    <col min="647" max="647" width="9" bestFit="1" customWidth="1"/>
    <col min="648" max="649" width="10" bestFit="1" customWidth="1"/>
    <col min="650" max="650" width="9" bestFit="1" customWidth="1"/>
    <col min="651" max="651" width="10" bestFit="1" customWidth="1"/>
    <col min="652" max="653" width="9" bestFit="1" customWidth="1"/>
    <col min="654" max="654" width="10" bestFit="1" customWidth="1"/>
    <col min="655" max="655" width="9" bestFit="1" customWidth="1"/>
    <col min="656" max="656" width="8" bestFit="1" customWidth="1"/>
    <col min="657" max="657" width="9" bestFit="1" customWidth="1"/>
    <col min="658" max="658" width="9.33203125" bestFit="1" customWidth="1"/>
    <col min="659" max="659" width="12.33203125" bestFit="1" customWidth="1"/>
    <col min="660" max="661" width="7" bestFit="1" customWidth="1"/>
    <col min="662" max="662" width="8" bestFit="1" customWidth="1"/>
    <col min="663" max="664" width="7" bestFit="1" customWidth="1"/>
    <col min="665" max="665" width="8" bestFit="1" customWidth="1"/>
    <col min="666" max="666" width="7" bestFit="1" customWidth="1"/>
    <col min="667" max="678" width="8" bestFit="1" customWidth="1"/>
    <col min="679" max="679" width="7" bestFit="1" customWidth="1"/>
    <col min="680" max="685" width="8" bestFit="1" customWidth="1"/>
    <col min="686" max="686" width="6" bestFit="1" customWidth="1"/>
    <col min="687" max="687" width="8" bestFit="1" customWidth="1"/>
    <col min="688" max="688" width="9" bestFit="1" customWidth="1"/>
    <col min="689" max="689" width="8" bestFit="1" customWidth="1"/>
    <col min="690" max="696" width="9" bestFit="1" customWidth="1"/>
    <col min="697" max="698" width="8" bestFit="1" customWidth="1"/>
    <col min="699" max="699" width="6" bestFit="1" customWidth="1"/>
    <col min="700" max="700" width="9" bestFit="1" customWidth="1"/>
    <col min="701" max="701" width="8" bestFit="1" customWidth="1"/>
    <col min="702" max="704" width="9" bestFit="1" customWidth="1"/>
    <col min="705" max="705" width="7" bestFit="1" customWidth="1"/>
    <col min="706" max="712" width="9" bestFit="1" customWidth="1"/>
    <col min="713" max="713" width="8" bestFit="1" customWidth="1"/>
    <col min="714" max="716" width="9" bestFit="1" customWidth="1"/>
    <col min="717" max="717" width="8" bestFit="1" customWidth="1"/>
    <col min="718" max="722" width="9" bestFit="1" customWidth="1"/>
    <col min="723" max="723" width="7" bestFit="1" customWidth="1"/>
    <col min="724" max="726" width="9" bestFit="1" customWidth="1"/>
    <col min="727" max="727" width="8" bestFit="1" customWidth="1"/>
    <col min="728" max="733" width="9" bestFit="1" customWidth="1"/>
    <col min="734" max="735" width="8" bestFit="1" customWidth="1"/>
    <col min="736" max="736" width="9" bestFit="1" customWidth="1"/>
    <col min="737" max="738" width="8" bestFit="1" customWidth="1"/>
    <col min="739" max="739" width="9" bestFit="1" customWidth="1"/>
    <col min="740" max="742" width="8" bestFit="1" customWidth="1"/>
    <col min="743" max="747" width="9" bestFit="1" customWidth="1"/>
    <col min="748" max="748" width="8" bestFit="1" customWidth="1"/>
    <col min="749" max="749" width="9" bestFit="1" customWidth="1"/>
    <col min="750" max="750" width="8" bestFit="1" customWidth="1"/>
    <col min="751" max="752" width="9" bestFit="1" customWidth="1"/>
    <col min="753" max="753" width="8" bestFit="1" customWidth="1"/>
    <col min="754" max="762" width="9" bestFit="1" customWidth="1"/>
    <col min="763" max="763" width="7" bestFit="1" customWidth="1"/>
    <col min="764" max="764" width="9" bestFit="1" customWidth="1"/>
    <col min="765" max="765" width="7" bestFit="1" customWidth="1"/>
    <col min="766" max="767" width="9" bestFit="1" customWidth="1"/>
    <col min="768" max="768" width="8" bestFit="1" customWidth="1"/>
    <col min="769" max="769" width="7" bestFit="1" customWidth="1"/>
    <col min="770" max="770" width="8" bestFit="1" customWidth="1"/>
    <col min="771" max="771" width="9" bestFit="1" customWidth="1"/>
    <col min="772" max="772" width="7" bestFit="1" customWidth="1"/>
    <col min="773" max="773" width="9" bestFit="1" customWidth="1"/>
    <col min="774" max="774" width="8" bestFit="1" customWidth="1"/>
    <col min="775" max="775" width="7" bestFit="1" customWidth="1"/>
    <col min="776" max="779" width="9" bestFit="1" customWidth="1"/>
    <col min="780" max="780" width="8" bestFit="1" customWidth="1"/>
    <col min="781" max="784" width="9" bestFit="1" customWidth="1"/>
    <col min="785" max="786" width="8" bestFit="1" customWidth="1"/>
    <col min="787" max="788" width="9" bestFit="1" customWidth="1"/>
    <col min="789" max="789" width="7" bestFit="1" customWidth="1"/>
    <col min="790" max="793" width="9" bestFit="1" customWidth="1"/>
    <col min="794" max="794" width="7" bestFit="1" customWidth="1"/>
    <col min="795" max="795" width="8" bestFit="1" customWidth="1"/>
    <col min="796" max="798" width="9" bestFit="1" customWidth="1"/>
    <col min="799" max="799" width="6" bestFit="1" customWidth="1"/>
    <col min="800" max="804" width="9" bestFit="1" customWidth="1"/>
    <col min="805" max="805" width="7" bestFit="1" customWidth="1"/>
    <col min="806" max="806" width="8" bestFit="1" customWidth="1"/>
    <col min="807" max="811" width="9" bestFit="1" customWidth="1"/>
    <col min="812" max="812" width="7" bestFit="1" customWidth="1"/>
    <col min="813" max="814" width="8" bestFit="1" customWidth="1"/>
    <col min="815" max="818" width="9" bestFit="1" customWidth="1"/>
    <col min="819" max="819" width="8" bestFit="1" customWidth="1"/>
    <col min="820" max="822" width="9" bestFit="1" customWidth="1"/>
    <col min="823" max="823" width="8" bestFit="1" customWidth="1"/>
    <col min="824" max="824" width="9" bestFit="1" customWidth="1"/>
    <col min="825" max="825" width="8" bestFit="1" customWidth="1"/>
    <col min="826" max="829" width="9" bestFit="1" customWidth="1"/>
    <col min="830" max="830" width="8" bestFit="1" customWidth="1"/>
    <col min="831" max="831" width="9" bestFit="1" customWidth="1"/>
    <col min="832" max="832" width="8" bestFit="1" customWidth="1"/>
    <col min="833" max="833" width="9" bestFit="1" customWidth="1"/>
    <col min="834" max="834" width="7" bestFit="1" customWidth="1"/>
    <col min="835" max="843" width="9" bestFit="1" customWidth="1"/>
    <col min="844" max="844" width="8" bestFit="1" customWidth="1"/>
    <col min="845" max="846" width="9" bestFit="1" customWidth="1"/>
    <col min="847" max="848" width="8" bestFit="1" customWidth="1"/>
    <col min="849" max="850" width="9" bestFit="1" customWidth="1"/>
    <col min="851" max="851" width="8" bestFit="1" customWidth="1"/>
    <col min="852" max="852" width="9" bestFit="1" customWidth="1"/>
    <col min="853" max="853" width="8" bestFit="1" customWidth="1"/>
    <col min="854" max="854" width="7" bestFit="1" customWidth="1"/>
    <col min="855" max="855" width="8" bestFit="1" customWidth="1"/>
    <col min="856" max="860" width="9" bestFit="1" customWidth="1"/>
    <col min="861" max="861" width="8" bestFit="1" customWidth="1"/>
    <col min="862" max="862" width="7" bestFit="1" customWidth="1"/>
    <col min="863" max="863" width="9" bestFit="1" customWidth="1"/>
    <col min="864" max="864" width="8" bestFit="1" customWidth="1"/>
    <col min="865" max="868" width="9" bestFit="1" customWidth="1"/>
    <col min="869" max="870" width="8" bestFit="1" customWidth="1"/>
    <col min="871" max="871" width="9" bestFit="1" customWidth="1"/>
    <col min="872" max="872" width="8" bestFit="1" customWidth="1"/>
    <col min="873" max="873" width="9" bestFit="1" customWidth="1"/>
    <col min="874" max="875" width="8" bestFit="1" customWidth="1"/>
    <col min="876" max="877" width="9" bestFit="1" customWidth="1"/>
    <col min="878" max="878" width="8" bestFit="1" customWidth="1"/>
    <col min="879" max="883" width="9" bestFit="1" customWidth="1"/>
    <col min="884" max="884" width="7" bestFit="1" customWidth="1"/>
    <col min="885" max="885" width="8" bestFit="1" customWidth="1"/>
    <col min="886" max="891" width="9" bestFit="1" customWidth="1"/>
    <col min="892" max="892" width="7" bestFit="1" customWidth="1"/>
    <col min="893" max="894" width="9" bestFit="1" customWidth="1"/>
    <col min="895" max="895" width="8" bestFit="1" customWidth="1"/>
    <col min="896" max="896" width="7" bestFit="1" customWidth="1"/>
    <col min="897" max="897" width="8" bestFit="1" customWidth="1"/>
    <col min="898" max="898" width="9" bestFit="1" customWidth="1"/>
    <col min="899" max="899" width="8" bestFit="1" customWidth="1"/>
    <col min="900" max="902" width="9" bestFit="1" customWidth="1"/>
    <col min="903" max="903" width="8" bestFit="1" customWidth="1"/>
    <col min="904" max="905" width="9" bestFit="1" customWidth="1"/>
    <col min="906" max="907" width="8" bestFit="1" customWidth="1"/>
    <col min="908" max="910" width="9" bestFit="1" customWidth="1"/>
    <col min="911" max="912" width="8" bestFit="1" customWidth="1"/>
    <col min="913" max="915" width="7" bestFit="1" customWidth="1"/>
    <col min="916" max="916" width="8" bestFit="1" customWidth="1"/>
    <col min="917" max="917" width="9" bestFit="1" customWidth="1"/>
    <col min="918" max="918" width="7" bestFit="1" customWidth="1"/>
    <col min="919" max="921" width="9" bestFit="1" customWidth="1"/>
    <col min="922" max="923" width="7" bestFit="1" customWidth="1"/>
    <col min="924" max="925" width="8" bestFit="1" customWidth="1"/>
    <col min="926" max="927" width="7" bestFit="1" customWidth="1"/>
    <col min="928" max="939" width="9" bestFit="1" customWidth="1"/>
    <col min="940" max="940" width="8" bestFit="1" customWidth="1"/>
    <col min="941" max="945" width="9" bestFit="1" customWidth="1"/>
    <col min="946" max="946" width="8" bestFit="1" customWidth="1"/>
    <col min="947" max="953" width="9" bestFit="1" customWidth="1"/>
    <col min="954" max="957" width="8" bestFit="1" customWidth="1"/>
    <col min="958" max="963" width="9" bestFit="1" customWidth="1"/>
    <col min="964" max="964" width="8" bestFit="1" customWidth="1"/>
    <col min="965" max="969" width="9" bestFit="1" customWidth="1"/>
    <col min="970" max="970" width="8" bestFit="1" customWidth="1"/>
    <col min="971" max="971" width="9" bestFit="1" customWidth="1"/>
    <col min="972" max="972" width="8" bestFit="1" customWidth="1"/>
    <col min="973" max="976" width="9" bestFit="1" customWidth="1"/>
    <col min="977" max="977" width="6" bestFit="1" customWidth="1"/>
    <col min="978" max="982" width="9" bestFit="1" customWidth="1"/>
    <col min="983" max="983" width="8" bestFit="1" customWidth="1"/>
    <col min="984" max="984" width="7" bestFit="1" customWidth="1"/>
    <col min="985" max="986" width="9" bestFit="1" customWidth="1"/>
    <col min="987" max="987" width="8" bestFit="1" customWidth="1"/>
    <col min="988" max="988" width="7" bestFit="1" customWidth="1"/>
    <col min="989" max="994" width="9" bestFit="1" customWidth="1"/>
    <col min="995" max="995" width="7" bestFit="1" customWidth="1"/>
    <col min="996" max="996" width="8" bestFit="1" customWidth="1"/>
    <col min="997" max="997" width="9" bestFit="1" customWidth="1"/>
    <col min="998" max="998" width="7" bestFit="1" customWidth="1"/>
    <col min="999" max="1000" width="8" bestFit="1" customWidth="1"/>
    <col min="1001" max="1006" width="9" bestFit="1" customWidth="1"/>
    <col min="1007" max="1007" width="8" bestFit="1" customWidth="1"/>
    <col min="1008" max="1013" width="10" bestFit="1" customWidth="1"/>
    <col min="1014" max="1014" width="9" bestFit="1" customWidth="1"/>
    <col min="1015" max="1016" width="8" bestFit="1" customWidth="1"/>
    <col min="1017" max="1017" width="9" bestFit="1" customWidth="1"/>
    <col min="1018" max="1020" width="10" bestFit="1" customWidth="1"/>
    <col min="1021" max="1021" width="9" bestFit="1" customWidth="1"/>
    <col min="1022" max="1025" width="10" bestFit="1" customWidth="1"/>
    <col min="1026" max="1026" width="8" bestFit="1" customWidth="1"/>
    <col min="1027" max="1027" width="9" bestFit="1" customWidth="1"/>
    <col min="1028" max="1036" width="10" bestFit="1" customWidth="1"/>
    <col min="1037" max="1037" width="8" bestFit="1" customWidth="1"/>
    <col min="1038" max="1039" width="10" bestFit="1" customWidth="1"/>
    <col min="1040" max="1042" width="9" bestFit="1" customWidth="1"/>
    <col min="1043" max="1046" width="10" bestFit="1" customWidth="1"/>
    <col min="1047" max="1047" width="9" bestFit="1" customWidth="1"/>
    <col min="1048" max="1051" width="10" bestFit="1" customWidth="1"/>
    <col min="1052" max="1052" width="9" bestFit="1" customWidth="1"/>
    <col min="1053" max="1055" width="10" bestFit="1" customWidth="1"/>
    <col min="1056" max="1056" width="8" bestFit="1" customWidth="1"/>
    <col min="1057" max="1057" width="10" bestFit="1" customWidth="1"/>
    <col min="1058" max="1059" width="9" bestFit="1" customWidth="1"/>
    <col min="1060" max="1062" width="10" bestFit="1" customWidth="1"/>
    <col min="1063" max="1066" width="9" bestFit="1" customWidth="1"/>
    <col min="1067" max="1072" width="10" bestFit="1" customWidth="1"/>
    <col min="1073" max="1073" width="9" bestFit="1" customWidth="1"/>
    <col min="1074" max="1074" width="8" bestFit="1" customWidth="1"/>
    <col min="1075" max="1075" width="10" bestFit="1" customWidth="1"/>
    <col min="1076" max="1076" width="9" bestFit="1" customWidth="1"/>
    <col min="1077" max="1079" width="10" bestFit="1" customWidth="1"/>
    <col min="1080" max="1080" width="9" bestFit="1" customWidth="1"/>
    <col min="1081" max="1082" width="10" bestFit="1" customWidth="1"/>
    <col min="1083" max="1083" width="9" bestFit="1" customWidth="1"/>
    <col min="1084" max="1085" width="10" bestFit="1" customWidth="1"/>
    <col min="1086" max="1086" width="9" bestFit="1" customWidth="1"/>
    <col min="1087" max="1087" width="10" bestFit="1" customWidth="1"/>
    <col min="1088" max="1088" width="8" bestFit="1" customWidth="1"/>
    <col min="1089" max="1089" width="10" bestFit="1" customWidth="1"/>
    <col min="1090" max="1090" width="9" bestFit="1" customWidth="1"/>
    <col min="1091" max="1091" width="10" bestFit="1" customWidth="1"/>
    <col min="1092" max="1092" width="9" bestFit="1" customWidth="1"/>
    <col min="1093" max="1093" width="10" bestFit="1" customWidth="1"/>
    <col min="1094" max="1094" width="9" bestFit="1" customWidth="1"/>
    <col min="1095" max="1097" width="10" bestFit="1" customWidth="1"/>
    <col min="1098" max="1099" width="9" bestFit="1" customWidth="1"/>
    <col min="1100" max="1104" width="10" bestFit="1" customWidth="1"/>
    <col min="1105" max="1107" width="9" bestFit="1" customWidth="1"/>
    <col min="1108" max="1108" width="10" bestFit="1" customWidth="1"/>
    <col min="1109" max="1109" width="8" bestFit="1" customWidth="1"/>
    <col min="1110" max="1110" width="7" bestFit="1" customWidth="1"/>
    <col min="1111" max="1114" width="10" bestFit="1" customWidth="1"/>
    <col min="1115" max="1115" width="9" bestFit="1" customWidth="1"/>
    <col min="1116" max="1117" width="10" bestFit="1" customWidth="1"/>
    <col min="1118" max="1118" width="9" bestFit="1" customWidth="1"/>
    <col min="1119" max="1124" width="10" bestFit="1" customWidth="1"/>
    <col min="1125" max="1125" width="9" bestFit="1" customWidth="1"/>
    <col min="1126" max="1128" width="10" bestFit="1" customWidth="1"/>
    <col min="1129" max="1129" width="9" bestFit="1" customWidth="1"/>
    <col min="1130" max="1135" width="10" bestFit="1" customWidth="1"/>
    <col min="1136" max="1136" width="9" bestFit="1" customWidth="1"/>
    <col min="1137" max="1138" width="10" bestFit="1" customWidth="1"/>
    <col min="1139" max="1139" width="9" bestFit="1" customWidth="1"/>
    <col min="1140" max="1140" width="10" bestFit="1" customWidth="1"/>
    <col min="1141" max="1141" width="8" bestFit="1" customWidth="1"/>
    <col min="1142" max="1144" width="9" bestFit="1" customWidth="1"/>
    <col min="1145" max="1145" width="10" bestFit="1" customWidth="1"/>
    <col min="1146" max="1146" width="9" bestFit="1" customWidth="1"/>
    <col min="1147" max="1149" width="10" bestFit="1" customWidth="1"/>
    <col min="1150" max="1150" width="8" bestFit="1" customWidth="1"/>
    <col min="1151" max="1152" width="10" bestFit="1" customWidth="1"/>
    <col min="1153" max="1153" width="8" bestFit="1" customWidth="1"/>
    <col min="1154" max="1154" width="10" bestFit="1" customWidth="1"/>
    <col min="1155" max="1155" width="8" bestFit="1" customWidth="1"/>
    <col min="1156" max="1156" width="10" bestFit="1" customWidth="1"/>
    <col min="1157" max="1158" width="9" bestFit="1" customWidth="1"/>
    <col min="1159" max="1160" width="10" bestFit="1" customWidth="1"/>
    <col min="1161" max="1161" width="9" bestFit="1" customWidth="1"/>
    <col min="1162" max="1162" width="8" bestFit="1" customWidth="1"/>
    <col min="1163" max="1163" width="9" bestFit="1" customWidth="1"/>
    <col min="1164" max="1164" width="8" bestFit="1" customWidth="1"/>
    <col min="1165" max="1168" width="10" bestFit="1" customWidth="1"/>
    <col min="1169" max="1172" width="9" bestFit="1" customWidth="1"/>
    <col min="1173" max="1175" width="10" bestFit="1" customWidth="1"/>
    <col min="1176" max="1176" width="8" bestFit="1" customWidth="1"/>
    <col min="1177" max="1178" width="10" bestFit="1" customWidth="1"/>
    <col min="1179" max="1180" width="8" bestFit="1" customWidth="1"/>
    <col min="1181" max="1181" width="9" bestFit="1" customWidth="1"/>
    <col min="1182" max="1182" width="10" bestFit="1" customWidth="1"/>
    <col min="1183" max="1183" width="8" bestFit="1" customWidth="1"/>
    <col min="1184" max="1185" width="10" bestFit="1" customWidth="1"/>
    <col min="1186" max="1186" width="9" bestFit="1" customWidth="1"/>
    <col min="1187" max="1189" width="10" bestFit="1" customWidth="1"/>
    <col min="1190" max="1190" width="9" bestFit="1" customWidth="1"/>
    <col min="1191" max="1195" width="10" bestFit="1" customWidth="1"/>
    <col min="1196" max="1196" width="9" bestFit="1" customWidth="1"/>
    <col min="1197" max="1200" width="10" bestFit="1" customWidth="1"/>
    <col min="1201" max="1201" width="8" bestFit="1" customWidth="1"/>
    <col min="1202" max="1207" width="10" bestFit="1" customWidth="1"/>
    <col min="1208" max="1208" width="9" bestFit="1" customWidth="1"/>
    <col min="1209" max="1209" width="10" bestFit="1" customWidth="1"/>
    <col min="1210" max="1211" width="9" bestFit="1" customWidth="1"/>
    <col min="1212" max="1216" width="10" bestFit="1" customWidth="1"/>
    <col min="1217" max="1217" width="8" bestFit="1" customWidth="1"/>
    <col min="1218" max="1219" width="10" bestFit="1" customWidth="1"/>
    <col min="1220" max="1220" width="9" bestFit="1" customWidth="1"/>
    <col min="1221" max="1222" width="10" bestFit="1" customWidth="1"/>
    <col min="1223" max="1223" width="8" bestFit="1" customWidth="1"/>
    <col min="1224" max="1225" width="10" bestFit="1" customWidth="1"/>
    <col min="1226" max="1228" width="9" bestFit="1" customWidth="1"/>
    <col min="1229" max="1232" width="10" bestFit="1" customWidth="1"/>
    <col min="1233" max="1233" width="9" bestFit="1" customWidth="1"/>
    <col min="1234" max="1234" width="10" bestFit="1" customWidth="1"/>
    <col min="1235" max="1235" width="8" bestFit="1" customWidth="1"/>
    <col min="1236" max="1236" width="10" bestFit="1" customWidth="1"/>
    <col min="1237" max="1237" width="9" bestFit="1" customWidth="1"/>
    <col min="1238" max="1238" width="10" bestFit="1" customWidth="1"/>
    <col min="1239" max="1239" width="9" bestFit="1" customWidth="1"/>
    <col min="1240" max="1240" width="7" bestFit="1" customWidth="1"/>
    <col min="1241" max="1241" width="10" bestFit="1" customWidth="1"/>
    <col min="1242" max="1242" width="9" bestFit="1" customWidth="1"/>
    <col min="1243" max="1244" width="10" bestFit="1" customWidth="1"/>
    <col min="1245" max="1245" width="5" bestFit="1" customWidth="1"/>
    <col min="1246" max="1252" width="10" bestFit="1" customWidth="1"/>
    <col min="1253" max="1253" width="8" bestFit="1" customWidth="1"/>
    <col min="1254" max="1256" width="10" bestFit="1" customWidth="1"/>
    <col min="1257" max="1257" width="8" bestFit="1" customWidth="1"/>
    <col min="1258" max="1258" width="10" bestFit="1" customWidth="1"/>
    <col min="1259" max="1259" width="8" bestFit="1" customWidth="1"/>
    <col min="1260" max="1261" width="10" bestFit="1" customWidth="1"/>
    <col min="1262" max="1262" width="9" bestFit="1" customWidth="1"/>
    <col min="1263" max="1265" width="10" bestFit="1" customWidth="1"/>
    <col min="1266" max="1266" width="9" bestFit="1" customWidth="1"/>
    <col min="1267" max="1268" width="10" bestFit="1" customWidth="1"/>
    <col min="1269" max="1269" width="9" bestFit="1" customWidth="1"/>
    <col min="1270" max="1270" width="10" bestFit="1" customWidth="1"/>
    <col min="1271" max="1273" width="9" bestFit="1" customWidth="1"/>
    <col min="1274" max="1274" width="8" bestFit="1" customWidth="1"/>
    <col min="1275" max="1280" width="10" bestFit="1" customWidth="1"/>
    <col min="1281" max="1281" width="9" bestFit="1" customWidth="1"/>
    <col min="1282" max="1284" width="10" bestFit="1" customWidth="1"/>
    <col min="1285" max="1285" width="9" bestFit="1" customWidth="1"/>
    <col min="1286" max="1288" width="10" bestFit="1" customWidth="1"/>
    <col min="1289" max="1289" width="9" bestFit="1" customWidth="1"/>
    <col min="1290" max="1292" width="10" bestFit="1" customWidth="1"/>
    <col min="1293" max="1293" width="8" bestFit="1" customWidth="1"/>
    <col min="1294" max="1297" width="10" bestFit="1" customWidth="1"/>
    <col min="1298" max="1298" width="15.109375" bestFit="1" customWidth="1"/>
    <col min="1299" max="1299" width="8.6640625" bestFit="1" customWidth="1"/>
    <col min="1300" max="1300" width="8" bestFit="1" customWidth="1"/>
    <col min="1301" max="1301" width="7" bestFit="1" customWidth="1"/>
    <col min="1302" max="1305" width="8" bestFit="1" customWidth="1"/>
    <col min="1306" max="1307" width="7" bestFit="1" customWidth="1"/>
    <col min="1308" max="1315" width="8" bestFit="1" customWidth="1"/>
    <col min="1316" max="1316" width="6" bestFit="1" customWidth="1"/>
    <col min="1317" max="1317" width="8" bestFit="1" customWidth="1"/>
    <col min="1318" max="1319" width="7" bestFit="1" customWidth="1"/>
    <col min="1320" max="1320" width="8" bestFit="1" customWidth="1"/>
    <col min="1321" max="1321" width="7" bestFit="1" customWidth="1"/>
    <col min="1322" max="1323" width="8" bestFit="1" customWidth="1"/>
    <col min="1324" max="1324" width="7" bestFit="1" customWidth="1"/>
    <col min="1325" max="1326" width="8" bestFit="1" customWidth="1"/>
    <col min="1327" max="1330" width="9" bestFit="1" customWidth="1"/>
    <col min="1331" max="1331" width="8" bestFit="1" customWidth="1"/>
    <col min="1332" max="1332" width="9" bestFit="1" customWidth="1"/>
    <col min="1333" max="1334" width="8" bestFit="1" customWidth="1"/>
    <col min="1335" max="1336" width="9" bestFit="1" customWidth="1"/>
    <col min="1337" max="1337" width="8" bestFit="1" customWidth="1"/>
    <col min="1338" max="1338" width="9" bestFit="1" customWidth="1"/>
    <col min="1339" max="1339" width="8" bestFit="1" customWidth="1"/>
    <col min="1340" max="1341" width="9" bestFit="1" customWidth="1"/>
    <col min="1342" max="1342" width="8" bestFit="1" customWidth="1"/>
    <col min="1343" max="1343" width="9" bestFit="1" customWidth="1"/>
    <col min="1344" max="1344" width="8" bestFit="1" customWidth="1"/>
    <col min="1345" max="1352" width="9" bestFit="1" customWidth="1"/>
    <col min="1353" max="1353" width="7" bestFit="1" customWidth="1"/>
    <col min="1354" max="1355" width="9" bestFit="1" customWidth="1"/>
    <col min="1356" max="1356" width="7" bestFit="1" customWidth="1"/>
    <col min="1357" max="1359" width="9" bestFit="1" customWidth="1"/>
    <col min="1360" max="1361" width="8" bestFit="1" customWidth="1"/>
    <col min="1362" max="1372" width="9" bestFit="1" customWidth="1"/>
    <col min="1373" max="1373" width="8" bestFit="1" customWidth="1"/>
    <col min="1374" max="1374" width="7" bestFit="1" customWidth="1"/>
    <col min="1375" max="1375" width="9" bestFit="1" customWidth="1"/>
    <col min="1376" max="1376" width="8" bestFit="1" customWidth="1"/>
    <col min="1377" max="1377" width="9" bestFit="1" customWidth="1"/>
    <col min="1378" max="1378" width="8" bestFit="1" customWidth="1"/>
    <col min="1379" max="1379" width="9" bestFit="1" customWidth="1"/>
    <col min="1380" max="1380" width="8" bestFit="1" customWidth="1"/>
    <col min="1381" max="1381" width="9" bestFit="1" customWidth="1"/>
    <col min="1382" max="1382" width="8" bestFit="1" customWidth="1"/>
    <col min="1383" max="1388" width="9" bestFit="1" customWidth="1"/>
    <col min="1389" max="1389" width="8" bestFit="1" customWidth="1"/>
    <col min="1390" max="1390" width="9" bestFit="1" customWidth="1"/>
    <col min="1391" max="1391" width="8" bestFit="1" customWidth="1"/>
    <col min="1392" max="1392" width="7" bestFit="1" customWidth="1"/>
    <col min="1393" max="1393" width="8" bestFit="1" customWidth="1"/>
    <col min="1394" max="1405" width="9" bestFit="1" customWidth="1"/>
    <col min="1406" max="1406" width="8" bestFit="1" customWidth="1"/>
    <col min="1407" max="1414" width="9" bestFit="1" customWidth="1"/>
    <col min="1415" max="1415" width="8" bestFit="1" customWidth="1"/>
    <col min="1416" max="1418" width="9" bestFit="1" customWidth="1"/>
    <col min="1419" max="1420" width="8" bestFit="1" customWidth="1"/>
    <col min="1421" max="1423" width="9" bestFit="1" customWidth="1"/>
    <col min="1424" max="1424" width="7" bestFit="1" customWidth="1"/>
    <col min="1425" max="1432" width="9" bestFit="1" customWidth="1"/>
    <col min="1433" max="1433" width="6" bestFit="1" customWidth="1"/>
    <col min="1434" max="1434" width="9" bestFit="1" customWidth="1"/>
    <col min="1435" max="1435" width="7" bestFit="1" customWidth="1"/>
    <col min="1436" max="1436" width="9" bestFit="1" customWidth="1"/>
    <col min="1437" max="1437" width="7" bestFit="1" customWidth="1"/>
    <col min="1438" max="1438" width="8" bestFit="1" customWidth="1"/>
    <col min="1439" max="1439" width="9" bestFit="1" customWidth="1"/>
    <col min="1440" max="1440" width="8" bestFit="1" customWidth="1"/>
    <col min="1441" max="1443" width="9" bestFit="1" customWidth="1"/>
    <col min="1444" max="1444" width="8" bestFit="1" customWidth="1"/>
    <col min="1445" max="1446" width="9" bestFit="1" customWidth="1"/>
    <col min="1447" max="1447" width="7" bestFit="1" customWidth="1"/>
    <col min="1448" max="1454" width="9" bestFit="1" customWidth="1"/>
    <col min="1455" max="1455" width="8" bestFit="1" customWidth="1"/>
    <col min="1456" max="1457" width="9" bestFit="1" customWidth="1"/>
    <col min="1458" max="1458" width="7" bestFit="1" customWidth="1"/>
    <col min="1459" max="1461" width="9" bestFit="1" customWidth="1"/>
    <col min="1462" max="1462" width="8" bestFit="1" customWidth="1"/>
    <col min="1463" max="1463" width="9" bestFit="1" customWidth="1"/>
    <col min="1464" max="1465" width="8" bestFit="1" customWidth="1"/>
    <col min="1466" max="1466" width="9" bestFit="1" customWidth="1"/>
    <col min="1467" max="1467" width="8" bestFit="1" customWidth="1"/>
    <col min="1468" max="1469" width="9" bestFit="1" customWidth="1"/>
    <col min="1470" max="1470" width="7" bestFit="1" customWidth="1"/>
    <col min="1471" max="1471" width="9" bestFit="1" customWidth="1"/>
    <col min="1472" max="1472" width="7" bestFit="1" customWidth="1"/>
    <col min="1473" max="1478" width="8" bestFit="1" customWidth="1"/>
    <col min="1479" max="1487" width="9" bestFit="1" customWidth="1"/>
    <col min="1488" max="1488" width="7" bestFit="1" customWidth="1"/>
    <col min="1489" max="1489" width="9" bestFit="1" customWidth="1"/>
    <col min="1490" max="1490" width="8" bestFit="1" customWidth="1"/>
    <col min="1491" max="1493" width="9" bestFit="1" customWidth="1"/>
    <col min="1494" max="1494" width="7" bestFit="1" customWidth="1"/>
    <col min="1495" max="1498" width="9" bestFit="1" customWidth="1"/>
    <col min="1499" max="1499" width="7" bestFit="1" customWidth="1"/>
    <col min="1500" max="1502" width="9" bestFit="1" customWidth="1"/>
    <col min="1503" max="1503" width="8" bestFit="1" customWidth="1"/>
    <col min="1504" max="1504" width="9" bestFit="1" customWidth="1"/>
    <col min="1505" max="1505" width="8" bestFit="1" customWidth="1"/>
    <col min="1506" max="1512" width="9" bestFit="1" customWidth="1"/>
    <col min="1513" max="1513" width="8" bestFit="1" customWidth="1"/>
    <col min="1514" max="1514" width="9" bestFit="1" customWidth="1"/>
    <col min="1515" max="1515" width="8" bestFit="1" customWidth="1"/>
    <col min="1516" max="1516" width="9" bestFit="1" customWidth="1"/>
    <col min="1517" max="1517" width="8" bestFit="1" customWidth="1"/>
    <col min="1518" max="1522" width="9" bestFit="1" customWidth="1"/>
    <col min="1523" max="1523" width="8" bestFit="1" customWidth="1"/>
    <col min="1524" max="1524" width="9" bestFit="1" customWidth="1"/>
    <col min="1525" max="1525" width="8" bestFit="1" customWidth="1"/>
    <col min="1526" max="1526" width="9" bestFit="1" customWidth="1"/>
    <col min="1527" max="1527" width="7" bestFit="1" customWidth="1"/>
    <col min="1528" max="1528" width="8" bestFit="1" customWidth="1"/>
    <col min="1529" max="1530" width="9" bestFit="1" customWidth="1"/>
    <col min="1531" max="1531" width="7" bestFit="1" customWidth="1"/>
    <col min="1532" max="1532" width="9" bestFit="1" customWidth="1"/>
    <col min="1533" max="1533" width="8" bestFit="1" customWidth="1"/>
    <col min="1534" max="1536" width="9" bestFit="1" customWidth="1"/>
    <col min="1537" max="1538" width="8" bestFit="1" customWidth="1"/>
    <col min="1539" max="1540" width="9" bestFit="1" customWidth="1"/>
    <col min="1541" max="1542" width="8" bestFit="1" customWidth="1"/>
    <col min="1543" max="1552" width="9" bestFit="1" customWidth="1"/>
    <col min="1553" max="1553" width="8" bestFit="1" customWidth="1"/>
    <col min="1554" max="1554" width="9" bestFit="1" customWidth="1"/>
    <col min="1555" max="1556" width="8" bestFit="1" customWidth="1"/>
    <col min="1557" max="1557" width="9" bestFit="1" customWidth="1"/>
    <col min="1558" max="1558" width="8" bestFit="1" customWidth="1"/>
    <col min="1559" max="1559" width="9" bestFit="1" customWidth="1"/>
    <col min="1560" max="1560" width="7" bestFit="1" customWidth="1"/>
    <col min="1561" max="1562" width="9" bestFit="1" customWidth="1"/>
    <col min="1563" max="1563" width="8" bestFit="1" customWidth="1"/>
    <col min="1564" max="1564" width="7" bestFit="1" customWidth="1"/>
    <col min="1565" max="1566" width="9" bestFit="1" customWidth="1"/>
    <col min="1567" max="1567" width="8" bestFit="1" customWidth="1"/>
    <col min="1568" max="1569" width="9" bestFit="1" customWidth="1"/>
    <col min="1570" max="1570" width="8" bestFit="1" customWidth="1"/>
    <col min="1571" max="1574" width="9" bestFit="1" customWidth="1"/>
    <col min="1575" max="1575" width="7" bestFit="1" customWidth="1"/>
    <col min="1576" max="1577" width="9" bestFit="1" customWidth="1"/>
    <col min="1578" max="1580" width="8" bestFit="1" customWidth="1"/>
    <col min="1581" max="1581" width="9" bestFit="1" customWidth="1"/>
    <col min="1582" max="1582" width="6" bestFit="1" customWidth="1"/>
    <col min="1583" max="1583" width="9" bestFit="1" customWidth="1"/>
    <col min="1584" max="1584" width="8" bestFit="1" customWidth="1"/>
    <col min="1585" max="1586" width="9" bestFit="1" customWidth="1"/>
    <col min="1587" max="1587" width="7" bestFit="1" customWidth="1"/>
    <col min="1588" max="1590" width="9" bestFit="1" customWidth="1"/>
    <col min="1591" max="1592" width="8" bestFit="1" customWidth="1"/>
    <col min="1593" max="1593" width="9" bestFit="1" customWidth="1"/>
    <col min="1594" max="1595" width="8" bestFit="1" customWidth="1"/>
    <col min="1596" max="1596" width="9" bestFit="1" customWidth="1"/>
    <col min="1597" max="1597" width="8" bestFit="1" customWidth="1"/>
    <col min="1598" max="1601" width="9" bestFit="1" customWidth="1"/>
    <col min="1602" max="1602" width="8" bestFit="1" customWidth="1"/>
    <col min="1603" max="1604" width="9" bestFit="1" customWidth="1"/>
    <col min="1605" max="1605" width="7" bestFit="1" customWidth="1"/>
    <col min="1606" max="1606" width="8" bestFit="1" customWidth="1"/>
    <col min="1607" max="1609" width="9" bestFit="1" customWidth="1"/>
    <col min="1610" max="1611" width="8" bestFit="1" customWidth="1"/>
    <col min="1612" max="1612" width="9" bestFit="1" customWidth="1"/>
    <col min="1613" max="1615" width="8" bestFit="1" customWidth="1"/>
    <col min="1616" max="1621" width="9" bestFit="1" customWidth="1"/>
    <col min="1622" max="1622" width="8" bestFit="1" customWidth="1"/>
    <col min="1623" max="1635" width="9" bestFit="1" customWidth="1"/>
    <col min="1636" max="1636" width="6" bestFit="1" customWidth="1"/>
    <col min="1637" max="1642" width="9" bestFit="1" customWidth="1"/>
    <col min="1643" max="1643" width="8" bestFit="1" customWidth="1"/>
    <col min="1644" max="1646" width="9" bestFit="1" customWidth="1"/>
    <col min="1647" max="1648" width="8" bestFit="1" customWidth="1"/>
    <col min="1649" max="1650" width="9" bestFit="1" customWidth="1"/>
    <col min="1651" max="1651" width="8" bestFit="1" customWidth="1"/>
    <col min="1652" max="1652" width="9" bestFit="1" customWidth="1"/>
    <col min="1653" max="1653" width="8" bestFit="1" customWidth="1"/>
    <col min="1654" max="1654" width="9" bestFit="1" customWidth="1"/>
    <col min="1655" max="1655" width="8" bestFit="1" customWidth="1"/>
    <col min="1656" max="1660" width="9" bestFit="1" customWidth="1"/>
    <col min="1661" max="1663" width="8" bestFit="1" customWidth="1"/>
    <col min="1664" max="1664" width="9" bestFit="1" customWidth="1"/>
    <col min="1665" max="1665" width="7" bestFit="1" customWidth="1"/>
    <col min="1666" max="1666" width="9" bestFit="1" customWidth="1"/>
    <col min="1667" max="1668" width="8" bestFit="1" customWidth="1"/>
    <col min="1669" max="1675" width="9" bestFit="1" customWidth="1"/>
    <col min="1676" max="1676" width="7" bestFit="1" customWidth="1"/>
    <col min="1677" max="1677" width="9" bestFit="1" customWidth="1"/>
    <col min="1678" max="1678" width="8" bestFit="1" customWidth="1"/>
    <col min="1679" max="1680" width="10" bestFit="1" customWidth="1"/>
    <col min="1681" max="1681" width="9" bestFit="1" customWidth="1"/>
    <col min="1682" max="1684" width="10" bestFit="1" customWidth="1"/>
    <col min="1685" max="1685" width="8" bestFit="1" customWidth="1"/>
    <col min="1686" max="1687" width="10" bestFit="1" customWidth="1"/>
    <col min="1688" max="1689" width="9" bestFit="1" customWidth="1"/>
    <col min="1690" max="1691" width="10" bestFit="1" customWidth="1"/>
    <col min="1692" max="1692" width="9" bestFit="1" customWidth="1"/>
    <col min="1693" max="1693" width="10" bestFit="1" customWidth="1"/>
    <col min="1694" max="1695" width="9" bestFit="1" customWidth="1"/>
    <col min="1696" max="1698" width="10" bestFit="1" customWidth="1"/>
    <col min="1699" max="1699" width="9" bestFit="1" customWidth="1"/>
    <col min="1700" max="1702" width="10" bestFit="1" customWidth="1"/>
    <col min="1703" max="1704" width="9" bestFit="1" customWidth="1"/>
    <col min="1705" max="1706" width="10" bestFit="1" customWidth="1"/>
    <col min="1707" max="1707" width="9" bestFit="1" customWidth="1"/>
    <col min="1708" max="1711" width="10" bestFit="1" customWidth="1"/>
    <col min="1712" max="1712" width="9" bestFit="1" customWidth="1"/>
    <col min="1713" max="1717" width="10" bestFit="1" customWidth="1"/>
    <col min="1718" max="1720" width="9" bestFit="1" customWidth="1"/>
    <col min="1721" max="1721" width="10" bestFit="1" customWidth="1"/>
    <col min="1722" max="1723" width="9" bestFit="1" customWidth="1"/>
    <col min="1724" max="1726" width="10" bestFit="1" customWidth="1"/>
    <col min="1727" max="1727" width="9" bestFit="1" customWidth="1"/>
    <col min="1728" max="1731" width="10" bestFit="1" customWidth="1"/>
    <col min="1732" max="1733" width="9" bestFit="1" customWidth="1"/>
    <col min="1734" max="1734" width="10" bestFit="1" customWidth="1"/>
    <col min="1735" max="1735" width="8" bestFit="1" customWidth="1"/>
    <col min="1736" max="1737" width="10" bestFit="1" customWidth="1"/>
    <col min="1738" max="1738" width="9" bestFit="1" customWidth="1"/>
    <col min="1739" max="1740" width="10" bestFit="1" customWidth="1"/>
    <col min="1741" max="1741" width="9" bestFit="1" customWidth="1"/>
    <col min="1742" max="1744" width="10" bestFit="1" customWidth="1"/>
    <col min="1745" max="1745" width="8" bestFit="1" customWidth="1"/>
    <col min="1746" max="1746" width="10" bestFit="1" customWidth="1"/>
    <col min="1747" max="1747" width="7" bestFit="1" customWidth="1"/>
    <col min="1748" max="1752" width="10" bestFit="1" customWidth="1"/>
    <col min="1753" max="1753" width="9" bestFit="1" customWidth="1"/>
    <col min="1754" max="1756" width="10" bestFit="1" customWidth="1"/>
    <col min="1757" max="1757" width="9" bestFit="1" customWidth="1"/>
    <col min="1758" max="1764" width="10" bestFit="1" customWidth="1"/>
    <col min="1765" max="1765" width="9" bestFit="1" customWidth="1"/>
    <col min="1766" max="1768" width="10" bestFit="1" customWidth="1"/>
    <col min="1769" max="1769" width="9" bestFit="1" customWidth="1"/>
    <col min="1770" max="1770" width="10" bestFit="1" customWidth="1"/>
    <col min="1771" max="1771" width="9" bestFit="1" customWidth="1"/>
    <col min="1772" max="1772" width="10" bestFit="1" customWidth="1"/>
    <col min="1773" max="1773" width="9" bestFit="1" customWidth="1"/>
    <col min="1774" max="1775" width="10" bestFit="1" customWidth="1"/>
    <col min="1776" max="1776" width="9" bestFit="1" customWidth="1"/>
    <col min="1777" max="1777" width="10" bestFit="1" customWidth="1"/>
    <col min="1778" max="1778" width="8" bestFit="1" customWidth="1"/>
    <col min="1779" max="1779" width="10" bestFit="1" customWidth="1"/>
    <col min="1780" max="1780" width="9" bestFit="1" customWidth="1"/>
    <col min="1781" max="1781" width="10" bestFit="1" customWidth="1"/>
    <col min="1782" max="1782" width="8" bestFit="1" customWidth="1"/>
    <col min="1783" max="1786" width="10" bestFit="1" customWidth="1"/>
    <col min="1787" max="1787" width="9" bestFit="1" customWidth="1"/>
    <col min="1788" max="1790" width="10" bestFit="1" customWidth="1"/>
    <col min="1791" max="1791" width="9" bestFit="1" customWidth="1"/>
    <col min="1792" max="1795" width="10" bestFit="1" customWidth="1"/>
    <col min="1796" max="1796" width="8" bestFit="1" customWidth="1"/>
    <col min="1797" max="1799" width="10" bestFit="1" customWidth="1"/>
    <col min="1800" max="1803" width="9" bestFit="1" customWidth="1"/>
    <col min="1804" max="1809" width="10" bestFit="1" customWidth="1"/>
    <col min="1810" max="1810" width="9" bestFit="1" customWidth="1"/>
    <col min="1811" max="1811" width="10" bestFit="1" customWidth="1"/>
    <col min="1812" max="1812" width="9" bestFit="1" customWidth="1"/>
    <col min="1813" max="1814" width="10" bestFit="1" customWidth="1"/>
    <col min="1815" max="1816" width="9" bestFit="1" customWidth="1"/>
    <col min="1817" max="1818" width="10" bestFit="1" customWidth="1"/>
    <col min="1819" max="1819" width="9" bestFit="1" customWidth="1"/>
    <col min="1820" max="1824" width="10" bestFit="1" customWidth="1"/>
    <col min="1825" max="1826" width="9" bestFit="1" customWidth="1"/>
    <col min="1827" max="1828" width="10" bestFit="1" customWidth="1"/>
    <col min="1829" max="1829" width="9" bestFit="1" customWidth="1"/>
    <col min="1830" max="1834" width="10" bestFit="1" customWidth="1"/>
    <col min="1835" max="1835" width="9" bestFit="1" customWidth="1"/>
    <col min="1836" max="1839" width="10" bestFit="1" customWidth="1"/>
    <col min="1840" max="1840" width="9" bestFit="1" customWidth="1"/>
    <col min="1841" max="1847" width="10" bestFit="1" customWidth="1"/>
    <col min="1848" max="1848" width="9" bestFit="1" customWidth="1"/>
    <col min="1849" max="1849" width="8" bestFit="1" customWidth="1"/>
    <col min="1850" max="1850" width="10" bestFit="1" customWidth="1"/>
    <col min="1851" max="1851" width="9" bestFit="1" customWidth="1"/>
    <col min="1852" max="1854" width="10" bestFit="1" customWidth="1"/>
    <col min="1855" max="1855" width="8" bestFit="1" customWidth="1"/>
    <col min="1856" max="1856" width="9" bestFit="1" customWidth="1"/>
    <col min="1857" max="1857" width="10" bestFit="1" customWidth="1"/>
    <col min="1858" max="1859" width="9" bestFit="1" customWidth="1"/>
    <col min="1860" max="1863" width="10" bestFit="1" customWidth="1"/>
    <col min="1864" max="1864" width="9" bestFit="1" customWidth="1"/>
    <col min="1865" max="1868" width="10" bestFit="1" customWidth="1"/>
    <col min="1869" max="1869" width="8" bestFit="1" customWidth="1"/>
    <col min="1870" max="1870" width="9" bestFit="1" customWidth="1"/>
    <col min="1871" max="1872" width="10" bestFit="1" customWidth="1"/>
    <col min="1873" max="1874" width="8" bestFit="1" customWidth="1"/>
    <col min="1875" max="1876" width="10" bestFit="1" customWidth="1"/>
    <col min="1877" max="1878" width="9" bestFit="1" customWidth="1"/>
    <col min="1879" max="1882" width="10" bestFit="1" customWidth="1"/>
    <col min="1883" max="1883" width="9" bestFit="1" customWidth="1"/>
    <col min="1884" max="1884" width="10" bestFit="1" customWidth="1"/>
    <col min="1885" max="1885" width="9" bestFit="1" customWidth="1"/>
    <col min="1886" max="1894" width="10" bestFit="1" customWidth="1"/>
    <col min="1895" max="1895" width="9" bestFit="1" customWidth="1"/>
    <col min="1896" max="1901" width="10" bestFit="1" customWidth="1"/>
    <col min="1902" max="1902" width="8" bestFit="1" customWidth="1"/>
    <col min="1903" max="1904" width="10" bestFit="1" customWidth="1"/>
    <col min="1905" max="1905" width="9" bestFit="1" customWidth="1"/>
    <col min="1906" max="1906" width="10" bestFit="1" customWidth="1"/>
    <col min="1907" max="1908" width="9" bestFit="1" customWidth="1"/>
    <col min="1909" max="1909" width="8" bestFit="1" customWidth="1"/>
    <col min="1910" max="1910" width="9" bestFit="1" customWidth="1"/>
    <col min="1911" max="1911" width="10" bestFit="1" customWidth="1"/>
    <col min="1912" max="1912" width="8" bestFit="1" customWidth="1"/>
    <col min="1913" max="1913" width="9" bestFit="1" customWidth="1"/>
    <col min="1914" max="1922" width="10" bestFit="1" customWidth="1"/>
    <col min="1923" max="1923" width="9" bestFit="1" customWidth="1"/>
    <col min="1924" max="1924" width="8" bestFit="1" customWidth="1"/>
    <col min="1925" max="1925" width="9" bestFit="1" customWidth="1"/>
    <col min="1926" max="1926" width="8" bestFit="1" customWidth="1"/>
    <col min="1927" max="1927" width="9" bestFit="1" customWidth="1"/>
    <col min="1928" max="1929" width="10" bestFit="1" customWidth="1"/>
    <col min="1930" max="1930" width="9" bestFit="1" customWidth="1"/>
    <col min="1931" max="1933" width="10" bestFit="1" customWidth="1"/>
    <col min="1934" max="1934" width="8" bestFit="1" customWidth="1"/>
    <col min="1935" max="1935" width="10" bestFit="1" customWidth="1"/>
    <col min="1936" max="1936" width="8" bestFit="1" customWidth="1"/>
    <col min="1937" max="1937" width="10" bestFit="1" customWidth="1"/>
    <col min="1938" max="1938" width="8" bestFit="1" customWidth="1"/>
    <col min="1939" max="1940" width="9" bestFit="1" customWidth="1"/>
    <col min="1941" max="1941" width="10" bestFit="1" customWidth="1"/>
    <col min="1942" max="1942" width="9" bestFit="1" customWidth="1"/>
    <col min="1943" max="1943" width="10" bestFit="1" customWidth="1"/>
    <col min="1944" max="1944" width="9" bestFit="1" customWidth="1"/>
    <col min="1945" max="1945" width="10" bestFit="1" customWidth="1"/>
    <col min="1946" max="1946" width="9" bestFit="1" customWidth="1"/>
    <col min="1947" max="1948" width="10" bestFit="1" customWidth="1"/>
    <col min="1949" max="1950" width="9" bestFit="1" customWidth="1"/>
    <col min="1951" max="1951" width="10" bestFit="1" customWidth="1"/>
    <col min="1952" max="1952" width="9" bestFit="1" customWidth="1"/>
    <col min="1953" max="1953" width="8" bestFit="1" customWidth="1"/>
    <col min="1954" max="1954" width="9" bestFit="1" customWidth="1"/>
    <col min="1955" max="1955" width="10" bestFit="1" customWidth="1"/>
    <col min="1956" max="1956" width="9" bestFit="1" customWidth="1"/>
    <col min="1957" max="1957" width="8" bestFit="1" customWidth="1"/>
    <col min="1958" max="1958" width="10" bestFit="1" customWidth="1"/>
    <col min="1959" max="1959" width="9" bestFit="1" customWidth="1"/>
    <col min="1960" max="1963" width="10" bestFit="1" customWidth="1"/>
    <col min="1964" max="1965" width="9" bestFit="1" customWidth="1"/>
    <col min="1966" max="1971" width="10" bestFit="1" customWidth="1"/>
    <col min="1972" max="1972" width="9" bestFit="1" customWidth="1"/>
    <col min="1973" max="1974" width="10" bestFit="1" customWidth="1"/>
    <col min="1975" max="1975" width="8" bestFit="1" customWidth="1"/>
    <col min="1976" max="1977" width="10" bestFit="1" customWidth="1"/>
    <col min="1978" max="1978" width="9" bestFit="1" customWidth="1"/>
    <col min="1979" max="1979" width="10" bestFit="1" customWidth="1"/>
    <col min="1980" max="1981" width="9" bestFit="1" customWidth="1"/>
    <col min="1982" max="1983" width="10" bestFit="1" customWidth="1"/>
    <col min="1984" max="1984" width="8" bestFit="1" customWidth="1"/>
    <col min="1985" max="1988" width="10" bestFit="1" customWidth="1"/>
    <col min="1989" max="1989" width="11.33203125" bestFit="1" customWidth="1"/>
    <col min="1990" max="1990" width="42.21875" bestFit="1" customWidth="1"/>
    <col min="1991" max="1991" width="45" bestFit="1" customWidth="1"/>
    <col min="1992" max="1992" width="10.77734375" bestFit="1" customWidth="1"/>
  </cols>
  <sheetData>
    <row r="3" spans="1:5" x14ac:dyDescent="0.3">
      <c r="A3" s="21" t="s">
        <v>3957</v>
      </c>
      <c r="B3" s="21" t="s">
        <v>3956</v>
      </c>
      <c r="C3" s="22"/>
      <c r="D3" s="22"/>
      <c r="E3" s="22"/>
    </row>
    <row r="4" spans="1:5" x14ac:dyDescent="0.3">
      <c r="A4" s="21" t="s">
        <v>3929</v>
      </c>
      <c r="B4" s="22" t="s">
        <v>1829</v>
      </c>
      <c r="C4" s="22" t="s">
        <v>1824</v>
      </c>
      <c r="D4" s="22" t="s">
        <v>1826</v>
      </c>
      <c r="E4" s="22" t="s">
        <v>3930</v>
      </c>
    </row>
    <row r="5" spans="1:5" x14ac:dyDescent="0.3">
      <c r="A5" s="22" t="s">
        <v>1558</v>
      </c>
      <c r="B5" s="37">
        <v>50392.659999999982</v>
      </c>
      <c r="C5" s="37">
        <v>60486.469999999979</v>
      </c>
      <c r="D5" s="37">
        <v>56349.639999999985</v>
      </c>
      <c r="E5" s="37">
        <v>167228.76999999996</v>
      </c>
    </row>
    <row r="6" spans="1:5" x14ac:dyDescent="0.3">
      <c r="A6" s="22" t="s">
        <v>1547</v>
      </c>
      <c r="B6" s="37">
        <v>55223.139999999992</v>
      </c>
      <c r="C6" s="37">
        <v>54923.930000000015</v>
      </c>
      <c r="D6" s="37">
        <v>57546.61</v>
      </c>
      <c r="E6" s="37">
        <v>167693.68</v>
      </c>
    </row>
    <row r="7" spans="1:5" x14ac:dyDescent="0.3">
      <c r="A7" s="22" t="s">
        <v>1563</v>
      </c>
      <c r="B7" s="37">
        <v>78406.089999999982</v>
      </c>
      <c r="C7" s="37">
        <v>82187.270000000019</v>
      </c>
      <c r="D7" s="37">
        <v>90103.459999999977</v>
      </c>
      <c r="E7" s="37">
        <v>250696.81999999995</v>
      </c>
    </row>
    <row r="8" spans="1:5" x14ac:dyDescent="0.3">
      <c r="A8" s="22" t="s">
        <v>1544</v>
      </c>
      <c r="B8" s="37">
        <v>58449.920000000013</v>
      </c>
      <c r="C8" s="37">
        <v>52400.47</v>
      </c>
      <c r="D8" s="37">
        <v>70023.62999999999</v>
      </c>
      <c r="E8" s="37">
        <v>180874.02000000002</v>
      </c>
    </row>
    <row r="9" spans="1:5" x14ac:dyDescent="0.3">
      <c r="A9" s="22" t="s">
        <v>1566</v>
      </c>
      <c r="B9" s="37">
        <v>86302.06000000007</v>
      </c>
      <c r="C9" s="37">
        <v>81224.509999999995</v>
      </c>
      <c r="D9" s="37">
        <v>85740.030000000057</v>
      </c>
      <c r="E9" s="37">
        <v>253266.60000000012</v>
      </c>
    </row>
    <row r="10" spans="1:5" x14ac:dyDescent="0.3">
      <c r="A10" s="22" t="s">
        <v>3930</v>
      </c>
      <c r="B10" s="37">
        <v>328773.87000000005</v>
      </c>
      <c r="C10" s="37">
        <v>331222.65000000002</v>
      </c>
      <c r="D10" s="37">
        <v>359763.37</v>
      </c>
      <c r="E10" s="37">
        <v>1019759.89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0F98-5736-4B54-A567-7D5410E57305}">
  <sheetPr>
    <tabColor theme="6" tint="0.59999389629810485"/>
  </sheetPr>
  <dimension ref="A1"/>
  <sheetViews>
    <sheetView tabSelected="1" workbookViewId="0">
      <selection activeCell="G33" sqref="G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4130-0E1F-4918-A862-903C552F8922}">
  <sheetPr>
    <tabColor theme="6" tint="0.59999389629810485"/>
  </sheetPr>
  <dimension ref="A3:D7"/>
  <sheetViews>
    <sheetView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.21875" bestFit="1" customWidth="1"/>
    <col min="4" max="4" width="15.88671875" bestFit="1" customWidth="1"/>
  </cols>
  <sheetData>
    <row r="3" spans="1:4" x14ac:dyDescent="0.3">
      <c r="A3" s="21" t="s">
        <v>3929</v>
      </c>
      <c r="B3" s="22" t="s">
        <v>3960</v>
      </c>
      <c r="C3" s="22" t="s">
        <v>3957</v>
      </c>
      <c r="D3" s="22" t="s">
        <v>3961</v>
      </c>
    </row>
    <row r="4" spans="1:4" x14ac:dyDescent="0.3">
      <c r="A4" s="22" t="s">
        <v>1829</v>
      </c>
      <c r="B4" s="37">
        <v>97.620000000000076</v>
      </c>
      <c r="C4" s="37">
        <v>328773.87000000023</v>
      </c>
      <c r="D4" s="37">
        <v>656</v>
      </c>
    </row>
    <row r="5" spans="1:4" x14ac:dyDescent="0.3">
      <c r="A5" s="22" t="s">
        <v>1824</v>
      </c>
      <c r="B5" s="37">
        <v>96.329999999999984</v>
      </c>
      <c r="C5" s="37">
        <v>331222.65000000008</v>
      </c>
      <c r="D5" s="37">
        <v>639</v>
      </c>
    </row>
    <row r="6" spans="1:4" x14ac:dyDescent="0.3">
      <c r="A6" s="22" t="s">
        <v>1826</v>
      </c>
      <c r="B6" s="37">
        <v>100.46000000000009</v>
      </c>
      <c r="C6" s="37">
        <v>359763.36999999965</v>
      </c>
      <c r="D6" s="37">
        <v>690</v>
      </c>
    </row>
    <row r="7" spans="1:4" x14ac:dyDescent="0.3">
      <c r="A7" s="22" t="s">
        <v>3930</v>
      </c>
      <c r="B7" s="37">
        <v>294.41000000000105</v>
      </c>
      <c r="C7" s="37">
        <v>1019759.8899999997</v>
      </c>
      <c r="D7" s="37">
        <v>1985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CB5F-9484-406D-9784-69A4A7FE72A9}">
  <sheetPr>
    <tabColor theme="6" tint="0.59999389629810485"/>
  </sheetPr>
  <dimension ref="A1:L1987"/>
  <sheetViews>
    <sheetView workbookViewId="0">
      <selection activeCell="F22" sqref="F22"/>
    </sheetView>
  </sheetViews>
  <sheetFormatPr defaultRowHeight="14.4" x14ac:dyDescent="0.3"/>
  <cols>
    <col min="1" max="1" width="9.77734375" customWidth="1"/>
    <col min="2" max="2" width="12" customWidth="1"/>
    <col min="3" max="3" width="13" customWidth="1"/>
    <col min="4" max="4" width="16.5546875" customWidth="1"/>
    <col min="5" max="5" width="11.21875" customWidth="1"/>
    <col min="6" max="6" width="16.44140625" customWidth="1"/>
    <col min="9" max="9" width="12.6640625" customWidth="1"/>
    <col min="11" max="11" width="15.6640625" customWidth="1"/>
    <col min="12" max="12" width="13.6640625" customWidth="1"/>
  </cols>
  <sheetData>
    <row r="1" spans="1:12" x14ac:dyDescent="0.3">
      <c r="A1" s="8" t="s">
        <v>1816</v>
      </c>
      <c r="B1" s="6" t="s">
        <v>1817</v>
      </c>
      <c r="C1" s="8" t="s">
        <v>0</v>
      </c>
      <c r="D1" s="8" t="s">
        <v>3953</v>
      </c>
      <c r="E1" s="8" t="s">
        <v>1536</v>
      </c>
      <c r="F1" s="35" t="s">
        <v>3954</v>
      </c>
      <c r="G1" s="8" t="s">
        <v>1748</v>
      </c>
      <c r="H1" s="7" t="s">
        <v>1818</v>
      </c>
      <c r="I1" s="8" t="s">
        <v>1819</v>
      </c>
      <c r="J1" s="5" t="s">
        <v>1820</v>
      </c>
      <c r="K1" s="8" t="s">
        <v>1821</v>
      </c>
      <c r="L1" s="5" t="s">
        <v>1822</v>
      </c>
    </row>
    <row r="2" spans="1:12" x14ac:dyDescent="0.3">
      <c r="A2" s="12" t="s">
        <v>1823</v>
      </c>
      <c r="B2" s="34" cm="1">
        <f t="array" ref="B2:C2">_xlfn.XLOOKUP(A2,Sales_Fact!A2:A1986,Sales_Fact!B2:C1986)</f>
        <v>45480</v>
      </c>
      <c r="C2" s="22" t="str">
        <v>CUST1409</v>
      </c>
      <c r="D2" s="22" t="str">
        <f>VLOOKUP('Combine Products &amp; Sales Facts'!C2,'Customer Details'!A:B,2,0)</f>
        <v>Sarah Smith</v>
      </c>
      <c r="E2" s="22" t="str">
        <f>VLOOKUP(C2,Sales_Fact!C:D,2,0)</f>
        <v>PROD97</v>
      </c>
      <c r="F2" s="22" t="str">
        <f>VLOOKUP(E2,Product_Dim!A:C,3,0)</f>
        <v>Sports</v>
      </c>
      <c r="G2" s="22" t="str" cm="1">
        <f t="array" ref="G2:L2">_xlfn.XLOOKUP(C2,Sales_Fact!C2:C1986,Sales_Fact!E2:J1986)</f>
        <v>STORE3</v>
      </c>
      <c r="H2" s="22">
        <v>1</v>
      </c>
      <c r="I2" s="22">
        <v>218.04</v>
      </c>
      <c r="J2" s="22">
        <v>0.09</v>
      </c>
      <c r="K2" s="22" t="str">
        <v>Credit Card</v>
      </c>
      <c r="L2" s="22">
        <v>198.41640000000001</v>
      </c>
    </row>
    <row r="3" spans="1:12" x14ac:dyDescent="0.3">
      <c r="A3" s="22" t="s">
        <v>1825</v>
      </c>
      <c r="B3" s="34" cm="1">
        <f t="array" ref="B3:C3">_xlfn.XLOOKUP(A3,Sales_Fact!A3:A1987,Sales_Fact!B3:C1987)</f>
        <v>45285</v>
      </c>
      <c r="C3" s="22" t="str">
        <v>CUST1467</v>
      </c>
      <c r="D3" s="22" t="str">
        <f>VLOOKUP('Combine Products &amp; Sales Facts'!C3,'Customer Details'!A:B,2,0)</f>
        <v>Michael Foley</v>
      </c>
      <c r="E3" s="22" t="str">
        <f>VLOOKUP(C3,Sales_Fact!C:D,2,0)</f>
        <v>PROD74</v>
      </c>
      <c r="F3" s="22" t="str">
        <f>VLOOKUP(E3,Product_Dim!A:C,3,0)</f>
        <v>Electronics</v>
      </c>
      <c r="G3" s="22" t="str" cm="1">
        <f t="array" ref="G3:L3">_xlfn.XLOOKUP(C3,Sales_Fact!C3:C1987,Sales_Fact!E3:J1987)</f>
        <v>STORE17</v>
      </c>
      <c r="H3" s="22">
        <v>3</v>
      </c>
      <c r="I3" s="22">
        <v>104.47</v>
      </c>
      <c r="J3" s="22">
        <v>0.27</v>
      </c>
      <c r="K3" s="22" t="str">
        <v>PayPal</v>
      </c>
      <c r="L3" s="22">
        <v>228.7893</v>
      </c>
    </row>
    <row r="4" spans="1:12" x14ac:dyDescent="0.3">
      <c r="A4" s="22" t="s">
        <v>1827</v>
      </c>
      <c r="B4" s="34" cm="1">
        <f t="array" ref="B4:C4">_xlfn.XLOOKUP(A4,Sales_Fact!A4:A1988,Sales_Fact!B4:C1988)</f>
        <v>45446</v>
      </c>
      <c r="C4" s="22" t="str">
        <v>CUST1056</v>
      </c>
      <c r="D4" s="22" t="str">
        <f>VLOOKUP('Combine Products &amp; Sales Facts'!C4,'Customer Details'!A:B,2,0)</f>
        <v>Christopher Sutton</v>
      </c>
      <c r="E4" s="22" t="str">
        <f>VLOOKUP(C4,Sales_Fact!C:D,2,0)</f>
        <v>PROD49</v>
      </c>
      <c r="F4" s="22" t="str">
        <f>VLOOKUP(E4,Product_Dim!A:C,3,0)</f>
        <v>Beauty</v>
      </c>
      <c r="G4" s="22" t="str" cm="1">
        <f t="array" ref="G4:L4">_xlfn.XLOOKUP(C4,Sales_Fact!C4:C1988,Sales_Fact!E4:J1988)</f>
        <v>STORE8</v>
      </c>
      <c r="H4" s="22">
        <v>4</v>
      </c>
      <c r="I4" s="22">
        <v>914.05</v>
      </c>
      <c r="J4" s="22">
        <v>0.25</v>
      </c>
      <c r="K4" s="22" t="str">
        <v>Credit Card</v>
      </c>
      <c r="L4" s="22">
        <v>2742.15</v>
      </c>
    </row>
    <row r="5" spans="1:12" x14ac:dyDescent="0.3">
      <c r="A5" s="22" t="s">
        <v>1828</v>
      </c>
      <c r="B5" s="34" cm="1">
        <f t="array" ref="B5:C5">_xlfn.XLOOKUP(A5,Sales_Fact!A5:A1989,Sales_Fact!B5:C1989)</f>
        <v>45259</v>
      </c>
      <c r="C5" s="22" t="str">
        <v>CUST1346</v>
      </c>
      <c r="D5" s="22" t="str">
        <f>VLOOKUP('Combine Products &amp; Sales Facts'!C5,'Customer Details'!A:B,2,0)</f>
        <v>John Jordan</v>
      </c>
      <c r="E5" s="22" t="str">
        <f>VLOOKUP(C5,Sales_Fact!C:D,2,0)</f>
        <v>PROD76</v>
      </c>
      <c r="F5" s="22" t="str">
        <f>VLOOKUP(E5,Product_Dim!A:C,3,0)</f>
        <v>Electronics</v>
      </c>
      <c r="G5" s="22" t="str" cm="1">
        <f t="array" ref="G5:L5">_xlfn.XLOOKUP(C5,Sales_Fact!C5:C1989,Sales_Fact!E5:J1989)</f>
        <v>STORE8</v>
      </c>
      <c r="H5" s="22">
        <v>1</v>
      </c>
      <c r="I5" s="22">
        <v>921.51</v>
      </c>
      <c r="J5" s="22">
        <v>0.16</v>
      </c>
      <c r="K5" s="22" t="str">
        <v>COD</v>
      </c>
      <c r="L5" s="22">
        <v>774.0684</v>
      </c>
    </row>
    <row r="6" spans="1:12" x14ac:dyDescent="0.3">
      <c r="A6" s="22" t="s">
        <v>1830</v>
      </c>
      <c r="B6" s="34" cm="1">
        <f t="array" ref="B6:C6">_xlfn.XLOOKUP(A6,Sales_Fact!A6:A1990,Sales_Fact!B6:C1990)</f>
        <v>45297</v>
      </c>
      <c r="C6" s="22" t="str">
        <v>CUST1493</v>
      </c>
      <c r="D6" s="22" t="str">
        <f>VLOOKUP('Combine Products &amp; Sales Facts'!C6,'Customer Details'!A:B,2,0)</f>
        <v>Amanda Powell</v>
      </c>
      <c r="E6" s="22" t="str">
        <f>VLOOKUP(C6,Sales_Fact!C:D,2,0)</f>
        <v>PROD59</v>
      </c>
      <c r="F6" s="22" t="str">
        <f>VLOOKUP(E6,Product_Dim!A:C,3,0)</f>
        <v>Beauty</v>
      </c>
      <c r="G6" s="22" t="str" cm="1">
        <f t="array" ref="G6:L6">_xlfn.XLOOKUP(C6,Sales_Fact!C6:C1990,Sales_Fact!E6:J1990)</f>
        <v>STORE5</v>
      </c>
      <c r="H6" s="22">
        <v>3</v>
      </c>
      <c r="I6" s="22">
        <v>745.3</v>
      </c>
      <c r="J6" s="22">
        <v>0.18</v>
      </c>
      <c r="K6" s="22" t="str">
        <v>Credit Card</v>
      </c>
      <c r="L6" s="22">
        <v>1833.4380000000001</v>
      </c>
    </row>
    <row r="7" spans="1:12" x14ac:dyDescent="0.3">
      <c r="A7" s="22" t="s">
        <v>1831</v>
      </c>
      <c r="B7" s="34" cm="1">
        <f t="array" ref="B7:C7">_xlfn.XLOOKUP(A7,Sales_Fact!A7:A1991,Sales_Fact!B7:C1991)</f>
        <v>45499</v>
      </c>
      <c r="C7" s="22" t="str">
        <v>CUST1116</v>
      </c>
      <c r="D7" s="22" t="str">
        <f>VLOOKUP('Combine Products &amp; Sales Facts'!C7,'Customer Details'!A:B,2,0)</f>
        <v>Anthony Phillips</v>
      </c>
      <c r="E7" s="22" t="str">
        <f>VLOOKUP(C7,Sales_Fact!C:D,2,0)</f>
        <v>PROD15</v>
      </c>
      <c r="F7" s="22" t="str">
        <f>VLOOKUP(E7,Product_Dim!A:C,3,0)</f>
        <v>Electronics</v>
      </c>
      <c r="G7" s="22" t="str" cm="1">
        <f t="array" ref="G7:L7">_xlfn.XLOOKUP(C7,Sales_Fact!C7:C1991,Sales_Fact!E7:J1991)</f>
        <v>STORE7</v>
      </c>
      <c r="H7" s="22">
        <v>3</v>
      </c>
      <c r="I7" s="22">
        <v>147.01</v>
      </c>
      <c r="J7" s="22">
        <v>0.19</v>
      </c>
      <c r="K7" s="22" t="str">
        <v>COD</v>
      </c>
      <c r="L7" s="22">
        <v>357.23430000000002</v>
      </c>
    </row>
    <row r="8" spans="1:12" x14ac:dyDescent="0.3">
      <c r="A8" s="22" t="s">
        <v>1832</v>
      </c>
      <c r="B8" s="34" cm="1">
        <f t="array" ref="B8:C8">_xlfn.XLOOKUP(A8,Sales_Fact!A8:A1992,Sales_Fact!B8:C1992)</f>
        <v>45850</v>
      </c>
      <c r="C8" s="22" t="str">
        <v>CUST1016</v>
      </c>
      <c r="D8" s="22" t="str">
        <f>VLOOKUP('Combine Products &amp; Sales Facts'!C8,'Customer Details'!A:B,2,0)</f>
        <v>John Scott</v>
      </c>
      <c r="E8" s="22" t="str">
        <f>VLOOKUP(C8,Sales_Fact!C:D,2,0)</f>
        <v>PROD56</v>
      </c>
      <c r="F8" s="22" t="str">
        <f>VLOOKUP(E8,Product_Dim!A:C,3,0)</f>
        <v>Home</v>
      </c>
      <c r="G8" s="22" t="str" cm="1">
        <f t="array" ref="G8:L8">_xlfn.XLOOKUP(C8,Sales_Fact!C8:C1992,Sales_Fact!E8:J1992)</f>
        <v>STORE4</v>
      </c>
      <c r="H8" s="22">
        <v>2</v>
      </c>
      <c r="I8" s="22">
        <v>785.31</v>
      </c>
      <c r="J8" s="22">
        <v>0.15</v>
      </c>
      <c r="K8" s="22" t="str">
        <v>PayPal</v>
      </c>
      <c r="L8" s="22">
        <v>1335.027</v>
      </c>
    </row>
    <row r="9" spans="1:12" x14ac:dyDescent="0.3">
      <c r="A9" s="22" t="s">
        <v>1833</v>
      </c>
      <c r="B9" s="34" cm="1">
        <f t="array" ref="B9:C9">_xlfn.XLOOKUP(A9,Sales_Fact!A9:A1993,Sales_Fact!B9:C1993)</f>
        <v>45248</v>
      </c>
      <c r="C9" s="22" t="str">
        <v>CUST1152</v>
      </c>
      <c r="D9" s="22" t="str">
        <f>VLOOKUP('Combine Products &amp; Sales Facts'!C9,'Customer Details'!A:B,2,0)</f>
        <v>Patrick Roberts</v>
      </c>
      <c r="E9" s="22" t="str">
        <f>VLOOKUP(C9,Sales_Fact!C:D,2,0)</f>
        <v>PROD70</v>
      </c>
      <c r="F9" s="22" t="str">
        <f>VLOOKUP(E9,Product_Dim!A:C,3,0)</f>
        <v>Home</v>
      </c>
      <c r="G9" s="22" t="str" cm="1">
        <f t="array" ref="G9:L9">_xlfn.XLOOKUP(C9,Sales_Fact!C9:C1993,Sales_Fact!E9:J1993)</f>
        <v>STORE8</v>
      </c>
      <c r="H9" s="22">
        <v>4</v>
      </c>
      <c r="I9" s="22">
        <v>342.39</v>
      </c>
      <c r="J9" s="22">
        <v>0.23</v>
      </c>
      <c r="K9" s="22" t="str">
        <v>PayPal</v>
      </c>
      <c r="L9" s="22">
        <v>1054.5612000000001</v>
      </c>
    </row>
    <row r="10" spans="1:12" x14ac:dyDescent="0.3">
      <c r="A10" s="22" t="s">
        <v>3937</v>
      </c>
      <c r="B10" s="34" cm="1">
        <f t="array" ref="B10:C10">_xlfn.XLOOKUP(A10,Sales_Fact!A10:A1994,Sales_Fact!B10:C1994)</f>
        <v>45869</v>
      </c>
      <c r="C10" s="22" t="str">
        <v>CUST1464</v>
      </c>
      <c r="D10" s="22" t="str">
        <f>VLOOKUP('Combine Products &amp; Sales Facts'!C10,'Customer Details'!A:B,2,0)</f>
        <v>David Pierce</v>
      </c>
      <c r="E10" s="22" t="str">
        <f>VLOOKUP(C10,Sales_Fact!C:D,2,0)</f>
        <v>PROD33</v>
      </c>
      <c r="F10" s="22" t="str">
        <f>VLOOKUP(E10,Product_Dim!A:C,3,0)</f>
        <v>Home</v>
      </c>
      <c r="G10" s="22" t="str" cm="1">
        <f t="array" ref="G10:L10">_xlfn.XLOOKUP(C10,Sales_Fact!C10:C1994,Sales_Fact!E10:J1994)</f>
        <v>STORE0</v>
      </c>
      <c r="H10" s="22">
        <v>2</v>
      </c>
      <c r="I10" s="22">
        <v>873.17</v>
      </c>
      <c r="J10" s="22">
        <v>0.23</v>
      </c>
      <c r="K10" s="22" t="str">
        <v>PayPal</v>
      </c>
      <c r="L10" s="22">
        <v>1344.6818000000001</v>
      </c>
    </row>
    <row r="11" spans="1:12" x14ac:dyDescent="0.3">
      <c r="A11" s="22" t="s">
        <v>1834</v>
      </c>
      <c r="B11" s="34" cm="1">
        <f t="array" ref="B11:C11">_xlfn.XLOOKUP(A11,Sales_Fact!A11:A1995,Sales_Fact!B11:C1995)</f>
        <v>45335</v>
      </c>
      <c r="C11" s="22" t="str">
        <v>CUST1065</v>
      </c>
      <c r="D11" s="22" t="str">
        <f>VLOOKUP('Combine Products &amp; Sales Facts'!C11,'Customer Details'!A:B,2,0)</f>
        <v>Michael Thomas</v>
      </c>
      <c r="E11" s="22" t="str">
        <f>VLOOKUP(C11,Sales_Fact!C:D,2,0)</f>
        <v>PROD24</v>
      </c>
      <c r="F11" s="22" t="str">
        <f>VLOOKUP(E11,Product_Dim!A:C,3,0)</f>
        <v>Sports</v>
      </c>
      <c r="G11" s="22" t="str" cm="1">
        <f t="array" ref="G11:L11">_xlfn.XLOOKUP(C11,Sales_Fact!C11:C1995,Sales_Fact!E11:J1995)</f>
        <v>STORE14</v>
      </c>
      <c r="H11" s="22">
        <v>1</v>
      </c>
      <c r="I11" s="22">
        <v>278.63</v>
      </c>
      <c r="J11" s="22">
        <v>7.0000000000000007E-2</v>
      </c>
      <c r="K11" s="22" t="str">
        <v>Credit Card</v>
      </c>
      <c r="L11" s="22">
        <v>259.1259</v>
      </c>
    </row>
    <row r="12" spans="1:12" x14ac:dyDescent="0.3">
      <c r="A12" s="22" t="s">
        <v>1835</v>
      </c>
      <c r="B12" s="34" cm="1">
        <f t="array" ref="B12:C12">_xlfn.XLOOKUP(A12,Sales_Fact!A12:A1996,Sales_Fact!B12:C1996)</f>
        <v>45801</v>
      </c>
      <c r="C12" s="22" t="str">
        <v>CUST1320</v>
      </c>
      <c r="D12" s="22" t="str">
        <f>VLOOKUP('Combine Products &amp; Sales Facts'!C12,'Customer Details'!A:B,2,0)</f>
        <v>Jessica Gonzalez</v>
      </c>
      <c r="E12" s="22" t="str">
        <f>VLOOKUP(C12,Sales_Fact!C:D,2,0)</f>
        <v>PROD39</v>
      </c>
      <c r="F12" s="22" t="str">
        <f>VLOOKUP(E12,Product_Dim!A:C,3,0)</f>
        <v>Electronics</v>
      </c>
      <c r="G12" s="22" t="str" cm="1">
        <f t="array" ref="G12:L12">_xlfn.XLOOKUP(C12,Sales_Fact!C12:C1996,Sales_Fact!E12:J1996)</f>
        <v>STORE1</v>
      </c>
      <c r="H12" s="22">
        <v>4</v>
      </c>
      <c r="I12" s="22">
        <v>286.92</v>
      </c>
      <c r="J12" s="22">
        <v>0.17</v>
      </c>
      <c r="K12" s="22" t="str">
        <v>Credit Card</v>
      </c>
      <c r="L12" s="22">
        <v>952.57439999999997</v>
      </c>
    </row>
    <row r="13" spans="1:12" x14ac:dyDescent="0.3">
      <c r="A13" s="22" t="s">
        <v>1836</v>
      </c>
      <c r="B13" s="34" cm="1">
        <f t="array" ref="B13:C13">_xlfn.XLOOKUP(A13,Sales_Fact!A13:A1997,Sales_Fact!B13:C1997)</f>
        <v>45528</v>
      </c>
      <c r="C13" s="22" t="str">
        <v>CUST1237</v>
      </c>
      <c r="D13" s="22" t="str">
        <f>VLOOKUP('Combine Products &amp; Sales Facts'!C13,'Customer Details'!A:B,2,0)</f>
        <v>Wesley Short</v>
      </c>
      <c r="E13" s="22" t="str">
        <f>VLOOKUP(C13,Sales_Fact!C:D,2,0)</f>
        <v>PROD88</v>
      </c>
      <c r="F13" s="22" t="str">
        <f>VLOOKUP(E13,Product_Dim!A:C,3,0)</f>
        <v>Sports</v>
      </c>
      <c r="G13" s="22" t="str" cm="1">
        <f t="array" ref="G13:L13">_xlfn.XLOOKUP(C13,Sales_Fact!C13:C1997,Sales_Fact!E13:J1997)</f>
        <v>STORE4</v>
      </c>
      <c r="H13" s="22">
        <v>4</v>
      </c>
      <c r="I13" s="22">
        <v>644.58000000000004</v>
      </c>
      <c r="J13" s="22">
        <v>0.01</v>
      </c>
      <c r="K13" s="22" t="str">
        <v>Credit Card</v>
      </c>
      <c r="L13" s="22">
        <v>2552.5367999999999</v>
      </c>
    </row>
    <row r="14" spans="1:12" x14ac:dyDescent="0.3">
      <c r="A14" s="22" t="s">
        <v>1837</v>
      </c>
      <c r="B14" s="34" cm="1">
        <f t="array" ref="B14:C14">_xlfn.XLOOKUP(A14,Sales_Fact!A14:A1998,Sales_Fact!B14:C1998)</f>
        <v>45875</v>
      </c>
      <c r="C14" s="22" t="str">
        <v>CUST1443</v>
      </c>
      <c r="D14" s="22" t="str">
        <f>VLOOKUP('Combine Products &amp; Sales Facts'!C14,'Customer Details'!A:B,2,0)</f>
        <v>Adam Castro</v>
      </c>
      <c r="E14" s="22" t="str">
        <f>VLOOKUP(C14,Sales_Fact!C:D,2,0)</f>
        <v>PROD34</v>
      </c>
      <c r="F14" s="22" t="str">
        <f>VLOOKUP(E14,Product_Dim!A:C,3,0)</f>
        <v>Electronics</v>
      </c>
      <c r="G14" s="22" t="str" cm="1">
        <f t="array" ref="G14:L14">_xlfn.XLOOKUP(C14,Sales_Fact!C14:C1998,Sales_Fact!E14:J1998)</f>
        <v>STORE16</v>
      </c>
      <c r="H14" s="22">
        <v>2</v>
      </c>
      <c r="I14" s="22">
        <v>316.89999999999998</v>
      </c>
      <c r="J14" s="22">
        <v>0.3</v>
      </c>
      <c r="K14" s="22" t="str">
        <v>PayPal</v>
      </c>
      <c r="L14" s="22">
        <v>443.66</v>
      </c>
    </row>
    <row r="15" spans="1:12" x14ac:dyDescent="0.3">
      <c r="A15" s="22" t="s">
        <v>1838</v>
      </c>
      <c r="B15" s="34" cm="1">
        <f t="array" ref="B15:C15">_xlfn.XLOOKUP(A15,Sales_Fact!A15:A1999,Sales_Fact!B15:C1999)</f>
        <v>45829</v>
      </c>
      <c r="C15" s="22" t="str">
        <v>CUST1348</v>
      </c>
      <c r="D15" s="22" t="str">
        <f>VLOOKUP('Combine Products &amp; Sales Facts'!C15,'Customer Details'!A:B,2,0)</f>
        <v>Sherry Cabrera</v>
      </c>
      <c r="E15" s="22" t="str">
        <f>VLOOKUP(C15,Sales_Fact!C:D,2,0)</f>
        <v>PROD24</v>
      </c>
      <c r="F15" s="22" t="str">
        <f>VLOOKUP(E15,Product_Dim!A:C,3,0)</f>
        <v>Sports</v>
      </c>
      <c r="G15" s="22" t="str" cm="1">
        <f t="array" ref="G15:L15">_xlfn.XLOOKUP(C15,Sales_Fact!C15:C1999,Sales_Fact!E15:J1999)</f>
        <v>STORE15</v>
      </c>
      <c r="H15" s="22">
        <v>4</v>
      </c>
      <c r="I15" s="22">
        <v>403.47</v>
      </c>
      <c r="J15" s="22">
        <v>0.28999999999999998</v>
      </c>
      <c r="K15" s="22" t="str">
        <v>PayPal</v>
      </c>
      <c r="L15" s="22">
        <v>1145.8548000000001</v>
      </c>
    </row>
    <row r="16" spans="1:12" x14ac:dyDescent="0.3">
      <c r="A16" s="22" t="s">
        <v>1839</v>
      </c>
      <c r="B16" s="34" cm="1">
        <f t="array" ref="B16:C16">_xlfn.XLOOKUP(A16,Sales_Fact!A16:A2000,Sales_Fact!B16:C2000)</f>
        <v>45913</v>
      </c>
      <c r="C16" s="22" t="str">
        <v>CUST1276</v>
      </c>
      <c r="D16" s="22" t="str">
        <f>VLOOKUP('Combine Products &amp; Sales Facts'!C16,'Customer Details'!A:B,2,0)</f>
        <v>Arthur Warren</v>
      </c>
      <c r="E16" s="22" t="str">
        <f>VLOOKUP(C16,Sales_Fact!C:D,2,0)</f>
        <v>PROD65</v>
      </c>
      <c r="F16" s="22" t="str">
        <f>VLOOKUP(E16,Product_Dim!A:C,3,0)</f>
        <v>Sports</v>
      </c>
      <c r="G16" s="22" t="str" cm="1">
        <f t="array" ref="G16:L16">_xlfn.XLOOKUP(C16,Sales_Fact!C16:C2000,Sales_Fact!E16:J2000)</f>
        <v>STORE19</v>
      </c>
      <c r="H16" s="22">
        <v>2</v>
      </c>
      <c r="I16" s="22">
        <v>451.98</v>
      </c>
      <c r="J16" s="22">
        <v>0.25</v>
      </c>
      <c r="K16" s="22" t="str">
        <v>Credit Card</v>
      </c>
      <c r="L16" s="22">
        <v>677.97</v>
      </c>
    </row>
    <row r="17" spans="1:12" x14ac:dyDescent="0.3">
      <c r="A17" s="22" t="s">
        <v>3938</v>
      </c>
      <c r="B17" s="34" cm="1">
        <f t="array" ref="B17:C17">_xlfn.XLOOKUP(A17,Sales_Fact!A17:A2001,Sales_Fact!B17:C2001)</f>
        <v>45637</v>
      </c>
      <c r="C17" s="22" t="str">
        <v>CUST1079</v>
      </c>
      <c r="D17" s="22" t="str">
        <f>VLOOKUP('Combine Products &amp; Sales Facts'!C17,'Customer Details'!A:B,2,0)</f>
        <v>Molly Gardner</v>
      </c>
      <c r="E17" s="22" t="str">
        <f>VLOOKUP(C17,Sales_Fact!C:D,2,0)</f>
        <v>PROD27</v>
      </c>
      <c r="F17" s="22" t="str">
        <f>VLOOKUP(E17,Product_Dim!A:C,3,0)</f>
        <v>Home</v>
      </c>
      <c r="G17" s="22" t="str" cm="1">
        <f t="array" ref="G17:L17">_xlfn.XLOOKUP(C17,Sales_Fact!C17:C2001,Sales_Fact!E17:J2001)</f>
        <v>STORE4</v>
      </c>
      <c r="H17" s="22">
        <v>2</v>
      </c>
      <c r="I17" s="22">
        <v>502.69</v>
      </c>
      <c r="J17" s="22">
        <v>0.23</v>
      </c>
      <c r="K17" s="22" t="str">
        <v>Credit Card</v>
      </c>
      <c r="L17" s="22">
        <v>774.14260000000002</v>
      </c>
    </row>
    <row r="18" spans="1:12" x14ac:dyDescent="0.3">
      <c r="A18" s="22" t="s">
        <v>1840</v>
      </c>
      <c r="B18" s="34" cm="1">
        <f t="array" ref="B18:C18">_xlfn.XLOOKUP(A18,Sales_Fact!A18:A2002,Sales_Fact!B18:C2002)</f>
        <v>45517</v>
      </c>
      <c r="C18" s="22" t="str">
        <v>CUST1094</v>
      </c>
      <c r="D18" s="22" t="str">
        <f>VLOOKUP('Combine Products &amp; Sales Facts'!C18,'Customer Details'!A:B,2,0)</f>
        <v>David Patterson</v>
      </c>
      <c r="E18" s="22" t="str">
        <f>VLOOKUP(C18,Sales_Fact!C:D,2,0)</f>
        <v>PROD39</v>
      </c>
      <c r="F18" s="22" t="str">
        <f>VLOOKUP(E18,Product_Dim!A:C,3,0)</f>
        <v>Electronics</v>
      </c>
      <c r="G18" s="22" t="str" cm="1">
        <f t="array" ref="G18:L18">_xlfn.XLOOKUP(C18,Sales_Fact!C18:C2002,Sales_Fact!E18:J2002)</f>
        <v>STORE4</v>
      </c>
      <c r="H18" s="22">
        <v>2</v>
      </c>
      <c r="I18" s="22">
        <v>559.23</v>
      </c>
      <c r="J18" s="22">
        <v>0.25</v>
      </c>
      <c r="K18" s="22" t="str">
        <v>COD</v>
      </c>
      <c r="L18" s="22">
        <v>838.84500000000003</v>
      </c>
    </row>
    <row r="19" spans="1:12" x14ac:dyDescent="0.3">
      <c r="A19" s="22" t="s">
        <v>1841</v>
      </c>
      <c r="B19" s="34" cm="1">
        <f t="array" ref="B19:C19">_xlfn.XLOOKUP(A19,Sales_Fact!A19:A2003,Sales_Fact!B19:C2003)</f>
        <v>45843</v>
      </c>
      <c r="C19" s="22" t="str">
        <v>CUST1144</v>
      </c>
      <c r="D19" s="22" t="str">
        <f>VLOOKUP('Combine Products &amp; Sales Facts'!C19,'Customer Details'!A:B,2,0)</f>
        <v>Justin Cross</v>
      </c>
      <c r="E19" s="22" t="str">
        <f>VLOOKUP(C19,Sales_Fact!C:D,2,0)</f>
        <v>PROD72</v>
      </c>
      <c r="F19" s="22" t="str">
        <f>VLOOKUP(E19,Product_Dim!A:C,3,0)</f>
        <v>Sports</v>
      </c>
      <c r="G19" s="22" t="str" cm="1">
        <f t="array" ref="G19:L19">_xlfn.XLOOKUP(C19,Sales_Fact!C19:C2003,Sales_Fact!E19:J2003)</f>
        <v>STORE17</v>
      </c>
      <c r="H19" s="22">
        <v>3</v>
      </c>
      <c r="I19" s="22">
        <v>986.04</v>
      </c>
      <c r="J19" s="22">
        <v>0.27</v>
      </c>
      <c r="K19" s="22" t="str">
        <v>COD</v>
      </c>
      <c r="L19" s="22">
        <v>2159.4276</v>
      </c>
    </row>
    <row r="20" spans="1:12" x14ac:dyDescent="0.3">
      <c r="A20" s="22" t="s">
        <v>1842</v>
      </c>
      <c r="B20" s="34" cm="1">
        <f t="array" ref="B20:C20">_xlfn.XLOOKUP(A20,Sales_Fact!A20:A2004,Sales_Fact!B20:C2004)</f>
        <v>45447</v>
      </c>
      <c r="C20" s="22" t="str">
        <v>CUST1396</v>
      </c>
      <c r="D20" s="22" t="str">
        <f>VLOOKUP('Combine Products &amp; Sales Facts'!C20,'Customer Details'!A:B,2,0)</f>
        <v>Alexander Byrd</v>
      </c>
      <c r="E20" s="22" t="str">
        <f>VLOOKUP(C20,Sales_Fact!C:D,2,0)</f>
        <v>PROD43</v>
      </c>
      <c r="F20" s="22" t="str">
        <f>VLOOKUP(E20,Product_Dim!A:C,3,0)</f>
        <v>Electronics</v>
      </c>
      <c r="G20" s="22" t="str" cm="1">
        <f t="array" ref="G20:L20">_xlfn.XLOOKUP(C20,Sales_Fact!C20:C2004,Sales_Fact!E20:J2004)</f>
        <v>STORE18</v>
      </c>
      <c r="H20" s="22">
        <v>1</v>
      </c>
      <c r="I20" s="22">
        <v>589.55999999999995</v>
      </c>
      <c r="J20" s="22">
        <v>0.22</v>
      </c>
      <c r="K20" s="22" t="str">
        <v>Credit Card</v>
      </c>
      <c r="L20" s="22">
        <v>459.85680000000002</v>
      </c>
    </row>
    <row r="21" spans="1:12" x14ac:dyDescent="0.3">
      <c r="A21" s="22" t="s">
        <v>3939</v>
      </c>
      <c r="B21" s="34" cm="1">
        <f t="array" ref="B21:C21">_xlfn.XLOOKUP(A21,Sales_Fact!A21:A2005,Sales_Fact!B21:C2005)</f>
        <v>45394</v>
      </c>
      <c r="C21" s="22" t="str">
        <v>CUST1476</v>
      </c>
      <c r="D21" s="22" t="str">
        <f>VLOOKUP('Combine Products &amp; Sales Facts'!C21,'Customer Details'!A:B,2,0)</f>
        <v>Elizabeth Foster</v>
      </c>
      <c r="E21" s="22" t="str">
        <f>VLOOKUP(C21,Sales_Fact!C:D,2,0)</f>
        <v>PROD69</v>
      </c>
      <c r="F21" s="22" t="str">
        <f>VLOOKUP(E21,Product_Dim!A:C,3,0)</f>
        <v>Clothing</v>
      </c>
      <c r="G21" s="22" t="str" cm="1">
        <f t="array" ref="G21:L21">_xlfn.XLOOKUP(C21,Sales_Fact!C21:C2005,Sales_Fact!E21:J2005)</f>
        <v>STORE10</v>
      </c>
      <c r="H21" s="22">
        <v>3</v>
      </c>
      <c r="I21" s="22">
        <v>979.42</v>
      </c>
      <c r="J21" s="22">
        <v>0.03</v>
      </c>
      <c r="K21" s="22" t="str">
        <v>PayPal</v>
      </c>
      <c r="L21" s="22">
        <v>2850.1122</v>
      </c>
    </row>
    <row r="22" spans="1:12" x14ac:dyDescent="0.3">
      <c r="A22" s="22" t="s">
        <v>1843</v>
      </c>
      <c r="B22" s="34" cm="1">
        <f t="array" ref="B22:C22">_xlfn.XLOOKUP(A22,Sales_Fact!A22:A2006,Sales_Fact!B22:C2006)</f>
        <v>45466</v>
      </c>
      <c r="C22" s="22" t="str">
        <v>CUST1368</v>
      </c>
      <c r="D22" s="22" t="str">
        <f>VLOOKUP('Combine Products &amp; Sales Facts'!C22,'Customer Details'!A:B,2,0)</f>
        <v>Miranda King</v>
      </c>
      <c r="E22" s="22" t="str">
        <f>VLOOKUP(C22,Sales_Fact!C:D,2,0)</f>
        <v>PROD12</v>
      </c>
      <c r="F22" s="22" t="str">
        <f>VLOOKUP(E22,Product_Dim!A:C,3,0)</f>
        <v>Beauty</v>
      </c>
      <c r="G22" s="22" t="str" cm="1">
        <f t="array" ref="G22:L22">_xlfn.XLOOKUP(C22,Sales_Fact!C22:C2006,Sales_Fact!E22:J2006)</f>
        <v>STORE8</v>
      </c>
      <c r="H22" s="22">
        <v>1</v>
      </c>
      <c r="I22" s="22">
        <v>719.28</v>
      </c>
      <c r="J22" s="22">
        <v>0.08</v>
      </c>
      <c r="K22" s="22" t="str">
        <v>Credit Card</v>
      </c>
      <c r="L22" s="22">
        <v>661.73760000000004</v>
      </c>
    </row>
    <row r="23" spans="1:12" x14ac:dyDescent="0.3">
      <c r="A23" s="22" t="s">
        <v>1844</v>
      </c>
      <c r="B23" s="34" cm="1">
        <f t="array" ref="B23:C23">_xlfn.XLOOKUP(A23,Sales_Fact!A23:A2007,Sales_Fact!B23:C2007)</f>
        <v>45908</v>
      </c>
      <c r="C23" s="22" t="str">
        <v>CUST1186</v>
      </c>
      <c r="D23" s="22" t="str">
        <f>VLOOKUP('Combine Products &amp; Sales Facts'!C23,'Customer Details'!A:B,2,0)</f>
        <v>Jennifer Pruitt</v>
      </c>
      <c r="E23" s="22" t="str">
        <f>VLOOKUP(C23,Sales_Fact!C:D,2,0)</f>
        <v>PROD67</v>
      </c>
      <c r="F23" s="22" t="str">
        <f>VLOOKUP(E23,Product_Dim!A:C,3,0)</f>
        <v>Electronics</v>
      </c>
      <c r="G23" s="22" t="str" cm="1">
        <f t="array" ref="G23:L23">_xlfn.XLOOKUP(C23,Sales_Fact!C23:C2007,Sales_Fact!E23:J2007)</f>
        <v>STORE6</v>
      </c>
      <c r="H23" s="22">
        <v>3</v>
      </c>
      <c r="I23" s="22">
        <v>77.599999999999994</v>
      </c>
      <c r="J23" s="22">
        <v>7.0000000000000007E-2</v>
      </c>
      <c r="K23" s="22" t="str">
        <v>Credit Card</v>
      </c>
      <c r="L23" s="22">
        <v>216.50399999999999</v>
      </c>
    </row>
    <row r="24" spans="1:12" x14ac:dyDescent="0.3">
      <c r="A24" s="22" t="s">
        <v>1845</v>
      </c>
      <c r="B24" s="34" cm="1">
        <f t="array" ref="B24:C24">_xlfn.XLOOKUP(A24,Sales_Fact!A24:A2008,Sales_Fact!B24:C2008)</f>
        <v>45552</v>
      </c>
      <c r="C24" s="22" t="str">
        <v>CUST1381</v>
      </c>
      <c r="D24" s="22" t="str">
        <f>VLOOKUP('Combine Products &amp; Sales Facts'!C24,'Customer Details'!A:B,2,0)</f>
        <v>Erika Padilla</v>
      </c>
      <c r="E24" s="22" t="str">
        <f>VLOOKUP(C24,Sales_Fact!C:D,2,0)</f>
        <v>PROD5</v>
      </c>
      <c r="F24" s="22" t="str">
        <f>VLOOKUP(E24,Product_Dim!A:C,3,0)</f>
        <v>Clothing</v>
      </c>
      <c r="G24" s="22" t="str" cm="1">
        <f t="array" ref="G24:L24">_xlfn.XLOOKUP(C24,Sales_Fact!C24:C2008,Sales_Fact!E24:J2008)</f>
        <v>STORE3</v>
      </c>
      <c r="H24" s="22">
        <v>4</v>
      </c>
      <c r="I24" s="22">
        <v>852.71</v>
      </c>
      <c r="J24" s="22">
        <v>0.14000000000000001</v>
      </c>
      <c r="K24" s="22" t="str">
        <v>PayPal</v>
      </c>
      <c r="L24" s="22">
        <v>2933.3224</v>
      </c>
    </row>
    <row r="25" spans="1:12" x14ac:dyDescent="0.3">
      <c r="A25" s="22" t="s">
        <v>1846</v>
      </c>
      <c r="B25" s="34" cm="1">
        <f t="array" ref="B25:C25">_xlfn.XLOOKUP(A25,Sales_Fact!A25:A2009,Sales_Fact!B25:C2009)</f>
        <v>45710</v>
      </c>
      <c r="C25" s="22" t="str">
        <v>CUST1200</v>
      </c>
      <c r="D25" s="22" t="str">
        <f>VLOOKUP('Combine Products &amp; Sales Facts'!C25,'Customer Details'!A:B,2,0)</f>
        <v>Anna Perez</v>
      </c>
      <c r="E25" s="22" t="str">
        <f>VLOOKUP(C25,Sales_Fact!C:D,2,0)</f>
        <v>PROD77</v>
      </c>
      <c r="F25" s="22" t="str">
        <f>VLOOKUP(E25,Product_Dim!A:C,3,0)</f>
        <v>Electronics</v>
      </c>
      <c r="G25" s="22" t="str" cm="1">
        <f t="array" ref="G25:L25">_xlfn.XLOOKUP(C25,Sales_Fact!C25:C2009,Sales_Fact!E25:J2009)</f>
        <v>STORE8</v>
      </c>
      <c r="H25" s="22">
        <v>3</v>
      </c>
      <c r="I25" s="22">
        <v>815.49</v>
      </c>
      <c r="J25" s="22">
        <v>0.17</v>
      </c>
      <c r="K25" s="22" t="str">
        <v>Credit Card</v>
      </c>
      <c r="L25" s="22">
        <v>2030.5700999999999</v>
      </c>
    </row>
    <row r="26" spans="1:12" x14ac:dyDescent="0.3">
      <c r="A26" s="22" t="s">
        <v>1847</v>
      </c>
      <c r="B26" s="34" cm="1">
        <f t="array" ref="B26:C26">_xlfn.XLOOKUP(A26,Sales_Fact!A26:A2010,Sales_Fact!B26:C2010)</f>
        <v>45923</v>
      </c>
      <c r="C26" s="22" t="str">
        <v>CUST1148</v>
      </c>
      <c r="D26" s="22" t="str">
        <f>VLOOKUP('Combine Products &amp; Sales Facts'!C26,'Customer Details'!A:B,2,0)</f>
        <v>Theresa Campbell</v>
      </c>
      <c r="E26" s="22" t="str">
        <f>VLOOKUP(C26,Sales_Fact!C:D,2,0)</f>
        <v>PROD13</v>
      </c>
      <c r="F26" s="22" t="str">
        <f>VLOOKUP(E26,Product_Dim!A:C,3,0)</f>
        <v>Electronics</v>
      </c>
      <c r="G26" s="22" t="str" cm="1">
        <f t="array" ref="G26:L26">_xlfn.XLOOKUP(C26,Sales_Fact!C26:C2010,Sales_Fact!E26:J2010)</f>
        <v>STORE2</v>
      </c>
      <c r="H26" s="22">
        <v>2</v>
      </c>
      <c r="I26" s="22">
        <v>74.209999999999994</v>
      </c>
      <c r="J26" s="22">
        <v>0.11</v>
      </c>
      <c r="K26" s="22" t="str">
        <v>PayPal</v>
      </c>
      <c r="L26" s="22">
        <v>132.09379999999999</v>
      </c>
    </row>
    <row r="27" spans="1:12" x14ac:dyDescent="0.3">
      <c r="A27" s="22" t="s">
        <v>1848</v>
      </c>
      <c r="B27" s="34" cm="1">
        <f t="array" ref="B27:C27">_xlfn.XLOOKUP(A27,Sales_Fact!A27:A2011,Sales_Fact!B27:C2011)</f>
        <v>45217</v>
      </c>
      <c r="C27" s="22" t="str">
        <v>CUST1028</v>
      </c>
      <c r="D27" s="22" t="str">
        <f>VLOOKUP('Combine Products &amp; Sales Facts'!C27,'Customer Details'!A:B,2,0)</f>
        <v>Joshua Ryan</v>
      </c>
      <c r="E27" s="22" t="str">
        <f>VLOOKUP(C27,Sales_Fact!C:D,2,0)</f>
        <v>PROD5</v>
      </c>
      <c r="F27" s="22" t="str">
        <f>VLOOKUP(E27,Product_Dim!A:C,3,0)</f>
        <v>Clothing</v>
      </c>
      <c r="G27" s="22" t="str" cm="1">
        <f t="array" ref="G27:L27">_xlfn.XLOOKUP(C27,Sales_Fact!C27:C2011,Sales_Fact!E27:J2011)</f>
        <v>STORE19</v>
      </c>
      <c r="H27" s="22">
        <v>1</v>
      </c>
      <c r="I27" s="22">
        <v>429.38</v>
      </c>
      <c r="J27" s="22">
        <v>0.13</v>
      </c>
      <c r="K27" s="22" t="str">
        <v>PayPal</v>
      </c>
      <c r="L27" s="22">
        <v>373.56060000000002</v>
      </c>
    </row>
    <row r="28" spans="1:12" x14ac:dyDescent="0.3">
      <c r="A28" s="22" t="s">
        <v>3940</v>
      </c>
      <c r="B28" s="34" cm="1">
        <f t="array" ref="B28:C28">_xlfn.XLOOKUP(A28,Sales_Fact!A28:A2012,Sales_Fact!B28:C2012)</f>
        <v>45593</v>
      </c>
      <c r="C28" s="22" t="str">
        <v>CUST1412</v>
      </c>
      <c r="D28" s="22" t="str">
        <f>VLOOKUP('Combine Products &amp; Sales Facts'!C28,'Customer Details'!A:B,2,0)</f>
        <v>Shane Brown</v>
      </c>
      <c r="E28" s="22" t="str">
        <f>VLOOKUP(C28,Sales_Fact!C:D,2,0)</f>
        <v>PROD53</v>
      </c>
      <c r="F28" s="22" t="str">
        <f>VLOOKUP(E28,Product_Dim!A:C,3,0)</f>
        <v>Clothing</v>
      </c>
      <c r="G28" s="22" t="str" cm="1">
        <f t="array" ref="G28:L28">_xlfn.XLOOKUP(C28,Sales_Fact!C28:C2012,Sales_Fact!E28:J2012)</f>
        <v>STORE12</v>
      </c>
      <c r="H28" s="22">
        <v>2</v>
      </c>
      <c r="I28" s="22">
        <v>148.96</v>
      </c>
      <c r="J28" s="22">
        <v>0.03</v>
      </c>
      <c r="K28" s="22" t="str">
        <v>COD</v>
      </c>
      <c r="L28" s="22">
        <v>288.98239999999998</v>
      </c>
    </row>
    <row r="29" spans="1:12" x14ac:dyDescent="0.3">
      <c r="A29" s="22" t="s">
        <v>1849</v>
      </c>
      <c r="B29" s="34" cm="1">
        <f t="array" ref="B29:C29">_xlfn.XLOOKUP(A29,Sales_Fact!A29:A2013,Sales_Fact!B29:C2013)</f>
        <v>45597</v>
      </c>
      <c r="C29" s="22" t="str">
        <v>CUST1398</v>
      </c>
      <c r="D29" s="22" t="str">
        <f>VLOOKUP('Combine Products &amp; Sales Facts'!C29,'Customer Details'!A:B,2,0)</f>
        <v>Jennifer Johnson</v>
      </c>
      <c r="E29" s="22" t="str">
        <f>VLOOKUP(C29,Sales_Fact!C:D,2,0)</f>
        <v>PROD75</v>
      </c>
      <c r="F29" s="22" t="str">
        <f>VLOOKUP(E29,Product_Dim!A:C,3,0)</f>
        <v>Clothing</v>
      </c>
      <c r="G29" s="22" t="str" cm="1">
        <f t="array" ref="G29:L29">_xlfn.XLOOKUP(C29,Sales_Fact!C29:C2013,Sales_Fact!E29:J2013)</f>
        <v>STORE8</v>
      </c>
      <c r="H29" s="22">
        <v>4</v>
      </c>
      <c r="I29" s="22">
        <v>313.83</v>
      </c>
      <c r="J29" s="22">
        <v>0.08</v>
      </c>
      <c r="K29" s="22" t="str">
        <v>Credit Card</v>
      </c>
      <c r="L29" s="22">
        <v>1154.8943999999999</v>
      </c>
    </row>
    <row r="30" spans="1:12" x14ac:dyDescent="0.3">
      <c r="A30" s="22" t="s">
        <v>1850</v>
      </c>
      <c r="B30" s="34" cm="1">
        <f t="array" ref="B30:C30">_xlfn.XLOOKUP(A30,Sales_Fact!A30:A2014,Sales_Fact!B30:C2014)</f>
        <v>45620</v>
      </c>
      <c r="C30" s="22" t="str">
        <v>CUST1453</v>
      </c>
      <c r="D30" s="22" t="str">
        <f>VLOOKUP('Combine Products &amp; Sales Facts'!C30,'Customer Details'!A:B,2,0)</f>
        <v>April Phillips</v>
      </c>
      <c r="E30" s="22" t="str">
        <f>VLOOKUP(C30,Sales_Fact!C:D,2,0)</f>
        <v>PROD12</v>
      </c>
      <c r="F30" s="22" t="str">
        <f>VLOOKUP(E30,Product_Dim!A:C,3,0)</f>
        <v>Beauty</v>
      </c>
      <c r="G30" s="22" t="str" cm="1">
        <f t="array" ref="G30:L30">_xlfn.XLOOKUP(C30,Sales_Fact!C30:C2014,Sales_Fact!E30:J2014)</f>
        <v>STORE6</v>
      </c>
      <c r="H30" s="22">
        <v>2</v>
      </c>
      <c r="I30" s="22">
        <v>717.31</v>
      </c>
      <c r="J30" s="22">
        <v>0.15</v>
      </c>
      <c r="K30" s="22" t="str">
        <v>Credit Card</v>
      </c>
      <c r="L30" s="22">
        <v>1219.4269999999999</v>
      </c>
    </row>
    <row r="31" spans="1:12" x14ac:dyDescent="0.3">
      <c r="A31" s="22" t="s">
        <v>3941</v>
      </c>
      <c r="B31" s="34" cm="1">
        <f t="array" ref="B31:C31">_xlfn.XLOOKUP(A31,Sales_Fact!A31:A2015,Sales_Fact!B31:C2015)</f>
        <v>45878</v>
      </c>
      <c r="C31" s="22" t="str">
        <v>CUST1218</v>
      </c>
      <c r="D31" s="22" t="str">
        <f>VLOOKUP('Combine Products &amp; Sales Facts'!C31,'Customer Details'!A:B,2,0)</f>
        <v>Julia Jackson</v>
      </c>
      <c r="E31" s="22" t="str">
        <f>VLOOKUP(C31,Sales_Fact!C:D,2,0)</f>
        <v>PROD16</v>
      </c>
      <c r="F31" s="22" t="str">
        <f>VLOOKUP(E31,Product_Dim!A:C,3,0)</f>
        <v>Beauty</v>
      </c>
      <c r="G31" s="22" t="str" cm="1">
        <f t="array" ref="G31:L31">_xlfn.XLOOKUP(C31,Sales_Fact!C31:C2015,Sales_Fact!E31:J2015)</f>
        <v>STORE3</v>
      </c>
      <c r="H31" s="22">
        <v>4</v>
      </c>
      <c r="I31" s="22">
        <v>109.36</v>
      </c>
      <c r="J31" s="22">
        <v>0.19</v>
      </c>
      <c r="K31" s="22" t="str">
        <v>COD</v>
      </c>
      <c r="L31" s="22">
        <v>354.32639999999998</v>
      </c>
    </row>
    <row r="32" spans="1:12" x14ac:dyDescent="0.3">
      <c r="A32" s="22" t="s">
        <v>1851</v>
      </c>
      <c r="B32" s="34" cm="1">
        <f t="array" ref="B32:C32">_xlfn.XLOOKUP(A32,Sales_Fact!A32:A2016,Sales_Fact!B32:C2016)</f>
        <v>45635</v>
      </c>
      <c r="C32" s="22" t="str">
        <v>CUST1086</v>
      </c>
      <c r="D32" s="22" t="str">
        <f>VLOOKUP('Combine Products &amp; Sales Facts'!C32,'Customer Details'!A:B,2,0)</f>
        <v>Tammy Miller Md</v>
      </c>
      <c r="E32" s="22" t="str">
        <f>VLOOKUP(C32,Sales_Fact!C:D,2,0)</f>
        <v>PROD5</v>
      </c>
      <c r="F32" s="22" t="str">
        <f>VLOOKUP(E32,Product_Dim!A:C,3,0)</f>
        <v>Clothing</v>
      </c>
      <c r="G32" s="22" t="str" cm="1">
        <f t="array" ref="G32:L32">_xlfn.XLOOKUP(C32,Sales_Fact!C32:C2016,Sales_Fact!E32:J2016)</f>
        <v>STORE7</v>
      </c>
      <c r="H32" s="22">
        <v>3</v>
      </c>
      <c r="I32" s="22">
        <v>559.52</v>
      </c>
      <c r="J32" s="22">
        <v>0.16</v>
      </c>
      <c r="K32" s="22" t="str">
        <v>PayPal</v>
      </c>
      <c r="L32" s="22">
        <v>1409.9903999999999</v>
      </c>
    </row>
    <row r="33" spans="1:12" x14ac:dyDescent="0.3">
      <c r="A33" s="22" t="s">
        <v>1852</v>
      </c>
      <c r="B33" s="34" cm="1">
        <f t="array" ref="B33:C33">_xlfn.XLOOKUP(A33,Sales_Fact!A33:A2017,Sales_Fact!B33:C2017)</f>
        <v>45329</v>
      </c>
      <c r="C33" s="22" t="str">
        <v>CUST1492</v>
      </c>
      <c r="D33" s="22" t="str">
        <f>VLOOKUP('Combine Products &amp; Sales Facts'!C33,'Customer Details'!A:B,2,0)</f>
        <v>Darrell Miller</v>
      </c>
      <c r="E33" s="22" t="str">
        <f>VLOOKUP(C33,Sales_Fact!C:D,2,0)</f>
        <v>PROD10</v>
      </c>
      <c r="F33" s="22" t="str">
        <f>VLOOKUP(E33,Product_Dim!A:C,3,0)</f>
        <v>Home</v>
      </c>
      <c r="G33" s="22" t="str" cm="1">
        <f t="array" ref="G33:L33">_xlfn.XLOOKUP(C33,Sales_Fact!C33:C2017,Sales_Fact!E33:J2017)</f>
        <v>STORE17</v>
      </c>
      <c r="H33" s="22">
        <v>3</v>
      </c>
      <c r="I33" s="22">
        <v>121.76</v>
      </c>
      <c r="J33" s="22">
        <v>0.27</v>
      </c>
      <c r="K33" s="22" t="str">
        <v>PayPal</v>
      </c>
      <c r="L33" s="22">
        <v>266.65440000000001</v>
      </c>
    </row>
    <row r="34" spans="1:12" x14ac:dyDescent="0.3">
      <c r="A34" s="22" t="s">
        <v>1853</v>
      </c>
      <c r="B34" s="34" cm="1">
        <f t="array" ref="B34:C34">_xlfn.XLOOKUP(A34,Sales_Fact!A34:A2018,Sales_Fact!B34:C2018)</f>
        <v>45378</v>
      </c>
      <c r="C34" s="22" t="str">
        <v>CUST1189</v>
      </c>
      <c r="D34" s="22" t="str">
        <f>VLOOKUP('Combine Products &amp; Sales Facts'!C34,'Customer Details'!A:B,2,0)</f>
        <v>Daniel Austin</v>
      </c>
      <c r="E34" s="22" t="str">
        <f>VLOOKUP(C34,Sales_Fact!C:D,2,0)</f>
        <v>PROD33</v>
      </c>
      <c r="F34" s="22" t="str">
        <f>VLOOKUP(E34,Product_Dim!A:C,3,0)</f>
        <v>Home</v>
      </c>
      <c r="G34" s="22" t="str" cm="1">
        <f t="array" ref="G34:L34">_xlfn.XLOOKUP(C34,Sales_Fact!C34:C2018,Sales_Fact!E34:J2018)</f>
        <v>STORE13</v>
      </c>
      <c r="H34" s="22">
        <v>4</v>
      </c>
      <c r="I34" s="22">
        <v>735.32</v>
      </c>
      <c r="J34" s="22">
        <v>0.06</v>
      </c>
      <c r="K34" s="22" t="str">
        <v>COD</v>
      </c>
      <c r="L34" s="22">
        <v>2764.8031999999998</v>
      </c>
    </row>
    <row r="35" spans="1:12" x14ac:dyDescent="0.3">
      <c r="A35" s="22" t="s">
        <v>1854</v>
      </c>
      <c r="B35" s="34" cm="1">
        <f t="array" ref="B35:C35">_xlfn.XLOOKUP(A35,Sales_Fact!A35:A2019,Sales_Fact!B35:C2019)</f>
        <v>45264</v>
      </c>
      <c r="C35" s="22" t="str">
        <v>CUST1431</v>
      </c>
      <c r="D35" s="22" t="str">
        <f>VLOOKUP('Combine Products &amp; Sales Facts'!C35,'Customer Details'!A:B,2,0)</f>
        <v>John Smith</v>
      </c>
      <c r="E35" s="22" t="str">
        <f>VLOOKUP(C35,Sales_Fact!C:D,2,0)</f>
        <v>PROD94</v>
      </c>
      <c r="F35" s="22" t="str">
        <f>VLOOKUP(E35,Product_Dim!A:C,3,0)</f>
        <v>Beauty</v>
      </c>
      <c r="G35" s="22" t="str" cm="1">
        <f t="array" ref="G35:L35">_xlfn.XLOOKUP(C35,Sales_Fact!C35:C2019,Sales_Fact!E35:J2019)</f>
        <v>STORE3</v>
      </c>
      <c r="H35" s="22">
        <v>2</v>
      </c>
      <c r="I35" s="22">
        <v>600.73</v>
      </c>
      <c r="J35" s="22">
        <v>0.08</v>
      </c>
      <c r="K35" s="22" t="str">
        <v>Credit Card</v>
      </c>
      <c r="L35" s="22">
        <v>1105.3432</v>
      </c>
    </row>
    <row r="36" spans="1:12" x14ac:dyDescent="0.3">
      <c r="A36" s="22" t="s">
        <v>3942</v>
      </c>
      <c r="B36" s="34" cm="1">
        <f t="array" ref="B36:C36">_xlfn.XLOOKUP(A36,Sales_Fact!A36:A2020,Sales_Fact!B36:C2020)</f>
        <v>45486</v>
      </c>
      <c r="C36" s="22" t="str">
        <v>CUST1072</v>
      </c>
      <c r="D36" s="22" t="str">
        <f>VLOOKUP('Combine Products &amp; Sales Facts'!C36,'Customer Details'!A:B,2,0)</f>
        <v>Tonya Burch</v>
      </c>
      <c r="E36" s="22" t="str">
        <f>VLOOKUP(C36,Sales_Fact!C:D,2,0)</f>
        <v>PROD26</v>
      </c>
      <c r="F36" s="22" t="str">
        <f>VLOOKUP(E36,Product_Dim!A:C,3,0)</f>
        <v>Electronics</v>
      </c>
      <c r="G36" s="22" t="str" cm="1">
        <f t="array" ref="G36:L36">_xlfn.XLOOKUP(C36,Sales_Fact!C36:C2020,Sales_Fact!E36:J2020)</f>
        <v>STORE19</v>
      </c>
      <c r="H36" s="22">
        <v>2</v>
      </c>
      <c r="I36" s="22">
        <v>873.86</v>
      </c>
      <c r="J36" s="22">
        <v>7.0000000000000007E-2</v>
      </c>
      <c r="K36" s="22" t="str">
        <v>COD</v>
      </c>
      <c r="L36" s="22">
        <v>1625.3796</v>
      </c>
    </row>
    <row r="37" spans="1:12" x14ac:dyDescent="0.3">
      <c r="A37" s="22" t="s">
        <v>1855</v>
      </c>
      <c r="B37" s="34" cm="1">
        <f t="array" ref="B37:C37">_xlfn.XLOOKUP(A37,Sales_Fact!A37:A2021,Sales_Fact!B37:C2021)</f>
        <v>45241</v>
      </c>
      <c r="C37" s="22" t="str">
        <v>CUST1302</v>
      </c>
      <c r="D37" s="22" t="str">
        <f>VLOOKUP('Combine Products &amp; Sales Facts'!C37,'Customer Details'!A:B,2,0)</f>
        <v>Edward Cole</v>
      </c>
      <c r="E37" s="22" t="str">
        <f>VLOOKUP(C37,Sales_Fact!C:D,2,0)</f>
        <v>PROD23</v>
      </c>
      <c r="F37" s="22" t="str">
        <f>VLOOKUP(E37,Product_Dim!A:C,3,0)</f>
        <v>Clothing</v>
      </c>
      <c r="G37" s="22" t="str" cm="1">
        <f t="array" ref="G37:L37">_xlfn.XLOOKUP(C37,Sales_Fact!C37:C2021,Sales_Fact!E37:J2021)</f>
        <v>STORE8</v>
      </c>
      <c r="H37" s="22">
        <v>3</v>
      </c>
      <c r="I37" s="22">
        <v>342.47</v>
      </c>
      <c r="J37" s="22">
        <v>0.08</v>
      </c>
      <c r="K37" s="22" t="str">
        <v>PayPal</v>
      </c>
      <c r="L37" s="22">
        <v>945.21720000000016</v>
      </c>
    </row>
    <row r="38" spans="1:12" x14ac:dyDescent="0.3">
      <c r="A38" s="22" t="s">
        <v>1856</v>
      </c>
      <c r="B38" s="34" cm="1">
        <f t="array" ref="B38:C38">_xlfn.XLOOKUP(A38,Sales_Fact!A38:A2022,Sales_Fact!B38:C2022)</f>
        <v>45649</v>
      </c>
      <c r="C38" s="22" t="str">
        <v>CUST1335</v>
      </c>
      <c r="D38" s="22" t="str">
        <f>VLOOKUP('Combine Products &amp; Sales Facts'!C38,'Customer Details'!A:B,2,0)</f>
        <v>Jennifer Woods</v>
      </c>
      <c r="E38" s="22" t="str">
        <f>VLOOKUP(C38,Sales_Fact!C:D,2,0)</f>
        <v>PROD29</v>
      </c>
      <c r="F38" s="22" t="str">
        <f>VLOOKUP(E38,Product_Dim!A:C,3,0)</f>
        <v>Home</v>
      </c>
      <c r="G38" s="22" t="str" cm="1">
        <f t="array" ref="G38:L38">_xlfn.XLOOKUP(C38,Sales_Fact!C38:C2022,Sales_Fact!E38:J2022)</f>
        <v>STORE9</v>
      </c>
      <c r="H38" s="22">
        <v>2</v>
      </c>
      <c r="I38" s="22">
        <v>915.15</v>
      </c>
      <c r="J38" s="22">
        <v>0.16</v>
      </c>
      <c r="K38" s="22" t="str">
        <v>PayPal</v>
      </c>
      <c r="L38" s="22">
        <v>1537.452</v>
      </c>
    </row>
    <row r="39" spans="1:12" x14ac:dyDescent="0.3">
      <c r="A39" s="22" t="s">
        <v>1857</v>
      </c>
      <c r="B39" s="34" cm="1">
        <f t="array" ref="B39:C39">_xlfn.XLOOKUP(A39,Sales_Fact!A39:A2023,Sales_Fact!B39:C2023)</f>
        <v>45538</v>
      </c>
      <c r="C39" s="22" t="str">
        <v>CUST1203</v>
      </c>
      <c r="D39" s="22" t="str">
        <f>VLOOKUP('Combine Products &amp; Sales Facts'!C39,'Customer Details'!A:B,2,0)</f>
        <v>Sarah Brady</v>
      </c>
      <c r="E39" s="22" t="str">
        <f>VLOOKUP(C39,Sales_Fact!C:D,2,0)</f>
        <v>PROD43</v>
      </c>
      <c r="F39" s="22" t="str">
        <f>VLOOKUP(E39,Product_Dim!A:C,3,0)</f>
        <v>Electronics</v>
      </c>
      <c r="G39" s="22" t="str" cm="1">
        <f t="array" ref="G39:L39">_xlfn.XLOOKUP(C39,Sales_Fact!C39:C2023,Sales_Fact!E39:J2023)</f>
        <v>STORE12</v>
      </c>
      <c r="H39" s="22">
        <v>2</v>
      </c>
      <c r="I39" s="22">
        <v>209.32</v>
      </c>
      <c r="J39" s="22">
        <v>0.23</v>
      </c>
      <c r="K39" s="22" t="str">
        <v>COD</v>
      </c>
      <c r="L39" s="22">
        <v>322.3528</v>
      </c>
    </row>
    <row r="40" spans="1:12" x14ac:dyDescent="0.3">
      <c r="A40" s="22" t="s">
        <v>1858</v>
      </c>
      <c r="B40" s="34" cm="1">
        <f t="array" ref="B40:C40">_xlfn.XLOOKUP(A40,Sales_Fact!A40:A2024,Sales_Fact!B40:C2024)</f>
        <v>45606</v>
      </c>
      <c r="C40" s="22" t="str">
        <v>CUST1470</v>
      </c>
      <c r="D40" s="22" t="str">
        <f>VLOOKUP('Combine Products &amp; Sales Facts'!C40,'Customer Details'!A:B,2,0)</f>
        <v>Manuel Fisher</v>
      </c>
      <c r="E40" s="22" t="str">
        <f>VLOOKUP(C40,Sales_Fact!C:D,2,0)</f>
        <v>PROD59</v>
      </c>
      <c r="F40" s="22" t="str">
        <f>VLOOKUP(E40,Product_Dim!A:C,3,0)</f>
        <v>Beauty</v>
      </c>
      <c r="G40" s="22" t="str" cm="1">
        <f t="array" ref="G40:L40">_xlfn.XLOOKUP(C40,Sales_Fact!C40:C2024,Sales_Fact!E40:J2024)</f>
        <v>STORE8</v>
      </c>
      <c r="H40" s="22">
        <v>4</v>
      </c>
      <c r="I40" s="22">
        <v>288.60000000000002</v>
      </c>
      <c r="J40" s="22">
        <v>0.09</v>
      </c>
      <c r="K40" s="22" t="str">
        <v>PayPal</v>
      </c>
      <c r="L40" s="22">
        <v>1050.5039999999999</v>
      </c>
    </row>
    <row r="41" spans="1:12" x14ac:dyDescent="0.3">
      <c r="A41" s="22" t="s">
        <v>1859</v>
      </c>
      <c r="B41" s="34" cm="1">
        <f t="array" ref="B41:C41">_xlfn.XLOOKUP(A41,Sales_Fact!A41:A2025,Sales_Fact!B41:C2025)</f>
        <v>45570</v>
      </c>
      <c r="C41" s="22" t="str">
        <v>CUST1070</v>
      </c>
      <c r="D41" s="22" t="str">
        <f>VLOOKUP('Combine Products &amp; Sales Facts'!C41,'Customer Details'!A:B,2,0)</f>
        <v>Eric Singh</v>
      </c>
      <c r="E41" s="22" t="str">
        <f>VLOOKUP(C41,Sales_Fact!C:D,2,0)</f>
        <v>PROD78</v>
      </c>
      <c r="F41" s="22" t="str">
        <f>VLOOKUP(E41,Product_Dim!A:C,3,0)</f>
        <v>Home</v>
      </c>
      <c r="G41" s="22" t="str" cm="1">
        <f t="array" ref="G41:L41">_xlfn.XLOOKUP(C41,Sales_Fact!C41:C2025,Sales_Fact!E41:J2025)</f>
        <v>STORE16</v>
      </c>
      <c r="H41" s="22">
        <v>1</v>
      </c>
      <c r="I41" s="22">
        <v>418.69</v>
      </c>
      <c r="J41" s="22">
        <v>0.06</v>
      </c>
      <c r="K41" s="22" t="str">
        <v>PayPal</v>
      </c>
      <c r="L41" s="22">
        <v>393.5686</v>
      </c>
    </row>
    <row r="42" spans="1:12" x14ac:dyDescent="0.3">
      <c r="A42" s="22" t="s">
        <v>1860</v>
      </c>
      <c r="B42" s="34" cm="1">
        <f t="array" ref="B42:C42">_xlfn.XLOOKUP(A42,Sales_Fact!A42:A2026,Sales_Fact!B42:C2026)</f>
        <v>45466</v>
      </c>
      <c r="C42" s="22" t="str">
        <v>CUST1008</v>
      </c>
      <c r="D42" s="22" t="str">
        <f>VLOOKUP('Combine Products &amp; Sales Facts'!C42,'Customer Details'!A:B,2,0)</f>
        <v>Melissa Howard</v>
      </c>
      <c r="E42" s="22" t="str">
        <f>VLOOKUP(C42,Sales_Fact!C:D,2,0)</f>
        <v>PROD30</v>
      </c>
      <c r="F42" s="22" t="str">
        <f>VLOOKUP(E42,Product_Dim!A:C,3,0)</f>
        <v>Home</v>
      </c>
      <c r="G42" s="22" t="str" cm="1">
        <f t="array" ref="G42:L42">_xlfn.XLOOKUP(C42,Sales_Fact!C42:C2026,Sales_Fact!E42:J2026)</f>
        <v>STORE11</v>
      </c>
      <c r="H42" s="22">
        <v>1</v>
      </c>
      <c r="I42" s="22">
        <v>135.78</v>
      </c>
      <c r="J42" s="22">
        <v>0.14000000000000001</v>
      </c>
      <c r="K42" s="22" t="str">
        <v>PayPal</v>
      </c>
      <c r="L42" s="22">
        <v>116.77079999999999</v>
      </c>
    </row>
    <row r="43" spans="1:12" x14ac:dyDescent="0.3">
      <c r="A43" s="22" t="s">
        <v>1861</v>
      </c>
      <c r="B43" s="34" cm="1">
        <f t="array" ref="B43:C43">_xlfn.XLOOKUP(A43,Sales_Fact!A43:A2027,Sales_Fact!B43:C2027)</f>
        <v>45218</v>
      </c>
      <c r="C43" s="22" t="str">
        <v>CUST1203</v>
      </c>
      <c r="D43" s="22" t="str">
        <f>VLOOKUP('Combine Products &amp; Sales Facts'!C43,'Customer Details'!A:B,2,0)</f>
        <v>Sarah Brady</v>
      </c>
      <c r="E43" s="22" t="str">
        <f>VLOOKUP(C43,Sales_Fact!C:D,2,0)</f>
        <v>PROD43</v>
      </c>
      <c r="F43" s="22" t="str">
        <f>VLOOKUP(E43,Product_Dim!A:C,3,0)</f>
        <v>Electronics</v>
      </c>
      <c r="G43" s="22" t="str" cm="1">
        <f t="array" ref="G43:L43">_xlfn.XLOOKUP(C43,Sales_Fact!C43:C2027,Sales_Fact!E43:J2027)</f>
        <v>STORE17</v>
      </c>
      <c r="H43" s="22">
        <v>1</v>
      </c>
      <c r="I43" s="22">
        <v>517.13</v>
      </c>
      <c r="J43" s="22">
        <v>0.28000000000000003</v>
      </c>
      <c r="K43" s="22" t="str">
        <v>Credit Card</v>
      </c>
      <c r="L43" s="22">
        <v>372.33359999999999</v>
      </c>
    </row>
    <row r="44" spans="1:12" x14ac:dyDescent="0.3">
      <c r="A44" s="22" t="s">
        <v>1862</v>
      </c>
      <c r="B44" s="34" cm="1">
        <f t="array" ref="B44:C44">_xlfn.XLOOKUP(A44,Sales_Fact!A44:A2028,Sales_Fact!B44:C2028)</f>
        <v>45607</v>
      </c>
      <c r="C44" s="22" t="str">
        <v>CUST1420</v>
      </c>
      <c r="D44" s="22" t="str">
        <f>VLOOKUP('Combine Products &amp; Sales Facts'!C44,'Customer Details'!A:B,2,0)</f>
        <v>Dr. Tamara White Md</v>
      </c>
      <c r="E44" s="22" t="str">
        <f>VLOOKUP(C44,Sales_Fact!C:D,2,0)</f>
        <v>PROD21</v>
      </c>
      <c r="F44" s="22" t="str">
        <f>VLOOKUP(E44,Product_Dim!A:C,3,0)</f>
        <v>Home</v>
      </c>
      <c r="G44" s="22" t="str" cm="1">
        <f t="array" ref="G44:L44">_xlfn.XLOOKUP(C44,Sales_Fact!C44:C2028,Sales_Fact!E44:J2028)</f>
        <v>STORE16</v>
      </c>
      <c r="H44" s="22">
        <v>2</v>
      </c>
      <c r="I44" s="22">
        <v>384.66</v>
      </c>
      <c r="J44" s="22">
        <v>0.08</v>
      </c>
      <c r="K44" s="22" t="str">
        <v>COD</v>
      </c>
      <c r="L44" s="22">
        <v>707.77440000000013</v>
      </c>
    </row>
    <row r="45" spans="1:12" x14ac:dyDescent="0.3">
      <c r="A45" s="22" t="s">
        <v>3943</v>
      </c>
      <c r="B45" s="34" cm="1">
        <f t="array" ref="B45:C45">_xlfn.XLOOKUP(A45,Sales_Fact!A45:A2029,Sales_Fact!B45:C2029)</f>
        <v>45291</v>
      </c>
      <c r="C45" s="22" t="str">
        <v>CUST1070</v>
      </c>
      <c r="D45" s="22" t="str">
        <f>VLOOKUP('Combine Products &amp; Sales Facts'!C45,'Customer Details'!A:B,2,0)</f>
        <v>Eric Singh</v>
      </c>
      <c r="E45" s="22" t="str">
        <f>VLOOKUP(C45,Sales_Fact!C:D,2,0)</f>
        <v>PROD78</v>
      </c>
      <c r="F45" s="22" t="str">
        <f>VLOOKUP(E45,Product_Dim!A:C,3,0)</f>
        <v>Home</v>
      </c>
      <c r="G45" s="22" t="str" cm="1">
        <f t="array" ref="G45:L45">_xlfn.XLOOKUP(C45,Sales_Fact!C45:C2029,Sales_Fact!E45:J2029)</f>
        <v>STORE9</v>
      </c>
      <c r="H45" s="22">
        <v>3</v>
      </c>
      <c r="I45" s="22">
        <v>83.7</v>
      </c>
      <c r="J45" s="22">
        <v>0.24</v>
      </c>
      <c r="K45" s="22" t="str">
        <v>PayPal</v>
      </c>
      <c r="L45" s="22">
        <v>190.83600000000001</v>
      </c>
    </row>
    <row r="46" spans="1:12" x14ac:dyDescent="0.3">
      <c r="A46" s="22" t="s">
        <v>1863</v>
      </c>
      <c r="B46" s="34" cm="1">
        <f t="array" ref="B46:C46">_xlfn.XLOOKUP(A46,Sales_Fact!A46:A2030,Sales_Fact!B46:C2030)</f>
        <v>45689</v>
      </c>
      <c r="C46" s="22" t="str">
        <v>CUST1142</v>
      </c>
      <c r="D46" s="22" t="str">
        <f>VLOOKUP('Combine Products &amp; Sales Facts'!C46,'Customer Details'!A:B,2,0)</f>
        <v>Maria Ramirez</v>
      </c>
      <c r="E46" s="22" t="str">
        <f>VLOOKUP(C46,Sales_Fact!C:D,2,0)</f>
        <v>PROD69</v>
      </c>
      <c r="F46" s="22" t="str">
        <f>VLOOKUP(E46,Product_Dim!A:C,3,0)</f>
        <v>Clothing</v>
      </c>
      <c r="G46" s="22" t="str" cm="1">
        <f t="array" ref="G46:L46">_xlfn.XLOOKUP(C46,Sales_Fact!C46:C2030,Sales_Fact!E46:J2030)</f>
        <v>STORE7</v>
      </c>
      <c r="H46" s="22">
        <v>3</v>
      </c>
      <c r="I46" s="22">
        <v>76.569999999999993</v>
      </c>
      <c r="J46" s="22">
        <v>0.26</v>
      </c>
      <c r="K46" s="22" t="str">
        <v>Credit Card</v>
      </c>
      <c r="L46" s="22">
        <v>169.9854</v>
      </c>
    </row>
    <row r="47" spans="1:12" x14ac:dyDescent="0.3">
      <c r="A47" s="22" t="s">
        <v>1864</v>
      </c>
      <c r="B47" s="34" cm="1">
        <f t="array" ref="B47:C47">_xlfn.XLOOKUP(A47,Sales_Fact!A47:A2031,Sales_Fact!B47:C2031)</f>
        <v>45677</v>
      </c>
      <c r="C47" s="22" t="str">
        <v>CUST1324</v>
      </c>
      <c r="D47" s="22" t="str">
        <f>VLOOKUP('Combine Products &amp; Sales Facts'!C47,'Customer Details'!A:B,2,0)</f>
        <v>Alex Mann Ii</v>
      </c>
      <c r="E47" s="22" t="str">
        <f>VLOOKUP(C47,Sales_Fact!C:D,2,0)</f>
        <v>PROD20</v>
      </c>
      <c r="F47" s="22" t="str">
        <f>VLOOKUP(E47,Product_Dim!A:C,3,0)</f>
        <v>Sports</v>
      </c>
      <c r="G47" s="22" t="str" cm="1">
        <f t="array" ref="G47:L47">_xlfn.XLOOKUP(C47,Sales_Fact!C47:C2031,Sales_Fact!E47:J2031)</f>
        <v>STORE8</v>
      </c>
      <c r="H47" s="22">
        <v>1</v>
      </c>
      <c r="I47" s="22">
        <v>900.35</v>
      </c>
      <c r="J47" s="22">
        <v>0.13</v>
      </c>
      <c r="K47" s="22" t="str">
        <v>COD</v>
      </c>
      <c r="L47" s="22">
        <v>783.30449999999996</v>
      </c>
    </row>
    <row r="48" spans="1:12" x14ac:dyDescent="0.3">
      <c r="A48" s="22" t="s">
        <v>1865</v>
      </c>
      <c r="B48" s="34" cm="1">
        <f t="array" ref="B48:C48">_xlfn.XLOOKUP(A48,Sales_Fact!A48:A2032,Sales_Fact!B48:C2032)</f>
        <v>45706</v>
      </c>
      <c r="C48" s="22" t="str">
        <v>CUST1095</v>
      </c>
      <c r="D48" s="22" t="str">
        <f>VLOOKUP('Combine Products &amp; Sales Facts'!C48,'Customer Details'!A:B,2,0)</f>
        <v>Amy Fowler</v>
      </c>
      <c r="E48" s="22" t="str">
        <f>VLOOKUP(C48,Sales_Fact!C:D,2,0)</f>
        <v>PROD40</v>
      </c>
      <c r="F48" s="22" t="str">
        <f>VLOOKUP(E48,Product_Dim!A:C,3,0)</f>
        <v>Electronics</v>
      </c>
      <c r="G48" s="22" t="str" cm="1">
        <f t="array" ref="G48:L48">_xlfn.XLOOKUP(C48,Sales_Fact!C48:C2032,Sales_Fact!E48:J2032)</f>
        <v>STORE10</v>
      </c>
      <c r="H48" s="22">
        <v>4</v>
      </c>
      <c r="I48" s="22">
        <v>428.09</v>
      </c>
      <c r="J48" s="22">
        <v>7.0000000000000007E-2</v>
      </c>
      <c r="K48" s="22" t="str">
        <v>Credit Card</v>
      </c>
      <c r="L48" s="22">
        <v>1592.4947999999999</v>
      </c>
    </row>
    <row r="49" spans="1:12" x14ac:dyDescent="0.3">
      <c r="A49" s="22" t="s">
        <v>1866</v>
      </c>
      <c r="B49" s="34" cm="1">
        <f t="array" ref="B49:C49">_xlfn.XLOOKUP(A49,Sales_Fact!A49:A2033,Sales_Fact!B49:C2033)</f>
        <v>45589</v>
      </c>
      <c r="C49" s="22" t="str">
        <v>CUST1416</v>
      </c>
      <c r="D49" s="22" t="str">
        <f>VLOOKUP('Combine Products &amp; Sales Facts'!C49,'Customer Details'!A:B,2,0)</f>
        <v>Jennifer Myers</v>
      </c>
      <c r="E49" s="22" t="str">
        <f>VLOOKUP(C49,Sales_Fact!C:D,2,0)</f>
        <v>PROD49</v>
      </c>
      <c r="F49" s="22" t="str">
        <f>VLOOKUP(E49,Product_Dim!A:C,3,0)</f>
        <v>Beauty</v>
      </c>
      <c r="G49" s="22" t="str" cm="1">
        <f t="array" ref="G49:L49">_xlfn.XLOOKUP(C49,Sales_Fact!C49:C2033,Sales_Fact!E49:J2033)</f>
        <v>STORE11</v>
      </c>
      <c r="H49" s="22">
        <v>2</v>
      </c>
      <c r="I49" s="22">
        <v>559.71</v>
      </c>
      <c r="J49" s="22">
        <v>0.3</v>
      </c>
      <c r="K49" s="22" t="str">
        <v>COD</v>
      </c>
      <c r="L49" s="22">
        <v>783.59400000000005</v>
      </c>
    </row>
    <row r="50" spans="1:12" x14ac:dyDescent="0.3">
      <c r="A50" s="22" t="s">
        <v>1867</v>
      </c>
      <c r="B50" s="34" cm="1">
        <f t="array" ref="B50:C50">_xlfn.XLOOKUP(A50,Sales_Fact!A50:A2034,Sales_Fact!B50:C2034)</f>
        <v>45282</v>
      </c>
      <c r="C50" s="22" t="str">
        <v>CUST1080</v>
      </c>
      <c r="D50" s="22" t="str">
        <f>VLOOKUP('Combine Products &amp; Sales Facts'!C50,'Customer Details'!A:B,2,0)</f>
        <v>Jennifer Garcia</v>
      </c>
      <c r="E50" s="22" t="str">
        <f>VLOOKUP(C50,Sales_Fact!C:D,2,0)</f>
        <v>PROD34</v>
      </c>
      <c r="F50" s="22" t="str">
        <f>VLOOKUP(E50,Product_Dim!A:C,3,0)</f>
        <v>Electronics</v>
      </c>
      <c r="G50" s="22" t="str" cm="1">
        <f t="array" ref="G50:L50">_xlfn.XLOOKUP(C50,Sales_Fact!C50:C2034,Sales_Fact!E50:J2034)</f>
        <v>STORE6</v>
      </c>
      <c r="H50" s="22">
        <v>2</v>
      </c>
      <c r="I50" s="22">
        <v>833.7</v>
      </c>
      <c r="J50" s="22">
        <v>0.06</v>
      </c>
      <c r="K50" s="22" t="str">
        <v>PayPal</v>
      </c>
      <c r="L50" s="22">
        <v>1567.356</v>
      </c>
    </row>
    <row r="51" spans="1:12" x14ac:dyDescent="0.3">
      <c r="A51" s="22" t="s">
        <v>1868</v>
      </c>
      <c r="B51" s="34" cm="1">
        <f t="array" ref="B51:C51">_xlfn.XLOOKUP(A51,Sales_Fact!A51:A2035,Sales_Fact!B51:C2035)</f>
        <v>45462</v>
      </c>
      <c r="C51" s="22" t="str">
        <v>CUST1467</v>
      </c>
      <c r="D51" s="22" t="str">
        <f>VLOOKUP('Combine Products &amp; Sales Facts'!C51,'Customer Details'!A:B,2,0)</f>
        <v>Michael Foley</v>
      </c>
      <c r="E51" s="22" t="str">
        <f>VLOOKUP(C51,Sales_Fact!C:D,2,0)</f>
        <v>PROD74</v>
      </c>
      <c r="F51" s="22" t="str">
        <f>VLOOKUP(E51,Product_Dim!A:C,3,0)</f>
        <v>Electronics</v>
      </c>
      <c r="G51" s="22" t="str" cm="1">
        <f t="array" ref="G51:L51">_xlfn.XLOOKUP(C51,Sales_Fact!C51:C2035,Sales_Fact!E51:J2035)</f>
        <v>STORE14</v>
      </c>
      <c r="H51" s="22">
        <v>2</v>
      </c>
      <c r="I51" s="22">
        <v>680.16</v>
      </c>
      <c r="J51" s="22">
        <v>0.28000000000000003</v>
      </c>
      <c r="K51" s="22" t="str">
        <v>Credit Card</v>
      </c>
      <c r="L51" s="22">
        <v>979.43039999999996</v>
      </c>
    </row>
    <row r="52" spans="1:12" x14ac:dyDescent="0.3">
      <c r="A52" s="22" t="s">
        <v>1869</v>
      </c>
      <c r="B52" s="34" cm="1">
        <f t="array" ref="B52:C52">_xlfn.XLOOKUP(A52,Sales_Fact!A52:A2036,Sales_Fact!B52:C2036)</f>
        <v>45257</v>
      </c>
      <c r="C52" s="22" t="str">
        <v>CUST1367</v>
      </c>
      <c r="D52" s="22" t="str">
        <f>VLOOKUP('Combine Products &amp; Sales Facts'!C52,'Customer Details'!A:B,2,0)</f>
        <v>Melinda Johnson</v>
      </c>
      <c r="E52" s="22" t="str">
        <f>VLOOKUP(C52,Sales_Fact!C:D,2,0)</f>
        <v>PROD89</v>
      </c>
      <c r="F52" s="22" t="str">
        <f>VLOOKUP(E52,Product_Dim!A:C,3,0)</f>
        <v>Beauty</v>
      </c>
      <c r="G52" s="22" t="str" cm="1">
        <f t="array" ref="G52:L52">_xlfn.XLOOKUP(C52,Sales_Fact!C52:C2036,Sales_Fact!E52:J2036)</f>
        <v>STORE11</v>
      </c>
      <c r="H52" s="22">
        <v>1</v>
      </c>
      <c r="I52" s="22">
        <v>996.33</v>
      </c>
      <c r="J52" s="22">
        <v>0.23</v>
      </c>
      <c r="K52" s="22" t="str">
        <v>PayPal</v>
      </c>
      <c r="L52" s="22">
        <v>767.17410000000007</v>
      </c>
    </row>
    <row r="53" spans="1:12" x14ac:dyDescent="0.3">
      <c r="A53" s="22" t="s">
        <v>1870</v>
      </c>
      <c r="B53" s="34" cm="1">
        <f t="array" ref="B53:C53">_xlfn.XLOOKUP(A53,Sales_Fact!A53:A2037,Sales_Fact!B53:C2037)</f>
        <v>45854</v>
      </c>
      <c r="C53" s="22" t="str">
        <v>CUST1408</v>
      </c>
      <c r="D53" s="22" t="str">
        <f>VLOOKUP('Combine Products &amp; Sales Facts'!C53,'Customer Details'!A:B,2,0)</f>
        <v>Isabel Foster</v>
      </c>
      <c r="E53" s="22" t="str">
        <f>VLOOKUP(C53,Sales_Fact!C:D,2,0)</f>
        <v>PROD31</v>
      </c>
      <c r="F53" s="22" t="str">
        <f>VLOOKUP(E53,Product_Dim!A:C,3,0)</f>
        <v>Sports</v>
      </c>
      <c r="G53" s="22" t="str" cm="1">
        <f t="array" ref="G53:L53">_xlfn.XLOOKUP(C53,Sales_Fact!C53:C2037,Sales_Fact!E53:J2037)</f>
        <v>STORE10</v>
      </c>
      <c r="H53" s="22">
        <v>1</v>
      </c>
      <c r="I53" s="22">
        <v>198.83</v>
      </c>
      <c r="J53" s="22">
        <v>0.09</v>
      </c>
      <c r="K53" s="22" t="str">
        <v>COD</v>
      </c>
      <c r="L53" s="22">
        <v>180.93530000000001</v>
      </c>
    </row>
    <row r="54" spans="1:12" x14ac:dyDescent="0.3">
      <c r="A54" s="22" t="s">
        <v>3944</v>
      </c>
      <c r="B54" s="34" cm="1">
        <f t="array" ref="B54:C54">_xlfn.XLOOKUP(A54,Sales_Fact!A54:A2038,Sales_Fact!B54:C2038)</f>
        <v>45716</v>
      </c>
      <c r="C54" s="22" t="str">
        <v>CUST1239</v>
      </c>
      <c r="D54" s="22" t="str">
        <f>VLOOKUP('Combine Products &amp; Sales Facts'!C54,'Customer Details'!A:B,2,0)</f>
        <v>Maria Hill</v>
      </c>
      <c r="E54" s="22" t="str">
        <f>VLOOKUP(C54,Sales_Fact!C:D,2,0)</f>
        <v>PROD19</v>
      </c>
      <c r="F54" s="22" t="str">
        <f>VLOOKUP(E54,Product_Dim!A:C,3,0)</f>
        <v>Sports</v>
      </c>
      <c r="G54" s="22" t="str" cm="1">
        <f t="array" ref="G54:L54">_xlfn.XLOOKUP(C54,Sales_Fact!C54:C2038,Sales_Fact!E54:J2038)</f>
        <v>STORE7</v>
      </c>
      <c r="H54" s="22">
        <v>1</v>
      </c>
      <c r="I54" s="22">
        <v>374.92</v>
      </c>
      <c r="J54" s="22">
        <v>0.18</v>
      </c>
      <c r="K54" s="22" t="str">
        <v>PayPal</v>
      </c>
      <c r="L54" s="22">
        <v>307.43439999999998</v>
      </c>
    </row>
    <row r="55" spans="1:12" x14ac:dyDescent="0.3">
      <c r="A55" s="22" t="s">
        <v>1871</v>
      </c>
      <c r="B55" s="34" cm="1">
        <f t="array" ref="B55:C55">_xlfn.XLOOKUP(A55,Sales_Fact!A55:A2039,Sales_Fact!B55:C2039)</f>
        <v>45515</v>
      </c>
      <c r="C55" s="22" t="str">
        <v>CUST1464</v>
      </c>
      <c r="D55" s="22" t="str">
        <f>VLOOKUP('Combine Products &amp; Sales Facts'!C55,'Customer Details'!A:B,2,0)</f>
        <v>David Pierce</v>
      </c>
      <c r="E55" s="22" t="str">
        <f>VLOOKUP(C55,Sales_Fact!C:D,2,0)</f>
        <v>PROD33</v>
      </c>
      <c r="F55" s="22" t="str">
        <f>VLOOKUP(E55,Product_Dim!A:C,3,0)</f>
        <v>Home</v>
      </c>
      <c r="G55" s="22" t="str" cm="1">
        <f t="array" ref="G55:L55">_xlfn.XLOOKUP(C55,Sales_Fact!C55:C2039,Sales_Fact!E55:J2039)</f>
        <v>STORE16</v>
      </c>
      <c r="H55" s="22">
        <v>1</v>
      </c>
      <c r="I55" s="22">
        <v>468.94</v>
      </c>
      <c r="J55" s="22">
        <v>0.12</v>
      </c>
      <c r="K55" s="22" t="str">
        <v>Credit Card</v>
      </c>
      <c r="L55" s="22">
        <v>412.66719999999998</v>
      </c>
    </row>
    <row r="56" spans="1:12" x14ac:dyDescent="0.3">
      <c r="A56" s="22" t="s">
        <v>1872</v>
      </c>
      <c r="B56" s="34" cm="1">
        <f t="array" ref="B56:C56">_xlfn.XLOOKUP(A56,Sales_Fact!A56:A2040,Sales_Fact!B56:C2040)</f>
        <v>45927</v>
      </c>
      <c r="C56" s="22" t="str">
        <v>CUST1126</v>
      </c>
      <c r="D56" s="22" t="str">
        <f>VLOOKUP('Combine Products &amp; Sales Facts'!C56,'Customer Details'!A:B,2,0)</f>
        <v>James Wolfe</v>
      </c>
      <c r="E56" s="22" t="str">
        <f>VLOOKUP(C56,Sales_Fact!C:D,2,0)</f>
        <v>PROD89</v>
      </c>
      <c r="F56" s="22" t="str">
        <f>VLOOKUP(E56,Product_Dim!A:C,3,0)</f>
        <v>Beauty</v>
      </c>
      <c r="G56" s="22" t="str" cm="1">
        <f t="array" ref="G56:L56">_xlfn.XLOOKUP(C56,Sales_Fact!C56:C2040,Sales_Fact!E56:J2040)</f>
        <v>STORE12</v>
      </c>
      <c r="H56" s="22">
        <v>2</v>
      </c>
      <c r="I56" s="22">
        <v>121.37</v>
      </c>
      <c r="J56" s="22">
        <v>0.05</v>
      </c>
      <c r="K56" s="22" t="str">
        <v>Credit Card</v>
      </c>
      <c r="L56" s="22">
        <v>230.60300000000001</v>
      </c>
    </row>
    <row r="57" spans="1:12" x14ac:dyDescent="0.3">
      <c r="A57" s="22" t="s">
        <v>1873</v>
      </c>
      <c r="B57" s="34" cm="1">
        <f t="array" ref="B57:C57">_xlfn.XLOOKUP(A57,Sales_Fact!A57:A2041,Sales_Fact!B57:C2041)</f>
        <v>45290</v>
      </c>
      <c r="C57" s="22" t="str">
        <v>CUST1162</v>
      </c>
      <c r="D57" s="22" t="str">
        <f>VLOOKUP('Combine Products &amp; Sales Facts'!C57,'Customer Details'!A:B,2,0)</f>
        <v>Mariah Brown</v>
      </c>
      <c r="E57" s="22" t="str">
        <f>VLOOKUP(C57,Sales_Fact!C:D,2,0)</f>
        <v>PROD99</v>
      </c>
      <c r="F57" s="22" t="str">
        <f>VLOOKUP(E57,Product_Dim!A:C,3,0)</f>
        <v>Home</v>
      </c>
      <c r="G57" s="22" t="str" cm="1">
        <f t="array" ref="G57:L57">_xlfn.XLOOKUP(C57,Sales_Fact!C57:C2041,Sales_Fact!E57:J2041)</f>
        <v>STORE17</v>
      </c>
      <c r="H57" s="22">
        <v>2</v>
      </c>
      <c r="I57" s="22">
        <v>856.57</v>
      </c>
      <c r="J57" s="22">
        <v>0.24</v>
      </c>
      <c r="K57" s="22" t="str">
        <v>Credit Card</v>
      </c>
      <c r="L57" s="22">
        <v>1301.9864</v>
      </c>
    </row>
    <row r="58" spans="1:12" x14ac:dyDescent="0.3">
      <c r="A58" s="22" t="s">
        <v>1874</v>
      </c>
      <c r="B58" s="34" cm="1">
        <f t="array" ref="B58:C58">_xlfn.XLOOKUP(A58,Sales_Fact!A58:A2042,Sales_Fact!B58:C2042)</f>
        <v>45213</v>
      </c>
      <c r="C58" s="22" t="str">
        <v>CUST1269</v>
      </c>
      <c r="D58" s="22" t="str">
        <f>VLOOKUP('Combine Products &amp; Sales Facts'!C58,'Customer Details'!A:B,2,0)</f>
        <v>Tyrone Olson</v>
      </c>
      <c r="E58" s="22" t="str">
        <f>VLOOKUP(C58,Sales_Fact!C:D,2,0)</f>
        <v>PROD77</v>
      </c>
      <c r="F58" s="22" t="str">
        <f>VLOOKUP(E58,Product_Dim!A:C,3,0)</f>
        <v>Electronics</v>
      </c>
      <c r="G58" s="22" t="str" cm="1">
        <f t="array" ref="G58:L58">_xlfn.XLOOKUP(C58,Sales_Fact!C58:C2042,Sales_Fact!E58:J2042)</f>
        <v>STORE2</v>
      </c>
      <c r="H58" s="22">
        <v>4</v>
      </c>
      <c r="I58" s="22">
        <v>814.25</v>
      </c>
      <c r="J58" s="22">
        <v>0.18</v>
      </c>
      <c r="K58" s="22" t="str">
        <v>Credit Card</v>
      </c>
      <c r="L58" s="22">
        <v>2670.74</v>
      </c>
    </row>
    <row r="59" spans="1:12" x14ac:dyDescent="0.3">
      <c r="A59" s="22" t="s">
        <v>1875</v>
      </c>
      <c r="B59" s="34" cm="1">
        <f t="array" ref="B59:C59">_xlfn.XLOOKUP(A59,Sales_Fact!A59:A2043,Sales_Fact!B59:C2043)</f>
        <v>45255</v>
      </c>
      <c r="C59" s="22" t="str">
        <v>CUST1483</v>
      </c>
      <c r="D59" s="22" t="str">
        <f>VLOOKUP('Combine Products &amp; Sales Facts'!C59,'Customer Details'!A:B,2,0)</f>
        <v>Sarah Smith</v>
      </c>
      <c r="E59" s="22" t="str">
        <f>VLOOKUP(C59,Sales_Fact!C:D,2,0)</f>
        <v>PROD12</v>
      </c>
      <c r="F59" s="22" t="str">
        <f>VLOOKUP(E59,Product_Dim!A:C,3,0)</f>
        <v>Beauty</v>
      </c>
      <c r="G59" s="22" t="str" cm="1">
        <f t="array" ref="G59:L59">_xlfn.XLOOKUP(C59,Sales_Fact!C59:C2043,Sales_Fact!E59:J2043)</f>
        <v>STORE2</v>
      </c>
      <c r="H59" s="22">
        <v>1</v>
      </c>
      <c r="I59" s="22">
        <v>989.17</v>
      </c>
      <c r="J59" s="22">
        <v>0.2</v>
      </c>
      <c r="K59" s="22" t="str">
        <v>PayPal</v>
      </c>
      <c r="L59" s="22">
        <v>791.33600000000001</v>
      </c>
    </row>
    <row r="60" spans="1:12" x14ac:dyDescent="0.3">
      <c r="A60" s="22" t="s">
        <v>3945</v>
      </c>
      <c r="B60" s="34" cm="1">
        <f t="array" ref="B60:C60">_xlfn.XLOOKUP(A60,Sales_Fact!A60:A2044,Sales_Fact!B60:C2044)</f>
        <v>45270</v>
      </c>
      <c r="C60" s="22" t="str">
        <v>CUST1372</v>
      </c>
      <c r="D60" s="22" t="str">
        <f>VLOOKUP('Combine Products &amp; Sales Facts'!C60,'Customer Details'!A:B,2,0)</f>
        <v>Jacqueline Anthony</v>
      </c>
      <c r="E60" s="22" t="str">
        <f>VLOOKUP(C60,Sales_Fact!C:D,2,0)</f>
        <v>PROD72</v>
      </c>
      <c r="F60" s="22" t="str">
        <f>VLOOKUP(E60,Product_Dim!A:C,3,0)</f>
        <v>Sports</v>
      </c>
      <c r="G60" s="22" t="str" cm="1">
        <f t="array" ref="G60:L60">_xlfn.XLOOKUP(C60,Sales_Fact!C60:C2044,Sales_Fact!E60:J2044)</f>
        <v>STORE10</v>
      </c>
      <c r="H60" s="22">
        <v>4</v>
      </c>
      <c r="I60" s="22">
        <v>62.48</v>
      </c>
      <c r="J60" s="22">
        <v>0.18</v>
      </c>
      <c r="K60" s="22" t="str">
        <v>Credit Card</v>
      </c>
      <c r="L60" s="22">
        <v>204.93440000000001</v>
      </c>
    </row>
    <row r="61" spans="1:12" x14ac:dyDescent="0.3">
      <c r="A61" s="22" t="s">
        <v>1876</v>
      </c>
      <c r="B61" s="34" cm="1">
        <f t="array" ref="B61:C61">_xlfn.XLOOKUP(A61,Sales_Fact!A61:A2045,Sales_Fact!B61:C2045)</f>
        <v>45897</v>
      </c>
      <c r="C61" s="22" t="str">
        <v>CUST1423</v>
      </c>
      <c r="D61" s="22" t="str">
        <f>VLOOKUP('Combine Products &amp; Sales Facts'!C61,'Customer Details'!A:B,2,0)</f>
        <v>Rebecca Baker</v>
      </c>
      <c r="E61" s="22" t="str">
        <f>VLOOKUP(C61,Sales_Fact!C:D,2,0)</f>
        <v>PROD13</v>
      </c>
      <c r="F61" s="22" t="str">
        <f>VLOOKUP(E61,Product_Dim!A:C,3,0)</f>
        <v>Electronics</v>
      </c>
      <c r="G61" s="22" t="str" cm="1">
        <f t="array" ref="G61:L61">_xlfn.XLOOKUP(C61,Sales_Fact!C61:C2045,Sales_Fact!E61:J2045)</f>
        <v>STORE16</v>
      </c>
      <c r="H61" s="22">
        <v>4</v>
      </c>
      <c r="I61" s="22">
        <v>561.24</v>
      </c>
      <c r="J61" s="22">
        <v>0.24</v>
      </c>
      <c r="K61" s="22" t="str">
        <v>Credit Card</v>
      </c>
      <c r="L61" s="22">
        <v>1706.1695999999999</v>
      </c>
    </row>
    <row r="62" spans="1:12" x14ac:dyDescent="0.3">
      <c r="A62" s="22" t="s">
        <v>1877</v>
      </c>
      <c r="B62" s="34" cm="1">
        <f t="array" ref="B62:C62">_xlfn.XLOOKUP(A62,Sales_Fact!A62:A2046,Sales_Fact!B62:C2046)</f>
        <v>45889</v>
      </c>
      <c r="C62" s="22" t="str">
        <v>CUST1168</v>
      </c>
      <c r="D62" s="22" t="str">
        <f>VLOOKUP('Combine Products &amp; Sales Facts'!C62,'Customer Details'!A:B,2,0)</f>
        <v>Daniel Contreras</v>
      </c>
      <c r="E62" s="22" t="str">
        <f>VLOOKUP(C62,Sales_Fact!C:D,2,0)</f>
        <v>PROD72</v>
      </c>
      <c r="F62" s="22" t="str">
        <f>VLOOKUP(E62,Product_Dim!A:C,3,0)</f>
        <v>Sports</v>
      </c>
      <c r="G62" s="22" t="str" cm="1">
        <f t="array" ref="G62:L62">_xlfn.XLOOKUP(C62,Sales_Fact!C62:C2046,Sales_Fact!E62:J2046)</f>
        <v>STORE1</v>
      </c>
      <c r="H62" s="22">
        <v>2</v>
      </c>
      <c r="I62" s="22">
        <v>668.3</v>
      </c>
      <c r="J62" s="22">
        <v>7.0000000000000007E-2</v>
      </c>
      <c r="K62" s="22" t="str">
        <v>Credit Card</v>
      </c>
      <c r="L62" s="22">
        <v>1243.038</v>
      </c>
    </row>
    <row r="63" spans="1:12" x14ac:dyDescent="0.3">
      <c r="A63" s="22" t="s">
        <v>1878</v>
      </c>
      <c r="B63" s="34" cm="1">
        <f t="array" ref="B63:C63">_xlfn.XLOOKUP(A63,Sales_Fact!A63:A2047,Sales_Fact!B63:C2047)</f>
        <v>45533</v>
      </c>
      <c r="C63" s="22" t="str">
        <v>CUST1409</v>
      </c>
      <c r="D63" s="22" t="str">
        <f>VLOOKUP('Combine Products &amp; Sales Facts'!C63,'Customer Details'!A:B,2,0)</f>
        <v>Sarah Smith</v>
      </c>
      <c r="E63" s="22" t="str">
        <f>VLOOKUP(C63,Sales_Fact!C:D,2,0)</f>
        <v>PROD97</v>
      </c>
      <c r="F63" s="22" t="str">
        <f>VLOOKUP(E63,Product_Dim!A:C,3,0)</f>
        <v>Sports</v>
      </c>
      <c r="G63" s="22" t="str" cm="1">
        <f t="array" ref="G63:L63">_xlfn.XLOOKUP(C63,Sales_Fact!C63:C2047,Sales_Fact!E63:J2047)</f>
        <v>STORE5</v>
      </c>
      <c r="H63" s="22">
        <v>1</v>
      </c>
      <c r="I63" s="22">
        <v>553.82000000000005</v>
      </c>
      <c r="J63" s="22">
        <v>0.09</v>
      </c>
      <c r="K63" s="22" t="str">
        <v>Credit Card</v>
      </c>
      <c r="L63" s="22">
        <v>503.97620000000012</v>
      </c>
    </row>
    <row r="64" spans="1:12" x14ac:dyDescent="0.3">
      <c r="A64" s="22" t="s">
        <v>1879</v>
      </c>
      <c r="B64" s="34" cm="1">
        <f t="array" ref="B64:C64">_xlfn.XLOOKUP(A64,Sales_Fact!A64:A2048,Sales_Fact!B64:C2048)</f>
        <v>45626</v>
      </c>
      <c r="C64" s="22" t="str">
        <v>CUST1037</v>
      </c>
      <c r="D64" s="22" t="str">
        <f>VLOOKUP('Combine Products &amp; Sales Facts'!C64,'Customer Details'!A:B,2,0)</f>
        <v>Christopher Carter</v>
      </c>
      <c r="E64" s="22" t="str">
        <f>VLOOKUP(C64,Sales_Fact!C:D,2,0)</f>
        <v>PROD45</v>
      </c>
      <c r="F64" s="22" t="str">
        <f>VLOOKUP(E64,Product_Dim!A:C,3,0)</f>
        <v>Sports</v>
      </c>
      <c r="G64" s="22" t="str" cm="1">
        <f t="array" ref="G64:L64">_xlfn.XLOOKUP(C64,Sales_Fact!C64:C2048,Sales_Fact!E64:J2048)</f>
        <v>STORE11</v>
      </c>
      <c r="H64" s="22">
        <v>2</v>
      </c>
      <c r="I64" s="22">
        <v>556.42999999999995</v>
      </c>
      <c r="J64" s="22">
        <v>0.13</v>
      </c>
      <c r="K64" s="22" t="str">
        <v>Credit Card</v>
      </c>
      <c r="L64" s="22">
        <v>968.18819999999994</v>
      </c>
    </row>
    <row r="65" spans="1:12" x14ac:dyDescent="0.3">
      <c r="A65" s="22" t="s">
        <v>1880</v>
      </c>
      <c r="B65" s="34" cm="1">
        <f t="array" ref="B65:C65">_xlfn.XLOOKUP(A65,Sales_Fact!A65:A2049,Sales_Fact!B65:C2049)</f>
        <v>45942</v>
      </c>
      <c r="C65" s="22" t="str">
        <v>CUST1273</v>
      </c>
      <c r="D65" s="22" t="str">
        <f>VLOOKUP('Combine Products &amp; Sales Facts'!C65,'Customer Details'!A:B,2,0)</f>
        <v>Samantha Robinson</v>
      </c>
      <c r="E65" s="22" t="str">
        <f>VLOOKUP(C65,Sales_Fact!C:D,2,0)</f>
        <v>PROD20</v>
      </c>
      <c r="F65" s="22" t="str">
        <f>VLOOKUP(E65,Product_Dim!A:C,3,0)</f>
        <v>Sports</v>
      </c>
      <c r="G65" s="22" t="str" cm="1">
        <f t="array" ref="G65:L65">_xlfn.XLOOKUP(C65,Sales_Fact!C65:C2049,Sales_Fact!E65:J2049)</f>
        <v>STORE8</v>
      </c>
      <c r="H65" s="22">
        <v>1</v>
      </c>
      <c r="I65" s="22">
        <v>184.98</v>
      </c>
      <c r="J65" s="22">
        <v>0.1</v>
      </c>
      <c r="K65" s="22" t="str">
        <v>COD</v>
      </c>
      <c r="L65" s="22">
        <v>166.482</v>
      </c>
    </row>
    <row r="66" spans="1:12" x14ac:dyDescent="0.3">
      <c r="A66" s="22" t="s">
        <v>3946</v>
      </c>
      <c r="B66" s="34" cm="1">
        <f t="array" ref="B66:C66">_xlfn.XLOOKUP(A66,Sales_Fact!A66:A2050,Sales_Fact!B66:C2050)</f>
        <v>45500</v>
      </c>
      <c r="C66" s="22" t="str">
        <v>CUST1035</v>
      </c>
      <c r="D66" s="22" t="str">
        <f>VLOOKUP('Combine Products &amp; Sales Facts'!C66,'Customer Details'!A:B,2,0)</f>
        <v>Rachel Myers</v>
      </c>
      <c r="E66" s="22" t="str">
        <f>VLOOKUP(C66,Sales_Fact!C:D,2,0)</f>
        <v>PROD97</v>
      </c>
      <c r="F66" s="22" t="str">
        <f>VLOOKUP(E66,Product_Dim!A:C,3,0)</f>
        <v>Sports</v>
      </c>
      <c r="G66" s="22" t="str" cm="1">
        <f t="array" ref="G66:L66">_xlfn.XLOOKUP(C66,Sales_Fact!C66:C2050,Sales_Fact!E66:J2050)</f>
        <v>STORE12</v>
      </c>
      <c r="H66" s="22">
        <v>4</v>
      </c>
      <c r="I66" s="22">
        <v>700.18</v>
      </c>
      <c r="J66" s="22">
        <v>0.23</v>
      </c>
      <c r="K66" s="22" t="str">
        <v>Credit Card</v>
      </c>
      <c r="L66" s="22">
        <v>2156.5544</v>
      </c>
    </row>
    <row r="67" spans="1:12" x14ac:dyDescent="0.3">
      <c r="A67" s="22" t="s">
        <v>1881</v>
      </c>
      <c r="B67" s="34" cm="1">
        <f t="array" ref="B67:C67">_xlfn.XLOOKUP(A67,Sales_Fact!A67:A2051,Sales_Fact!B67:C2051)</f>
        <v>45285</v>
      </c>
      <c r="C67" s="22" t="str">
        <v>CUST1019</v>
      </c>
      <c r="D67" s="22" t="str">
        <f>VLOOKUP('Combine Products &amp; Sales Facts'!C67,'Customer Details'!A:B,2,0)</f>
        <v>Michael Torres</v>
      </c>
      <c r="E67" s="22" t="str">
        <f>VLOOKUP(C67,Sales_Fact!C:D,2,0)</f>
        <v>PROD76</v>
      </c>
      <c r="F67" s="22" t="str">
        <f>VLOOKUP(E67,Product_Dim!A:C,3,0)</f>
        <v>Electronics</v>
      </c>
      <c r="G67" s="22" t="str" cm="1">
        <f t="array" ref="G67:L67">_xlfn.XLOOKUP(C67,Sales_Fact!C67:C2051,Sales_Fact!E67:J2051)</f>
        <v>STORE10</v>
      </c>
      <c r="H67" s="22">
        <v>2</v>
      </c>
      <c r="I67" s="22">
        <v>686.31</v>
      </c>
      <c r="J67" s="22">
        <v>0.25</v>
      </c>
      <c r="K67" s="22" t="str">
        <v>Credit Card</v>
      </c>
      <c r="L67" s="22">
        <v>1029.4649999999999</v>
      </c>
    </row>
    <row r="68" spans="1:12" x14ac:dyDescent="0.3">
      <c r="A68" s="22" t="s">
        <v>1882</v>
      </c>
      <c r="B68" s="34" cm="1">
        <f t="array" ref="B68:C68">_xlfn.XLOOKUP(A68,Sales_Fact!A68:A2052,Sales_Fact!B68:C2052)</f>
        <v>45800</v>
      </c>
      <c r="C68" s="22" t="str">
        <v>CUST1007</v>
      </c>
      <c r="D68" s="22" t="str">
        <f>VLOOKUP('Combine Products &amp; Sales Facts'!C68,'Customer Details'!A:B,2,0)</f>
        <v>Daniel Boyd</v>
      </c>
      <c r="E68" s="22" t="str">
        <f>VLOOKUP(C68,Sales_Fact!C:D,2,0)</f>
        <v>PROD67</v>
      </c>
      <c r="F68" s="22" t="str">
        <f>VLOOKUP(E68,Product_Dim!A:C,3,0)</f>
        <v>Electronics</v>
      </c>
      <c r="G68" s="22" t="str" cm="1">
        <f t="array" ref="G68:L68">_xlfn.XLOOKUP(C68,Sales_Fact!C68:C2052,Sales_Fact!E68:J2052)</f>
        <v>STORE15</v>
      </c>
      <c r="H68" s="22">
        <v>1</v>
      </c>
      <c r="I68" s="22">
        <v>687.82</v>
      </c>
      <c r="J68" s="22">
        <v>0.27</v>
      </c>
      <c r="K68" s="22" t="str">
        <v>COD</v>
      </c>
      <c r="L68" s="22">
        <v>502.10860000000002</v>
      </c>
    </row>
    <row r="69" spans="1:12" x14ac:dyDescent="0.3">
      <c r="A69" s="22" t="s">
        <v>1883</v>
      </c>
      <c r="B69" s="34" cm="1">
        <f t="array" ref="B69:C69">_xlfn.XLOOKUP(A69,Sales_Fact!A69:A2053,Sales_Fact!B69:C2053)</f>
        <v>45609</v>
      </c>
      <c r="C69" s="22" t="str">
        <v>CUST1221</v>
      </c>
      <c r="D69" s="22" t="str">
        <f>VLOOKUP('Combine Products &amp; Sales Facts'!C69,'Customer Details'!A:B,2,0)</f>
        <v>Lisa Young</v>
      </c>
      <c r="E69" s="22" t="str">
        <f>VLOOKUP(C69,Sales_Fact!C:D,2,0)</f>
        <v>PROD83</v>
      </c>
      <c r="F69" s="22" t="str">
        <f>VLOOKUP(E69,Product_Dim!A:C,3,0)</f>
        <v>Beauty</v>
      </c>
      <c r="G69" s="22" t="str" cm="1">
        <f t="array" ref="G69:L69">_xlfn.XLOOKUP(C69,Sales_Fact!C69:C2053,Sales_Fact!E69:J2053)</f>
        <v>STORE8</v>
      </c>
      <c r="H69" s="22">
        <v>2</v>
      </c>
      <c r="I69" s="22">
        <v>900.55</v>
      </c>
      <c r="J69" s="22">
        <v>0.16</v>
      </c>
      <c r="K69" s="22" t="str">
        <v>Credit Card</v>
      </c>
      <c r="L69" s="22">
        <v>1512.924</v>
      </c>
    </row>
    <row r="70" spans="1:12" x14ac:dyDescent="0.3">
      <c r="A70" s="22" t="s">
        <v>1884</v>
      </c>
      <c r="B70" s="34" cm="1">
        <f t="array" ref="B70:C70">_xlfn.XLOOKUP(A70,Sales_Fact!A70:A2054,Sales_Fact!B70:C2054)</f>
        <v>45268</v>
      </c>
      <c r="C70" s="22" t="str">
        <v>CUST1115</v>
      </c>
      <c r="D70" s="22" t="str">
        <f>VLOOKUP('Combine Products &amp; Sales Facts'!C70,'Customer Details'!A:B,2,0)</f>
        <v>Tyler Conrad</v>
      </c>
      <c r="E70" s="22" t="str">
        <f>VLOOKUP(C70,Sales_Fact!C:D,2,0)</f>
        <v>PROD21</v>
      </c>
      <c r="F70" s="22" t="str">
        <f>VLOOKUP(E70,Product_Dim!A:C,3,0)</f>
        <v>Home</v>
      </c>
      <c r="G70" s="22" t="str" cm="1">
        <f t="array" ref="G70:L70">_xlfn.XLOOKUP(C70,Sales_Fact!C70:C2054,Sales_Fact!E70:J2054)</f>
        <v>STORE2</v>
      </c>
      <c r="H70" s="22">
        <v>1</v>
      </c>
      <c r="I70" s="22">
        <v>341.17</v>
      </c>
      <c r="J70" s="22">
        <v>0.15</v>
      </c>
      <c r="K70" s="22" t="str">
        <v>Credit Card</v>
      </c>
      <c r="L70" s="22">
        <v>289.99450000000002</v>
      </c>
    </row>
    <row r="71" spans="1:12" x14ac:dyDescent="0.3">
      <c r="A71" s="22" t="s">
        <v>1885</v>
      </c>
      <c r="B71" s="34" cm="1">
        <f t="array" ref="B71:C71">_xlfn.XLOOKUP(A71,Sales_Fact!A71:A2055,Sales_Fact!B71:C2055)</f>
        <v>45885</v>
      </c>
      <c r="C71" s="22" t="str">
        <v>CUST1176</v>
      </c>
      <c r="D71" s="22" t="str">
        <f>VLOOKUP('Combine Products &amp; Sales Facts'!C71,'Customer Details'!A:B,2,0)</f>
        <v>John Bradford</v>
      </c>
      <c r="E71" s="22" t="str">
        <f>VLOOKUP(C71,Sales_Fact!C:D,2,0)</f>
        <v>PROD52</v>
      </c>
      <c r="F71" s="22" t="str">
        <f>VLOOKUP(E71,Product_Dim!A:C,3,0)</f>
        <v>Sports</v>
      </c>
      <c r="G71" s="22" t="str" cm="1">
        <f t="array" ref="G71:L71">_xlfn.XLOOKUP(C71,Sales_Fact!C71:C2055,Sales_Fact!E71:J2055)</f>
        <v>STORE8</v>
      </c>
      <c r="H71" s="22">
        <v>1</v>
      </c>
      <c r="I71" s="22">
        <v>442.27</v>
      </c>
      <c r="J71" s="22">
        <v>0.06</v>
      </c>
      <c r="K71" s="22" t="str">
        <v>COD</v>
      </c>
      <c r="L71" s="22">
        <v>415.73379999999997</v>
      </c>
    </row>
    <row r="72" spans="1:12" x14ac:dyDescent="0.3">
      <c r="A72" s="22" t="s">
        <v>3947</v>
      </c>
      <c r="B72" s="34" cm="1">
        <f t="array" ref="B72:C72">_xlfn.XLOOKUP(A72,Sales_Fact!A72:A2056,Sales_Fact!B72:C2056)</f>
        <v>45616</v>
      </c>
      <c r="C72" s="22" t="str">
        <v>CUST1253</v>
      </c>
      <c r="D72" s="22" t="str">
        <f>VLOOKUP('Combine Products &amp; Sales Facts'!C72,'Customer Details'!A:B,2,0)</f>
        <v>Dr. Ashley Yates Md</v>
      </c>
      <c r="E72" s="22" t="str">
        <f>VLOOKUP(C72,Sales_Fact!C:D,2,0)</f>
        <v>PROD71</v>
      </c>
      <c r="F72" s="22" t="str">
        <f>VLOOKUP(E72,Product_Dim!A:C,3,0)</f>
        <v>Beauty</v>
      </c>
      <c r="G72" s="22" t="str" cm="1">
        <f t="array" ref="G72:L72">_xlfn.XLOOKUP(C72,Sales_Fact!C72:C2056,Sales_Fact!E72:J2056)</f>
        <v>STORE9</v>
      </c>
      <c r="H72" s="22">
        <v>1</v>
      </c>
      <c r="I72" s="22">
        <v>363.73</v>
      </c>
      <c r="J72" s="22">
        <v>0.25</v>
      </c>
      <c r="K72" s="22" t="str">
        <v>PayPal</v>
      </c>
      <c r="L72" s="22">
        <v>272.79750000000001</v>
      </c>
    </row>
    <row r="73" spans="1:12" x14ac:dyDescent="0.3">
      <c r="A73" s="22" t="s">
        <v>1886</v>
      </c>
      <c r="B73" s="34" cm="1">
        <f t="array" ref="B73:C73">_xlfn.XLOOKUP(A73,Sales_Fact!A73:A2057,Sales_Fact!B73:C2057)</f>
        <v>45518</v>
      </c>
      <c r="C73" s="22" t="str">
        <v>CUST1378</v>
      </c>
      <c r="D73" s="22" t="str">
        <f>VLOOKUP('Combine Products &amp; Sales Facts'!C73,'Customer Details'!A:B,2,0)</f>
        <v>Frank Stewart</v>
      </c>
      <c r="E73" s="22" t="str">
        <f>VLOOKUP(C73,Sales_Fact!C:D,2,0)</f>
        <v>PROD91</v>
      </c>
      <c r="F73" s="22" t="str">
        <f>VLOOKUP(E73,Product_Dim!A:C,3,0)</f>
        <v>Clothing</v>
      </c>
      <c r="G73" s="22" t="str" cm="1">
        <f t="array" ref="G73:L73">_xlfn.XLOOKUP(C73,Sales_Fact!C73:C2057,Sales_Fact!E73:J2057)</f>
        <v>STORE17</v>
      </c>
      <c r="H73" s="22">
        <v>2</v>
      </c>
      <c r="I73" s="22">
        <v>601.33000000000004</v>
      </c>
      <c r="J73" s="22">
        <v>0.16</v>
      </c>
      <c r="K73" s="22" t="str">
        <v>PayPal</v>
      </c>
      <c r="L73" s="22">
        <v>1010.2344000000001</v>
      </c>
    </row>
    <row r="74" spans="1:12" x14ac:dyDescent="0.3">
      <c r="A74" s="22" t="s">
        <v>1887</v>
      </c>
      <c r="B74" s="34" cm="1">
        <f t="array" ref="B74:C74">_xlfn.XLOOKUP(A74,Sales_Fact!A74:A2058,Sales_Fact!B74:C2058)</f>
        <v>45427</v>
      </c>
      <c r="C74" s="22" t="str">
        <v>CUST1403</v>
      </c>
      <c r="D74" s="22" t="str">
        <f>VLOOKUP('Combine Products &amp; Sales Facts'!C74,'Customer Details'!A:B,2,0)</f>
        <v>Justin Ingram</v>
      </c>
      <c r="E74" s="22" t="str">
        <f>VLOOKUP(C74,Sales_Fact!C:D,2,0)</f>
        <v>PROD17</v>
      </c>
      <c r="F74" s="22" t="str">
        <f>VLOOKUP(E74,Product_Dim!A:C,3,0)</f>
        <v>Sports</v>
      </c>
      <c r="G74" s="22" t="str" cm="1">
        <f t="array" ref="G74:L74">_xlfn.XLOOKUP(C74,Sales_Fact!C74:C2058,Sales_Fact!E74:J2058)</f>
        <v>STORE18</v>
      </c>
      <c r="H74" s="22">
        <v>4</v>
      </c>
      <c r="I74" s="22">
        <v>34.39</v>
      </c>
      <c r="J74" s="22">
        <v>0.03</v>
      </c>
      <c r="K74" s="22" t="str">
        <v>PayPal</v>
      </c>
      <c r="L74" s="22">
        <v>133.4332</v>
      </c>
    </row>
    <row r="75" spans="1:12" x14ac:dyDescent="0.3">
      <c r="A75" s="22" t="s">
        <v>1888</v>
      </c>
      <c r="B75" s="34" cm="1">
        <f t="array" ref="B75:C75">_xlfn.XLOOKUP(A75,Sales_Fact!A75:A2059,Sales_Fact!B75:C2059)</f>
        <v>45282</v>
      </c>
      <c r="C75" s="22" t="str">
        <v>CUST1054</v>
      </c>
      <c r="D75" s="22" t="str">
        <f>VLOOKUP('Combine Products &amp; Sales Facts'!C75,'Customer Details'!A:B,2,0)</f>
        <v>Katherine Dorsey</v>
      </c>
      <c r="E75" s="22" t="str">
        <f>VLOOKUP(C75,Sales_Fact!C:D,2,0)</f>
        <v>PROD88</v>
      </c>
      <c r="F75" s="22" t="str">
        <f>VLOOKUP(E75,Product_Dim!A:C,3,0)</f>
        <v>Sports</v>
      </c>
      <c r="G75" s="22" t="str" cm="1">
        <f t="array" ref="G75:L75">_xlfn.XLOOKUP(C75,Sales_Fact!C75:C2059,Sales_Fact!E75:J2059)</f>
        <v>STORE7</v>
      </c>
      <c r="H75" s="22">
        <v>4</v>
      </c>
      <c r="I75" s="22">
        <v>127.1</v>
      </c>
      <c r="J75" s="22">
        <v>0.24</v>
      </c>
      <c r="K75" s="22" t="str">
        <v>COD</v>
      </c>
      <c r="L75" s="22">
        <v>386.38400000000001</v>
      </c>
    </row>
    <row r="76" spans="1:12" x14ac:dyDescent="0.3">
      <c r="A76" s="22" t="s">
        <v>1889</v>
      </c>
      <c r="B76" s="34" cm="1">
        <f t="array" ref="B76:C76">_xlfn.XLOOKUP(A76,Sales_Fact!A76:A2060,Sales_Fact!B76:C2060)</f>
        <v>45545</v>
      </c>
      <c r="C76" s="22" t="str">
        <v>CUST1303</v>
      </c>
      <c r="D76" s="22" t="str">
        <f>VLOOKUP('Combine Products &amp; Sales Facts'!C76,'Customer Details'!A:B,2,0)</f>
        <v>John Sloan</v>
      </c>
      <c r="E76" s="22" t="str">
        <f>VLOOKUP(C76,Sales_Fact!C:D,2,0)</f>
        <v>PROD20</v>
      </c>
      <c r="F76" s="22" t="str">
        <f>VLOOKUP(E76,Product_Dim!A:C,3,0)</f>
        <v>Sports</v>
      </c>
      <c r="G76" s="22" t="str" cm="1">
        <f t="array" ref="G76:L76">_xlfn.XLOOKUP(C76,Sales_Fact!C76:C2060,Sales_Fact!E76:J2060)</f>
        <v>STORE3</v>
      </c>
      <c r="H76" s="22">
        <v>3</v>
      </c>
      <c r="I76" s="22">
        <v>899.58</v>
      </c>
      <c r="J76" s="22">
        <v>0.28000000000000003</v>
      </c>
      <c r="K76" s="22" t="str">
        <v>PayPal</v>
      </c>
      <c r="L76" s="22">
        <v>1943.0927999999999</v>
      </c>
    </row>
    <row r="77" spans="1:12" x14ac:dyDescent="0.3">
      <c r="A77" s="22" t="s">
        <v>1890</v>
      </c>
      <c r="B77" s="34" cm="1">
        <f t="array" ref="B77:C77">_xlfn.XLOOKUP(A77,Sales_Fact!A77:A2061,Sales_Fact!B77:C2061)</f>
        <v>45755</v>
      </c>
      <c r="C77" s="22" t="str">
        <v>CUST1327</v>
      </c>
      <c r="D77" s="22" t="str">
        <f>VLOOKUP('Combine Products &amp; Sales Facts'!C77,'Customer Details'!A:B,2,0)</f>
        <v>Reginald Willis</v>
      </c>
      <c r="E77" s="22" t="str">
        <f>VLOOKUP(C77,Sales_Fact!C:D,2,0)</f>
        <v>PROD1</v>
      </c>
      <c r="F77" s="22" t="str">
        <f>VLOOKUP(E77,Product_Dim!A:C,3,0)</f>
        <v>Clothing</v>
      </c>
      <c r="G77" s="22" t="str" cm="1">
        <f t="array" ref="G77:L77">_xlfn.XLOOKUP(C77,Sales_Fact!C77:C2061,Sales_Fact!E77:J2061)</f>
        <v>STORE10</v>
      </c>
      <c r="H77" s="22">
        <v>3</v>
      </c>
      <c r="I77" s="22">
        <v>964.39</v>
      </c>
      <c r="J77" s="22">
        <v>0.04</v>
      </c>
      <c r="K77" s="22" t="str">
        <v>Credit Card</v>
      </c>
      <c r="L77" s="22">
        <v>2777.4432000000002</v>
      </c>
    </row>
    <row r="78" spans="1:12" x14ac:dyDescent="0.3">
      <c r="A78" s="22" t="s">
        <v>1891</v>
      </c>
      <c r="B78" s="34" cm="1">
        <f t="array" ref="B78:C78">_xlfn.XLOOKUP(A78,Sales_Fact!A78:A2062,Sales_Fact!B78:C2062)</f>
        <v>45588</v>
      </c>
      <c r="C78" s="22" t="str">
        <v>CUST1183</v>
      </c>
      <c r="D78" s="22" t="str">
        <f>VLOOKUP('Combine Products &amp; Sales Facts'!C78,'Customer Details'!A:B,2,0)</f>
        <v>Mario Jacobs</v>
      </c>
      <c r="E78" s="22" t="str">
        <f>VLOOKUP(C78,Sales_Fact!C:D,2,0)</f>
        <v>PROD38</v>
      </c>
      <c r="F78" s="22" t="str">
        <f>VLOOKUP(E78,Product_Dim!A:C,3,0)</f>
        <v>Sports</v>
      </c>
      <c r="G78" s="22" t="str" cm="1">
        <f t="array" ref="G78:L78">_xlfn.XLOOKUP(C78,Sales_Fact!C78:C2062,Sales_Fact!E78:J2062)</f>
        <v>STORE0</v>
      </c>
      <c r="H78" s="22">
        <v>2</v>
      </c>
      <c r="I78" s="22">
        <v>217.83</v>
      </c>
      <c r="J78" s="22">
        <v>0.14000000000000001</v>
      </c>
      <c r="K78" s="22" t="str">
        <v>PayPal</v>
      </c>
      <c r="L78" s="22">
        <v>374.66759999999999</v>
      </c>
    </row>
    <row r="79" spans="1:12" x14ac:dyDescent="0.3">
      <c r="A79" s="22" t="s">
        <v>1892</v>
      </c>
      <c r="B79" s="34" cm="1">
        <f t="array" ref="B79:C79">_xlfn.XLOOKUP(A79,Sales_Fact!A79:A2063,Sales_Fact!B79:C2063)</f>
        <v>45848</v>
      </c>
      <c r="C79" s="22" t="str">
        <v>CUST1143</v>
      </c>
      <c r="D79" s="22" t="str">
        <f>VLOOKUP('Combine Products &amp; Sales Facts'!C79,'Customer Details'!A:B,2,0)</f>
        <v>Carlos Skinner</v>
      </c>
      <c r="E79" s="22" t="str">
        <f>VLOOKUP(C79,Sales_Fact!C:D,2,0)</f>
        <v>PROD17</v>
      </c>
      <c r="F79" s="22" t="str">
        <f>VLOOKUP(E79,Product_Dim!A:C,3,0)</f>
        <v>Sports</v>
      </c>
      <c r="G79" s="22" t="str" cm="1">
        <f t="array" ref="G79:L79">_xlfn.XLOOKUP(C79,Sales_Fact!C79:C2063,Sales_Fact!E79:J2063)</f>
        <v>STORE1</v>
      </c>
      <c r="H79" s="22">
        <v>4</v>
      </c>
      <c r="I79" s="22">
        <v>187.71</v>
      </c>
      <c r="J79" s="22">
        <v>0.06</v>
      </c>
      <c r="K79" s="22" t="str">
        <v>COD</v>
      </c>
      <c r="L79" s="22">
        <v>705.78959999999995</v>
      </c>
    </row>
    <row r="80" spans="1:12" x14ac:dyDescent="0.3">
      <c r="A80" s="22" t="s">
        <v>1893</v>
      </c>
      <c r="B80" s="34" cm="1">
        <f t="array" ref="B80:C80">_xlfn.XLOOKUP(A80,Sales_Fact!A80:A2064,Sales_Fact!B80:C2064)</f>
        <v>45577</v>
      </c>
      <c r="C80" s="22" t="str">
        <v>CUST1010</v>
      </c>
      <c r="D80" s="22" t="str">
        <f>VLOOKUP('Combine Products &amp; Sales Facts'!C80,'Customer Details'!A:B,2,0)</f>
        <v>Dominic Page</v>
      </c>
      <c r="E80" s="22" t="str">
        <f>VLOOKUP(C80,Sales_Fact!C:D,2,0)</f>
        <v>PROD33</v>
      </c>
      <c r="F80" s="22" t="str">
        <f>VLOOKUP(E80,Product_Dim!A:C,3,0)</f>
        <v>Home</v>
      </c>
      <c r="G80" s="22" t="str" cm="1">
        <f t="array" ref="G80:L80">_xlfn.XLOOKUP(C80,Sales_Fact!C80:C2064,Sales_Fact!E80:J2064)</f>
        <v>STORE18</v>
      </c>
      <c r="H80" s="22">
        <v>2</v>
      </c>
      <c r="I80" s="22">
        <v>350.12</v>
      </c>
      <c r="J80" s="22">
        <v>0.12</v>
      </c>
      <c r="K80" s="22" t="str">
        <v>COD</v>
      </c>
      <c r="L80" s="22">
        <v>616.21119999999996</v>
      </c>
    </row>
    <row r="81" spans="1:12" x14ac:dyDescent="0.3">
      <c r="A81" s="22" t="s">
        <v>1894</v>
      </c>
      <c r="B81" s="34" cm="1">
        <f t="array" ref="B81:C81">_xlfn.XLOOKUP(A81,Sales_Fact!A81:A2065,Sales_Fact!B81:C2065)</f>
        <v>45312</v>
      </c>
      <c r="C81" s="22" t="str">
        <v>CUST1406</v>
      </c>
      <c r="D81" s="22" t="str">
        <f>VLOOKUP('Combine Products &amp; Sales Facts'!C81,'Customer Details'!A:B,2,0)</f>
        <v>David Lozano</v>
      </c>
      <c r="E81" s="22" t="str">
        <f>VLOOKUP(C81,Sales_Fact!C:D,2,0)</f>
        <v>PROD16</v>
      </c>
      <c r="F81" s="22" t="str">
        <f>VLOOKUP(E81,Product_Dim!A:C,3,0)</f>
        <v>Beauty</v>
      </c>
      <c r="G81" s="22" t="str" cm="1">
        <f t="array" ref="G81:L81">_xlfn.XLOOKUP(C81,Sales_Fact!C81:C2065,Sales_Fact!E81:J2065)</f>
        <v>STORE1</v>
      </c>
      <c r="H81" s="22">
        <v>4</v>
      </c>
      <c r="I81" s="22">
        <v>102.19</v>
      </c>
      <c r="J81" s="22">
        <v>0.17</v>
      </c>
      <c r="K81" s="22" t="str">
        <v>PayPal</v>
      </c>
      <c r="L81" s="22">
        <v>339.27080000000001</v>
      </c>
    </row>
    <row r="82" spans="1:12" x14ac:dyDescent="0.3">
      <c r="A82" s="22" t="s">
        <v>1895</v>
      </c>
      <c r="B82" s="34" cm="1">
        <f t="array" ref="B82:C82">_xlfn.XLOOKUP(A82,Sales_Fact!A82:A2066,Sales_Fact!B82:C2066)</f>
        <v>45350</v>
      </c>
      <c r="C82" s="22" t="str">
        <v>CUST1007</v>
      </c>
      <c r="D82" s="22" t="str">
        <f>VLOOKUP('Combine Products &amp; Sales Facts'!C82,'Customer Details'!A:B,2,0)</f>
        <v>Daniel Boyd</v>
      </c>
      <c r="E82" s="22" t="str">
        <f>VLOOKUP(C82,Sales_Fact!C:D,2,0)</f>
        <v>PROD67</v>
      </c>
      <c r="F82" s="22" t="str">
        <f>VLOOKUP(E82,Product_Dim!A:C,3,0)</f>
        <v>Electronics</v>
      </c>
      <c r="G82" s="22" t="str" cm="1">
        <f t="array" ref="G82:L82">_xlfn.XLOOKUP(C82,Sales_Fact!C82:C2066,Sales_Fact!E82:J2066)</f>
        <v>STORE4</v>
      </c>
      <c r="H82" s="22">
        <v>1</v>
      </c>
      <c r="I82" s="22">
        <v>696.53</v>
      </c>
      <c r="J82" s="22">
        <v>0.17</v>
      </c>
      <c r="K82" s="22" t="str">
        <v>Credit Card</v>
      </c>
      <c r="L82" s="22">
        <v>578.11989999999992</v>
      </c>
    </row>
    <row r="83" spans="1:12" x14ac:dyDescent="0.3">
      <c r="A83" s="22" t="s">
        <v>1896</v>
      </c>
      <c r="B83" s="34" cm="1">
        <f t="array" ref="B83:C83">_xlfn.XLOOKUP(A83,Sales_Fact!A83:A2067,Sales_Fact!B83:C2067)</f>
        <v>45657</v>
      </c>
      <c r="C83" s="22" t="str">
        <v>CUST1065</v>
      </c>
      <c r="D83" s="22" t="str">
        <f>VLOOKUP('Combine Products &amp; Sales Facts'!C83,'Customer Details'!A:B,2,0)</f>
        <v>Michael Thomas</v>
      </c>
      <c r="E83" s="22" t="str">
        <f>VLOOKUP(C83,Sales_Fact!C:D,2,0)</f>
        <v>PROD24</v>
      </c>
      <c r="F83" s="22" t="str">
        <f>VLOOKUP(E83,Product_Dim!A:C,3,0)</f>
        <v>Sports</v>
      </c>
      <c r="G83" s="22" t="str" cm="1">
        <f t="array" ref="G83:L83">_xlfn.XLOOKUP(C83,Sales_Fact!C83:C2067,Sales_Fact!E83:J2067)</f>
        <v>STORE4</v>
      </c>
      <c r="H83" s="22">
        <v>2</v>
      </c>
      <c r="I83" s="22">
        <v>327.52</v>
      </c>
      <c r="J83" s="22">
        <v>0.15</v>
      </c>
      <c r="K83" s="22" t="str">
        <v>PayPal</v>
      </c>
      <c r="L83" s="22">
        <v>556.78399999999999</v>
      </c>
    </row>
    <row r="84" spans="1:12" x14ac:dyDescent="0.3">
      <c r="A84" s="22" t="s">
        <v>1897</v>
      </c>
      <c r="B84" s="34" cm="1">
        <f t="array" ref="B84:C84">_xlfn.XLOOKUP(A84,Sales_Fact!A84:A2068,Sales_Fact!B84:C2068)</f>
        <v>45556</v>
      </c>
      <c r="C84" s="22" t="str">
        <v>CUST1321</v>
      </c>
      <c r="D84" s="22" t="str">
        <f>VLOOKUP('Combine Products &amp; Sales Facts'!C84,'Customer Details'!A:B,2,0)</f>
        <v>Darren Burton</v>
      </c>
      <c r="E84" s="22" t="str">
        <f>VLOOKUP(C84,Sales_Fact!C:D,2,0)</f>
        <v>PROD99</v>
      </c>
      <c r="F84" s="22" t="str">
        <f>VLOOKUP(E84,Product_Dim!A:C,3,0)</f>
        <v>Home</v>
      </c>
      <c r="G84" s="22" t="str" cm="1">
        <f t="array" ref="G84:L84">_xlfn.XLOOKUP(C84,Sales_Fact!C84:C2068,Sales_Fact!E84:J2068)</f>
        <v>STORE6</v>
      </c>
      <c r="H84" s="22">
        <v>2</v>
      </c>
      <c r="I84" s="22">
        <v>68.290000000000006</v>
      </c>
      <c r="J84" s="22">
        <v>0.14000000000000001</v>
      </c>
      <c r="K84" s="22" t="str">
        <v>COD</v>
      </c>
      <c r="L84" s="22">
        <v>117.4588</v>
      </c>
    </row>
    <row r="85" spans="1:12" x14ac:dyDescent="0.3">
      <c r="A85" s="22" t="s">
        <v>1898</v>
      </c>
      <c r="B85" s="34" cm="1">
        <f t="array" ref="B85:C85">_xlfn.XLOOKUP(A85,Sales_Fact!A85:A2069,Sales_Fact!B85:C2069)</f>
        <v>45523</v>
      </c>
      <c r="C85" s="22" t="str">
        <v>CUST1244</v>
      </c>
      <c r="D85" s="22" t="str">
        <f>VLOOKUP('Combine Products &amp; Sales Facts'!C85,'Customer Details'!A:B,2,0)</f>
        <v>Nancy Page</v>
      </c>
      <c r="E85" s="22" t="str">
        <f>VLOOKUP(C85,Sales_Fact!C:D,2,0)</f>
        <v>PROD50</v>
      </c>
      <c r="F85" s="22" t="str">
        <f>VLOOKUP(E85,Product_Dim!A:C,3,0)</f>
        <v>Sports</v>
      </c>
      <c r="G85" s="22" t="str" cm="1">
        <f t="array" ref="G85:L85">_xlfn.XLOOKUP(C85,Sales_Fact!C85:C2069,Sales_Fact!E85:J2069)</f>
        <v>STORE10</v>
      </c>
      <c r="H85" s="22">
        <v>1</v>
      </c>
      <c r="I85" s="22">
        <v>842.9</v>
      </c>
      <c r="J85" s="22">
        <v>0.06</v>
      </c>
      <c r="K85" s="22" t="str">
        <v>COD</v>
      </c>
      <c r="L85" s="22">
        <v>792.32599999999991</v>
      </c>
    </row>
    <row r="86" spans="1:12" x14ac:dyDescent="0.3">
      <c r="A86" s="22" t="s">
        <v>3948</v>
      </c>
      <c r="B86" s="34" cm="1">
        <f t="array" ref="B86:C86">_xlfn.XLOOKUP(A86,Sales_Fact!A86:A2070,Sales_Fact!B86:C2070)</f>
        <v>45587</v>
      </c>
      <c r="C86" s="22" t="str">
        <v>CUST1287</v>
      </c>
      <c r="D86" s="22" t="str">
        <f>VLOOKUP('Combine Products &amp; Sales Facts'!C86,'Customer Details'!A:B,2,0)</f>
        <v>Cynthia Roberts</v>
      </c>
      <c r="E86" s="22" t="str">
        <f>VLOOKUP(C86,Sales_Fact!C:D,2,0)</f>
        <v>PROD3</v>
      </c>
      <c r="F86" s="22" t="str">
        <f>VLOOKUP(E86,Product_Dim!A:C,3,0)</f>
        <v>Clothing</v>
      </c>
      <c r="G86" s="22" t="str" cm="1">
        <f t="array" ref="G86:L86">_xlfn.XLOOKUP(C86,Sales_Fact!C86:C2070,Sales_Fact!E86:J2070)</f>
        <v>STORE3</v>
      </c>
      <c r="H86" s="22">
        <v>3</v>
      </c>
      <c r="I86" s="22">
        <v>751.94</v>
      </c>
      <c r="J86" s="22">
        <v>0.26</v>
      </c>
      <c r="K86" s="22" t="str">
        <v>PayPal</v>
      </c>
      <c r="L86" s="22">
        <v>1669.3068000000001</v>
      </c>
    </row>
    <row r="87" spans="1:12" x14ac:dyDescent="0.3">
      <c r="A87" s="22" t="s">
        <v>1899</v>
      </c>
      <c r="B87" s="34" cm="1">
        <f t="array" ref="B87:C87">_xlfn.XLOOKUP(A87,Sales_Fact!A87:A2071,Sales_Fact!B87:C2071)</f>
        <v>45580</v>
      </c>
      <c r="C87" s="22" t="str">
        <v>CUST1131</v>
      </c>
      <c r="D87" s="22" t="str">
        <f>VLOOKUP('Combine Products &amp; Sales Facts'!C87,'Customer Details'!A:B,2,0)</f>
        <v>Joseph Richards</v>
      </c>
      <c r="E87" s="22" t="str">
        <f>VLOOKUP(C87,Sales_Fact!C:D,2,0)</f>
        <v>PROD56</v>
      </c>
      <c r="F87" s="22" t="str">
        <f>VLOOKUP(E87,Product_Dim!A:C,3,0)</f>
        <v>Home</v>
      </c>
      <c r="G87" s="22" t="str" cm="1">
        <f t="array" ref="G87:L87">_xlfn.XLOOKUP(C87,Sales_Fact!C87:C2071,Sales_Fact!E87:J2071)</f>
        <v>STORE7</v>
      </c>
      <c r="H87" s="22">
        <v>4</v>
      </c>
      <c r="I87" s="22">
        <v>476.28</v>
      </c>
      <c r="J87" s="22">
        <v>0.17</v>
      </c>
      <c r="K87" s="22" t="str">
        <v>Credit Card</v>
      </c>
      <c r="L87" s="22">
        <v>1581.2496000000001</v>
      </c>
    </row>
    <row r="88" spans="1:12" x14ac:dyDescent="0.3">
      <c r="A88" s="22" t="s">
        <v>1900</v>
      </c>
      <c r="B88" s="34" cm="1">
        <f t="array" ref="B88:C88">_xlfn.XLOOKUP(A88,Sales_Fact!A88:A2072,Sales_Fact!B88:C2072)</f>
        <v>45479</v>
      </c>
      <c r="C88" s="22" t="str">
        <v>CUST1325</v>
      </c>
      <c r="D88" s="22" t="str">
        <f>VLOOKUP('Combine Products &amp; Sales Facts'!C88,'Customer Details'!A:B,2,0)</f>
        <v>Andrew Smith</v>
      </c>
      <c r="E88" s="22" t="str">
        <f>VLOOKUP(C88,Sales_Fact!C:D,2,0)</f>
        <v>PROD54</v>
      </c>
      <c r="F88" s="22" t="str">
        <f>VLOOKUP(E88,Product_Dim!A:C,3,0)</f>
        <v>Sports</v>
      </c>
      <c r="G88" s="22" t="str" cm="1">
        <f t="array" ref="G88:L88">_xlfn.XLOOKUP(C88,Sales_Fact!C88:C2072,Sales_Fact!E88:J2072)</f>
        <v>STORE3</v>
      </c>
      <c r="H88" s="22">
        <v>3</v>
      </c>
      <c r="I88" s="22">
        <v>541.99</v>
      </c>
      <c r="J88" s="22">
        <v>0.24</v>
      </c>
      <c r="K88" s="22" t="str">
        <v>COD</v>
      </c>
      <c r="L88" s="22">
        <v>1235.7372</v>
      </c>
    </row>
    <row r="89" spans="1:12" x14ac:dyDescent="0.3">
      <c r="A89" s="22" t="s">
        <v>1901</v>
      </c>
      <c r="B89" s="34" cm="1">
        <f t="array" ref="B89:C89">_xlfn.XLOOKUP(A89,Sales_Fact!A89:A2073,Sales_Fact!B89:C2073)</f>
        <v>45677</v>
      </c>
      <c r="C89" s="22" t="str">
        <v>CUST1369</v>
      </c>
      <c r="D89" s="22" t="str">
        <f>VLOOKUP('Combine Products &amp; Sales Facts'!C89,'Customer Details'!A:B,2,0)</f>
        <v>Gregory Allen</v>
      </c>
      <c r="E89" s="22" t="str">
        <f>VLOOKUP(C89,Sales_Fact!C:D,2,0)</f>
        <v>PROD33</v>
      </c>
      <c r="F89" s="22" t="str">
        <f>VLOOKUP(E89,Product_Dim!A:C,3,0)</f>
        <v>Home</v>
      </c>
      <c r="G89" s="22" t="str" cm="1">
        <f t="array" ref="G89:L89">_xlfn.XLOOKUP(C89,Sales_Fact!C89:C2073,Sales_Fact!E89:J2073)</f>
        <v>STORE5</v>
      </c>
      <c r="H89" s="22">
        <v>2</v>
      </c>
      <c r="I89" s="22">
        <v>401.5</v>
      </c>
      <c r="J89" s="22">
        <v>0.18</v>
      </c>
      <c r="K89" s="22" t="str">
        <v>Credit Card</v>
      </c>
      <c r="L89" s="22">
        <v>658.46</v>
      </c>
    </row>
    <row r="90" spans="1:12" x14ac:dyDescent="0.3">
      <c r="A90" s="22" t="s">
        <v>1902</v>
      </c>
      <c r="B90" s="34" cm="1">
        <f t="array" ref="B90:C90">_xlfn.XLOOKUP(A90,Sales_Fact!A90:A2074,Sales_Fact!B90:C2074)</f>
        <v>45453</v>
      </c>
      <c r="C90" s="22" t="str">
        <v>CUST1084</v>
      </c>
      <c r="D90" s="22" t="str">
        <f>VLOOKUP('Combine Products &amp; Sales Facts'!C90,'Customer Details'!A:B,2,0)</f>
        <v>Christy Hoffman</v>
      </c>
      <c r="E90" s="22" t="str">
        <f>VLOOKUP(C90,Sales_Fact!C:D,2,0)</f>
        <v>PROD25</v>
      </c>
      <c r="F90" s="22" t="str">
        <f>VLOOKUP(E90,Product_Dim!A:C,3,0)</f>
        <v>Clothing</v>
      </c>
      <c r="G90" s="22" t="str" cm="1">
        <f t="array" ref="G90:L90">_xlfn.XLOOKUP(C90,Sales_Fact!C90:C2074,Sales_Fact!E90:J2074)</f>
        <v>STORE13</v>
      </c>
      <c r="H90" s="22">
        <v>3</v>
      </c>
      <c r="I90" s="22">
        <v>359.56</v>
      </c>
      <c r="J90" s="22">
        <v>0.17</v>
      </c>
      <c r="K90" s="22" t="str">
        <v>PayPal</v>
      </c>
      <c r="L90" s="22">
        <v>895.30439999999999</v>
      </c>
    </row>
    <row r="91" spans="1:12" x14ac:dyDescent="0.3">
      <c r="A91" s="22" t="s">
        <v>1903</v>
      </c>
      <c r="B91" s="34" cm="1">
        <f t="array" ref="B91:C91">_xlfn.XLOOKUP(A91,Sales_Fact!A91:A2075,Sales_Fact!B91:C2075)</f>
        <v>45552</v>
      </c>
      <c r="C91" s="22" t="str">
        <v>CUST1097</v>
      </c>
      <c r="D91" s="22" t="str">
        <f>VLOOKUP('Combine Products &amp; Sales Facts'!C91,'Customer Details'!A:B,2,0)</f>
        <v>David Cobb</v>
      </c>
      <c r="E91" s="22" t="str">
        <f>VLOOKUP(C91,Sales_Fact!C:D,2,0)</f>
        <v>PROD80</v>
      </c>
      <c r="F91" s="22" t="str">
        <f>VLOOKUP(E91,Product_Dim!A:C,3,0)</f>
        <v>Home</v>
      </c>
      <c r="G91" s="22" t="str" cm="1">
        <f t="array" ref="G91:L91">_xlfn.XLOOKUP(C91,Sales_Fact!C91:C2075,Sales_Fact!E91:J2075)</f>
        <v>STORE12</v>
      </c>
      <c r="H91" s="22">
        <v>2</v>
      </c>
      <c r="I91" s="22">
        <v>471.88</v>
      </c>
      <c r="J91" s="22">
        <v>0.24</v>
      </c>
      <c r="K91" s="22" t="str">
        <v>PayPal</v>
      </c>
      <c r="L91" s="22">
        <v>717.25760000000002</v>
      </c>
    </row>
    <row r="92" spans="1:12" x14ac:dyDescent="0.3">
      <c r="A92" s="22" t="s">
        <v>1904</v>
      </c>
      <c r="B92" s="34" cm="1">
        <f t="array" ref="B92:C92">_xlfn.XLOOKUP(A92,Sales_Fact!A92:A2076,Sales_Fact!B92:C2076)</f>
        <v>45907</v>
      </c>
      <c r="C92" s="22" t="str">
        <v>CUST1182</v>
      </c>
      <c r="D92" s="22" t="str">
        <f>VLOOKUP('Combine Products &amp; Sales Facts'!C92,'Customer Details'!A:B,2,0)</f>
        <v>Melissa Hamilton</v>
      </c>
      <c r="E92" s="22" t="str">
        <f>VLOOKUP(C92,Sales_Fact!C:D,2,0)</f>
        <v>PROD34</v>
      </c>
      <c r="F92" s="22" t="str">
        <f>VLOOKUP(E92,Product_Dim!A:C,3,0)</f>
        <v>Electronics</v>
      </c>
      <c r="G92" s="22" t="str" cm="1">
        <f t="array" ref="G92:L92">_xlfn.XLOOKUP(C92,Sales_Fact!C92:C2076,Sales_Fact!E92:J2076)</f>
        <v>STORE4</v>
      </c>
      <c r="H92" s="22">
        <v>4</v>
      </c>
      <c r="I92" s="22">
        <v>925.19</v>
      </c>
      <c r="J92" s="22">
        <v>0.19</v>
      </c>
      <c r="K92" s="22" t="str">
        <v>PayPal</v>
      </c>
      <c r="L92" s="22">
        <v>2997.615600000001</v>
      </c>
    </row>
    <row r="93" spans="1:12" x14ac:dyDescent="0.3">
      <c r="A93" s="22" t="s">
        <v>1905</v>
      </c>
      <c r="B93" s="34" cm="1">
        <f t="array" ref="B93:C93">_xlfn.XLOOKUP(A93,Sales_Fact!A93:A2077,Sales_Fact!B93:C2077)</f>
        <v>45330</v>
      </c>
      <c r="C93" s="22" t="str">
        <v>CUST1029</v>
      </c>
      <c r="D93" s="22" t="str">
        <f>VLOOKUP('Combine Products &amp; Sales Facts'!C93,'Customer Details'!A:B,2,0)</f>
        <v>David Arnold</v>
      </c>
      <c r="E93" s="22" t="str">
        <f>VLOOKUP(C93,Sales_Fact!C:D,2,0)</f>
        <v>PROD86</v>
      </c>
      <c r="F93" s="22" t="str">
        <f>VLOOKUP(E93,Product_Dim!A:C,3,0)</f>
        <v>Home</v>
      </c>
      <c r="G93" s="22" t="str" cm="1">
        <f t="array" ref="G93:L93">_xlfn.XLOOKUP(C93,Sales_Fact!C93:C2077,Sales_Fact!E93:J2077)</f>
        <v>STORE11</v>
      </c>
      <c r="H93" s="22">
        <v>2</v>
      </c>
      <c r="I93" s="22">
        <v>879.63</v>
      </c>
      <c r="J93" s="22">
        <v>7.0000000000000007E-2</v>
      </c>
      <c r="K93" s="22" t="str">
        <v>COD</v>
      </c>
      <c r="L93" s="22">
        <v>1636.1117999999999</v>
      </c>
    </row>
    <row r="94" spans="1:12" x14ac:dyDescent="0.3">
      <c r="A94" s="22" t="s">
        <v>1906</v>
      </c>
      <c r="B94" s="34" cm="1">
        <f t="array" ref="B94:C94">_xlfn.XLOOKUP(A94,Sales_Fact!A94:A2078,Sales_Fact!B94:C2078)</f>
        <v>45214</v>
      </c>
      <c r="C94" s="22" t="str">
        <v>CUST1002</v>
      </c>
      <c r="D94" s="22" t="str">
        <f>VLOOKUP('Combine Products &amp; Sales Facts'!C94,'Customer Details'!A:B,2,0)</f>
        <v>Dr. Benjamin Price</v>
      </c>
      <c r="E94" s="22" t="str">
        <f>VLOOKUP(C94,Sales_Fact!C:D,2,0)</f>
        <v>PROD79</v>
      </c>
      <c r="F94" s="22" t="str">
        <f>VLOOKUP(E94,Product_Dim!A:C,3,0)</f>
        <v>Home</v>
      </c>
      <c r="G94" s="22" t="str" cm="1">
        <f t="array" ref="G94:L94">_xlfn.XLOOKUP(C94,Sales_Fact!C94:C2078,Sales_Fact!E94:J2078)</f>
        <v>STORE17</v>
      </c>
      <c r="H94" s="22">
        <v>2</v>
      </c>
      <c r="I94" s="22">
        <v>418.23</v>
      </c>
      <c r="J94" s="22">
        <v>0.28000000000000003</v>
      </c>
      <c r="K94" s="22" t="str">
        <v>Credit Card</v>
      </c>
      <c r="L94" s="22">
        <v>602.25120000000004</v>
      </c>
    </row>
    <row r="95" spans="1:12" x14ac:dyDescent="0.3">
      <c r="A95" s="22" t="s">
        <v>1907</v>
      </c>
      <c r="B95" s="34" cm="1">
        <f t="array" ref="B95:C95">_xlfn.XLOOKUP(A95,Sales_Fact!A95:A2079,Sales_Fact!B95:C2079)</f>
        <v>45891</v>
      </c>
      <c r="C95" s="22" t="str">
        <v>CUST1269</v>
      </c>
      <c r="D95" s="22" t="str">
        <f>VLOOKUP('Combine Products &amp; Sales Facts'!C95,'Customer Details'!A:B,2,0)</f>
        <v>Tyrone Olson</v>
      </c>
      <c r="E95" s="22" t="str">
        <f>VLOOKUP(C95,Sales_Fact!C:D,2,0)</f>
        <v>PROD77</v>
      </c>
      <c r="F95" s="22" t="str">
        <f>VLOOKUP(E95,Product_Dim!A:C,3,0)</f>
        <v>Electronics</v>
      </c>
      <c r="G95" s="22" t="str" cm="1">
        <f t="array" ref="G95:L95">_xlfn.XLOOKUP(C95,Sales_Fact!C95:C2079,Sales_Fact!E95:J2079)</f>
        <v>STORE18</v>
      </c>
      <c r="H95" s="22">
        <v>3</v>
      </c>
      <c r="I95" s="22">
        <v>551.72</v>
      </c>
      <c r="J95" s="22">
        <v>0.03</v>
      </c>
      <c r="K95" s="22" t="str">
        <v>COD</v>
      </c>
      <c r="L95" s="22">
        <v>1605.5052000000001</v>
      </c>
    </row>
    <row r="96" spans="1:12" x14ac:dyDescent="0.3">
      <c r="A96" s="22" t="s">
        <v>3949</v>
      </c>
      <c r="B96" s="34" cm="1">
        <f t="array" ref="B96:C96">_xlfn.XLOOKUP(A96,Sales_Fact!A96:A2080,Sales_Fact!B96:C2080)</f>
        <v>45323</v>
      </c>
      <c r="C96" s="22" t="str">
        <v>CUST1338</v>
      </c>
      <c r="D96" s="22" t="str">
        <f>VLOOKUP('Combine Products &amp; Sales Facts'!C96,'Customer Details'!A:B,2,0)</f>
        <v>Jasmine Snyder</v>
      </c>
      <c r="E96" s="22" t="str">
        <f>VLOOKUP(C96,Sales_Fact!C:D,2,0)</f>
        <v>PROD86</v>
      </c>
      <c r="F96" s="22" t="str">
        <f>VLOOKUP(E96,Product_Dim!A:C,3,0)</f>
        <v>Home</v>
      </c>
      <c r="G96" s="22" t="str" cm="1">
        <f t="array" ref="G96:L96">_xlfn.XLOOKUP(C96,Sales_Fact!C96:C2080,Sales_Fact!E96:J2080)</f>
        <v>STORE7</v>
      </c>
      <c r="H96" s="22">
        <v>4</v>
      </c>
      <c r="I96" s="22">
        <v>525.61</v>
      </c>
      <c r="J96" s="22">
        <v>0.02</v>
      </c>
      <c r="K96" s="22" t="str">
        <v>PayPal</v>
      </c>
      <c r="L96" s="22">
        <v>2060.3912</v>
      </c>
    </row>
    <row r="97" spans="1:12" x14ac:dyDescent="0.3">
      <c r="A97" s="22" t="s">
        <v>1908</v>
      </c>
      <c r="B97" s="34" cm="1">
        <f t="array" ref="B97:C97">_xlfn.XLOOKUP(A97,Sales_Fact!A97:A2081,Sales_Fact!B97:C2081)</f>
        <v>45785</v>
      </c>
      <c r="C97" s="22" t="str">
        <v>CUST1041</v>
      </c>
      <c r="D97" s="22" t="str">
        <f>VLOOKUP('Combine Products &amp; Sales Facts'!C97,'Customer Details'!A:B,2,0)</f>
        <v>James Gibbs</v>
      </c>
      <c r="E97" s="22" t="str">
        <f>VLOOKUP(C97,Sales_Fact!C:D,2,0)</f>
        <v>PROD22</v>
      </c>
      <c r="F97" s="22" t="str">
        <f>VLOOKUP(E97,Product_Dim!A:C,3,0)</f>
        <v>Sports</v>
      </c>
      <c r="G97" s="22" t="str" cm="1">
        <f t="array" ref="G97:L97">_xlfn.XLOOKUP(C97,Sales_Fact!C97:C2081,Sales_Fact!E97:J2081)</f>
        <v>STORE13</v>
      </c>
      <c r="H97" s="22">
        <v>3</v>
      </c>
      <c r="I97" s="22">
        <v>815.3</v>
      </c>
      <c r="J97" s="22">
        <v>0.03</v>
      </c>
      <c r="K97" s="22" t="str">
        <v>Credit Card</v>
      </c>
      <c r="L97" s="22">
        <v>2372.5230000000001</v>
      </c>
    </row>
    <row r="98" spans="1:12" x14ac:dyDescent="0.3">
      <c r="A98" s="22" t="s">
        <v>1909</v>
      </c>
      <c r="B98" s="34" cm="1">
        <f t="array" ref="B98:C98">_xlfn.XLOOKUP(A98,Sales_Fact!A98:A2082,Sales_Fact!B98:C2082)</f>
        <v>45738</v>
      </c>
      <c r="C98" s="22" t="str">
        <v>CUST1214</v>
      </c>
      <c r="D98" s="22" t="str">
        <f>VLOOKUP('Combine Products &amp; Sales Facts'!C98,'Customer Details'!A:B,2,0)</f>
        <v>Eric Todd</v>
      </c>
      <c r="E98" s="22" t="str">
        <f>VLOOKUP(C98,Sales_Fact!C:D,2,0)</f>
        <v>PROD91</v>
      </c>
      <c r="F98" s="22" t="str">
        <f>VLOOKUP(E98,Product_Dim!A:C,3,0)</f>
        <v>Clothing</v>
      </c>
      <c r="G98" s="22" t="str" cm="1">
        <f t="array" ref="G98:L98">_xlfn.XLOOKUP(C98,Sales_Fact!C98:C2082,Sales_Fact!E98:J2082)</f>
        <v>STORE0</v>
      </c>
      <c r="H98" s="22">
        <v>3</v>
      </c>
      <c r="I98" s="22">
        <v>376.46</v>
      </c>
      <c r="J98" s="22">
        <v>0.09</v>
      </c>
      <c r="K98" s="22" t="str">
        <v>COD</v>
      </c>
      <c r="L98" s="22">
        <v>1027.7357999999999</v>
      </c>
    </row>
    <row r="99" spans="1:12" x14ac:dyDescent="0.3">
      <c r="A99" s="22" t="s">
        <v>1910</v>
      </c>
      <c r="B99" s="34" cm="1">
        <f t="array" ref="B99:C99">_xlfn.XLOOKUP(A99,Sales_Fact!A99:A2083,Sales_Fact!B99:C2083)</f>
        <v>45851</v>
      </c>
      <c r="C99" s="22" t="str">
        <v>CUST1007</v>
      </c>
      <c r="D99" s="22" t="str">
        <f>VLOOKUP('Combine Products &amp; Sales Facts'!C99,'Customer Details'!A:B,2,0)</f>
        <v>Daniel Boyd</v>
      </c>
      <c r="E99" s="22" t="str">
        <f>VLOOKUP(C99,Sales_Fact!C:D,2,0)</f>
        <v>PROD67</v>
      </c>
      <c r="F99" s="22" t="str">
        <f>VLOOKUP(E99,Product_Dim!A:C,3,0)</f>
        <v>Electronics</v>
      </c>
      <c r="G99" s="22" t="str" cm="1">
        <f t="array" ref="G99:L99">_xlfn.XLOOKUP(C99,Sales_Fact!C99:C2083,Sales_Fact!E99:J2083)</f>
        <v>STORE8</v>
      </c>
      <c r="H99" s="22">
        <v>4</v>
      </c>
      <c r="I99" s="22">
        <v>239.83</v>
      </c>
      <c r="J99" s="22">
        <v>0.08</v>
      </c>
      <c r="K99" s="22" t="str">
        <v>Credit Card</v>
      </c>
      <c r="L99" s="22">
        <v>882.57440000000008</v>
      </c>
    </row>
    <row r="100" spans="1:12" x14ac:dyDescent="0.3">
      <c r="A100" s="22" t="s">
        <v>1911</v>
      </c>
      <c r="B100" s="34" cm="1">
        <f t="array" ref="B100:C100">_xlfn.XLOOKUP(A100,Sales_Fact!A100:A2084,Sales_Fact!B100:C2084)</f>
        <v>45798</v>
      </c>
      <c r="C100" s="22" t="str">
        <v>CUST1119</v>
      </c>
      <c r="D100" s="22" t="str">
        <f>VLOOKUP('Combine Products &amp; Sales Facts'!C100,'Customer Details'!A:B,2,0)</f>
        <v>Michael Jones</v>
      </c>
      <c r="E100" s="22" t="str">
        <f>VLOOKUP(C100,Sales_Fact!C:D,2,0)</f>
        <v>PROD90</v>
      </c>
      <c r="F100" s="22" t="str">
        <f>VLOOKUP(E100,Product_Dim!A:C,3,0)</f>
        <v>Electronics</v>
      </c>
      <c r="G100" s="22" t="str" cm="1">
        <f t="array" ref="G100:L100">_xlfn.XLOOKUP(C100,Sales_Fact!C100:C2084,Sales_Fact!E100:J2084)</f>
        <v>STORE3</v>
      </c>
      <c r="H100" s="22">
        <v>2</v>
      </c>
      <c r="I100" s="22">
        <v>845.71</v>
      </c>
      <c r="J100" s="22">
        <v>0.01</v>
      </c>
      <c r="K100" s="22" t="str">
        <v>PayPal</v>
      </c>
      <c r="L100" s="22">
        <v>1674.5057999999999</v>
      </c>
    </row>
    <row r="101" spans="1:12" x14ac:dyDescent="0.3">
      <c r="A101" s="22" t="s">
        <v>1912</v>
      </c>
      <c r="B101" s="34" cm="1">
        <f t="array" ref="B101:C101">_xlfn.XLOOKUP(A101,Sales_Fact!A101:A2085,Sales_Fact!B101:C2085)</f>
        <v>45705</v>
      </c>
      <c r="C101" s="22" t="str">
        <v>CUST1087</v>
      </c>
      <c r="D101" s="22" t="str">
        <f>VLOOKUP('Combine Products &amp; Sales Facts'!C101,'Customer Details'!A:B,2,0)</f>
        <v>Melissa Duffy Md</v>
      </c>
      <c r="E101" s="22" t="str">
        <f>VLOOKUP(C101,Sales_Fact!C:D,2,0)</f>
        <v>PROD76</v>
      </c>
      <c r="F101" s="22" t="str">
        <f>VLOOKUP(E101,Product_Dim!A:C,3,0)</f>
        <v>Electronics</v>
      </c>
      <c r="G101" s="22" t="str" cm="1">
        <f t="array" ref="G101:L101">_xlfn.XLOOKUP(C101,Sales_Fact!C101:C2085,Sales_Fact!E101:J2085)</f>
        <v>STORE13</v>
      </c>
      <c r="H101" s="22">
        <v>3</v>
      </c>
      <c r="I101" s="22">
        <v>948.69</v>
      </c>
      <c r="J101" s="22">
        <v>0.28999999999999998</v>
      </c>
      <c r="K101" s="22" t="str">
        <v>Credit Card</v>
      </c>
      <c r="L101" s="22">
        <v>2020.7097000000001</v>
      </c>
    </row>
    <row r="102" spans="1:12" x14ac:dyDescent="0.3">
      <c r="A102" s="22" t="s">
        <v>1913</v>
      </c>
      <c r="B102" s="34" cm="1">
        <f t="array" ref="B102:C102">_xlfn.XLOOKUP(A102,Sales_Fact!A102:A2086,Sales_Fact!B102:C2086)</f>
        <v>45413</v>
      </c>
      <c r="C102" s="22" t="str">
        <v>CUST1467</v>
      </c>
      <c r="D102" s="22" t="str">
        <f>VLOOKUP('Combine Products &amp; Sales Facts'!C102,'Customer Details'!A:B,2,0)</f>
        <v>Michael Foley</v>
      </c>
      <c r="E102" s="22" t="str">
        <f>VLOOKUP(C102,Sales_Fact!C:D,2,0)</f>
        <v>PROD74</v>
      </c>
      <c r="F102" s="22" t="str">
        <f>VLOOKUP(E102,Product_Dim!A:C,3,0)</f>
        <v>Electronics</v>
      </c>
      <c r="G102" s="22" t="str" cm="1">
        <f t="array" ref="G102:L102">_xlfn.XLOOKUP(C102,Sales_Fact!C102:C2086,Sales_Fact!E102:J2086)</f>
        <v>STORE10</v>
      </c>
      <c r="H102" s="22">
        <v>1</v>
      </c>
      <c r="I102" s="22">
        <v>281.97000000000003</v>
      </c>
      <c r="J102" s="22">
        <v>0.2</v>
      </c>
      <c r="K102" s="22" t="str">
        <v>PayPal</v>
      </c>
      <c r="L102" s="22">
        <v>225.57599999999999</v>
      </c>
    </row>
    <row r="103" spans="1:12" x14ac:dyDescent="0.3">
      <c r="A103" s="22" t="s">
        <v>1914</v>
      </c>
      <c r="B103" s="34" cm="1">
        <f t="array" ref="B103:C103">_xlfn.XLOOKUP(A103,Sales_Fact!A103:A2087,Sales_Fact!B103:C2087)</f>
        <v>45482</v>
      </c>
      <c r="C103" s="22" t="str">
        <v>CUST1152</v>
      </c>
      <c r="D103" s="22" t="str">
        <f>VLOOKUP('Combine Products &amp; Sales Facts'!C103,'Customer Details'!A:B,2,0)</f>
        <v>Patrick Roberts</v>
      </c>
      <c r="E103" s="22" t="str">
        <f>VLOOKUP(C103,Sales_Fact!C:D,2,0)</f>
        <v>PROD70</v>
      </c>
      <c r="F103" s="22" t="str">
        <f>VLOOKUP(E103,Product_Dim!A:C,3,0)</f>
        <v>Home</v>
      </c>
      <c r="G103" s="22" t="str" cm="1">
        <f t="array" ref="G103:L103">_xlfn.XLOOKUP(C103,Sales_Fact!C103:C2087,Sales_Fact!E103:J2087)</f>
        <v>STORE4</v>
      </c>
      <c r="H103" s="22">
        <v>2</v>
      </c>
      <c r="I103" s="22">
        <v>731.01</v>
      </c>
      <c r="J103" s="22">
        <v>0.05</v>
      </c>
      <c r="K103" s="22" t="str">
        <v>PayPal</v>
      </c>
      <c r="L103" s="22">
        <v>1388.9190000000001</v>
      </c>
    </row>
    <row r="104" spans="1:12" x14ac:dyDescent="0.3">
      <c r="A104" s="22" t="s">
        <v>1915</v>
      </c>
      <c r="B104" s="34" cm="1">
        <f t="array" ref="B104:C104">_xlfn.XLOOKUP(A104,Sales_Fact!A104:A2088,Sales_Fact!B104:C2088)</f>
        <v>45925</v>
      </c>
      <c r="C104" s="22" t="str">
        <v>CUST1257</v>
      </c>
      <c r="D104" s="22" t="str">
        <f>VLOOKUP('Combine Products &amp; Sales Facts'!C104,'Customer Details'!A:B,2,0)</f>
        <v>Christopher David</v>
      </c>
      <c r="E104" s="22" t="str">
        <f>VLOOKUP(C104,Sales_Fact!C:D,2,0)</f>
        <v>PROD85</v>
      </c>
      <c r="F104" s="22" t="str">
        <f>VLOOKUP(E104,Product_Dim!A:C,3,0)</f>
        <v>Clothing</v>
      </c>
      <c r="G104" s="22" t="str" cm="1">
        <f t="array" ref="G104:L104">_xlfn.XLOOKUP(C104,Sales_Fact!C104:C2088,Sales_Fact!E104:J2088)</f>
        <v>STORE7</v>
      </c>
      <c r="H104" s="22">
        <v>4</v>
      </c>
      <c r="I104" s="22">
        <v>930.85</v>
      </c>
      <c r="J104" s="22">
        <v>0.13</v>
      </c>
      <c r="K104" s="22" t="str">
        <v>PayPal</v>
      </c>
      <c r="L104" s="22">
        <v>3239.3580000000002</v>
      </c>
    </row>
    <row r="105" spans="1:12" x14ac:dyDescent="0.3">
      <c r="A105" s="22" t="s">
        <v>1916</v>
      </c>
      <c r="B105" s="34" cm="1">
        <f t="array" ref="B105:C105">_xlfn.XLOOKUP(A105,Sales_Fact!A105:A2089,Sales_Fact!B105:C2089)</f>
        <v>45420</v>
      </c>
      <c r="C105" s="22" t="str">
        <v>CUST1419</v>
      </c>
      <c r="D105" s="22" t="str">
        <f>VLOOKUP('Combine Products &amp; Sales Facts'!C105,'Customer Details'!A:B,2,0)</f>
        <v>Monica Miller</v>
      </c>
      <c r="E105" s="22" t="str">
        <f>VLOOKUP(C105,Sales_Fact!C:D,2,0)</f>
        <v>PROD3</v>
      </c>
      <c r="F105" s="22" t="str">
        <f>VLOOKUP(E105,Product_Dim!A:C,3,0)</f>
        <v>Clothing</v>
      </c>
      <c r="G105" s="22" t="str" cm="1">
        <f t="array" ref="G105:L105">_xlfn.XLOOKUP(C105,Sales_Fact!C105:C2089,Sales_Fact!E105:J2089)</f>
        <v>STORE8</v>
      </c>
      <c r="H105" s="22">
        <v>4</v>
      </c>
      <c r="I105" s="22">
        <v>770.77</v>
      </c>
      <c r="J105" s="22">
        <v>0.22</v>
      </c>
      <c r="K105" s="22" t="str">
        <v>Credit Card</v>
      </c>
      <c r="L105" s="22">
        <v>2404.8024</v>
      </c>
    </row>
    <row r="106" spans="1:12" x14ac:dyDescent="0.3">
      <c r="A106" s="22" t="s">
        <v>1917</v>
      </c>
      <c r="B106" s="34" cm="1">
        <f t="array" ref="B106:C106">_xlfn.XLOOKUP(A106,Sales_Fact!A106:A2090,Sales_Fact!B106:C2090)</f>
        <v>45554</v>
      </c>
      <c r="C106" s="22" t="str">
        <v>CUST1067</v>
      </c>
      <c r="D106" s="22" t="str">
        <f>VLOOKUP('Combine Products &amp; Sales Facts'!C106,'Customer Details'!A:B,2,0)</f>
        <v>Amber Mcclain</v>
      </c>
      <c r="E106" s="22" t="str">
        <f>VLOOKUP(C106,Sales_Fact!C:D,2,0)</f>
        <v>PROD46</v>
      </c>
      <c r="F106" s="22" t="str">
        <f>VLOOKUP(E106,Product_Dim!A:C,3,0)</f>
        <v>Clothing</v>
      </c>
      <c r="G106" s="22" t="str" cm="1">
        <f t="array" ref="G106:L106">_xlfn.XLOOKUP(C106,Sales_Fact!C106:C2090,Sales_Fact!E106:J2090)</f>
        <v>STORE4</v>
      </c>
      <c r="H106" s="22">
        <v>3</v>
      </c>
      <c r="I106" s="22">
        <v>479.63</v>
      </c>
      <c r="J106" s="22">
        <v>0.3</v>
      </c>
      <c r="K106" s="22" t="str">
        <v>PayPal</v>
      </c>
      <c r="L106" s="22">
        <v>1007.223</v>
      </c>
    </row>
    <row r="107" spans="1:12" x14ac:dyDescent="0.3">
      <c r="A107" s="22" t="s">
        <v>1918</v>
      </c>
      <c r="B107" s="34" cm="1">
        <f t="array" ref="B107:C107">_xlfn.XLOOKUP(A107,Sales_Fact!A107:A2091,Sales_Fact!B107:C2091)</f>
        <v>45405</v>
      </c>
      <c r="C107" s="22" t="str">
        <v>CUST1105</v>
      </c>
      <c r="D107" s="22" t="str">
        <f>VLOOKUP('Combine Products &amp; Sales Facts'!C107,'Customer Details'!A:B,2,0)</f>
        <v>Lance Baker</v>
      </c>
      <c r="E107" s="22" t="str">
        <f>VLOOKUP(C107,Sales_Fact!C:D,2,0)</f>
        <v>PROD39</v>
      </c>
      <c r="F107" s="22" t="str">
        <f>VLOOKUP(E107,Product_Dim!A:C,3,0)</f>
        <v>Electronics</v>
      </c>
      <c r="G107" s="22" t="str" cm="1">
        <f t="array" ref="G107:L107">_xlfn.XLOOKUP(C107,Sales_Fact!C107:C2091,Sales_Fact!E107:J2091)</f>
        <v>STORE11</v>
      </c>
      <c r="H107" s="22">
        <v>1</v>
      </c>
      <c r="I107" s="22">
        <v>165</v>
      </c>
      <c r="J107" s="22">
        <v>0.3</v>
      </c>
      <c r="K107" s="22" t="str">
        <v>COD</v>
      </c>
      <c r="L107" s="22">
        <v>115.5</v>
      </c>
    </row>
    <row r="108" spans="1:12" x14ac:dyDescent="0.3">
      <c r="A108" s="22" t="s">
        <v>1919</v>
      </c>
      <c r="B108" s="34" cm="1">
        <f t="array" ref="B108:C108">_xlfn.XLOOKUP(A108,Sales_Fact!A108:A2092,Sales_Fact!B108:C2092)</f>
        <v>45503</v>
      </c>
      <c r="C108" s="22" t="str">
        <v>CUST1158</v>
      </c>
      <c r="D108" s="22" t="str">
        <f>VLOOKUP('Combine Products &amp; Sales Facts'!C108,'Customer Details'!A:B,2,0)</f>
        <v>Sean Powell</v>
      </c>
      <c r="E108" s="22" t="str">
        <f>VLOOKUP(C108,Sales_Fact!C:D,2,0)</f>
        <v>PROD19</v>
      </c>
      <c r="F108" s="22" t="str">
        <f>VLOOKUP(E108,Product_Dim!A:C,3,0)</f>
        <v>Sports</v>
      </c>
      <c r="G108" s="22" t="str" cm="1">
        <f t="array" ref="G108:L108">_xlfn.XLOOKUP(C108,Sales_Fact!C108:C2092,Sales_Fact!E108:J2092)</f>
        <v>STORE8</v>
      </c>
      <c r="H108" s="22">
        <v>2</v>
      </c>
      <c r="I108" s="22">
        <v>151.51</v>
      </c>
      <c r="J108" s="22">
        <v>0.28999999999999998</v>
      </c>
      <c r="K108" s="22" t="str">
        <v>COD</v>
      </c>
      <c r="L108" s="22">
        <v>215.14420000000001</v>
      </c>
    </row>
    <row r="109" spans="1:12" x14ac:dyDescent="0.3">
      <c r="A109" s="22" t="s">
        <v>1920</v>
      </c>
      <c r="B109" s="34" cm="1">
        <f t="array" ref="B109:C109">_xlfn.XLOOKUP(A109,Sales_Fact!A109:A2093,Sales_Fact!B109:C2093)</f>
        <v>45274</v>
      </c>
      <c r="C109" s="22" t="str">
        <v>CUST1231</v>
      </c>
      <c r="D109" s="22" t="str">
        <f>VLOOKUP('Combine Products &amp; Sales Facts'!C109,'Customer Details'!A:B,2,0)</f>
        <v>Timothy Juarez</v>
      </c>
      <c r="E109" s="22" t="str">
        <f>VLOOKUP(C109,Sales_Fact!C:D,2,0)</f>
        <v>PROD31</v>
      </c>
      <c r="F109" s="22" t="str">
        <f>VLOOKUP(E109,Product_Dim!A:C,3,0)</f>
        <v>Sports</v>
      </c>
      <c r="G109" s="22" t="str" cm="1">
        <f t="array" ref="G109:L109">_xlfn.XLOOKUP(C109,Sales_Fact!C109:C2093,Sales_Fact!E109:J2093)</f>
        <v>STORE17</v>
      </c>
      <c r="H109" s="22">
        <v>2</v>
      </c>
      <c r="I109" s="22">
        <v>872.93</v>
      </c>
      <c r="J109" s="22">
        <v>0.28999999999999998</v>
      </c>
      <c r="K109" s="22" t="str">
        <v>COD</v>
      </c>
      <c r="L109" s="22">
        <v>1239.5606</v>
      </c>
    </row>
    <row r="110" spans="1:12" x14ac:dyDescent="0.3">
      <c r="A110" s="22" t="s">
        <v>1921</v>
      </c>
      <c r="B110" s="34" cm="1">
        <f t="array" ref="B110:C110">_xlfn.XLOOKUP(A110,Sales_Fact!A110:A2094,Sales_Fact!B110:C2094)</f>
        <v>45558</v>
      </c>
      <c r="C110" s="22" t="str">
        <v>CUST1264</v>
      </c>
      <c r="D110" s="22" t="str">
        <f>VLOOKUP('Combine Products &amp; Sales Facts'!C110,'Customer Details'!A:B,2,0)</f>
        <v>Matthew Payne</v>
      </c>
      <c r="E110" s="22" t="str">
        <f>VLOOKUP(C110,Sales_Fact!C:D,2,0)</f>
        <v>PROD22</v>
      </c>
      <c r="F110" s="22" t="str">
        <f>VLOOKUP(E110,Product_Dim!A:C,3,0)</f>
        <v>Sports</v>
      </c>
      <c r="G110" s="22" t="str" cm="1">
        <f t="array" ref="G110:L110">_xlfn.XLOOKUP(C110,Sales_Fact!C110:C2094,Sales_Fact!E110:J2094)</f>
        <v>STORE10</v>
      </c>
      <c r="H110" s="22">
        <v>3</v>
      </c>
      <c r="I110" s="22">
        <v>432.4</v>
      </c>
      <c r="J110" s="22">
        <v>0.04</v>
      </c>
      <c r="K110" s="22" t="str">
        <v>Credit Card</v>
      </c>
      <c r="L110" s="22">
        <v>1245.3119999999999</v>
      </c>
    </row>
    <row r="111" spans="1:12" x14ac:dyDescent="0.3">
      <c r="A111" s="22" t="s">
        <v>1922</v>
      </c>
      <c r="B111" s="34" cm="1">
        <f t="array" ref="B111:C111">_xlfn.XLOOKUP(A111,Sales_Fact!A111:A2095,Sales_Fact!B111:C2095)</f>
        <v>45886</v>
      </c>
      <c r="C111" s="22" t="str">
        <v>CUST1338</v>
      </c>
      <c r="D111" s="22" t="str">
        <f>VLOOKUP('Combine Products &amp; Sales Facts'!C111,'Customer Details'!A:B,2,0)</f>
        <v>Jasmine Snyder</v>
      </c>
      <c r="E111" s="22" t="str">
        <f>VLOOKUP(C111,Sales_Fact!C:D,2,0)</f>
        <v>PROD86</v>
      </c>
      <c r="F111" s="22" t="str">
        <f>VLOOKUP(E111,Product_Dim!A:C,3,0)</f>
        <v>Home</v>
      </c>
      <c r="G111" s="22" t="str" cm="1">
        <f t="array" ref="G111:L111">_xlfn.XLOOKUP(C111,Sales_Fact!C111:C2095,Sales_Fact!E111:J2095)</f>
        <v>STORE7</v>
      </c>
      <c r="H111" s="22">
        <v>2</v>
      </c>
      <c r="I111" s="22">
        <v>197.76</v>
      </c>
      <c r="J111" s="22">
        <v>0.04</v>
      </c>
      <c r="K111" s="22" t="str">
        <v>Credit Card</v>
      </c>
      <c r="L111" s="22">
        <v>379.69920000000002</v>
      </c>
    </row>
    <row r="112" spans="1:12" x14ac:dyDescent="0.3">
      <c r="A112" s="22" t="s">
        <v>1923</v>
      </c>
      <c r="B112" s="34" cm="1">
        <f t="array" ref="B112:C112">_xlfn.XLOOKUP(A112,Sales_Fact!A112:A2096,Sales_Fact!B112:C2096)</f>
        <v>45674</v>
      </c>
      <c r="C112" s="22" t="str">
        <v>CUST1476</v>
      </c>
      <c r="D112" s="22" t="str">
        <f>VLOOKUP('Combine Products &amp; Sales Facts'!C112,'Customer Details'!A:B,2,0)</f>
        <v>Elizabeth Foster</v>
      </c>
      <c r="E112" s="22" t="str">
        <f>VLOOKUP(C112,Sales_Fact!C:D,2,0)</f>
        <v>PROD69</v>
      </c>
      <c r="F112" s="22" t="str">
        <f>VLOOKUP(E112,Product_Dim!A:C,3,0)</f>
        <v>Clothing</v>
      </c>
      <c r="G112" s="22" t="str" cm="1">
        <f t="array" ref="G112:L112">_xlfn.XLOOKUP(C112,Sales_Fact!C112:C2096,Sales_Fact!E112:J2096)</f>
        <v>STORE2</v>
      </c>
      <c r="H112" s="22">
        <v>3</v>
      </c>
      <c r="I112" s="22">
        <v>334.6</v>
      </c>
      <c r="J112" s="22">
        <v>0.11</v>
      </c>
      <c r="K112" s="22" t="str">
        <v>PayPal</v>
      </c>
      <c r="L112" s="22">
        <v>893.38200000000006</v>
      </c>
    </row>
    <row r="113" spans="1:12" x14ac:dyDescent="0.3">
      <c r="A113" s="22" t="s">
        <v>1924</v>
      </c>
      <c r="B113" s="34" cm="1">
        <f t="array" ref="B113:C113">_xlfn.XLOOKUP(A113,Sales_Fact!A113:A2097,Sales_Fact!B113:C2097)</f>
        <v>45777</v>
      </c>
      <c r="C113" s="22" t="str">
        <v>CUST1087</v>
      </c>
      <c r="D113" s="22" t="str">
        <f>VLOOKUP('Combine Products &amp; Sales Facts'!C113,'Customer Details'!A:B,2,0)</f>
        <v>Melissa Duffy Md</v>
      </c>
      <c r="E113" s="22" t="str">
        <f>VLOOKUP(C113,Sales_Fact!C:D,2,0)</f>
        <v>PROD76</v>
      </c>
      <c r="F113" s="22" t="str">
        <f>VLOOKUP(E113,Product_Dim!A:C,3,0)</f>
        <v>Electronics</v>
      </c>
      <c r="G113" s="22" t="str" cm="1">
        <f t="array" ref="G113:L113">_xlfn.XLOOKUP(C113,Sales_Fact!C113:C2097,Sales_Fact!E113:J2097)</f>
        <v>STORE3</v>
      </c>
      <c r="H113" s="22">
        <v>2</v>
      </c>
      <c r="I113" s="22">
        <v>44.35</v>
      </c>
      <c r="J113" s="22">
        <v>0.2</v>
      </c>
      <c r="K113" s="22" t="str">
        <v>COD</v>
      </c>
      <c r="L113" s="22">
        <v>70.960000000000008</v>
      </c>
    </row>
    <row r="114" spans="1:12" x14ac:dyDescent="0.3">
      <c r="A114" s="22" t="s">
        <v>1925</v>
      </c>
      <c r="B114" s="34" cm="1">
        <f t="array" ref="B114:C114">_xlfn.XLOOKUP(A114,Sales_Fact!A114:A2098,Sales_Fact!B114:C2098)</f>
        <v>45598</v>
      </c>
      <c r="C114" s="22" t="str">
        <v>CUST1498</v>
      </c>
      <c r="D114" s="22" t="str">
        <f>VLOOKUP('Combine Products &amp; Sales Facts'!C114,'Customer Details'!A:B,2,0)</f>
        <v>Traci Gonzalez</v>
      </c>
      <c r="E114" s="22" t="str">
        <f>VLOOKUP(C114,Sales_Fact!C:D,2,0)</f>
        <v>PROD8</v>
      </c>
      <c r="F114" s="22" t="str">
        <f>VLOOKUP(E114,Product_Dim!A:C,3,0)</f>
        <v>Electronics</v>
      </c>
      <c r="G114" s="22" t="str" cm="1">
        <f t="array" ref="G114:L114">_xlfn.XLOOKUP(C114,Sales_Fact!C114:C2098,Sales_Fact!E114:J2098)</f>
        <v>STORE6</v>
      </c>
      <c r="H114" s="22">
        <v>1</v>
      </c>
      <c r="I114" s="22">
        <v>846.31</v>
      </c>
      <c r="J114" s="22">
        <v>0.05</v>
      </c>
      <c r="K114" s="22" t="str">
        <v>PayPal</v>
      </c>
      <c r="L114" s="22">
        <v>803.9944999999999</v>
      </c>
    </row>
    <row r="115" spans="1:12" x14ac:dyDescent="0.3">
      <c r="A115" s="22" t="s">
        <v>1926</v>
      </c>
      <c r="B115" s="34" cm="1">
        <f t="array" ref="B115:C115">_xlfn.XLOOKUP(A115,Sales_Fact!A115:A2099,Sales_Fact!B115:C2099)</f>
        <v>45884</v>
      </c>
      <c r="C115" s="22" t="str">
        <v>CUST1131</v>
      </c>
      <c r="D115" s="22" t="str">
        <f>VLOOKUP('Combine Products &amp; Sales Facts'!C115,'Customer Details'!A:B,2,0)</f>
        <v>Joseph Richards</v>
      </c>
      <c r="E115" s="22" t="str">
        <f>VLOOKUP(C115,Sales_Fact!C:D,2,0)</f>
        <v>PROD56</v>
      </c>
      <c r="F115" s="22" t="str">
        <f>VLOOKUP(E115,Product_Dim!A:C,3,0)</f>
        <v>Home</v>
      </c>
      <c r="G115" s="22" t="str" cm="1">
        <f t="array" ref="G115:L115">_xlfn.XLOOKUP(C115,Sales_Fact!C115:C2099,Sales_Fact!E115:J2099)</f>
        <v>STORE12</v>
      </c>
      <c r="H115" s="22">
        <v>1</v>
      </c>
      <c r="I115" s="22">
        <v>996.48</v>
      </c>
      <c r="J115" s="22">
        <v>7.0000000000000007E-2</v>
      </c>
      <c r="K115" s="22" t="str">
        <v>COD</v>
      </c>
      <c r="L115" s="22">
        <v>926.7263999999999</v>
      </c>
    </row>
    <row r="116" spans="1:12" x14ac:dyDescent="0.3">
      <c r="A116" s="22" t="s">
        <v>1927</v>
      </c>
      <c r="B116" s="34" cm="1">
        <f t="array" ref="B116:C116">_xlfn.XLOOKUP(A116,Sales_Fact!A116:A2100,Sales_Fact!B116:C2100)</f>
        <v>45916</v>
      </c>
      <c r="C116" s="22" t="str">
        <v>CUST1277</v>
      </c>
      <c r="D116" s="22" t="str">
        <f>VLOOKUP('Combine Products &amp; Sales Facts'!C116,'Customer Details'!A:B,2,0)</f>
        <v>Jeffrey Gomez</v>
      </c>
      <c r="E116" s="22" t="str">
        <f>VLOOKUP(C116,Sales_Fact!C:D,2,0)</f>
        <v>PROD93</v>
      </c>
      <c r="F116" s="22" t="str">
        <f>VLOOKUP(E116,Product_Dim!A:C,3,0)</f>
        <v>Electronics</v>
      </c>
      <c r="G116" s="22" t="str" cm="1">
        <f t="array" ref="G116:L116">_xlfn.XLOOKUP(C116,Sales_Fact!C116:C2100,Sales_Fact!E116:J2100)</f>
        <v>STORE6</v>
      </c>
      <c r="H116" s="22">
        <v>3</v>
      </c>
      <c r="I116" s="22">
        <v>949.19</v>
      </c>
      <c r="J116" s="22">
        <v>0.03</v>
      </c>
      <c r="K116" s="22" t="str">
        <v>COD</v>
      </c>
      <c r="L116" s="22">
        <v>2762.1428999999998</v>
      </c>
    </row>
    <row r="117" spans="1:12" x14ac:dyDescent="0.3">
      <c r="A117" s="22" t="s">
        <v>1928</v>
      </c>
      <c r="B117" s="34" cm="1">
        <f t="array" ref="B117:C117">_xlfn.XLOOKUP(A117,Sales_Fact!A117:A2101,Sales_Fact!B117:C2101)</f>
        <v>45347</v>
      </c>
      <c r="C117" s="22" t="str">
        <v>CUST1397</v>
      </c>
      <c r="D117" s="22" t="str">
        <f>VLOOKUP('Combine Products &amp; Sales Facts'!C117,'Customer Details'!A:B,2,0)</f>
        <v>Charles Norman Phd</v>
      </c>
      <c r="E117" s="22" t="str">
        <f>VLOOKUP(C117,Sales_Fact!C:D,2,0)</f>
        <v>PROD94</v>
      </c>
      <c r="F117" s="22" t="str">
        <f>VLOOKUP(E117,Product_Dim!A:C,3,0)</f>
        <v>Beauty</v>
      </c>
      <c r="G117" s="22" t="str" cm="1">
        <f t="array" ref="G117:L117">_xlfn.XLOOKUP(C117,Sales_Fact!C117:C2101,Sales_Fact!E117:J2101)</f>
        <v>STORE9</v>
      </c>
      <c r="H117" s="22">
        <v>2</v>
      </c>
      <c r="I117" s="22">
        <v>724.97</v>
      </c>
      <c r="J117" s="22">
        <v>0.1</v>
      </c>
      <c r="K117" s="22" t="str">
        <v>Credit Card</v>
      </c>
      <c r="L117" s="22">
        <v>1304.9459999999999</v>
      </c>
    </row>
    <row r="118" spans="1:12" x14ac:dyDescent="0.3">
      <c r="A118" s="22" t="s">
        <v>1929</v>
      </c>
      <c r="B118" s="34" cm="1">
        <f t="array" ref="B118:C118">_xlfn.XLOOKUP(A118,Sales_Fact!A118:A2102,Sales_Fact!B118:C2102)</f>
        <v>45723</v>
      </c>
      <c r="C118" s="22" t="str">
        <v>CUST1315</v>
      </c>
      <c r="D118" s="22" t="str">
        <f>VLOOKUP('Combine Products &amp; Sales Facts'!C118,'Customer Details'!A:B,2,0)</f>
        <v>William Rodriguez</v>
      </c>
      <c r="E118" s="22" t="str">
        <f>VLOOKUP(C118,Sales_Fact!C:D,2,0)</f>
        <v>PROD1</v>
      </c>
      <c r="F118" s="22" t="str">
        <f>VLOOKUP(E118,Product_Dim!A:C,3,0)</f>
        <v>Clothing</v>
      </c>
      <c r="G118" s="22" t="str" cm="1">
        <f t="array" ref="G118:L118">_xlfn.XLOOKUP(C118,Sales_Fact!C118:C2102,Sales_Fact!E118:J2102)</f>
        <v>STORE16</v>
      </c>
      <c r="H118" s="22">
        <v>1</v>
      </c>
      <c r="I118" s="22">
        <v>783.25</v>
      </c>
      <c r="J118" s="22">
        <v>0.3</v>
      </c>
      <c r="K118" s="22" t="str">
        <v>Credit Card</v>
      </c>
      <c r="L118" s="22">
        <v>548.27499999999998</v>
      </c>
    </row>
    <row r="119" spans="1:12" x14ac:dyDescent="0.3">
      <c r="A119" s="22" t="s">
        <v>1930</v>
      </c>
      <c r="B119" s="34" cm="1">
        <f t="array" ref="B119:C119">_xlfn.XLOOKUP(A119,Sales_Fact!A119:A2103,Sales_Fact!B119:C2103)</f>
        <v>45495</v>
      </c>
      <c r="C119" s="22" t="str">
        <v>CUST1343</v>
      </c>
      <c r="D119" s="22" t="str">
        <f>VLOOKUP('Combine Products &amp; Sales Facts'!C119,'Customer Details'!A:B,2,0)</f>
        <v>Ryan Moore</v>
      </c>
      <c r="E119" s="22" t="str">
        <f>VLOOKUP(C119,Sales_Fact!C:D,2,0)</f>
        <v>PROD17</v>
      </c>
      <c r="F119" s="22" t="str">
        <f>VLOOKUP(E119,Product_Dim!A:C,3,0)</f>
        <v>Sports</v>
      </c>
      <c r="G119" s="22" t="str" cm="1">
        <f t="array" ref="G119:L119">_xlfn.XLOOKUP(C119,Sales_Fact!C119:C2103,Sales_Fact!E119:J2103)</f>
        <v>STORE3</v>
      </c>
      <c r="H119" s="22">
        <v>1</v>
      </c>
      <c r="I119" s="22">
        <v>942.38</v>
      </c>
      <c r="J119" s="22">
        <v>0.17</v>
      </c>
      <c r="K119" s="22" t="str">
        <v>Credit Card</v>
      </c>
      <c r="L119" s="22">
        <v>782.17539999999997</v>
      </c>
    </row>
    <row r="120" spans="1:12" x14ac:dyDescent="0.3">
      <c r="A120" s="22" t="s">
        <v>1931</v>
      </c>
      <c r="B120" s="34" cm="1">
        <f t="array" ref="B120:C120">_xlfn.XLOOKUP(A120,Sales_Fact!A120:A2104,Sales_Fact!B120:C2104)</f>
        <v>45444</v>
      </c>
      <c r="C120" s="22" t="str">
        <v>CUST1496</v>
      </c>
      <c r="D120" s="22" t="str">
        <f>VLOOKUP('Combine Products &amp; Sales Facts'!C120,'Customer Details'!A:B,2,0)</f>
        <v>Christopher Ford</v>
      </c>
      <c r="E120" s="22" t="str">
        <f>VLOOKUP(C120,Sales_Fact!C:D,2,0)</f>
        <v>PROD51</v>
      </c>
      <c r="F120" s="22" t="str">
        <f>VLOOKUP(E120,Product_Dim!A:C,3,0)</f>
        <v>Electronics</v>
      </c>
      <c r="G120" s="22" t="str" cm="1">
        <f t="array" ref="G120:L120">_xlfn.XLOOKUP(C120,Sales_Fact!C120:C2104,Sales_Fact!E120:J2104)</f>
        <v>STORE11</v>
      </c>
      <c r="H120" s="22">
        <v>3</v>
      </c>
      <c r="I120" s="22">
        <v>298.35000000000002</v>
      </c>
      <c r="J120" s="22">
        <v>0.05</v>
      </c>
      <c r="K120" s="22" t="str">
        <v>COD</v>
      </c>
      <c r="L120" s="22">
        <v>850.29750000000001</v>
      </c>
    </row>
    <row r="121" spans="1:12" x14ac:dyDescent="0.3">
      <c r="A121" s="22" t="s">
        <v>1932</v>
      </c>
      <c r="B121" s="34" cm="1">
        <f t="array" ref="B121:C121">_xlfn.XLOOKUP(A121,Sales_Fact!A121:A2105,Sales_Fact!B121:C2105)</f>
        <v>45662</v>
      </c>
      <c r="C121" s="22" t="str">
        <v>CUST1164</v>
      </c>
      <c r="D121" s="22" t="str">
        <f>VLOOKUP('Combine Products &amp; Sales Facts'!C121,'Customer Details'!A:B,2,0)</f>
        <v>Daniel Rivas</v>
      </c>
      <c r="E121" s="22" t="str">
        <f>VLOOKUP(C121,Sales_Fact!C:D,2,0)</f>
        <v>PROD48</v>
      </c>
      <c r="F121" s="22" t="str">
        <f>VLOOKUP(E121,Product_Dim!A:C,3,0)</f>
        <v>Electronics</v>
      </c>
      <c r="G121" s="22" t="str" cm="1">
        <f t="array" ref="G121:L121">_xlfn.XLOOKUP(C121,Sales_Fact!C121:C2105,Sales_Fact!E121:J2105)</f>
        <v>STORE12</v>
      </c>
      <c r="H121" s="22">
        <v>4</v>
      </c>
      <c r="I121" s="22">
        <v>950.04</v>
      </c>
      <c r="J121" s="22">
        <v>0.13</v>
      </c>
      <c r="K121" s="22" t="str">
        <v>PayPal</v>
      </c>
      <c r="L121" s="22">
        <v>3306.1392000000001</v>
      </c>
    </row>
    <row r="122" spans="1:12" x14ac:dyDescent="0.3">
      <c r="A122" s="22" t="s">
        <v>1933</v>
      </c>
      <c r="B122" s="34" cm="1">
        <f t="array" ref="B122:C122">_xlfn.XLOOKUP(A122,Sales_Fact!A122:A2106,Sales_Fact!B122:C2106)</f>
        <v>45910</v>
      </c>
      <c r="C122" s="22" t="str">
        <v>CUST1329</v>
      </c>
      <c r="D122" s="22" t="str">
        <f>VLOOKUP('Combine Products &amp; Sales Facts'!C122,'Customer Details'!A:B,2,0)</f>
        <v>Victor Mcintosh</v>
      </c>
      <c r="E122" s="22" t="str">
        <f>VLOOKUP(C122,Sales_Fact!C:D,2,0)</f>
        <v>PROD57</v>
      </c>
      <c r="F122" s="22" t="str">
        <f>VLOOKUP(E122,Product_Dim!A:C,3,0)</f>
        <v>Sports</v>
      </c>
      <c r="G122" s="22" t="str" cm="1">
        <f t="array" ref="G122:L122">_xlfn.XLOOKUP(C122,Sales_Fact!C122:C2106,Sales_Fact!E122:J2106)</f>
        <v>STORE4</v>
      </c>
      <c r="H122" s="22">
        <v>2</v>
      </c>
      <c r="I122" s="22">
        <v>267.19</v>
      </c>
      <c r="J122" s="22">
        <v>7.0000000000000007E-2</v>
      </c>
      <c r="K122" s="22" t="str">
        <v>Credit Card</v>
      </c>
      <c r="L122" s="22">
        <v>496.97340000000003</v>
      </c>
    </row>
    <row r="123" spans="1:12" x14ac:dyDescent="0.3">
      <c r="A123" s="22" t="s">
        <v>1934</v>
      </c>
      <c r="B123" s="34" cm="1">
        <f t="array" ref="B123:C123">_xlfn.XLOOKUP(A123,Sales_Fact!A123:A2107,Sales_Fact!B123:C2107)</f>
        <v>45827</v>
      </c>
      <c r="C123" s="22" t="str">
        <v>CUST1201</v>
      </c>
      <c r="D123" s="22" t="str">
        <f>VLOOKUP('Combine Products &amp; Sales Facts'!C123,'Customer Details'!A:B,2,0)</f>
        <v>Mary Boyd</v>
      </c>
      <c r="E123" s="22" t="str">
        <f>VLOOKUP(C123,Sales_Fact!C:D,2,0)</f>
        <v>PROD87</v>
      </c>
      <c r="F123" s="22" t="str">
        <f>VLOOKUP(E123,Product_Dim!A:C,3,0)</f>
        <v>Home</v>
      </c>
      <c r="G123" s="22" t="str" cm="1">
        <f t="array" ref="G123:L123">_xlfn.XLOOKUP(C123,Sales_Fact!C123:C2107,Sales_Fact!E123:J2107)</f>
        <v>STORE15</v>
      </c>
      <c r="H123" s="22">
        <v>4</v>
      </c>
      <c r="I123" s="22">
        <v>72.63</v>
      </c>
      <c r="J123" s="22">
        <v>0.06</v>
      </c>
      <c r="K123" s="22" t="str">
        <v>PayPal</v>
      </c>
      <c r="L123" s="22">
        <v>273.08879999999999</v>
      </c>
    </row>
    <row r="124" spans="1:12" x14ac:dyDescent="0.3">
      <c r="A124" s="22" t="s">
        <v>1935</v>
      </c>
      <c r="B124" s="34" cm="1">
        <f t="array" ref="B124:C124">_xlfn.XLOOKUP(A124,Sales_Fact!A124:A2108,Sales_Fact!B124:C2108)</f>
        <v>45544</v>
      </c>
      <c r="C124" s="22" t="str">
        <v>CUST1427</v>
      </c>
      <c r="D124" s="22" t="str">
        <f>VLOOKUP('Combine Products &amp; Sales Facts'!C124,'Customer Details'!A:B,2,0)</f>
        <v>Jose Stewart</v>
      </c>
      <c r="E124" s="22" t="str">
        <f>VLOOKUP(C124,Sales_Fact!C:D,2,0)</f>
        <v>PROD53</v>
      </c>
      <c r="F124" s="22" t="str">
        <f>VLOOKUP(E124,Product_Dim!A:C,3,0)</f>
        <v>Clothing</v>
      </c>
      <c r="G124" s="22" t="str" cm="1">
        <f t="array" ref="G124:L124">_xlfn.XLOOKUP(C124,Sales_Fact!C124:C2108,Sales_Fact!E124:J2108)</f>
        <v>STORE5</v>
      </c>
      <c r="H124" s="22">
        <v>3</v>
      </c>
      <c r="I124" s="22">
        <v>576.52</v>
      </c>
      <c r="J124" s="22">
        <v>0.22</v>
      </c>
      <c r="K124" s="22" t="str">
        <v>COD</v>
      </c>
      <c r="L124" s="22">
        <v>1349.0568000000001</v>
      </c>
    </row>
    <row r="125" spans="1:12" x14ac:dyDescent="0.3">
      <c r="A125" s="22" t="s">
        <v>1936</v>
      </c>
      <c r="B125" s="34" cm="1">
        <f t="array" ref="B125:C125">_xlfn.XLOOKUP(A125,Sales_Fact!A125:A2109,Sales_Fact!B125:C2109)</f>
        <v>45751</v>
      </c>
      <c r="C125" s="22" t="str">
        <v>CUST1349</v>
      </c>
      <c r="D125" s="22" t="str">
        <f>VLOOKUP('Combine Products &amp; Sales Facts'!C125,'Customer Details'!A:B,2,0)</f>
        <v>Heather Valenzuela</v>
      </c>
      <c r="E125" s="22" t="str">
        <f>VLOOKUP(C125,Sales_Fact!C:D,2,0)</f>
        <v>PROD71</v>
      </c>
      <c r="F125" s="22" t="str">
        <f>VLOOKUP(E125,Product_Dim!A:C,3,0)</f>
        <v>Beauty</v>
      </c>
      <c r="G125" s="22" t="str" cm="1">
        <f t="array" ref="G125:L125">_xlfn.XLOOKUP(C125,Sales_Fact!C125:C2109,Sales_Fact!E125:J2109)</f>
        <v>STORE9</v>
      </c>
      <c r="H125" s="22">
        <v>3</v>
      </c>
      <c r="I125" s="22">
        <v>849.36</v>
      </c>
      <c r="J125" s="22">
        <v>0.03</v>
      </c>
      <c r="K125" s="22" t="str">
        <v>Credit Card</v>
      </c>
      <c r="L125" s="22">
        <v>2471.6376</v>
      </c>
    </row>
    <row r="126" spans="1:12" x14ac:dyDescent="0.3">
      <c r="A126" s="22" t="s">
        <v>1937</v>
      </c>
      <c r="B126" s="34" cm="1">
        <f t="array" ref="B126:C126">_xlfn.XLOOKUP(A126,Sales_Fact!A126:A2110,Sales_Fact!B126:C2110)</f>
        <v>45392</v>
      </c>
      <c r="C126" s="22" t="str">
        <v>CUST1473</v>
      </c>
      <c r="D126" s="22" t="str">
        <f>VLOOKUP('Combine Products &amp; Sales Facts'!C126,'Customer Details'!A:B,2,0)</f>
        <v>Laura Mathews</v>
      </c>
      <c r="E126" s="22" t="str">
        <f>VLOOKUP(C126,Sales_Fact!C:D,2,0)</f>
        <v>PROD50</v>
      </c>
      <c r="F126" s="22" t="str">
        <f>VLOOKUP(E126,Product_Dim!A:C,3,0)</f>
        <v>Sports</v>
      </c>
      <c r="G126" s="22" t="str" cm="1">
        <f t="array" ref="G126:L126">_xlfn.XLOOKUP(C126,Sales_Fact!C126:C2110,Sales_Fact!E126:J2110)</f>
        <v>STORE6</v>
      </c>
      <c r="H126" s="22">
        <v>1</v>
      </c>
      <c r="I126" s="22">
        <v>245.85</v>
      </c>
      <c r="J126" s="22">
        <v>0.18</v>
      </c>
      <c r="K126" s="22" t="str">
        <v>COD</v>
      </c>
      <c r="L126" s="22">
        <v>201.59700000000001</v>
      </c>
    </row>
    <row r="127" spans="1:12" x14ac:dyDescent="0.3">
      <c r="A127" s="22" t="s">
        <v>1938</v>
      </c>
      <c r="B127" s="34" cm="1">
        <f t="array" ref="B127:C127">_xlfn.XLOOKUP(A127,Sales_Fact!A127:A2111,Sales_Fact!B127:C2111)</f>
        <v>45589</v>
      </c>
      <c r="C127" s="22" t="str">
        <v>CUST1178</v>
      </c>
      <c r="D127" s="22" t="str">
        <f>VLOOKUP('Combine Products &amp; Sales Facts'!C127,'Customer Details'!A:B,2,0)</f>
        <v>Michelle Myers</v>
      </c>
      <c r="E127" s="22" t="str">
        <f>VLOOKUP(C127,Sales_Fact!C:D,2,0)</f>
        <v>PROD97</v>
      </c>
      <c r="F127" s="22" t="str">
        <f>VLOOKUP(E127,Product_Dim!A:C,3,0)</f>
        <v>Sports</v>
      </c>
      <c r="G127" s="22" t="str" cm="1">
        <f t="array" ref="G127:L127">_xlfn.XLOOKUP(C127,Sales_Fact!C127:C2111,Sales_Fact!E127:J2111)</f>
        <v>STORE10</v>
      </c>
      <c r="H127" s="22">
        <v>3</v>
      </c>
      <c r="I127" s="22">
        <v>237.68</v>
      </c>
      <c r="J127" s="22">
        <v>0.1</v>
      </c>
      <c r="K127" s="22" t="str">
        <v>COD</v>
      </c>
      <c r="L127" s="22">
        <v>641.73599999999999</v>
      </c>
    </row>
    <row r="128" spans="1:12" x14ac:dyDescent="0.3">
      <c r="A128" s="22" t="s">
        <v>1939</v>
      </c>
      <c r="B128" s="34" cm="1">
        <f t="array" ref="B128:C128">_xlfn.XLOOKUP(A128,Sales_Fact!A128:A2112,Sales_Fact!B128:C2112)</f>
        <v>45756</v>
      </c>
      <c r="C128" s="22" t="str">
        <v>CUST1337</v>
      </c>
      <c r="D128" s="22" t="str">
        <f>VLOOKUP('Combine Products &amp; Sales Facts'!C128,'Customer Details'!A:B,2,0)</f>
        <v>Carol Lewis</v>
      </c>
      <c r="E128" s="22" t="str">
        <f>VLOOKUP(C128,Sales_Fact!C:D,2,0)</f>
        <v>PROD71</v>
      </c>
      <c r="F128" s="22" t="str">
        <f>VLOOKUP(E128,Product_Dim!A:C,3,0)</f>
        <v>Beauty</v>
      </c>
      <c r="G128" s="22" t="str" cm="1">
        <f t="array" ref="G128:L128">_xlfn.XLOOKUP(C128,Sales_Fact!C128:C2112,Sales_Fact!E128:J2112)</f>
        <v>STORE14</v>
      </c>
      <c r="H128" s="22">
        <v>4</v>
      </c>
      <c r="I128" s="22">
        <v>715.85</v>
      </c>
      <c r="J128" s="22">
        <v>0.25</v>
      </c>
      <c r="K128" s="22" t="str">
        <v>PayPal</v>
      </c>
      <c r="L128" s="22">
        <v>2147.5500000000002</v>
      </c>
    </row>
    <row r="129" spans="1:12" x14ac:dyDescent="0.3">
      <c r="A129" s="22" t="s">
        <v>1940</v>
      </c>
      <c r="B129" s="34" cm="1">
        <f t="array" ref="B129:C129">_xlfn.XLOOKUP(A129,Sales_Fact!A129:A2113,Sales_Fact!B129:C2113)</f>
        <v>45255</v>
      </c>
      <c r="C129" s="22" t="str">
        <v>CUST1171</v>
      </c>
      <c r="D129" s="22" t="str">
        <f>VLOOKUP('Combine Products &amp; Sales Facts'!C129,'Customer Details'!A:B,2,0)</f>
        <v>Amy Wilson</v>
      </c>
      <c r="E129" s="22" t="str">
        <f>VLOOKUP(C129,Sales_Fact!C:D,2,0)</f>
        <v>PROD90</v>
      </c>
      <c r="F129" s="22" t="str">
        <f>VLOOKUP(E129,Product_Dim!A:C,3,0)</f>
        <v>Electronics</v>
      </c>
      <c r="G129" s="22" t="str" cm="1">
        <f t="array" ref="G129:L129">_xlfn.XLOOKUP(C129,Sales_Fact!C129:C2113,Sales_Fact!E129:J2113)</f>
        <v>STORE5</v>
      </c>
      <c r="H129" s="22">
        <v>2</v>
      </c>
      <c r="I129" s="22">
        <v>478.85</v>
      </c>
      <c r="J129" s="22">
        <v>0.01</v>
      </c>
      <c r="K129" s="22" t="str">
        <v>COD</v>
      </c>
      <c r="L129" s="22">
        <v>948.12300000000005</v>
      </c>
    </row>
    <row r="130" spans="1:12" x14ac:dyDescent="0.3">
      <c r="A130" s="22" t="s">
        <v>1941</v>
      </c>
      <c r="B130" s="34" cm="1">
        <f t="array" ref="B130:C130">_xlfn.XLOOKUP(A130,Sales_Fact!A130:A2114,Sales_Fact!B130:C2114)</f>
        <v>45718</v>
      </c>
      <c r="C130" s="22" t="str">
        <v>CUST1113</v>
      </c>
      <c r="D130" s="22" t="str">
        <f>VLOOKUP('Combine Products &amp; Sales Facts'!C130,'Customer Details'!A:B,2,0)</f>
        <v>Edward Hall</v>
      </c>
      <c r="E130" s="22" t="str">
        <f>VLOOKUP(C130,Sales_Fact!C:D,2,0)</f>
        <v>PROD47</v>
      </c>
      <c r="F130" s="22" t="str">
        <f>VLOOKUP(E130,Product_Dim!A:C,3,0)</f>
        <v>Beauty</v>
      </c>
      <c r="G130" s="22" t="str" cm="1">
        <f t="array" ref="G130:L130">_xlfn.XLOOKUP(C130,Sales_Fact!C130:C2114,Sales_Fact!E130:J2114)</f>
        <v>STORE0</v>
      </c>
      <c r="H130" s="22">
        <v>1</v>
      </c>
      <c r="I130" s="22">
        <v>503.95</v>
      </c>
      <c r="J130" s="22">
        <v>0.26</v>
      </c>
      <c r="K130" s="22" t="str">
        <v>COD</v>
      </c>
      <c r="L130" s="22">
        <v>372.923</v>
      </c>
    </row>
    <row r="131" spans="1:12" x14ac:dyDescent="0.3">
      <c r="A131" s="22" t="s">
        <v>1942</v>
      </c>
      <c r="B131" s="34" cm="1">
        <f t="array" ref="B131:C131">_xlfn.XLOOKUP(A131,Sales_Fact!A131:A2115,Sales_Fact!B131:C2115)</f>
        <v>45573</v>
      </c>
      <c r="C131" s="22" t="str">
        <v>CUST1399</v>
      </c>
      <c r="D131" s="22" t="str">
        <f>VLOOKUP('Combine Products &amp; Sales Facts'!C131,'Customer Details'!A:B,2,0)</f>
        <v>John Donaldson</v>
      </c>
      <c r="E131" s="22" t="str">
        <f>VLOOKUP(C131,Sales_Fact!C:D,2,0)</f>
        <v>PROD66</v>
      </c>
      <c r="F131" s="22" t="str">
        <f>VLOOKUP(E131,Product_Dim!A:C,3,0)</f>
        <v>Beauty</v>
      </c>
      <c r="G131" s="22" t="str" cm="1">
        <f t="array" ref="G131:L131">_xlfn.XLOOKUP(C131,Sales_Fact!C131:C2115,Sales_Fact!E131:J2115)</f>
        <v>STORE12</v>
      </c>
      <c r="H131" s="22">
        <v>2</v>
      </c>
      <c r="I131" s="22">
        <v>975.48</v>
      </c>
      <c r="J131" s="22">
        <v>0.26</v>
      </c>
      <c r="K131" s="22" t="str">
        <v>COD</v>
      </c>
      <c r="L131" s="22">
        <v>1443.7103999999999</v>
      </c>
    </row>
    <row r="132" spans="1:12" x14ac:dyDescent="0.3">
      <c r="A132" s="22" t="s">
        <v>1943</v>
      </c>
      <c r="B132" s="34" cm="1">
        <f t="array" ref="B132:C132">_xlfn.XLOOKUP(A132,Sales_Fact!A132:A2116,Sales_Fact!B132:C2116)</f>
        <v>45884</v>
      </c>
      <c r="C132" s="22" t="str">
        <v>CUST1401</v>
      </c>
      <c r="D132" s="22" t="str">
        <f>VLOOKUP('Combine Products &amp; Sales Facts'!C132,'Customer Details'!A:B,2,0)</f>
        <v>Terry Moses</v>
      </c>
      <c r="E132" s="22" t="str">
        <f>VLOOKUP(C132,Sales_Fact!C:D,2,0)</f>
        <v>PROD34</v>
      </c>
      <c r="F132" s="22" t="str">
        <f>VLOOKUP(E132,Product_Dim!A:C,3,0)</f>
        <v>Electronics</v>
      </c>
      <c r="G132" s="22" t="str" cm="1">
        <f t="array" ref="G132:L132">_xlfn.XLOOKUP(C132,Sales_Fact!C132:C2116,Sales_Fact!E132:J2116)</f>
        <v>STORE16</v>
      </c>
      <c r="H132" s="22">
        <v>4</v>
      </c>
      <c r="I132" s="22">
        <v>450.12</v>
      </c>
      <c r="J132" s="22">
        <v>0.28999999999999998</v>
      </c>
      <c r="K132" s="22" t="str">
        <v>COD</v>
      </c>
      <c r="L132" s="22">
        <v>1278.3407999999999</v>
      </c>
    </row>
    <row r="133" spans="1:12" x14ac:dyDescent="0.3">
      <c r="A133" s="22" t="s">
        <v>1944</v>
      </c>
      <c r="B133" s="34" cm="1">
        <f t="array" ref="B133:C133">_xlfn.XLOOKUP(A133,Sales_Fact!A133:A2117,Sales_Fact!B133:C2117)</f>
        <v>45448</v>
      </c>
      <c r="C133" s="22" t="str">
        <v>CUST1435</v>
      </c>
      <c r="D133" s="22" t="str">
        <f>VLOOKUP('Combine Products &amp; Sales Facts'!C133,'Customer Details'!A:B,2,0)</f>
        <v>Lindsay Beasley</v>
      </c>
      <c r="E133" s="22" t="str">
        <f>VLOOKUP(C133,Sales_Fact!C:D,2,0)</f>
        <v>PROD36</v>
      </c>
      <c r="F133" s="22" t="str">
        <f>VLOOKUP(E133,Product_Dim!A:C,3,0)</f>
        <v>Clothing</v>
      </c>
      <c r="G133" s="22" t="str" cm="1">
        <f t="array" ref="G133:L133">_xlfn.XLOOKUP(C133,Sales_Fact!C133:C2117,Sales_Fact!E133:J2117)</f>
        <v>STORE8</v>
      </c>
      <c r="H133" s="22">
        <v>3</v>
      </c>
      <c r="I133" s="22">
        <v>237.24</v>
      </c>
      <c r="J133" s="22">
        <v>0.24</v>
      </c>
      <c r="K133" s="22" t="str">
        <v>PayPal</v>
      </c>
      <c r="L133" s="22">
        <v>540.90719999999999</v>
      </c>
    </row>
    <row r="134" spans="1:12" x14ac:dyDescent="0.3">
      <c r="A134" s="22" t="s">
        <v>1945</v>
      </c>
      <c r="B134" s="34" cm="1">
        <f t="array" ref="B134:C134">_xlfn.XLOOKUP(A134,Sales_Fact!A134:A2118,Sales_Fact!B134:C2118)</f>
        <v>45522</v>
      </c>
      <c r="C134" s="22" t="str">
        <v>CUST1459</v>
      </c>
      <c r="D134" s="22" t="str">
        <f>VLOOKUP('Combine Products &amp; Sales Facts'!C134,'Customer Details'!A:B,2,0)</f>
        <v>John Perez</v>
      </c>
      <c r="E134" s="22" t="str">
        <f>VLOOKUP(C134,Sales_Fact!C:D,2,0)</f>
        <v>PROD54</v>
      </c>
      <c r="F134" s="22" t="str">
        <f>VLOOKUP(E134,Product_Dim!A:C,3,0)</f>
        <v>Sports</v>
      </c>
      <c r="G134" s="22" t="str" cm="1">
        <f t="array" ref="G134:L134">_xlfn.XLOOKUP(C134,Sales_Fact!C134:C2118,Sales_Fact!E134:J2118)</f>
        <v>STORE15</v>
      </c>
      <c r="H134" s="22">
        <v>2</v>
      </c>
      <c r="I134" s="22">
        <v>536.84</v>
      </c>
      <c r="J134" s="22">
        <v>0.09</v>
      </c>
      <c r="K134" s="22" t="str">
        <v>COD</v>
      </c>
      <c r="L134" s="22">
        <v>977.04880000000014</v>
      </c>
    </row>
    <row r="135" spans="1:12" x14ac:dyDescent="0.3">
      <c r="A135" s="22" t="s">
        <v>1946</v>
      </c>
      <c r="B135" s="34" cm="1">
        <f t="array" ref="B135:C135">_xlfn.XLOOKUP(A135,Sales_Fact!A135:A2119,Sales_Fact!B135:C2119)</f>
        <v>45626</v>
      </c>
      <c r="C135" s="22" t="str">
        <v>CUST1443</v>
      </c>
      <c r="D135" s="22" t="str">
        <f>VLOOKUP('Combine Products &amp; Sales Facts'!C135,'Customer Details'!A:B,2,0)</f>
        <v>Adam Castro</v>
      </c>
      <c r="E135" s="22" t="str">
        <f>VLOOKUP(C135,Sales_Fact!C:D,2,0)</f>
        <v>PROD34</v>
      </c>
      <c r="F135" s="22" t="str">
        <f>VLOOKUP(E135,Product_Dim!A:C,3,0)</f>
        <v>Electronics</v>
      </c>
      <c r="G135" s="22" t="str" cm="1">
        <f t="array" ref="G135:L135">_xlfn.XLOOKUP(C135,Sales_Fact!C135:C2119,Sales_Fact!E135:J2119)</f>
        <v>STORE19</v>
      </c>
      <c r="H135" s="22">
        <v>3</v>
      </c>
      <c r="I135" s="22">
        <v>584.41</v>
      </c>
      <c r="J135" s="22">
        <v>0</v>
      </c>
      <c r="K135" s="22" t="str">
        <v>COD</v>
      </c>
      <c r="L135" s="22">
        <v>1753.23</v>
      </c>
    </row>
    <row r="136" spans="1:12" x14ac:dyDescent="0.3">
      <c r="A136" s="22" t="s">
        <v>1947</v>
      </c>
      <c r="B136" s="34" cm="1">
        <f t="array" ref="B136:C136">_xlfn.XLOOKUP(A136,Sales_Fact!A136:A2120,Sales_Fact!B136:C2120)</f>
        <v>45617</v>
      </c>
      <c r="C136" s="22" t="str">
        <v>CUST1294</v>
      </c>
      <c r="D136" s="22" t="str">
        <f>VLOOKUP('Combine Products &amp; Sales Facts'!C136,'Customer Details'!A:B,2,0)</f>
        <v>Lisa Chandler</v>
      </c>
      <c r="E136" s="22" t="str">
        <f>VLOOKUP(C136,Sales_Fact!C:D,2,0)</f>
        <v>PROD82</v>
      </c>
      <c r="F136" s="22" t="str">
        <f>VLOOKUP(E136,Product_Dim!A:C,3,0)</f>
        <v>Sports</v>
      </c>
      <c r="G136" s="22" t="str" cm="1">
        <f t="array" ref="G136:L136">_xlfn.XLOOKUP(C136,Sales_Fact!C136:C2120,Sales_Fact!E136:J2120)</f>
        <v>STORE19</v>
      </c>
      <c r="H136" s="22">
        <v>1</v>
      </c>
      <c r="I136" s="22">
        <v>653.87</v>
      </c>
      <c r="J136" s="22">
        <v>0.14000000000000001</v>
      </c>
      <c r="K136" s="22" t="str">
        <v>PayPal</v>
      </c>
      <c r="L136" s="22">
        <v>562.32820000000004</v>
      </c>
    </row>
    <row r="137" spans="1:12" x14ac:dyDescent="0.3">
      <c r="A137" s="22" t="s">
        <v>1948</v>
      </c>
      <c r="B137" s="34" cm="1">
        <f t="array" ref="B137:C137">_xlfn.XLOOKUP(A137,Sales_Fact!A137:A2121,Sales_Fact!B137:C2121)</f>
        <v>45878</v>
      </c>
      <c r="C137" s="22" t="str">
        <v>CUST1493</v>
      </c>
      <c r="D137" s="22" t="str">
        <f>VLOOKUP('Combine Products &amp; Sales Facts'!C137,'Customer Details'!A:B,2,0)</f>
        <v>Amanda Powell</v>
      </c>
      <c r="E137" s="22" t="str">
        <f>VLOOKUP(C137,Sales_Fact!C:D,2,0)</f>
        <v>PROD59</v>
      </c>
      <c r="F137" s="22" t="str">
        <f>VLOOKUP(E137,Product_Dim!A:C,3,0)</f>
        <v>Beauty</v>
      </c>
      <c r="G137" s="22" t="str" cm="1">
        <f t="array" ref="G137:L137">_xlfn.XLOOKUP(C137,Sales_Fact!C137:C2121,Sales_Fact!E137:J2121)</f>
        <v>STORE0</v>
      </c>
      <c r="H137" s="22">
        <v>1</v>
      </c>
      <c r="I137" s="22">
        <v>652.03</v>
      </c>
      <c r="J137" s="22">
        <v>0.27</v>
      </c>
      <c r="K137" s="22" t="str">
        <v>Credit Card</v>
      </c>
      <c r="L137" s="22">
        <v>475.9819</v>
      </c>
    </row>
    <row r="138" spans="1:12" x14ac:dyDescent="0.3">
      <c r="A138" s="22" t="s">
        <v>1949</v>
      </c>
      <c r="B138" s="34" cm="1">
        <f t="array" ref="B138:C138">_xlfn.XLOOKUP(A138,Sales_Fact!A138:A2122,Sales_Fact!B138:C2122)</f>
        <v>45502</v>
      </c>
      <c r="C138" s="22" t="str">
        <v>CUST1093</v>
      </c>
      <c r="D138" s="22" t="str">
        <f>VLOOKUP('Combine Products &amp; Sales Facts'!C138,'Customer Details'!A:B,2,0)</f>
        <v>Christy Vasquez</v>
      </c>
      <c r="E138" s="22" t="str">
        <f>VLOOKUP(C138,Sales_Fact!C:D,2,0)</f>
        <v>PROD5</v>
      </c>
      <c r="F138" s="22" t="str">
        <f>VLOOKUP(E138,Product_Dim!A:C,3,0)</f>
        <v>Clothing</v>
      </c>
      <c r="G138" s="22" t="str" cm="1">
        <f t="array" ref="G138:L138">_xlfn.XLOOKUP(C138,Sales_Fact!C138:C2122,Sales_Fact!E138:J2122)</f>
        <v>STORE12</v>
      </c>
      <c r="H138" s="22">
        <v>3</v>
      </c>
      <c r="I138" s="22">
        <v>513.36</v>
      </c>
      <c r="J138" s="22">
        <v>7.0000000000000007E-2</v>
      </c>
      <c r="K138" s="22" t="str">
        <v>COD</v>
      </c>
      <c r="L138" s="22">
        <v>1432.2744</v>
      </c>
    </row>
    <row r="139" spans="1:12" x14ac:dyDescent="0.3">
      <c r="A139" s="22" t="s">
        <v>1950</v>
      </c>
      <c r="B139" s="34" cm="1">
        <f t="array" ref="B139:C139">_xlfn.XLOOKUP(A139,Sales_Fact!A139:A2123,Sales_Fact!B139:C2123)</f>
        <v>45433</v>
      </c>
      <c r="C139" s="22" t="str">
        <v>CUST1068</v>
      </c>
      <c r="D139" s="22" t="str">
        <f>VLOOKUP('Combine Products &amp; Sales Facts'!C139,'Customer Details'!A:B,2,0)</f>
        <v>Mr. Mark Beasley</v>
      </c>
      <c r="E139" s="22" t="str">
        <f>VLOOKUP(C139,Sales_Fact!C:D,2,0)</f>
        <v>PROD52</v>
      </c>
      <c r="F139" s="22" t="str">
        <f>VLOOKUP(E139,Product_Dim!A:C,3,0)</f>
        <v>Sports</v>
      </c>
      <c r="G139" s="22" t="str" cm="1">
        <f t="array" ref="G139:L139">_xlfn.XLOOKUP(C139,Sales_Fact!C139:C2123,Sales_Fact!E139:J2123)</f>
        <v>STORE5</v>
      </c>
      <c r="H139" s="22">
        <v>4</v>
      </c>
      <c r="I139" s="22">
        <v>355.64</v>
      </c>
      <c r="J139" s="22">
        <v>0.16</v>
      </c>
      <c r="K139" s="22" t="str">
        <v>COD</v>
      </c>
      <c r="L139" s="22">
        <v>1194.9503999999999</v>
      </c>
    </row>
    <row r="140" spans="1:12" x14ac:dyDescent="0.3">
      <c r="A140" s="22" t="s">
        <v>1951</v>
      </c>
      <c r="B140" s="34" cm="1">
        <f t="array" ref="B140:C140">_xlfn.XLOOKUP(A140,Sales_Fact!A140:A2124,Sales_Fact!B140:C2124)</f>
        <v>45594</v>
      </c>
      <c r="C140" s="22" t="str">
        <v>CUST1022</v>
      </c>
      <c r="D140" s="22" t="str">
        <f>VLOOKUP('Combine Products &amp; Sales Facts'!C140,'Customer Details'!A:B,2,0)</f>
        <v>Paul Fox</v>
      </c>
      <c r="E140" s="22" t="str">
        <f>VLOOKUP(C140,Sales_Fact!C:D,2,0)</f>
        <v>PROD13</v>
      </c>
      <c r="F140" s="22" t="str">
        <f>VLOOKUP(E140,Product_Dim!A:C,3,0)</f>
        <v>Electronics</v>
      </c>
      <c r="G140" s="22" t="str" cm="1">
        <f t="array" ref="G140:L140">_xlfn.XLOOKUP(C140,Sales_Fact!C140:C2124,Sales_Fact!E140:J2124)</f>
        <v>STORE8</v>
      </c>
      <c r="H140" s="22">
        <v>4</v>
      </c>
      <c r="I140" s="22">
        <v>535.4</v>
      </c>
      <c r="J140" s="22">
        <v>0.26</v>
      </c>
      <c r="K140" s="22" t="str">
        <v>PayPal</v>
      </c>
      <c r="L140" s="22">
        <v>1584.7840000000001</v>
      </c>
    </row>
    <row r="141" spans="1:12" x14ac:dyDescent="0.3">
      <c r="A141" s="22" t="s">
        <v>1952</v>
      </c>
      <c r="B141" s="34" cm="1">
        <f t="array" ref="B141:C141">_xlfn.XLOOKUP(A141,Sales_Fact!A141:A2125,Sales_Fact!B141:C2125)</f>
        <v>45798</v>
      </c>
      <c r="C141" s="22" t="str">
        <v>CUST1243</v>
      </c>
      <c r="D141" s="22" t="str">
        <f>VLOOKUP('Combine Products &amp; Sales Facts'!C141,'Customer Details'!A:B,2,0)</f>
        <v>Brian Hammond</v>
      </c>
      <c r="E141" s="22" t="str">
        <f>VLOOKUP(C141,Sales_Fact!C:D,2,0)</f>
        <v>PROD69</v>
      </c>
      <c r="F141" s="22" t="str">
        <f>VLOOKUP(E141,Product_Dim!A:C,3,0)</f>
        <v>Clothing</v>
      </c>
      <c r="G141" s="22" t="str" cm="1">
        <f t="array" ref="G141:L141">_xlfn.XLOOKUP(C141,Sales_Fact!C141:C2125,Sales_Fact!E141:J2125)</f>
        <v>STORE19</v>
      </c>
      <c r="H141" s="22">
        <v>2</v>
      </c>
      <c r="I141" s="22">
        <v>108.74</v>
      </c>
      <c r="J141" s="22">
        <v>0.11</v>
      </c>
      <c r="K141" s="22" t="str">
        <v>PayPal</v>
      </c>
      <c r="L141" s="22">
        <v>193.55719999999999</v>
      </c>
    </row>
    <row r="142" spans="1:12" x14ac:dyDescent="0.3">
      <c r="A142" s="22" t="s">
        <v>1953</v>
      </c>
      <c r="B142" s="34" cm="1">
        <f t="array" ref="B142:C142">_xlfn.XLOOKUP(A142,Sales_Fact!A142:A2126,Sales_Fact!B142:C2126)</f>
        <v>45579</v>
      </c>
      <c r="C142" s="22" t="str">
        <v>CUST1314</v>
      </c>
      <c r="D142" s="22" t="str">
        <f>VLOOKUP('Combine Products &amp; Sales Facts'!C142,'Customer Details'!A:B,2,0)</f>
        <v>Elizabeth Johnson</v>
      </c>
      <c r="E142" s="22" t="str">
        <f>VLOOKUP(C142,Sales_Fact!C:D,2,0)</f>
        <v>PROD11</v>
      </c>
      <c r="F142" s="22" t="str">
        <f>VLOOKUP(E142,Product_Dim!A:C,3,0)</f>
        <v>Electronics</v>
      </c>
      <c r="G142" s="22" t="str" cm="1">
        <f t="array" ref="G142:L142">_xlfn.XLOOKUP(C142,Sales_Fact!C142:C2126,Sales_Fact!E142:J2126)</f>
        <v>STORE19</v>
      </c>
      <c r="H142" s="22">
        <v>3</v>
      </c>
      <c r="I142" s="22">
        <v>591.98</v>
      </c>
      <c r="J142" s="22">
        <v>0.16</v>
      </c>
      <c r="K142" s="22" t="str">
        <v>Credit Card</v>
      </c>
      <c r="L142" s="22">
        <v>1491.7896000000001</v>
      </c>
    </row>
    <row r="143" spans="1:12" x14ac:dyDescent="0.3">
      <c r="A143" s="22" t="s">
        <v>1954</v>
      </c>
      <c r="B143" s="34" cm="1">
        <f t="array" ref="B143:C143">_xlfn.XLOOKUP(A143,Sales_Fact!A143:A2127,Sales_Fact!B143:C2127)</f>
        <v>45613</v>
      </c>
      <c r="C143" s="22" t="str">
        <v>CUST1405</v>
      </c>
      <c r="D143" s="22" t="str">
        <f>VLOOKUP('Combine Products &amp; Sales Facts'!C143,'Customer Details'!A:B,2,0)</f>
        <v>Eric Wolfe</v>
      </c>
      <c r="E143" s="22" t="str">
        <f>VLOOKUP(C143,Sales_Fact!C:D,2,0)</f>
        <v>PROD48</v>
      </c>
      <c r="F143" s="22" t="str">
        <f>VLOOKUP(E143,Product_Dim!A:C,3,0)</f>
        <v>Electronics</v>
      </c>
      <c r="G143" s="22" t="str" cm="1">
        <f t="array" ref="G143:L143">_xlfn.XLOOKUP(C143,Sales_Fact!C143:C2127,Sales_Fact!E143:J2127)</f>
        <v>STORE2</v>
      </c>
      <c r="H143" s="22">
        <v>1</v>
      </c>
      <c r="I143" s="22">
        <v>345.06</v>
      </c>
      <c r="J143" s="22">
        <v>0.13</v>
      </c>
      <c r="K143" s="22" t="str">
        <v>COD</v>
      </c>
      <c r="L143" s="22">
        <v>300.2022</v>
      </c>
    </row>
    <row r="144" spans="1:12" x14ac:dyDescent="0.3">
      <c r="A144" s="22" t="s">
        <v>1955</v>
      </c>
      <c r="B144" s="34" cm="1">
        <f t="array" ref="B144:C144">_xlfn.XLOOKUP(A144,Sales_Fact!A144:A2128,Sales_Fact!B144:C2128)</f>
        <v>45745</v>
      </c>
      <c r="C144" s="22" t="str">
        <v>CUST1307</v>
      </c>
      <c r="D144" s="22" t="str">
        <f>VLOOKUP('Combine Products &amp; Sales Facts'!C144,'Customer Details'!A:B,2,0)</f>
        <v>Brandy Thompson</v>
      </c>
      <c r="E144" s="22" t="str">
        <f>VLOOKUP(C144,Sales_Fact!C:D,2,0)</f>
        <v>PROD93</v>
      </c>
      <c r="F144" s="22" t="str">
        <f>VLOOKUP(E144,Product_Dim!A:C,3,0)</f>
        <v>Electronics</v>
      </c>
      <c r="G144" s="22" t="str" cm="1">
        <f t="array" ref="G144:L144">_xlfn.XLOOKUP(C144,Sales_Fact!C144:C2128,Sales_Fact!E144:J2128)</f>
        <v>STORE12</v>
      </c>
      <c r="H144" s="22">
        <v>4</v>
      </c>
      <c r="I144" s="22">
        <v>986.41</v>
      </c>
      <c r="J144" s="22">
        <v>0.22</v>
      </c>
      <c r="K144" s="22" t="str">
        <v>Credit Card</v>
      </c>
      <c r="L144" s="22">
        <v>3077.5992000000001</v>
      </c>
    </row>
    <row r="145" spans="1:12" x14ac:dyDescent="0.3">
      <c r="A145" s="22" t="s">
        <v>1956</v>
      </c>
      <c r="B145" s="34" cm="1">
        <f t="array" ref="B145:C145">_xlfn.XLOOKUP(A145,Sales_Fact!A145:A2129,Sales_Fact!B145:C2129)</f>
        <v>45494</v>
      </c>
      <c r="C145" s="22" t="str">
        <v>CUST1319</v>
      </c>
      <c r="D145" s="22" t="str">
        <f>VLOOKUP('Combine Products &amp; Sales Facts'!C145,'Customer Details'!A:B,2,0)</f>
        <v>Casey Simpson</v>
      </c>
      <c r="E145" s="22" t="str">
        <f>VLOOKUP(C145,Sales_Fact!C:D,2,0)</f>
        <v>PROD49</v>
      </c>
      <c r="F145" s="22" t="str">
        <f>VLOOKUP(E145,Product_Dim!A:C,3,0)</f>
        <v>Beauty</v>
      </c>
      <c r="G145" s="22" t="str" cm="1">
        <f t="array" ref="G145:L145">_xlfn.XLOOKUP(C145,Sales_Fact!C145:C2129,Sales_Fact!E145:J2129)</f>
        <v>STORE0</v>
      </c>
      <c r="H145" s="22">
        <v>2</v>
      </c>
      <c r="I145" s="22">
        <v>921.52</v>
      </c>
      <c r="J145" s="22">
        <v>0</v>
      </c>
      <c r="K145" s="22" t="str">
        <v>PayPal</v>
      </c>
      <c r="L145" s="22">
        <v>1843.04</v>
      </c>
    </row>
    <row r="146" spans="1:12" x14ac:dyDescent="0.3">
      <c r="A146" s="22" t="s">
        <v>1957</v>
      </c>
      <c r="B146" s="34" cm="1">
        <f t="array" ref="B146:C146">_xlfn.XLOOKUP(A146,Sales_Fact!A146:A2130,Sales_Fact!B146:C2130)</f>
        <v>45883</v>
      </c>
      <c r="C146" s="22" t="str">
        <v>CUST1097</v>
      </c>
      <c r="D146" s="22" t="str">
        <f>VLOOKUP('Combine Products &amp; Sales Facts'!C146,'Customer Details'!A:B,2,0)</f>
        <v>David Cobb</v>
      </c>
      <c r="E146" s="22" t="str">
        <f>VLOOKUP(C146,Sales_Fact!C:D,2,0)</f>
        <v>PROD80</v>
      </c>
      <c r="F146" s="22" t="str">
        <f>VLOOKUP(E146,Product_Dim!A:C,3,0)</f>
        <v>Home</v>
      </c>
      <c r="G146" s="22" t="str" cm="1">
        <f t="array" ref="G146:L146">_xlfn.XLOOKUP(C146,Sales_Fact!C146:C2130,Sales_Fact!E146:J2130)</f>
        <v>STORE5</v>
      </c>
      <c r="H146" s="22">
        <v>1</v>
      </c>
      <c r="I146" s="22">
        <v>83.1</v>
      </c>
      <c r="J146" s="22">
        <v>0.04</v>
      </c>
      <c r="K146" s="22" t="str">
        <v>PayPal</v>
      </c>
      <c r="L146" s="22">
        <v>79.775999999999996</v>
      </c>
    </row>
    <row r="147" spans="1:12" x14ac:dyDescent="0.3">
      <c r="A147" s="22" t="s">
        <v>1958</v>
      </c>
      <c r="B147" s="34" cm="1">
        <f t="array" ref="B147:C147">_xlfn.XLOOKUP(A147,Sales_Fact!A147:A2131,Sales_Fact!B147:C2131)</f>
        <v>45601</v>
      </c>
      <c r="C147" s="22" t="str">
        <v>CUST1369</v>
      </c>
      <c r="D147" s="22" t="str">
        <f>VLOOKUP('Combine Products &amp; Sales Facts'!C147,'Customer Details'!A:B,2,0)</f>
        <v>Gregory Allen</v>
      </c>
      <c r="E147" s="22" t="str">
        <f>VLOOKUP(C147,Sales_Fact!C:D,2,0)</f>
        <v>PROD33</v>
      </c>
      <c r="F147" s="22" t="str">
        <f>VLOOKUP(E147,Product_Dim!A:C,3,0)</f>
        <v>Home</v>
      </c>
      <c r="G147" s="22" t="str" cm="1">
        <f t="array" ref="G147:L147">_xlfn.XLOOKUP(C147,Sales_Fact!C147:C2131,Sales_Fact!E147:J2131)</f>
        <v>STORE11</v>
      </c>
      <c r="H147" s="22">
        <v>2</v>
      </c>
      <c r="I147" s="22">
        <v>60.98</v>
      </c>
      <c r="J147" s="22">
        <v>0.23</v>
      </c>
      <c r="K147" s="22" t="str">
        <v>PayPal</v>
      </c>
      <c r="L147" s="22">
        <v>93.909199999999998</v>
      </c>
    </row>
    <row r="148" spans="1:12" x14ac:dyDescent="0.3">
      <c r="A148" s="22" t="s">
        <v>1959</v>
      </c>
      <c r="B148" s="34" cm="1">
        <f t="array" ref="B148:C148">_xlfn.XLOOKUP(A148,Sales_Fact!A148:A2132,Sales_Fact!B148:C2132)</f>
        <v>45454</v>
      </c>
      <c r="C148" s="22" t="str">
        <v>CUST1394</v>
      </c>
      <c r="D148" s="22" t="str">
        <f>VLOOKUP('Combine Products &amp; Sales Facts'!C148,'Customer Details'!A:B,2,0)</f>
        <v>Alejandro Evans</v>
      </c>
      <c r="E148" s="22" t="str">
        <f>VLOOKUP(C148,Sales_Fact!C:D,2,0)</f>
        <v>PROD89</v>
      </c>
      <c r="F148" s="22" t="str">
        <f>VLOOKUP(E148,Product_Dim!A:C,3,0)</f>
        <v>Beauty</v>
      </c>
      <c r="G148" s="22" t="str" cm="1">
        <f t="array" ref="G148:L148">_xlfn.XLOOKUP(C148,Sales_Fact!C148:C2132,Sales_Fact!E148:J2132)</f>
        <v>STORE16</v>
      </c>
      <c r="H148" s="22">
        <v>2</v>
      </c>
      <c r="I148" s="22">
        <v>122.23</v>
      </c>
      <c r="J148" s="22">
        <v>0.21</v>
      </c>
      <c r="K148" s="22" t="str">
        <v>COD</v>
      </c>
      <c r="L148" s="22">
        <v>193.1234</v>
      </c>
    </row>
    <row r="149" spans="1:12" x14ac:dyDescent="0.3">
      <c r="A149" s="22" t="s">
        <v>1960</v>
      </c>
      <c r="B149" s="34" cm="1">
        <f t="array" ref="B149:C149">_xlfn.XLOOKUP(A149,Sales_Fact!A149:A2133,Sales_Fact!B149:C2133)</f>
        <v>45918</v>
      </c>
      <c r="C149" s="22" t="str">
        <v>CUST1020</v>
      </c>
      <c r="D149" s="22" t="str">
        <f>VLOOKUP('Combine Products &amp; Sales Facts'!C149,'Customer Details'!A:B,2,0)</f>
        <v>Bridget Allen</v>
      </c>
      <c r="E149" s="22" t="str">
        <f>VLOOKUP(C149,Sales_Fact!C:D,2,0)</f>
        <v>PROD70</v>
      </c>
      <c r="F149" s="22" t="str">
        <f>VLOOKUP(E149,Product_Dim!A:C,3,0)</f>
        <v>Home</v>
      </c>
      <c r="G149" s="22" t="str" cm="1">
        <f t="array" ref="G149:L149">_xlfn.XLOOKUP(C149,Sales_Fact!C149:C2133,Sales_Fact!E149:J2133)</f>
        <v>STORE18</v>
      </c>
      <c r="H149" s="22">
        <v>2</v>
      </c>
      <c r="I149" s="22">
        <v>623.38</v>
      </c>
      <c r="J149" s="22">
        <v>0.13</v>
      </c>
      <c r="K149" s="22" t="str">
        <v>Credit Card</v>
      </c>
      <c r="L149" s="22">
        <v>1084.6812</v>
      </c>
    </row>
    <row r="150" spans="1:12" x14ac:dyDescent="0.3">
      <c r="A150" s="22" t="s">
        <v>1961</v>
      </c>
      <c r="B150" s="34" cm="1">
        <f t="array" ref="B150:C150">_xlfn.XLOOKUP(A150,Sales_Fact!A150:A2134,Sales_Fact!B150:C2134)</f>
        <v>45729</v>
      </c>
      <c r="C150" s="22" t="str">
        <v>CUST1058</v>
      </c>
      <c r="D150" s="22" t="str">
        <f>VLOOKUP('Combine Products &amp; Sales Facts'!C150,'Customer Details'!A:B,2,0)</f>
        <v>Cheryl Copeland</v>
      </c>
      <c r="E150" s="22" t="str">
        <f>VLOOKUP(C150,Sales_Fact!C:D,2,0)</f>
        <v>PROD70</v>
      </c>
      <c r="F150" s="22" t="str">
        <f>VLOOKUP(E150,Product_Dim!A:C,3,0)</f>
        <v>Home</v>
      </c>
      <c r="G150" s="22" t="str" cm="1">
        <f t="array" ref="G150:L150">_xlfn.XLOOKUP(C150,Sales_Fact!C150:C2134,Sales_Fact!E150:J2134)</f>
        <v>STORE0</v>
      </c>
      <c r="H150" s="22">
        <v>1</v>
      </c>
      <c r="I150" s="22">
        <v>479.58</v>
      </c>
      <c r="J150" s="22">
        <v>0.05</v>
      </c>
      <c r="K150" s="22" t="str">
        <v>PayPal</v>
      </c>
      <c r="L150" s="22">
        <v>455.60099999999989</v>
      </c>
    </row>
    <row r="151" spans="1:12" x14ac:dyDescent="0.3">
      <c r="A151" s="22" t="s">
        <v>1962</v>
      </c>
      <c r="B151" s="34" cm="1">
        <f t="array" ref="B151:C151">_xlfn.XLOOKUP(A151,Sales_Fact!A151:A2135,Sales_Fact!B151:C2135)</f>
        <v>45276</v>
      </c>
      <c r="C151" s="22" t="str">
        <v>CUST1298</v>
      </c>
      <c r="D151" s="22" t="str">
        <f>VLOOKUP('Combine Products &amp; Sales Facts'!C151,'Customer Details'!A:B,2,0)</f>
        <v>Tracy Stephens</v>
      </c>
      <c r="E151" s="22" t="str">
        <f>VLOOKUP(C151,Sales_Fact!C:D,2,0)</f>
        <v>PROD73</v>
      </c>
      <c r="F151" s="22" t="str">
        <f>VLOOKUP(E151,Product_Dim!A:C,3,0)</f>
        <v>Sports</v>
      </c>
      <c r="G151" s="22" t="str" cm="1">
        <f t="array" ref="G151:L151">_xlfn.XLOOKUP(C151,Sales_Fact!C151:C2135,Sales_Fact!E151:J2135)</f>
        <v>STORE6</v>
      </c>
      <c r="H151" s="22">
        <v>3</v>
      </c>
      <c r="I151" s="22">
        <v>369.32</v>
      </c>
      <c r="J151" s="22">
        <v>0.14000000000000001</v>
      </c>
      <c r="K151" s="22" t="str">
        <v>PayPal</v>
      </c>
      <c r="L151" s="22">
        <v>952.84559999999999</v>
      </c>
    </row>
    <row r="152" spans="1:12" x14ac:dyDescent="0.3">
      <c r="A152" s="22" t="s">
        <v>1963</v>
      </c>
      <c r="B152" s="34" cm="1">
        <f t="array" ref="B152:C152">_xlfn.XLOOKUP(A152,Sales_Fact!A152:A2136,Sales_Fact!B152:C2136)</f>
        <v>45851</v>
      </c>
      <c r="C152" s="22" t="str">
        <v>CUST1076</v>
      </c>
      <c r="D152" s="22" t="str">
        <f>VLOOKUP('Combine Products &amp; Sales Facts'!C152,'Customer Details'!A:B,2,0)</f>
        <v>Nathan Campbell</v>
      </c>
      <c r="E152" s="22" t="str">
        <f>VLOOKUP(C152,Sales_Fact!C:D,2,0)</f>
        <v>PROD32</v>
      </c>
      <c r="F152" s="22" t="str">
        <f>VLOOKUP(E152,Product_Dim!A:C,3,0)</f>
        <v>Beauty</v>
      </c>
      <c r="G152" s="22" t="str" cm="1">
        <f t="array" ref="G152:L152">_xlfn.XLOOKUP(C152,Sales_Fact!C152:C2136,Sales_Fact!E152:J2136)</f>
        <v>STORE1</v>
      </c>
      <c r="H152" s="22">
        <v>1</v>
      </c>
      <c r="I152" s="22">
        <v>488.31</v>
      </c>
      <c r="J152" s="22">
        <v>0.03</v>
      </c>
      <c r="K152" s="22" t="str">
        <v>PayPal</v>
      </c>
      <c r="L152" s="22">
        <v>473.66070000000002</v>
      </c>
    </row>
    <row r="153" spans="1:12" x14ac:dyDescent="0.3">
      <c r="A153" s="22" t="s">
        <v>1964</v>
      </c>
      <c r="B153" s="34" cm="1">
        <f t="array" ref="B153:C153">_xlfn.XLOOKUP(A153,Sales_Fact!A153:A2137,Sales_Fact!B153:C2137)</f>
        <v>45418</v>
      </c>
      <c r="C153" s="22" t="str">
        <v>CUST1276</v>
      </c>
      <c r="D153" s="22" t="str">
        <f>VLOOKUP('Combine Products &amp; Sales Facts'!C153,'Customer Details'!A:B,2,0)</f>
        <v>Arthur Warren</v>
      </c>
      <c r="E153" s="22" t="str">
        <f>VLOOKUP(C153,Sales_Fact!C:D,2,0)</f>
        <v>PROD65</v>
      </c>
      <c r="F153" s="22" t="str">
        <f>VLOOKUP(E153,Product_Dim!A:C,3,0)</f>
        <v>Sports</v>
      </c>
      <c r="G153" s="22" t="str" cm="1">
        <f t="array" ref="G153:L153">_xlfn.XLOOKUP(C153,Sales_Fact!C153:C2137,Sales_Fact!E153:J2137)</f>
        <v>STORE12</v>
      </c>
      <c r="H153" s="22">
        <v>4</v>
      </c>
      <c r="I153" s="22">
        <v>164.04</v>
      </c>
      <c r="J153" s="22">
        <v>0.26</v>
      </c>
      <c r="K153" s="22" t="str">
        <v>Credit Card</v>
      </c>
      <c r="L153" s="22">
        <v>485.55839999999989</v>
      </c>
    </row>
    <row r="154" spans="1:12" x14ac:dyDescent="0.3">
      <c r="A154" s="22" t="s">
        <v>1965</v>
      </c>
      <c r="B154" s="34" cm="1">
        <f t="array" ref="B154:C154">_xlfn.XLOOKUP(A154,Sales_Fact!A154:A2138,Sales_Fact!B154:C2138)</f>
        <v>45508</v>
      </c>
      <c r="C154" s="22" t="str">
        <v>CUST1073</v>
      </c>
      <c r="D154" s="22" t="str">
        <f>VLOOKUP('Combine Products &amp; Sales Facts'!C154,'Customer Details'!A:B,2,0)</f>
        <v>Christopher Brown</v>
      </c>
      <c r="E154" s="22" t="str">
        <f>VLOOKUP(C154,Sales_Fact!C:D,2,0)</f>
        <v>PROD10</v>
      </c>
      <c r="F154" s="22" t="str">
        <f>VLOOKUP(E154,Product_Dim!A:C,3,0)</f>
        <v>Home</v>
      </c>
      <c r="G154" s="22" t="str" cm="1">
        <f t="array" ref="G154:L154">_xlfn.XLOOKUP(C154,Sales_Fact!C154:C2138,Sales_Fact!E154:J2138)</f>
        <v>STORE17</v>
      </c>
      <c r="H154" s="22">
        <v>3</v>
      </c>
      <c r="I154" s="22">
        <v>707.95</v>
      </c>
      <c r="J154" s="22">
        <v>0.18</v>
      </c>
      <c r="K154" s="22" t="str">
        <v>PayPal</v>
      </c>
      <c r="L154" s="22">
        <v>1741.557</v>
      </c>
    </row>
    <row r="155" spans="1:12" x14ac:dyDescent="0.3">
      <c r="A155" s="22" t="s">
        <v>1966</v>
      </c>
      <c r="B155" s="34" cm="1">
        <f t="array" ref="B155:C155">_xlfn.XLOOKUP(A155,Sales_Fact!A155:A2139,Sales_Fact!B155:C2139)</f>
        <v>45269</v>
      </c>
      <c r="C155" s="22" t="str">
        <v>CUST1295</v>
      </c>
      <c r="D155" s="22" t="str">
        <f>VLOOKUP('Combine Products &amp; Sales Facts'!C155,'Customer Details'!A:B,2,0)</f>
        <v>Crystal Waters</v>
      </c>
      <c r="E155" s="22" t="str">
        <f>VLOOKUP(C155,Sales_Fact!C:D,2,0)</f>
        <v>PROD69</v>
      </c>
      <c r="F155" s="22" t="str">
        <f>VLOOKUP(E155,Product_Dim!A:C,3,0)</f>
        <v>Clothing</v>
      </c>
      <c r="G155" s="22" t="str" cm="1">
        <f t="array" ref="G155:L155">_xlfn.XLOOKUP(C155,Sales_Fact!C155:C2139,Sales_Fact!E155:J2139)</f>
        <v>STORE8</v>
      </c>
      <c r="H155" s="22">
        <v>4</v>
      </c>
      <c r="I155" s="22">
        <v>714.47</v>
      </c>
      <c r="J155" s="22">
        <v>0.18</v>
      </c>
      <c r="K155" s="22" t="str">
        <v>COD</v>
      </c>
      <c r="L155" s="22">
        <v>2343.4616000000001</v>
      </c>
    </row>
    <row r="156" spans="1:12" x14ac:dyDescent="0.3">
      <c r="A156" s="22" t="s">
        <v>1967</v>
      </c>
      <c r="B156" s="34" cm="1">
        <f t="array" ref="B156:C156">_xlfn.XLOOKUP(A156,Sales_Fact!A156:A2140,Sales_Fact!B156:C2140)</f>
        <v>45866</v>
      </c>
      <c r="C156" s="22" t="str">
        <v>CUST1415</v>
      </c>
      <c r="D156" s="22" t="str">
        <f>VLOOKUP('Combine Products &amp; Sales Facts'!C156,'Customer Details'!A:B,2,0)</f>
        <v>Tyler Cook</v>
      </c>
      <c r="E156" s="22" t="str">
        <f>VLOOKUP(C156,Sales_Fact!C:D,2,0)</f>
        <v>PROD79</v>
      </c>
      <c r="F156" s="22" t="str">
        <f>VLOOKUP(E156,Product_Dim!A:C,3,0)</f>
        <v>Home</v>
      </c>
      <c r="G156" s="22" t="str" cm="1">
        <f t="array" ref="G156:L156">_xlfn.XLOOKUP(C156,Sales_Fact!C156:C2140,Sales_Fact!E156:J2140)</f>
        <v>STORE7</v>
      </c>
      <c r="H156" s="22">
        <v>4</v>
      </c>
      <c r="I156" s="22">
        <v>422.09</v>
      </c>
      <c r="J156" s="22">
        <v>0.04</v>
      </c>
      <c r="K156" s="22" t="str">
        <v>Credit Card</v>
      </c>
      <c r="L156" s="22">
        <v>1620.8255999999999</v>
      </c>
    </row>
    <row r="157" spans="1:12" x14ac:dyDescent="0.3">
      <c r="A157" s="22" t="s">
        <v>1968</v>
      </c>
      <c r="B157" s="34" cm="1">
        <f t="array" ref="B157:C157">_xlfn.XLOOKUP(A157,Sales_Fact!A157:A2141,Sales_Fact!B157:C2141)</f>
        <v>45462</v>
      </c>
      <c r="C157" s="22" t="str">
        <v>CUST1108</v>
      </c>
      <c r="D157" s="22" t="str">
        <f>VLOOKUP('Combine Products &amp; Sales Facts'!C157,'Customer Details'!A:B,2,0)</f>
        <v>Travis Holland</v>
      </c>
      <c r="E157" s="22" t="str">
        <f>VLOOKUP(C157,Sales_Fact!C:D,2,0)</f>
        <v>PROD30</v>
      </c>
      <c r="F157" s="22" t="str">
        <f>VLOOKUP(E157,Product_Dim!A:C,3,0)</f>
        <v>Home</v>
      </c>
      <c r="G157" s="22" t="str" cm="1">
        <f t="array" ref="G157:L157">_xlfn.XLOOKUP(C157,Sales_Fact!C157:C2141,Sales_Fact!E157:J2141)</f>
        <v>STORE9</v>
      </c>
      <c r="H157" s="22">
        <v>1</v>
      </c>
      <c r="I157" s="22">
        <v>998.19</v>
      </c>
      <c r="J157" s="22">
        <v>0.2</v>
      </c>
      <c r="K157" s="22" t="str">
        <v>Credit Card</v>
      </c>
      <c r="L157" s="22">
        <v>798.55200000000013</v>
      </c>
    </row>
    <row r="158" spans="1:12" x14ac:dyDescent="0.3">
      <c r="A158" s="22" t="s">
        <v>1969</v>
      </c>
      <c r="B158" s="34" cm="1">
        <f t="array" ref="B158:C158">_xlfn.XLOOKUP(A158,Sales_Fact!A158:A2142,Sales_Fact!B158:C2142)</f>
        <v>45313</v>
      </c>
      <c r="C158" s="22" t="str">
        <v>CUST1373</v>
      </c>
      <c r="D158" s="22" t="str">
        <f>VLOOKUP('Combine Products &amp; Sales Facts'!C158,'Customer Details'!A:B,2,0)</f>
        <v>James Orozco</v>
      </c>
      <c r="E158" s="22" t="str">
        <f>VLOOKUP(C158,Sales_Fact!C:D,2,0)</f>
        <v>PROD72</v>
      </c>
      <c r="F158" s="22" t="str">
        <f>VLOOKUP(E158,Product_Dim!A:C,3,0)</f>
        <v>Sports</v>
      </c>
      <c r="G158" s="22" t="str" cm="1">
        <f t="array" ref="G158:L158">_xlfn.XLOOKUP(C158,Sales_Fact!C158:C2142,Sales_Fact!E158:J2142)</f>
        <v>STORE7</v>
      </c>
      <c r="H158" s="22">
        <v>2</v>
      </c>
      <c r="I158" s="22">
        <v>343.42</v>
      </c>
      <c r="J158" s="22">
        <v>0.12</v>
      </c>
      <c r="K158" s="22" t="str">
        <v>COD</v>
      </c>
      <c r="L158" s="22">
        <v>604.41920000000005</v>
      </c>
    </row>
    <row r="159" spans="1:12" x14ac:dyDescent="0.3">
      <c r="A159" s="22" t="s">
        <v>1970</v>
      </c>
      <c r="B159" s="34" cm="1">
        <f t="array" ref="B159:C159">_xlfn.XLOOKUP(A159,Sales_Fact!A159:A2143,Sales_Fact!B159:C2143)</f>
        <v>45390</v>
      </c>
      <c r="C159" s="22" t="str">
        <v>CUST1256</v>
      </c>
      <c r="D159" s="22" t="str">
        <f>VLOOKUP('Combine Products &amp; Sales Facts'!C159,'Customer Details'!A:B,2,0)</f>
        <v>Kristen Fischer</v>
      </c>
      <c r="E159" s="22" t="str">
        <f>VLOOKUP(C159,Sales_Fact!C:D,2,0)</f>
        <v>PROD34</v>
      </c>
      <c r="F159" s="22" t="str">
        <f>VLOOKUP(E159,Product_Dim!A:C,3,0)</f>
        <v>Electronics</v>
      </c>
      <c r="G159" s="22" t="str" cm="1">
        <f t="array" ref="G159:L159">_xlfn.XLOOKUP(C159,Sales_Fact!C159:C2143,Sales_Fact!E159:J2143)</f>
        <v>STORE6</v>
      </c>
      <c r="H159" s="22">
        <v>1</v>
      </c>
      <c r="I159" s="22">
        <v>152.16999999999999</v>
      </c>
      <c r="J159" s="22">
        <v>0.28000000000000003</v>
      </c>
      <c r="K159" s="22" t="str">
        <v>COD</v>
      </c>
      <c r="L159" s="22">
        <v>109.5624</v>
      </c>
    </row>
    <row r="160" spans="1:12" x14ac:dyDescent="0.3">
      <c r="A160" s="22" t="s">
        <v>1971</v>
      </c>
      <c r="B160" s="34" cm="1">
        <f t="array" ref="B160:C160">_xlfn.XLOOKUP(A160,Sales_Fact!A160:A2144,Sales_Fact!B160:C2144)</f>
        <v>45795</v>
      </c>
      <c r="C160" s="22" t="str">
        <v>CUST1175</v>
      </c>
      <c r="D160" s="22" t="str">
        <f>VLOOKUP('Combine Products &amp; Sales Facts'!C160,'Customer Details'!A:B,2,0)</f>
        <v>Michelle Rogers</v>
      </c>
      <c r="E160" s="22" t="str">
        <f>VLOOKUP(C160,Sales_Fact!C:D,2,0)</f>
        <v>PROD49</v>
      </c>
      <c r="F160" s="22" t="str">
        <f>VLOOKUP(E160,Product_Dim!A:C,3,0)</f>
        <v>Beauty</v>
      </c>
      <c r="G160" s="22" t="str" cm="1">
        <f t="array" ref="G160:L160">_xlfn.XLOOKUP(C160,Sales_Fact!C160:C2144,Sales_Fact!E160:J2144)</f>
        <v>STORE11</v>
      </c>
      <c r="H160" s="22">
        <v>1</v>
      </c>
      <c r="I160" s="22">
        <v>325.08</v>
      </c>
      <c r="J160" s="22">
        <v>0.26</v>
      </c>
      <c r="K160" s="22" t="str">
        <v>PayPal</v>
      </c>
      <c r="L160" s="22">
        <v>240.5592</v>
      </c>
    </row>
    <row r="161" spans="1:12" x14ac:dyDescent="0.3">
      <c r="A161" s="22" t="s">
        <v>1972</v>
      </c>
      <c r="B161" s="34" cm="1">
        <f t="array" ref="B161:C161">_xlfn.XLOOKUP(A161,Sales_Fact!A161:A2145,Sales_Fact!B161:C2145)</f>
        <v>45267</v>
      </c>
      <c r="C161" s="22" t="str">
        <v>CUST1344</v>
      </c>
      <c r="D161" s="22" t="str">
        <f>VLOOKUP('Combine Products &amp; Sales Facts'!C161,'Customer Details'!A:B,2,0)</f>
        <v>Evelyn Brown</v>
      </c>
      <c r="E161" s="22" t="str">
        <f>VLOOKUP(C161,Sales_Fact!C:D,2,0)</f>
        <v>PROD89</v>
      </c>
      <c r="F161" s="22" t="str">
        <f>VLOOKUP(E161,Product_Dim!A:C,3,0)</f>
        <v>Beauty</v>
      </c>
      <c r="G161" s="22" t="str" cm="1">
        <f t="array" ref="G161:L161">_xlfn.XLOOKUP(C161,Sales_Fact!C161:C2145,Sales_Fact!E161:J2145)</f>
        <v>STORE10</v>
      </c>
      <c r="H161" s="22">
        <v>2</v>
      </c>
      <c r="I161" s="22">
        <v>827.92</v>
      </c>
      <c r="J161" s="22">
        <v>0.25</v>
      </c>
      <c r="K161" s="22" t="str">
        <v>COD</v>
      </c>
      <c r="L161" s="22">
        <v>1241.8800000000001</v>
      </c>
    </row>
    <row r="162" spans="1:12" x14ac:dyDescent="0.3">
      <c r="A162" s="22" t="s">
        <v>1973</v>
      </c>
      <c r="B162" s="34" cm="1">
        <f t="array" ref="B162:C162">_xlfn.XLOOKUP(A162,Sales_Fact!A162:A2146,Sales_Fact!B162:C2146)</f>
        <v>45314</v>
      </c>
      <c r="C162" s="22" t="str">
        <v>CUST1485</v>
      </c>
      <c r="D162" s="22" t="str">
        <f>VLOOKUP('Combine Products &amp; Sales Facts'!C162,'Customer Details'!A:B,2,0)</f>
        <v>Sara Ingram</v>
      </c>
      <c r="E162" s="22" t="str">
        <f>VLOOKUP(C162,Sales_Fact!C:D,2,0)</f>
        <v>PROD26</v>
      </c>
      <c r="F162" s="22" t="str">
        <f>VLOOKUP(E162,Product_Dim!A:C,3,0)</f>
        <v>Electronics</v>
      </c>
      <c r="G162" s="22" t="str" cm="1">
        <f t="array" ref="G162:L162">_xlfn.XLOOKUP(C162,Sales_Fact!C162:C2146,Sales_Fact!E162:J2146)</f>
        <v>STORE2</v>
      </c>
      <c r="H162" s="22">
        <v>2</v>
      </c>
      <c r="I162" s="22">
        <v>593.47</v>
      </c>
      <c r="J162" s="22">
        <v>0.1</v>
      </c>
      <c r="K162" s="22" t="str">
        <v>COD</v>
      </c>
      <c r="L162" s="22">
        <v>1068.2460000000001</v>
      </c>
    </row>
    <row r="163" spans="1:12" x14ac:dyDescent="0.3">
      <c r="A163" s="22" t="s">
        <v>1974</v>
      </c>
      <c r="B163" s="34" cm="1">
        <f t="array" ref="B163:C163">_xlfn.XLOOKUP(A163,Sales_Fact!A163:A2147,Sales_Fact!B163:C2147)</f>
        <v>45267</v>
      </c>
      <c r="C163" s="22" t="str">
        <v>CUST1293</v>
      </c>
      <c r="D163" s="22" t="str">
        <f>VLOOKUP('Combine Products &amp; Sales Facts'!C163,'Customer Details'!A:B,2,0)</f>
        <v>Gloria Taylor</v>
      </c>
      <c r="E163" s="22" t="str">
        <f>VLOOKUP(C163,Sales_Fact!C:D,2,0)</f>
        <v>PROD20</v>
      </c>
      <c r="F163" s="22" t="str">
        <f>VLOOKUP(E163,Product_Dim!A:C,3,0)</f>
        <v>Sports</v>
      </c>
      <c r="G163" s="22" t="str" cm="1">
        <f t="array" ref="G163:L163">_xlfn.XLOOKUP(C163,Sales_Fact!C163:C2147,Sales_Fact!E163:J2147)</f>
        <v>STORE7</v>
      </c>
      <c r="H163" s="22">
        <v>4</v>
      </c>
      <c r="I163" s="22">
        <v>756.28</v>
      </c>
      <c r="J163" s="22">
        <v>0.05</v>
      </c>
      <c r="K163" s="22" t="str">
        <v>COD</v>
      </c>
      <c r="L163" s="22">
        <v>2873.864</v>
      </c>
    </row>
    <row r="164" spans="1:12" x14ac:dyDescent="0.3">
      <c r="A164" s="22" t="s">
        <v>1975</v>
      </c>
      <c r="B164" s="34" cm="1">
        <f t="array" ref="B164:C164">_xlfn.XLOOKUP(A164,Sales_Fact!A164:A2148,Sales_Fact!B164:C2148)</f>
        <v>45641</v>
      </c>
      <c r="C164" s="22" t="str">
        <v>CUST1377</v>
      </c>
      <c r="D164" s="22" t="str">
        <f>VLOOKUP('Combine Products &amp; Sales Facts'!C164,'Customer Details'!A:B,2,0)</f>
        <v>Charles Conley</v>
      </c>
      <c r="E164" s="22" t="str">
        <f>VLOOKUP(C164,Sales_Fact!C:D,2,0)</f>
        <v>PROD92</v>
      </c>
      <c r="F164" s="22" t="str">
        <f>VLOOKUP(E164,Product_Dim!A:C,3,0)</f>
        <v>Home</v>
      </c>
      <c r="G164" s="22" t="str" cm="1">
        <f t="array" ref="G164:L164">_xlfn.XLOOKUP(C164,Sales_Fact!C164:C2148,Sales_Fact!E164:J2148)</f>
        <v>STORE1</v>
      </c>
      <c r="H164" s="22">
        <v>2</v>
      </c>
      <c r="I164" s="22">
        <v>707.65</v>
      </c>
      <c r="J164" s="22">
        <v>0.14000000000000001</v>
      </c>
      <c r="K164" s="22" t="str">
        <v>Credit Card</v>
      </c>
      <c r="L164" s="22">
        <v>1217.1579999999999</v>
      </c>
    </row>
    <row r="165" spans="1:12" x14ac:dyDescent="0.3">
      <c r="A165" s="22" t="s">
        <v>1976</v>
      </c>
      <c r="B165" s="34" cm="1">
        <f t="array" ref="B165:C165">_xlfn.XLOOKUP(A165,Sales_Fact!A165:A2149,Sales_Fact!B165:C2149)</f>
        <v>45371</v>
      </c>
      <c r="C165" s="22" t="str">
        <v>CUST1128</v>
      </c>
      <c r="D165" s="22" t="str">
        <f>VLOOKUP('Combine Products &amp; Sales Facts'!C165,'Customer Details'!A:B,2,0)</f>
        <v>Susan Mcdonald</v>
      </c>
      <c r="E165" s="22" t="str">
        <f>VLOOKUP(C165,Sales_Fact!C:D,2,0)</f>
        <v>PROD25</v>
      </c>
      <c r="F165" s="22" t="str">
        <f>VLOOKUP(E165,Product_Dim!A:C,3,0)</f>
        <v>Clothing</v>
      </c>
      <c r="G165" s="22" t="str" cm="1">
        <f t="array" ref="G165:L165">_xlfn.XLOOKUP(C165,Sales_Fact!C165:C2149,Sales_Fact!E165:J2149)</f>
        <v>STORE15</v>
      </c>
      <c r="H165" s="22">
        <v>1</v>
      </c>
      <c r="I165" s="22">
        <v>857.35</v>
      </c>
      <c r="J165" s="22">
        <v>0.28000000000000003</v>
      </c>
      <c r="K165" s="22" t="str">
        <v>PayPal</v>
      </c>
      <c r="L165" s="22">
        <v>617.29200000000003</v>
      </c>
    </row>
    <row r="166" spans="1:12" x14ac:dyDescent="0.3">
      <c r="A166" s="22" t="s">
        <v>1977</v>
      </c>
      <c r="B166" s="34" cm="1">
        <f t="array" ref="B166:C166">_xlfn.XLOOKUP(A166,Sales_Fact!A166:A2150,Sales_Fact!B166:C2150)</f>
        <v>45670</v>
      </c>
      <c r="C166" s="22" t="str">
        <v>CUST1499</v>
      </c>
      <c r="D166" s="22" t="str">
        <f>VLOOKUP('Combine Products &amp; Sales Facts'!C166,'Customer Details'!A:B,2,0)</f>
        <v>Philip Pennington</v>
      </c>
      <c r="E166" s="22" t="str">
        <f>VLOOKUP(C166,Sales_Fact!C:D,2,0)</f>
        <v>PROD55</v>
      </c>
      <c r="F166" s="22" t="str">
        <f>VLOOKUP(E166,Product_Dim!A:C,3,0)</f>
        <v>Home</v>
      </c>
      <c r="G166" s="22" t="str" cm="1">
        <f t="array" ref="G166:L166">_xlfn.XLOOKUP(C166,Sales_Fact!C166:C2150,Sales_Fact!E166:J2150)</f>
        <v>STORE8</v>
      </c>
      <c r="H166" s="22">
        <v>1</v>
      </c>
      <c r="I166" s="22">
        <v>79</v>
      </c>
      <c r="J166" s="22">
        <v>0.04</v>
      </c>
      <c r="K166" s="22" t="str">
        <v>PayPal</v>
      </c>
      <c r="L166" s="22">
        <v>75.84</v>
      </c>
    </row>
    <row r="167" spans="1:12" x14ac:dyDescent="0.3">
      <c r="A167" s="22" t="s">
        <v>1978</v>
      </c>
      <c r="B167" s="34" cm="1">
        <f t="array" ref="B167:C167">_xlfn.XLOOKUP(A167,Sales_Fact!A167:A2151,Sales_Fact!B167:C2151)</f>
        <v>45885</v>
      </c>
      <c r="C167" s="22" t="str">
        <v>CUST1066</v>
      </c>
      <c r="D167" s="22" t="str">
        <f>VLOOKUP('Combine Products &amp; Sales Facts'!C167,'Customer Details'!A:B,2,0)</f>
        <v>Cody Diaz</v>
      </c>
      <c r="E167" s="22" t="str">
        <f>VLOOKUP(C167,Sales_Fact!C:D,2,0)</f>
        <v>PROD94</v>
      </c>
      <c r="F167" s="22" t="str">
        <f>VLOOKUP(E167,Product_Dim!A:C,3,0)</f>
        <v>Beauty</v>
      </c>
      <c r="G167" s="22" t="str" cm="1">
        <f t="array" ref="G167:L167">_xlfn.XLOOKUP(C167,Sales_Fact!C167:C2151,Sales_Fact!E167:J2151)</f>
        <v>STORE5</v>
      </c>
      <c r="H167" s="22">
        <v>4</v>
      </c>
      <c r="I167" s="22">
        <v>638.91</v>
      </c>
      <c r="J167" s="22">
        <v>0</v>
      </c>
      <c r="K167" s="22" t="str">
        <v>COD</v>
      </c>
      <c r="L167" s="22">
        <v>2555.64</v>
      </c>
    </row>
    <row r="168" spans="1:12" x14ac:dyDescent="0.3">
      <c r="A168" s="22" t="s">
        <v>1979</v>
      </c>
      <c r="B168" s="34" cm="1">
        <f t="array" ref="B168:C168">_xlfn.XLOOKUP(A168,Sales_Fact!A168:A2152,Sales_Fact!B168:C2152)</f>
        <v>45812</v>
      </c>
      <c r="C168" s="22" t="str">
        <v>CUST1081</v>
      </c>
      <c r="D168" s="22" t="str">
        <f>VLOOKUP('Combine Products &amp; Sales Facts'!C168,'Customer Details'!A:B,2,0)</f>
        <v>Krystal Ford</v>
      </c>
      <c r="E168" s="22" t="str">
        <f>VLOOKUP(C168,Sales_Fact!C:D,2,0)</f>
        <v>PROD45</v>
      </c>
      <c r="F168" s="22" t="str">
        <f>VLOOKUP(E168,Product_Dim!A:C,3,0)</f>
        <v>Sports</v>
      </c>
      <c r="G168" s="22" t="str" cm="1">
        <f t="array" ref="G168:L168">_xlfn.XLOOKUP(C168,Sales_Fact!C168:C2152,Sales_Fact!E168:J2152)</f>
        <v>STORE0</v>
      </c>
      <c r="H168" s="22">
        <v>2</v>
      </c>
      <c r="I168" s="22">
        <v>522.16999999999996</v>
      </c>
      <c r="J168" s="22">
        <v>0.27</v>
      </c>
      <c r="K168" s="22" t="str">
        <v>Credit Card</v>
      </c>
      <c r="L168" s="22">
        <v>762.36819999999989</v>
      </c>
    </row>
    <row r="169" spans="1:12" x14ac:dyDescent="0.3">
      <c r="A169" s="22" t="s">
        <v>1980</v>
      </c>
      <c r="B169" s="34" cm="1">
        <f t="array" ref="B169:C169">_xlfn.XLOOKUP(A169,Sales_Fact!A169:A2153,Sales_Fact!B169:C2153)</f>
        <v>45235</v>
      </c>
      <c r="C169" s="22" t="str">
        <v>CUST1478</v>
      </c>
      <c r="D169" s="22" t="str">
        <f>VLOOKUP('Combine Products &amp; Sales Facts'!C169,'Customer Details'!A:B,2,0)</f>
        <v>Earl Smith Dds</v>
      </c>
      <c r="E169" s="22" t="str">
        <f>VLOOKUP(C169,Sales_Fact!C:D,2,0)</f>
        <v>PROD39</v>
      </c>
      <c r="F169" s="22" t="str">
        <f>VLOOKUP(E169,Product_Dim!A:C,3,0)</f>
        <v>Electronics</v>
      </c>
      <c r="G169" s="22" t="str" cm="1">
        <f t="array" ref="G169:L169">_xlfn.XLOOKUP(C169,Sales_Fact!C169:C2153,Sales_Fact!E169:J2153)</f>
        <v>STORE12</v>
      </c>
      <c r="H169" s="22">
        <v>3</v>
      </c>
      <c r="I169" s="22">
        <v>954.29</v>
      </c>
      <c r="J169" s="22">
        <v>0.27</v>
      </c>
      <c r="K169" s="22" t="str">
        <v>Credit Card</v>
      </c>
      <c r="L169" s="22">
        <v>2089.8951000000002</v>
      </c>
    </row>
    <row r="170" spans="1:12" x14ac:dyDescent="0.3">
      <c r="A170" s="22" t="s">
        <v>1981</v>
      </c>
      <c r="B170" s="34" cm="1">
        <f t="array" ref="B170:C170">_xlfn.XLOOKUP(A170,Sales_Fact!A170:A2154,Sales_Fact!B170:C2154)</f>
        <v>45710</v>
      </c>
      <c r="C170" s="22" t="str">
        <v>CUST1462</v>
      </c>
      <c r="D170" s="22" t="str">
        <f>VLOOKUP('Combine Products &amp; Sales Facts'!C170,'Customer Details'!A:B,2,0)</f>
        <v>Beth Martin</v>
      </c>
      <c r="E170" s="22" t="str">
        <f>VLOOKUP(C170,Sales_Fact!C:D,2,0)</f>
        <v>PROD33</v>
      </c>
      <c r="F170" s="22" t="str">
        <f>VLOOKUP(E170,Product_Dim!A:C,3,0)</f>
        <v>Home</v>
      </c>
      <c r="G170" s="22" t="str" cm="1">
        <f t="array" ref="G170:L170">_xlfn.XLOOKUP(C170,Sales_Fact!C170:C2154,Sales_Fact!E170:J2154)</f>
        <v>STORE13</v>
      </c>
      <c r="H170" s="22">
        <v>3</v>
      </c>
      <c r="I170" s="22">
        <v>53.92</v>
      </c>
      <c r="J170" s="22">
        <v>0.15</v>
      </c>
      <c r="K170" s="22" t="str">
        <v>PayPal</v>
      </c>
      <c r="L170" s="22">
        <v>137.49600000000001</v>
      </c>
    </row>
    <row r="171" spans="1:12" x14ac:dyDescent="0.3">
      <c r="A171" s="22" t="s">
        <v>1982</v>
      </c>
      <c r="B171" s="34" cm="1">
        <f t="array" ref="B171:C171">_xlfn.XLOOKUP(A171,Sales_Fact!A171:A2155,Sales_Fact!B171:C2155)</f>
        <v>45753</v>
      </c>
      <c r="C171" s="22" t="str">
        <v>CUST1396</v>
      </c>
      <c r="D171" s="22" t="str">
        <f>VLOOKUP('Combine Products &amp; Sales Facts'!C171,'Customer Details'!A:B,2,0)</f>
        <v>Alexander Byrd</v>
      </c>
      <c r="E171" s="22" t="str">
        <f>VLOOKUP(C171,Sales_Fact!C:D,2,0)</f>
        <v>PROD43</v>
      </c>
      <c r="F171" s="22" t="str">
        <f>VLOOKUP(E171,Product_Dim!A:C,3,0)</f>
        <v>Electronics</v>
      </c>
      <c r="G171" s="22" t="str" cm="1">
        <f t="array" ref="G171:L171">_xlfn.XLOOKUP(C171,Sales_Fact!C171:C2155,Sales_Fact!E171:J2155)</f>
        <v>STORE0</v>
      </c>
      <c r="H171" s="22">
        <v>4</v>
      </c>
      <c r="I171" s="22">
        <v>741.88</v>
      </c>
      <c r="J171" s="22">
        <v>0.02</v>
      </c>
      <c r="K171" s="22" t="str">
        <v>COD</v>
      </c>
      <c r="L171" s="22">
        <v>2908.1696000000002</v>
      </c>
    </row>
    <row r="172" spans="1:12" x14ac:dyDescent="0.3">
      <c r="A172" s="22" t="s">
        <v>1983</v>
      </c>
      <c r="B172" s="34" cm="1">
        <f t="array" ref="B172:C172">_xlfn.XLOOKUP(A172,Sales_Fact!A172:A2156,Sales_Fact!B172:C2156)</f>
        <v>45594</v>
      </c>
      <c r="C172" s="22" t="str">
        <v>CUST1033</v>
      </c>
      <c r="D172" s="22" t="str">
        <f>VLOOKUP('Combine Products &amp; Sales Facts'!C172,'Customer Details'!A:B,2,0)</f>
        <v>Robert Jones Dds</v>
      </c>
      <c r="E172" s="22" t="str">
        <f>VLOOKUP(C172,Sales_Fact!C:D,2,0)</f>
        <v>PROD46</v>
      </c>
      <c r="F172" s="22" t="str">
        <f>VLOOKUP(E172,Product_Dim!A:C,3,0)</f>
        <v>Clothing</v>
      </c>
      <c r="G172" s="22" t="str" cm="1">
        <f t="array" ref="G172:L172">_xlfn.XLOOKUP(C172,Sales_Fact!C172:C2156,Sales_Fact!E172:J2156)</f>
        <v>STORE3</v>
      </c>
      <c r="H172" s="22">
        <v>1</v>
      </c>
      <c r="I172" s="22">
        <v>547.09</v>
      </c>
      <c r="J172" s="22">
        <v>0.01</v>
      </c>
      <c r="K172" s="22" t="str">
        <v>PayPal</v>
      </c>
      <c r="L172" s="22">
        <v>541.6191</v>
      </c>
    </row>
    <row r="173" spans="1:12" x14ac:dyDescent="0.3">
      <c r="A173" s="22" t="s">
        <v>1984</v>
      </c>
      <c r="B173" s="34" cm="1">
        <f t="array" ref="B173:C173">_xlfn.XLOOKUP(A173,Sales_Fact!A173:A2157,Sales_Fact!B173:C2157)</f>
        <v>45686</v>
      </c>
      <c r="C173" s="22" t="str">
        <v>CUST1489</v>
      </c>
      <c r="D173" s="22" t="str">
        <f>VLOOKUP('Combine Products &amp; Sales Facts'!C173,'Customer Details'!A:B,2,0)</f>
        <v>Melinda Thomas</v>
      </c>
      <c r="E173" s="22" t="str">
        <f>VLOOKUP(C173,Sales_Fact!C:D,2,0)</f>
        <v>PROD89</v>
      </c>
      <c r="F173" s="22" t="str">
        <f>VLOOKUP(E173,Product_Dim!A:C,3,0)</f>
        <v>Beauty</v>
      </c>
      <c r="G173" s="22" t="str" cm="1">
        <f t="array" ref="G173:L173">_xlfn.XLOOKUP(C173,Sales_Fact!C173:C2157,Sales_Fact!E173:J2157)</f>
        <v>STORE3</v>
      </c>
      <c r="H173" s="22">
        <v>1</v>
      </c>
      <c r="I173" s="22">
        <v>789.35</v>
      </c>
      <c r="J173" s="22">
        <v>0.14000000000000001</v>
      </c>
      <c r="K173" s="22" t="str">
        <v>PayPal</v>
      </c>
      <c r="L173" s="22">
        <v>678.84100000000001</v>
      </c>
    </row>
    <row r="174" spans="1:12" x14ac:dyDescent="0.3">
      <c r="A174" s="22" t="s">
        <v>1985</v>
      </c>
      <c r="B174" s="34" cm="1">
        <f t="array" ref="B174:C174">_xlfn.XLOOKUP(A174,Sales_Fact!A174:A2158,Sales_Fact!B174:C2158)</f>
        <v>45354</v>
      </c>
      <c r="C174" s="22" t="str">
        <v>CUST1428</v>
      </c>
      <c r="D174" s="22" t="str">
        <f>VLOOKUP('Combine Products &amp; Sales Facts'!C174,'Customer Details'!A:B,2,0)</f>
        <v>Samuel Mullins</v>
      </c>
      <c r="E174" s="22" t="str">
        <f>VLOOKUP(C174,Sales_Fact!C:D,2,0)</f>
        <v>PROD63</v>
      </c>
      <c r="F174" s="22" t="str">
        <f>VLOOKUP(E174,Product_Dim!A:C,3,0)</f>
        <v>Beauty</v>
      </c>
      <c r="G174" s="22" t="str" cm="1">
        <f t="array" ref="G174:L174">_xlfn.XLOOKUP(C174,Sales_Fact!C174:C2158,Sales_Fact!E174:J2158)</f>
        <v>STORE3</v>
      </c>
      <c r="H174" s="22">
        <v>3</v>
      </c>
      <c r="I174" s="22">
        <v>476.78</v>
      </c>
      <c r="J174" s="22">
        <v>0.09</v>
      </c>
      <c r="K174" s="22" t="str">
        <v>COD</v>
      </c>
      <c r="L174" s="22">
        <v>1301.6094000000001</v>
      </c>
    </row>
    <row r="175" spans="1:12" x14ac:dyDescent="0.3">
      <c r="A175" s="22" t="s">
        <v>1986</v>
      </c>
      <c r="B175" s="34" cm="1">
        <f t="array" ref="B175:C175">_xlfn.XLOOKUP(A175,Sales_Fact!A175:A2159,Sales_Fact!B175:C2159)</f>
        <v>45600</v>
      </c>
      <c r="C175" s="22" t="str">
        <v>CUST1453</v>
      </c>
      <c r="D175" s="22" t="str">
        <f>VLOOKUP('Combine Products &amp; Sales Facts'!C175,'Customer Details'!A:B,2,0)</f>
        <v>April Phillips</v>
      </c>
      <c r="E175" s="22" t="str">
        <f>VLOOKUP(C175,Sales_Fact!C:D,2,0)</f>
        <v>PROD12</v>
      </c>
      <c r="F175" s="22" t="str">
        <f>VLOOKUP(E175,Product_Dim!A:C,3,0)</f>
        <v>Beauty</v>
      </c>
      <c r="G175" s="22" t="str" cm="1">
        <f t="array" ref="G175:L175">_xlfn.XLOOKUP(C175,Sales_Fact!C175:C2159,Sales_Fact!E175:J2159)</f>
        <v>STORE18</v>
      </c>
      <c r="H175" s="22">
        <v>2</v>
      </c>
      <c r="I175" s="22">
        <v>504.26</v>
      </c>
      <c r="J175" s="22">
        <v>0.04</v>
      </c>
      <c r="K175" s="22" t="str">
        <v>PayPal</v>
      </c>
      <c r="L175" s="22">
        <v>968.17919999999992</v>
      </c>
    </row>
    <row r="176" spans="1:12" x14ac:dyDescent="0.3">
      <c r="A176" s="22" t="s">
        <v>1987</v>
      </c>
      <c r="B176" s="34" cm="1">
        <f t="array" ref="B176:C176">_xlfn.XLOOKUP(A176,Sales_Fact!A176:A2160,Sales_Fact!B176:C2160)</f>
        <v>45538</v>
      </c>
      <c r="C176" s="22" t="str">
        <v>CUST1272</v>
      </c>
      <c r="D176" s="22" t="str">
        <f>VLOOKUP('Combine Products &amp; Sales Facts'!C176,'Customer Details'!A:B,2,0)</f>
        <v>Adam Rowland</v>
      </c>
      <c r="E176" s="22" t="str">
        <f>VLOOKUP(C176,Sales_Fact!C:D,2,0)</f>
        <v>PROD81</v>
      </c>
      <c r="F176" s="22" t="str">
        <f>VLOOKUP(E176,Product_Dim!A:C,3,0)</f>
        <v>Sports</v>
      </c>
      <c r="G176" s="22" t="str" cm="1">
        <f t="array" ref="G176:L176">_xlfn.XLOOKUP(C176,Sales_Fact!C176:C2160,Sales_Fact!E176:J2160)</f>
        <v>STORE6</v>
      </c>
      <c r="H176" s="22">
        <v>2</v>
      </c>
      <c r="I176" s="22">
        <v>549.33000000000004</v>
      </c>
      <c r="J176" s="22">
        <v>0.01</v>
      </c>
      <c r="K176" s="22" t="str">
        <v>COD</v>
      </c>
      <c r="L176" s="22">
        <v>1087.6733999999999</v>
      </c>
    </row>
    <row r="177" spans="1:12" x14ac:dyDescent="0.3">
      <c r="A177" s="22" t="s">
        <v>1988</v>
      </c>
      <c r="B177" s="34" cm="1">
        <f t="array" ref="B177:C177">_xlfn.XLOOKUP(A177,Sales_Fact!A177:A2161,Sales_Fact!B177:C2161)</f>
        <v>45411</v>
      </c>
      <c r="C177" s="22" t="str">
        <v>CUST1382</v>
      </c>
      <c r="D177" s="22" t="str">
        <f>VLOOKUP('Combine Products &amp; Sales Facts'!C177,'Customer Details'!A:B,2,0)</f>
        <v>Martha Brown</v>
      </c>
      <c r="E177" s="22" t="str">
        <f>VLOOKUP(C177,Sales_Fact!C:D,2,0)</f>
        <v>PROD4</v>
      </c>
      <c r="F177" s="22" t="str">
        <f>VLOOKUP(E177,Product_Dim!A:C,3,0)</f>
        <v>Clothing</v>
      </c>
      <c r="G177" s="22" t="str" cm="1">
        <f t="array" ref="G177:L177">_xlfn.XLOOKUP(C177,Sales_Fact!C177:C2161,Sales_Fact!E177:J2161)</f>
        <v>STORE3</v>
      </c>
      <c r="H177" s="22">
        <v>3</v>
      </c>
      <c r="I177" s="22">
        <v>620.22</v>
      </c>
      <c r="J177" s="22">
        <v>0.04</v>
      </c>
      <c r="K177" s="22" t="str">
        <v>Credit Card</v>
      </c>
      <c r="L177" s="22">
        <v>1786.2336</v>
      </c>
    </row>
    <row r="178" spans="1:12" x14ac:dyDescent="0.3">
      <c r="A178" s="22" t="s">
        <v>1989</v>
      </c>
      <c r="B178" s="34" cm="1">
        <f t="array" ref="B178:C178">_xlfn.XLOOKUP(A178,Sales_Fact!A178:A2162,Sales_Fact!B178:C2162)</f>
        <v>45411</v>
      </c>
      <c r="C178" s="22" t="str">
        <v>CUST1091</v>
      </c>
      <c r="D178" s="22" t="str">
        <f>VLOOKUP('Combine Products &amp; Sales Facts'!C178,'Customer Details'!A:B,2,0)</f>
        <v>Donna Gregory</v>
      </c>
      <c r="E178" s="22" t="str">
        <f>VLOOKUP(C178,Sales_Fact!C:D,2,0)</f>
        <v>PROD46</v>
      </c>
      <c r="F178" s="22" t="str">
        <f>VLOOKUP(E178,Product_Dim!A:C,3,0)</f>
        <v>Clothing</v>
      </c>
      <c r="G178" s="22" t="str" cm="1">
        <f t="array" ref="G178:L178">_xlfn.XLOOKUP(C178,Sales_Fact!C178:C2162,Sales_Fact!E178:J2162)</f>
        <v>STORE3</v>
      </c>
      <c r="H178" s="22">
        <v>1</v>
      </c>
      <c r="I178" s="22">
        <v>580.76</v>
      </c>
      <c r="J178" s="22">
        <v>0.1</v>
      </c>
      <c r="K178" s="22" t="str">
        <v>COD</v>
      </c>
      <c r="L178" s="22">
        <v>522.68399999999997</v>
      </c>
    </row>
    <row r="179" spans="1:12" x14ac:dyDescent="0.3">
      <c r="A179" s="22" t="s">
        <v>1990</v>
      </c>
      <c r="B179" s="34" cm="1">
        <f t="array" ref="B179:C179">_xlfn.XLOOKUP(A179,Sales_Fact!A179:A2163,Sales_Fact!B179:C2163)</f>
        <v>45775</v>
      </c>
      <c r="C179" s="22" t="str">
        <v>CUST1334</v>
      </c>
      <c r="D179" s="22" t="str">
        <f>VLOOKUP('Combine Products &amp; Sales Facts'!C179,'Customer Details'!A:B,2,0)</f>
        <v>Mr. Christopher Sims</v>
      </c>
      <c r="E179" s="22" t="str">
        <f>VLOOKUP(C179,Sales_Fact!C:D,2,0)</f>
        <v>PROD71</v>
      </c>
      <c r="F179" s="22" t="str">
        <f>VLOOKUP(E179,Product_Dim!A:C,3,0)</f>
        <v>Beauty</v>
      </c>
      <c r="G179" s="22" t="str" cm="1">
        <f t="array" ref="G179:L179">_xlfn.XLOOKUP(C179,Sales_Fact!C179:C2163,Sales_Fact!E179:J2163)</f>
        <v>STORE9</v>
      </c>
      <c r="H179" s="22">
        <v>3</v>
      </c>
      <c r="I179" s="22">
        <v>444.55</v>
      </c>
      <c r="J179" s="22">
        <v>0.14000000000000001</v>
      </c>
      <c r="K179" s="22" t="str">
        <v>PayPal</v>
      </c>
      <c r="L179" s="22">
        <v>1146.9390000000001</v>
      </c>
    </row>
    <row r="180" spans="1:12" x14ac:dyDescent="0.3">
      <c r="A180" s="22" t="s">
        <v>1991</v>
      </c>
      <c r="B180" s="34" cm="1">
        <f t="array" ref="B180:C180">_xlfn.XLOOKUP(A180,Sales_Fact!A180:A2164,Sales_Fact!B180:C2164)</f>
        <v>45459</v>
      </c>
      <c r="C180" s="22" t="str">
        <v>CUST1138</v>
      </c>
      <c r="D180" s="22" t="str">
        <f>VLOOKUP('Combine Products &amp; Sales Facts'!C180,'Customer Details'!A:B,2,0)</f>
        <v>Sean Roth</v>
      </c>
      <c r="E180" s="22" t="str">
        <f>VLOOKUP(C180,Sales_Fact!C:D,2,0)</f>
        <v>PROD46</v>
      </c>
      <c r="F180" s="22" t="str">
        <f>VLOOKUP(E180,Product_Dim!A:C,3,0)</f>
        <v>Clothing</v>
      </c>
      <c r="G180" s="22" t="str" cm="1">
        <f t="array" ref="G180:L180">_xlfn.XLOOKUP(C180,Sales_Fact!C180:C2164,Sales_Fact!E180:J2164)</f>
        <v>STORE18</v>
      </c>
      <c r="H180" s="22">
        <v>1</v>
      </c>
      <c r="I180" s="22">
        <v>804.9</v>
      </c>
      <c r="J180" s="22">
        <v>0.03</v>
      </c>
      <c r="K180" s="22" t="str">
        <v>PayPal</v>
      </c>
      <c r="L180" s="22">
        <v>780.75299999999993</v>
      </c>
    </row>
    <row r="181" spans="1:12" x14ac:dyDescent="0.3">
      <c r="A181" s="22" t="s">
        <v>1992</v>
      </c>
      <c r="B181" s="34" cm="1">
        <f t="array" ref="B181:C181">_xlfn.XLOOKUP(A181,Sales_Fact!A181:A2165,Sales_Fact!B181:C2165)</f>
        <v>45617</v>
      </c>
      <c r="C181" s="22" t="str">
        <v>CUST1424</v>
      </c>
      <c r="D181" s="22" t="str">
        <f>VLOOKUP('Combine Products &amp; Sales Facts'!C181,'Customer Details'!A:B,2,0)</f>
        <v>Edwin Barnes</v>
      </c>
      <c r="E181" s="22" t="str">
        <f>VLOOKUP(C181,Sales_Fact!C:D,2,0)</f>
        <v>PROD92</v>
      </c>
      <c r="F181" s="22" t="str">
        <f>VLOOKUP(E181,Product_Dim!A:C,3,0)</f>
        <v>Home</v>
      </c>
      <c r="G181" s="22" t="str" cm="1">
        <f t="array" ref="G181:L181">_xlfn.XLOOKUP(C181,Sales_Fact!C181:C2165,Sales_Fact!E181:J2165)</f>
        <v>STORE14</v>
      </c>
      <c r="H181" s="22">
        <v>3</v>
      </c>
      <c r="I181" s="22">
        <v>361.65</v>
      </c>
      <c r="J181" s="22">
        <v>0.15</v>
      </c>
      <c r="K181" s="22" t="str">
        <v>COD</v>
      </c>
      <c r="L181" s="22">
        <v>922.20749999999987</v>
      </c>
    </row>
    <row r="182" spans="1:12" x14ac:dyDescent="0.3">
      <c r="A182" s="22" t="s">
        <v>1993</v>
      </c>
      <c r="B182" s="34" cm="1">
        <f t="array" ref="B182:C182">_xlfn.XLOOKUP(A182,Sales_Fact!A182:A2166,Sales_Fact!B182:C2166)</f>
        <v>45763</v>
      </c>
      <c r="C182" s="22" t="str">
        <v>CUST1162</v>
      </c>
      <c r="D182" s="22" t="str">
        <f>VLOOKUP('Combine Products &amp; Sales Facts'!C182,'Customer Details'!A:B,2,0)</f>
        <v>Mariah Brown</v>
      </c>
      <c r="E182" s="22" t="str">
        <f>VLOOKUP(C182,Sales_Fact!C:D,2,0)</f>
        <v>PROD99</v>
      </c>
      <c r="F182" s="22" t="str">
        <f>VLOOKUP(E182,Product_Dim!A:C,3,0)</f>
        <v>Home</v>
      </c>
      <c r="G182" s="22" t="str" cm="1">
        <f t="array" ref="G182:L182">_xlfn.XLOOKUP(C182,Sales_Fact!C182:C2166,Sales_Fact!E182:J2166)</f>
        <v>STORE4</v>
      </c>
      <c r="H182" s="22">
        <v>1</v>
      </c>
      <c r="I182" s="22">
        <v>271.76</v>
      </c>
      <c r="J182" s="22">
        <v>0.03</v>
      </c>
      <c r="K182" s="22" t="str">
        <v>Credit Card</v>
      </c>
      <c r="L182" s="22">
        <v>263.60719999999998</v>
      </c>
    </row>
    <row r="183" spans="1:12" x14ac:dyDescent="0.3">
      <c r="A183" s="22" t="s">
        <v>1994</v>
      </c>
      <c r="B183" s="34" cm="1">
        <f t="array" ref="B183:C183">_xlfn.XLOOKUP(A183,Sales_Fact!A183:A2167,Sales_Fact!B183:C2167)</f>
        <v>45618</v>
      </c>
      <c r="C183" s="22" t="str">
        <v>CUST1323</v>
      </c>
      <c r="D183" s="22" t="str">
        <f>VLOOKUP('Combine Products &amp; Sales Facts'!C183,'Customer Details'!A:B,2,0)</f>
        <v>Kristy Dunlap</v>
      </c>
      <c r="E183" s="22" t="str">
        <f>VLOOKUP(C183,Sales_Fact!C:D,2,0)</f>
        <v>PROD49</v>
      </c>
      <c r="F183" s="22" t="str">
        <f>VLOOKUP(E183,Product_Dim!A:C,3,0)</f>
        <v>Beauty</v>
      </c>
      <c r="G183" s="22" t="str" cm="1">
        <f t="array" ref="G183:L183">_xlfn.XLOOKUP(C183,Sales_Fact!C183:C2167,Sales_Fact!E183:J2167)</f>
        <v>STORE10</v>
      </c>
      <c r="H183" s="22">
        <v>3</v>
      </c>
      <c r="I183" s="22">
        <v>958.15</v>
      </c>
      <c r="J183" s="22">
        <v>0.24</v>
      </c>
      <c r="K183" s="22" t="str">
        <v>COD</v>
      </c>
      <c r="L183" s="22">
        <v>2184.5819999999999</v>
      </c>
    </row>
    <row r="184" spans="1:12" x14ac:dyDescent="0.3">
      <c r="A184" s="22" t="s">
        <v>1995</v>
      </c>
      <c r="B184" s="34" cm="1">
        <f t="array" ref="B184:C184">_xlfn.XLOOKUP(A184,Sales_Fact!A184:A2168,Sales_Fact!B184:C2168)</f>
        <v>45290</v>
      </c>
      <c r="C184" s="22" t="str">
        <v>CUST1427</v>
      </c>
      <c r="D184" s="22" t="str">
        <f>VLOOKUP('Combine Products &amp; Sales Facts'!C184,'Customer Details'!A:B,2,0)</f>
        <v>Jose Stewart</v>
      </c>
      <c r="E184" s="22" t="str">
        <f>VLOOKUP(C184,Sales_Fact!C:D,2,0)</f>
        <v>PROD53</v>
      </c>
      <c r="F184" s="22" t="str">
        <f>VLOOKUP(E184,Product_Dim!A:C,3,0)</f>
        <v>Clothing</v>
      </c>
      <c r="G184" s="22" t="str" cm="1">
        <f t="array" ref="G184:L184">_xlfn.XLOOKUP(C184,Sales_Fact!C184:C2168,Sales_Fact!E184:J2168)</f>
        <v>STORE17</v>
      </c>
      <c r="H184" s="22">
        <v>1</v>
      </c>
      <c r="I184" s="22">
        <v>889.19</v>
      </c>
      <c r="J184" s="22">
        <v>0.03</v>
      </c>
      <c r="K184" s="22" t="str">
        <v>Credit Card</v>
      </c>
      <c r="L184" s="22">
        <v>862.51430000000005</v>
      </c>
    </row>
    <row r="185" spans="1:12" x14ac:dyDescent="0.3">
      <c r="A185" s="22" t="s">
        <v>1996</v>
      </c>
      <c r="B185" s="34" cm="1">
        <f t="array" ref="B185:C185">_xlfn.XLOOKUP(A185,Sales_Fact!A185:A2169,Sales_Fact!B185:C2169)</f>
        <v>45904</v>
      </c>
      <c r="C185" s="22" t="str">
        <v>CUST1464</v>
      </c>
      <c r="D185" s="22" t="str">
        <f>VLOOKUP('Combine Products &amp; Sales Facts'!C185,'Customer Details'!A:B,2,0)</f>
        <v>David Pierce</v>
      </c>
      <c r="E185" s="22" t="str">
        <f>VLOOKUP(C185,Sales_Fact!C:D,2,0)</f>
        <v>PROD33</v>
      </c>
      <c r="F185" s="22" t="str">
        <f>VLOOKUP(E185,Product_Dim!A:C,3,0)</f>
        <v>Home</v>
      </c>
      <c r="G185" s="22" t="str" cm="1">
        <f t="array" ref="G185:L185">_xlfn.XLOOKUP(C185,Sales_Fact!C185:C2169,Sales_Fact!E185:J2169)</f>
        <v>STORE16</v>
      </c>
      <c r="H185" s="22">
        <v>4</v>
      </c>
      <c r="I185" s="22">
        <v>689.67</v>
      </c>
      <c r="J185" s="22">
        <v>0.05</v>
      </c>
      <c r="K185" s="22" t="str">
        <v>COD</v>
      </c>
      <c r="L185" s="22">
        <v>2620.7460000000001</v>
      </c>
    </row>
    <row r="186" spans="1:12" x14ac:dyDescent="0.3">
      <c r="A186" s="22" t="s">
        <v>1997</v>
      </c>
      <c r="B186" s="34" cm="1">
        <f t="array" ref="B186:C186">_xlfn.XLOOKUP(A186,Sales_Fact!A186:A2170,Sales_Fact!B186:C2170)</f>
        <v>45227</v>
      </c>
      <c r="C186" s="22" t="str">
        <v>CUST1135</v>
      </c>
      <c r="D186" s="22" t="str">
        <f>VLOOKUP('Combine Products &amp; Sales Facts'!C186,'Customer Details'!A:B,2,0)</f>
        <v>Matthew Hanna</v>
      </c>
      <c r="E186" s="22" t="str">
        <f>VLOOKUP(C186,Sales_Fact!C:D,2,0)</f>
        <v>PROD44</v>
      </c>
      <c r="F186" s="22" t="str">
        <f>VLOOKUP(E186,Product_Dim!A:C,3,0)</f>
        <v>Sports</v>
      </c>
      <c r="G186" s="22" t="str" cm="1">
        <f t="array" ref="G186:L186">_xlfn.XLOOKUP(C186,Sales_Fact!C186:C2170,Sales_Fact!E186:J2170)</f>
        <v>STORE11</v>
      </c>
      <c r="H186" s="22">
        <v>1</v>
      </c>
      <c r="I186" s="22">
        <v>541.24</v>
      </c>
      <c r="J186" s="22">
        <v>0.03</v>
      </c>
      <c r="K186" s="22" t="str">
        <v>PayPal</v>
      </c>
      <c r="L186" s="22">
        <v>525.00279999999998</v>
      </c>
    </row>
    <row r="187" spans="1:12" x14ac:dyDescent="0.3">
      <c r="A187" s="22" t="s">
        <v>1998</v>
      </c>
      <c r="B187" s="34" cm="1">
        <f t="array" ref="B187:C187">_xlfn.XLOOKUP(A187,Sales_Fact!A187:A2171,Sales_Fact!B187:C2171)</f>
        <v>45600</v>
      </c>
      <c r="C187" s="22" t="str">
        <v>CUST1448</v>
      </c>
      <c r="D187" s="22" t="str">
        <f>VLOOKUP('Combine Products &amp; Sales Facts'!C187,'Customer Details'!A:B,2,0)</f>
        <v>Eric Holmes</v>
      </c>
      <c r="E187" s="22" t="str">
        <f>VLOOKUP(C187,Sales_Fact!C:D,2,0)</f>
        <v>PROD81</v>
      </c>
      <c r="F187" s="22" t="str">
        <f>VLOOKUP(E187,Product_Dim!A:C,3,0)</f>
        <v>Sports</v>
      </c>
      <c r="G187" s="22" t="str" cm="1">
        <f t="array" ref="G187:L187">_xlfn.XLOOKUP(C187,Sales_Fact!C187:C2171,Sales_Fact!E187:J2171)</f>
        <v>STORE6</v>
      </c>
      <c r="H187" s="22">
        <v>1</v>
      </c>
      <c r="I187" s="22">
        <v>454.71</v>
      </c>
      <c r="J187" s="22">
        <v>0.16</v>
      </c>
      <c r="K187" s="22" t="str">
        <v>PayPal</v>
      </c>
      <c r="L187" s="22">
        <v>381.95639999999997</v>
      </c>
    </row>
    <row r="188" spans="1:12" x14ac:dyDescent="0.3">
      <c r="A188" s="22" t="s">
        <v>1999</v>
      </c>
      <c r="B188" s="34" cm="1">
        <f t="array" ref="B188:C188">_xlfn.XLOOKUP(A188,Sales_Fact!A188:A2172,Sales_Fact!B188:C2172)</f>
        <v>45646</v>
      </c>
      <c r="C188" s="22" t="str">
        <v>CUST1038</v>
      </c>
      <c r="D188" s="22" t="str">
        <f>VLOOKUP('Combine Products &amp; Sales Facts'!C188,'Customer Details'!A:B,2,0)</f>
        <v>Deanna Simpson</v>
      </c>
      <c r="E188" s="22" t="str">
        <f>VLOOKUP(C188,Sales_Fact!C:D,2,0)</f>
        <v>PROD66</v>
      </c>
      <c r="F188" s="22" t="str">
        <f>VLOOKUP(E188,Product_Dim!A:C,3,0)</f>
        <v>Beauty</v>
      </c>
      <c r="G188" s="22" t="str" cm="1">
        <f t="array" ref="G188:L188">_xlfn.XLOOKUP(C188,Sales_Fact!C188:C2172,Sales_Fact!E188:J2172)</f>
        <v>STORE5</v>
      </c>
      <c r="H188" s="22">
        <v>2</v>
      </c>
      <c r="I188" s="22">
        <v>397.63</v>
      </c>
      <c r="J188" s="22">
        <v>0.26</v>
      </c>
      <c r="K188" s="22" t="str">
        <v>Credit Card</v>
      </c>
      <c r="L188" s="22">
        <v>588.49239999999998</v>
      </c>
    </row>
    <row r="189" spans="1:12" x14ac:dyDescent="0.3">
      <c r="A189" s="22" t="s">
        <v>2000</v>
      </c>
      <c r="B189" s="34" cm="1">
        <f t="array" ref="B189:C189">_xlfn.XLOOKUP(A189,Sales_Fact!A189:A2173,Sales_Fact!B189:C2173)</f>
        <v>45725</v>
      </c>
      <c r="C189" s="22" t="str">
        <v>CUST1170</v>
      </c>
      <c r="D189" s="22" t="str">
        <f>VLOOKUP('Combine Products &amp; Sales Facts'!C189,'Customer Details'!A:B,2,0)</f>
        <v>Christopher Garcia Dds</v>
      </c>
      <c r="E189" s="22" t="str">
        <f>VLOOKUP(C189,Sales_Fact!C:D,2,0)</f>
        <v>PROD83</v>
      </c>
      <c r="F189" s="22" t="str">
        <f>VLOOKUP(E189,Product_Dim!A:C,3,0)</f>
        <v>Beauty</v>
      </c>
      <c r="G189" s="22" t="str" cm="1">
        <f t="array" ref="G189:L189">_xlfn.XLOOKUP(C189,Sales_Fact!C189:C2173,Sales_Fact!E189:J2173)</f>
        <v>STORE6</v>
      </c>
      <c r="H189" s="22">
        <v>3</v>
      </c>
      <c r="I189" s="22">
        <v>748.56</v>
      </c>
      <c r="J189" s="22">
        <v>0.26</v>
      </c>
      <c r="K189" s="22" t="str">
        <v>PayPal</v>
      </c>
      <c r="L189" s="22">
        <v>1661.8032000000001</v>
      </c>
    </row>
    <row r="190" spans="1:12" x14ac:dyDescent="0.3">
      <c r="A190" s="22" t="s">
        <v>2001</v>
      </c>
      <c r="B190" s="34" cm="1">
        <f t="array" ref="B190:C190">_xlfn.XLOOKUP(A190,Sales_Fact!A190:A2174,Sales_Fact!B190:C2174)</f>
        <v>45742</v>
      </c>
      <c r="C190" s="22" t="str">
        <v>CUST1144</v>
      </c>
      <c r="D190" s="22" t="str">
        <f>VLOOKUP('Combine Products &amp; Sales Facts'!C190,'Customer Details'!A:B,2,0)</f>
        <v>Justin Cross</v>
      </c>
      <c r="E190" s="22" t="str">
        <f>VLOOKUP(C190,Sales_Fact!C:D,2,0)</f>
        <v>PROD72</v>
      </c>
      <c r="F190" s="22" t="str">
        <f>VLOOKUP(E190,Product_Dim!A:C,3,0)</f>
        <v>Sports</v>
      </c>
      <c r="G190" s="22" t="str" cm="1">
        <f t="array" ref="G190:L190">_xlfn.XLOOKUP(C190,Sales_Fact!C190:C2174,Sales_Fact!E190:J2174)</f>
        <v>STORE4</v>
      </c>
      <c r="H190" s="22">
        <v>1</v>
      </c>
      <c r="I190" s="22">
        <v>885.72</v>
      </c>
      <c r="J190" s="22">
        <v>0.15</v>
      </c>
      <c r="K190" s="22" t="str">
        <v>Credit Card</v>
      </c>
      <c r="L190" s="22">
        <v>752.86199999999997</v>
      </c>
    </row>
    <row r="191" spans="1:12" x14ac:dyDescent="0.3">
      <c r="A191" s="22" t="s">
        <v>2002</v>
      </c>
      <c r="B191" s="34" cm="1">
        <f t="array" ref="B191:C191">_xlfn.XLOOKUP(A191,Sales_Fact!A191:A2175,Sales_Fact!B191:C2175)</f>
        <v>45750</v>
      </c>
      <c r="C191" s="22" t="str">
        <v>CUST1108</v>
      </c>
      <c r="D191" s="22" t="str">
        <f>VLOOKUP('Combine Products &amp; Sales Facts'!C191,'Customer Details'!A:B,2,0)</f>
        <v>Travis Holland</v>
      </c>
      <c r="E191" s="22" t="str">
        <f>VLOOKUP(C191,Sales_Fact!C:D,2,0)</f>
        <v>PROD30</v>
      </c>
      <c r="F191" s="22" t="str">
        <f>VLOOKUP(E191,Product_Dim!A:C,3,0)</f>
        <v>Home</v>
      </c>
      <c r="G191" s="22" t="str" cm="1">
        <f t="array" ref="G191:L191">_xlfn.XLOOKUP(C191,Sales_Fact!C191:C2175,Sales_Fact!E191:J2175)</f>
        <v>STORE1</v>
      </c>
      <c r="H191" s="22">
        <v>4</v>
      </c>
      <c r="I191" s="22">
        <v>408.07</v>
      </c>
      <c r="J191" s="22">
        <v>0.28000000000000003</v>
      </c>
      <c r="K191" s="22" t="str">
        <v>COD</v>
      </c>
      <c r="L191" s="22">
        <v>1175.2416000000001</v>
      </c>
    </row>
    <row r="192" spans="1:12" x14ac:dyDescent="0.3">
      <c r="A192" s="22" t="s">
        <v>2003</v>
      </c>
      <c r="B192" s="34" cm="1">
        <f t="array" ref="B192:C192">_xlfn.XLOOKUP(A192,Sales_Fact!A192:A2176,Sales_Fact!B192:C2176)</f>
        <v>45327</v>
      </c>
      <c r="C192" s="22" t="str">
        <v>CUST1472</v>
      </c>
      <c r="D192" s="22" t="str">
        <f>VLOOKUP('Combine Products &amp; Sales Facts'!C192,'Customer Details'!A:B,2,0)</f>
        <v>Philip Mendoza</v>
      </c>
      <c r="E192" s="22" t="str">
        <f>VLOOKUP(C192,Sales_Fact!C:D,2,0)</f>
        <v>PROD34</v>
      </c>
      <c r="F192" s="22" t="str">
        <f>VLOOKUP(E192,Product_Dim!A:C,3,0)</f>
        <v>Electronics</v>
      </c>
      <c r="G192" s="22" t="str" cm="1">
        <f t="array" ref="G192:L192">_xlfn.XLOOKUP(C192,Sales_Fact!C192:C2176,Sales_Fact!E192:J2176)</f>
        <v>STORE9</v>
      </c>
      <c r="H192" s="22">
        <v>2</v>
      </c>
      <c r="I192" s="22">
        <v>597.07000000000005</v>
      </c>
      <c r="J192" s="22">
        <v>0.28000000000000003</v>
      </c>
      <c r="K192" s="22" t="str">
        <v>PayPal</v>
      </c>
      <c r="L192" s="22">
        <v>859.7808</v>
      </c>
    </row>
    <row r="193" spans="1:12" x14ac:dyDescent="0.3">
      <c r="A193" s="22" t="s">
        <v>2004</v>
      </c>
      <c r="B193" s="34" cm="1">
        <f t="array" ref="B193:C193">_xlfn.XLOOKUP(A193,Sales_Fact!A193:A2177,Sales_Fact!B193:C2177)</f>
        <v>45465</v>
      </c>
      <c r="C193" s="22" t="str">
        <v>CUST1022</v>
      </c>
      <c r="D193" s="22" t="str">
        <f>VLOOKUP('Combine Products &amp; Sales Facts'!C193,'Customer Details'!A:B,2,0)</f>
        <v>Paul Fox</v>
      </c>
      <c r="E193" s="22" t="str">
        <f>VLOOKUP(C193,Sales_Fact!C:D,2,0)</f>
        <v>PROD13</v>
      </c>
      <c r="F193" s="22" t="str">
        <f>VLOOKUP(E193,Product_Dim!A:C,3,0)</f>
        <v>Electronics</v>
      </c>
      <c r="G193" s="22" t="str" cm="1">
        <f t="array" ref="G193:L193">_xlfn.XLOOKUP(C193,Sales_Fact!C193:C2177,Sales_Fact!E193:J2177)</f>
        <v>STORE9</v>
      </c>
      <c r="H193" s="22">
        <v>3</v>
      </c>
      <c r="I193" s="22">
        <v>723.47</v>
      </c>
      <c r="J193" s="22">
        <v>0.12</v>
      </c>
      <c r="K193" s="22" t="str">
        <v>COD</v>
      </c>
      <c r="L193" s="22">
        <v>1909.9608000000001</v>
      </c>
    </row>
    <row r="194" spans="1:12" x14ac:dyDescent="0.3">
      <c r="A194" s="22" t="s">
        <v>2005</v>
      </c>
      <c r="B194" s="34" cm="1">
        <f t="array" ref="B194:C194">_xlfn.XLOOKUP(A194,Sales_Fact!A194:A2178,Sales_Fact!B194:C2178)</f>
        <v>45883</v>
      </c>
      <c r="C194" s="22" t="str">
        <v>CUST1437</v>
      </c>
      <c r="D194" s="22" t="str">
        <f>VLOOKUP('Combine Products &amp; Sales Facts'!C194,'Customer Details'!A:B,2,0)</f>
        <v>Melinda Rivera</v>
      </c>
      <c r="E194" s="22" t="str">
        <f>VLOOKUP(C194,Sales_Fact!C:D,2,0)</f>
        <v>PROD88</v>
      </c>
      <c r="F194" s="22" t="str">
        <f>VLOOKUP(E194,Product_Dim!A:C,3,0)</f>
        <v>Sports</v>
      </c>
      <c r="G194" s="22" t="str" cm="1">
        <f t="array" ref="G194:L194">_xlfn.XLOOKUP(C194,Sales_Fact!C194:C2178,Sales_Fact!E194:J2178)</f>
        <v>STORE5</v>
      </c>
      <c r="H194" s="22">
        <v>1</v>
      </c>
      <c r="I194" s="22">
        <v>479.93</v>
      </c>
      <c r="J194" s="22">
        <v>0.22</v>
      </c>
      <c r="K194" s="22" t="str">
        <v>Credit Card</v>
      </c>
      <c r="L194" s="22">
        <v>374.34539999999998</v>
      </c>
    </row>
    <row r="195" spans="1:12" x14ac:dyDescent="0.3">
      <c r="A195" s="22" t="s">
        <v>2006</v>
      </c>
      <c r="B195" s="34" cm="1">
        <f t="array" ref="B195:C195">_xlfn.XLOOKUP(A195,Sales_Fact!A195:A2179,Sales_Fact!B195:C2179)</f>
        <v>45445</v>
      </c>
      <c r="C195" s="22" t="str">
        <v>CUST1243</v>
      </c>
      <c r="D195" s="22" t="str">
        <f>VLOOKUP('Combine Products &amp; Sales Facts'!C195,'Customer Details'!A:B,2,0)</f>
        <v>Brian Hammond</v>
      </c>
      <c r="E195" s="22" t="str">
        <f>VLOOKUP(C195,Sales_Fact!C:D,2,0)</f>
        <v>PROD69</v>
      </c>
      <c r="F195" s="22" t="str">
        <f>VLOOKUP(E195,Product_Dim!A:C,3,0)</f>
        <v>Clothing</v>
      </c>
      <c r="G195" s="22" t="str" cm="1">
        <f t="array" ref="G195:L195">_xlfn.XLOOKUP(C195,Sales_Fact!C195:C2179,Sales_Fact!E195:J2179)</f>
        <v>STORE16</v>
      </c>
      <c r="H195" s="22">
        <v>4</v>
      </c>
      <c r="I195" s="22">
        <v>362.81</v>
      </c>
      <c r="J195" s="22">
        <v>0.21</v>
      </c>
      <c r="K195" s="22" t="str">
        <v>COD</v>
      </c>
      <c r="L195" s="22">
        <v>1146.4795999999999</v>
      </c>
    </row>
    <row r="196" spans="1:12" x14ac:dyDescent="0.3">
      <c r="A196" s="22" t="s">
        <v>2007</v>
      </c>
      <c r="B196" s="34" cm="1">
        <f t="array" ref="B196:C196">_xlfn.XLOOKUP(A196,Sales_Fact!A196:A2180,Sales_Fact!B196:C2180)</f>
        <v>45640</v>
      </c>
      <c r="C196" s="22" t="str">
        <v>CUST1185</v>
      </c>
      <c r="D196" s="22" t="str">
        <f>VLOOKUP('Combine Products &amp; Sales Facts'!C196,'Customer Details'!A:B,2,0)</f>
        <v>Brent Rivas</v>
      </c>
      <c r="E196" s="22" t="str">
        <f>VLOOKUP(C196,Sales_Fact!C:D,2,0)</f>
        <v>PROD79</v>
      </c>
      <c r="F196" s="22" t="str">
        <f>VLOOKUP(E196,Product_Dim!A:C,3,0)</f>
        <v>Home</v>
      </c>
      <c r="G196" s="22" t="str" cm="1">
        <f t="array" ref="G196:L196">_xlfn.XLOOKUP(C196,Sales_Fact!C196:C2180,Sales_Fact!E196:J2180)</f>
        <v>STORE3</v>
      </c>
      <c r="H196" s="22">
        <v>1</v>
      </c>
      <c r="I196" s="22">
        <v>127.11</v>
      </c>
      <c r="J196" s="22">
        <v>0.01</v>
      </c>
      <c r="K196" s="22" t="str">
        <v>PayPal</v>
      </c>
      <c r="L196" s="22">
        <v>125.8389</v>
      </c>
    </row>
    <row r="197" spans="1:12" x14ac:dyDescent="0.3">
      <c r="A197" s="22" t="s">
        <v>2008</v>
      </c>
      <c r="B197" s="34" cm="1">
        <f t="array" ref="B197:C197">_xlfn.XLOOKUP(A197,Sales_Fact!A197:A2181,Sales_Fact!B197:C2181)</f>
        <v>45411</v>
      </c>
      <c r="C197" s="22" t="str">
        <v>CUST1184</v>
      </c>
      <c r="D197" s="22" t="str">
        <f>VLOOKUP('Combine Products &amp; Sales Facts'!C197,'Customer Details'!A:B,2,0)</f>
        <v>Leonard Cochran</v>
      </c>
      <c r="E197" s="22" t="str">
        <f>VLOOKUP(C197,Sales_Fact!C:D,2,0)</f>
        <v>PROD34</v>
      </c>
      <c r="F197" s="22" t="str">
        <f>VLOOKUP(E197,Product_Dim!A:C,3,0)</f>
        <v>Electronics</v>
      </c>
      <c r="G197" s="22" t="str" cm="1">
        <f t="array" ref="G197:L197">_xlfn.XLOOKUP(C197,Sales_Fact!C197:C2181,Sales_Fact!E197:J2181)</f>
        <v>STORE17</v>
      </c>
      <c r="H197" s="22">
        <v>4</v>
      </c>
      <c r="I197" s="22">
        <v>931.26</v>
      </c>
      <c r="J197" s="22">
        <v>0.04</v>
      </c>
      <c r="K197" s="22" t="str">
        <v>Credit Card</v>
      </c>
      <c r="L197" s="22">
        <v>3576.0383999999999</v>
      </c>
    </row>
    <row r="198" spans="1:12" x14ac:dyDescent="0.3">
      <c r="A198" s="22" t="s">
        <v>2009</v>
      </c>
      <c r="B198" s="34" cm="1">
        <f t="array" ref="B198:C198">_xlfn.XLOOKUP(A198,Sales_Fact!A198:A2182,Sales_Fact!B198:C2182)</f>
        <v>45224</v>
      </c>
      <c r="C198" s="22" t="str">
        <v>CUST1371</v>
      </c>
      <c r="D198" s="22" t="str">
        <f>VLOOKUP('Combine Products &amp; Sales Facts'!C198,'Customer Details'!A:B,2,0)</f>
        <v>Michael Garner</v>
      </c>
      <c r="E198" s="22" t="str">
        <f>VLOOKUP(C198,Sales_Fact!C:D,2,0)</f>
        <v>PROD67</v>
      </c>
      <c r="F198" s="22" t="str">
        <f>VLOOKUP(E198,Product_Dim!A:C,3,0)</f>
        <v>Electronics</v>
      </c>
      <c r="G198" s="22" t="str" cm="1">
        <f t="array" ref="G198:L198">_xlfn.XLOOKUP(C198,Sales_Fact!C198:C2182,Sales_Fact!E198:J2182)</f>
        <v>STORE8</v>
      </c>
      <c r="H198" s="22">
        <v>1</v>
      </c>
      <c r="I198" s="22">
        <v>620.80999999999995</v>
      </c>
      <c r="J198" s="22">
        <v>0.04</v>
      </c>
      <c r="K198" s="22" t="str">
        <v>PayPal</v>
      </c>
      <c r="L198" s="22">
        <v>595.97759999999994</v>
      </c>
    </row>
    <row r="199" spans="1:12" x14ac:dyDescent="0.3">
      <c r="A199" s="22" t="s">
        <v>2010</v>
      </c>
      <c r="B199" s="34" cm="1">
        <f t="array" ref="B199:C199">_xlfn.XLOOKUP(A199,Sales_Fact!A199:A2183,Sales_Fact!B199:C2183)</f>
        <v>45497</v>
      </c>
      <c r="C199" s="22" t="str">
        <v>CUST1094</v>
      </c>
      <c r="D199" s="22" t="str">
        <f>VLOOKUP('Combine Products &amp; Sales Facts'!C199,'Customer Details'!A:B,2,0)</f>
        <v>David Patterson</v>
      </c>
      <c r="E199" s="22" t="str">
        <f>VLOOKUP(C199,Sales_Fact!C:D,2,0)</f>
        <v>PROD39</v>
      </c>
      <c r="F199" s="22" t="str">
        <f>VLOOKUP(E199,Product_Dim!A:C,3,0)</f>
        <v>Electronics</v>
      </c>
      <c r="G199" s="22" t="str" cm="1">
        <f t="array" ref="G199:L199">_xlfn.XLOOKUP(C199,Sales_Fact!C199:C2183,Sales_Fact!E199:J2183)</f>
        <v>STORE2</v>
      </c>
      <c r="H199" s="22">
        <v>1</v>
      </c>
      <c r="I199" s="22">
        <v>823.26</v>
      </c>
      <c r="J199" s="22">
        <v>0.27</v>
      </c>
      <c r="K199" s="22" t="str">
        <v>COD</v>
      </c>
      <c r="L199" s="22">
        <v>600.97979999999995</v>
      </c>
    </row>
    <row r="200" spans="1:12" x14ac:dyDescent="0.3">
      <c r="A200" s="22" t="s">
        <v>2011</v>
      </c>
      <c r="B200" s="34" cm="1">
        <f t="array" ref="B200:C200">_xlfn.XLOOKUP(A200,Sales_Fact!A200:A2184,Sales_Fact!B200:C2184)</f>
        <v>45807</v>
      </c>
      <c r="C200" s="22" t="str">
        <v>CUST1012</v>
      </c>
      <c r="D200" s="22" t="str">
        <f>VLOOKUP('Combine Products &amp; Sales Facts'!C200,'Customer Details'!A:B,2,0)</f>
        <v>Kenneth Lambert</v>
      </c>
      <c r="E200" s="22" t="str">
        <f>VLOOKUP(C200,Sales_Fact!C:D,2,0)</f>
        <v>PROD27</v>
      </c>
      <c r="F200" s="22" t="str">
        <f>VLOOKUP(E200,Product_Dim!A:C,3,0)</f>
        <v>Home</v>
      </c>
      <c r="G200" s="22" t="str" cm="1">
        <f t="array" ref="G200:L200">_xlfn.XLOOKUP(C200,Sales_Fact!C200:C2184,Sales_Fact!E200:J2184)</f>
        <v>STORE8</v>
      </c>
      <c r="H200" s="22">
        <v>3</v>
      </c>
      <c r="I200" s="22">
        <v>681.01</v>
      </c>
      <c r="J200" s="22">
        <v>0.27</v>
      </c>
      <c r="K200" s="22" t="str">
        <v>COD</v>
      </c>
      <c r="L200" s="22">
        <v>1491.4119000000001</v>
      </c>
    </row>
    <row r="201" spans="1:12" x14ac:dyDescent="0.3">
      <c r="A201" s="22" t="s">
        <v>2012</v>
      </c>
      <c r="B201" s="34" cm="1">
        <f t="array" ref="B201:C201">_xlfn.XLOOKUP(A201,Sales_Fact!A201:A2185,Sales_Fact!B201:C2185)</f>
        <v>45942</v>
      </c>
      <c r="C201" s="22" t="str">
        <v>CUST1442</v>
      </c>
      <c r="D201" s="22" t="str">
        <f>VLOOKUP('Combine Products &amp; Sales Facts'!C201,'Customer Details'!A:B,2,0)</f>
        <v>Kelli Smith</v>
      </c>
      <c r="E201" s="22" t="str">
        <f>VLOOKUP(C201,Sales_Fact!C:D,2,0)</f>
        <v>PROD56</v>
      </c>
      <c r="F201" s="22" t="str">
        <f>VLOOKUP(E201,Product_Dim!A:C,3,0)</f>
        <v>Home</v>
      </c>
      <c r="G201" s="22" t="str" cm="1">
        <f t="array" ref="G201:L201">_xlfn.XLOOKUP(C201,Sales_Fact!C201:C2185,Sales_Fact!E201:J2185)</f>
        <v>STORE19</v>
      </c>
      <c r="H201" s="22">
        <v>4</v>
      </c>
      <c r="I201" s="22">
        <v>119.83</v>
      </c>
      <c r="J201" s="22">
        <v>0.13</v>
      </c>
      <c r="K201" s="22" t="str">
        <v>Credit Card</v>
      </c>
      <c r="L201" s="22">
        <v>417.00839999999999</v>
      </c>
    </row>
    <row r="202" spans="1:12" x14ac:dyDescent="0.3">
      <c r="A202" s="22" t="s">
        <v>2013</v>
      </c>
      <c r="B202" s="34" cm="1">
        <f t="array" ref="B202:C202">_xlfn.XLOOKUP(A202,Sales_Fact!A202:A2186,Sales_Fact!B202:C2186)</f>
        <v>45314</v>
      </c>
      <c r="C202" s="22" t="str">
        <v>CUST1307</v>
      </c>
      <c r="D202" s="22" t="str">
        <f>VLOOKUP('Combine Products &amp; Sales Facts'!C202,'Customer Details'!A:B,2,0)</f>
        <v>Brandy Thompson</v>
      </c>
      <c r="E202" s="22" t="str">
        <f>VLOOKUP(C202,Sales_Fact!C:D,2,0)</f>
        <v>PROD93</v>
      </c>
      <c r="F202" s="22" t="str">
        <f>VLOOKUP(E202,Product_Dim!A:C,3,0)</f>
        <v>Electronics</v>
      </c>
      <c r="G202" s="22" t="str" cm="1">
        <f t="array" ref="G202:L202">_xlfn.XLOOKUP(C202,Sales_Fact!C202:C2186,Sales_Fact!E202:J2186)</f>
        <v>STORE2</v>
      </c>
      <c r="H202" s="22">
        <v>1</v>
      </c>
      <c r="I202" s="22">
        <v>575.66</v>
      </c>
      <c r="J202" s="22">
        <v>0.03</v>
      </c>
      <c r="K202" s="22" t="str">
        <v>PayPal</v>
      </c>
      <c r="L202" s="22">
        <v>558.39019999999994</v>
      </c>
    </row>
    <row r="203" spans="1:12" x14ac:dyDescent="0.3">
      <c r="A203" s="22" t="s">
        <v>2014</v>
      </c>
      <c r="B203" s="34" cm="1">
        <f t="array" ref="B203:C203">_xlfn.XLOOKUP(A203,Sales_Fact!A203:A2187,Sales_Fact!B203:C2187)</f>
        <v>45943</v>
      </c>
      <c r="C203" s="22" t="str">
        <v>CUST1199</v>
      </c>
      <c r="D203" s="22" t="str">
        <f>VLOOKUP('Combine Products &amp; Sales Facts'!C203,'Customer Details'!A:B,2,0)</f>
        <v>Carmen Price</v>
      </c>
      <c r="E203" s="22" t="str">
        <f>VLOOKUP(C203,Sales_Fact!C:D,2,0)</f>
        <v>PROD48</v>
      </c>
      <c r="F203" s="22" t="str">
        <f>VLOOKUP(E203,Product_Dim!A:C,3,0)</f>
        <v>Electronics</v>
      </c>
      <c r="G203" s="22" t="str" cm="1">
        <f t="array" ref="G203:L203">_xlfn.XLOOKUP(C203,Sales_Fact!C203:C2187,Sales_Fact!E203:J2187)</f>
        <v>STORE16</v>
      </c>
      <c r="H203" s="22">
        <v>1</v>
      </c>
      <c r="I203" s="22">
        <v>775.84</v>
      </c>
      <c r="J203" s="22">
        <v>0.26</v>
      </c>
      <c r="K203" s="22" t="str">
        <v>Credit Card</v>
      </c>
      <c r="L203" s="22">
        <v>574.12160000000006</v>
      </c>
    </row>
    <row r="204" spans="1:12" x14ac:dyDescent="0.3">
      <c r="A204" s="22" t="s">
        <v>2015</v>
      </c>
      <c r="B204" s="34" cm="1">
        <f t="array" ref="B204:C204">_xlfn.XLOOKUP(A204,Sales_Fact!A204:A2188,Sales_Fact!B204:C2188)</f>
        <v>45356</v>
      </c>
      <c r="C204" s="22" t="str">
        <v>CUST1443</v>
      </c>
      <c r="D204" s="22" t="str">
        <f>VLOOKUP('Combine Products &amp; Sales Facts'!C204,'Customer Details'!A:B,2,0)</f>
        <v>Adam Castro</v>
      </c>
      <c r="E204" s="22" t="str">
        <f>VLOOKUP(C204,Sales_Fact!C:D,2,0)</f>
        <v>PROD34</v>
      </c>
      <c r="F204" s="22" t="str">
        <f>VLOOKUP(E204,Product_Dim!A:C,3,0)</f>
        <v>Electronics</v>
      </c>
      <c r="G204" s="22" t="str" cm="1">
        <f t="array" ref="G204:L204">_xlfn.XLOOKUP(C204,Sales_Fact!C204:C2188,Sales_Fact!E204:J2188)</f>
        <v>STORE9</v>
      </c>
      <c r="H204" s="22">
        <v>3</v>
      </c>
      <c r="I204" s="22">
        <v>318.43</v>
      </c>
      <c r="J204" s="22">
        <v>0.05</v>
      </c>
      <c r="K204" s="22" t="str">
        <v>Credit Card</v>
      </c>
      <c r="L204" s="22">
        <v>907.52549999999997</v>
      </c>
    </row>
    <row r="205" spans="1:12" x14ac:dyDescent="0.3">
      <c r="A205" s="22" t="s">
        <v>2016</v>
      </c>
      <c r="B205" s="34" cm="1">
        <f t="array" ref="B205:C205">_xlfn.XLOOKUP(A205,Sales_Fact!A205:A2189,Sales_Fact!B205:C2189)</f>
        <v>45854</v>
      </c>
      <c r="C205" s="22" t="str">
        <v>CUST1153</v>
      </c>
      <c r="D205" s="22" t="str">
        <f>VLOOKUP('Combine Products &amp; Sales Facts'!C205,'Customer Details'!A:B,2,0)</f>
        <v>Joseph Faulkner</v>
      </c>
      <c r="E205" s="22" t="str">
        <f>VLOOKUP(C205,Sales_Fact!C:D,2,0)</f>
        <v>PROD72</v>
      </c>
      <c r="F205" s="22" t="str">
        <f>VLOOKUP(E205,Product_Dim!A:C,3,0)</f>
        <v>Sports</v>
      </c>
      <c r="G205" s="22" t="str" cm="1">
        <f t="array" ref="G205:L205">_xlfn.XLOOKUP(C205,Sales_Fact!C205:C2189,Sales_Fact!E205:J2189)</f>
        <v>STORE8</v>
      </c>
      <c r="H205" s="22">
        <v>3</v>
      </c>
      <c r="I205" s="22">
        <v>141.6</v>
      </c>
      <c r="J205" s="22">
        <v>0.08</v>
      </c>
      <c r="K205" s="22" t="str">
        <v>COD</v>
      </c>
      <c r="L205" s="22">
        <v>390.81599999999997</v>
      </c>
    </row>
    <row r="206" spans="1:12" x14ac:dyDescent="0.3">
      <c r="A206" s="22" t="s">
        <v>2017</v>
      </c>
      <c r="B206" s="34" cm="1">
        <f t="array" ref="B206:C206">_xlfn.XLOOKUP(A206,Sales_Fact!A206:A2190,Sales_Fact!B206:C2190)</f>
        <v>45219</v>
      </c>
      <c r="C206" s="22" t="str">
        <v>CUST1266</v>
      </c>
      <c r="D206" s="22" t="str">
        <f>VLOOKUP('Combine Products &amp; Sales Facts'!C206,'Customer Details'!A:B,2,0)</f>
        <v>Cynthia Payne</v>
      </c>
      <c r="E206" s="22" t="str">
        <f>VLOOKUP(C206,Sales_Fact!C:D,2,0)</f>
        <v>PROD15</v>
      </c>
      <c r="F206" s="22" t="str">
        <f>VLOOKUP(E206,Product_Dim!A:C,3,0)</f>
        <v>Electronics</v>
      </c>
      <c r="G206" s="22" t="str" cm="1">
        <f t="array" ref="G206:L206">_xlfn.XLOOKUP(C206,Sales_Fact!C206:C2190,Sales_Fact!E206:J2190)</f>
        <v>STORE19</v>
      </c>
      <c r="H206" s="22">
        <v>1</v>
      </c>
      <c r="I206" s="22">
        <v>332.82</v>
      </c>
      <c r="J206" s="22">
        <v>0.14000000000000001</v>
      </c>
      <c r="K206" s="22" t="str">
        <v>PayPal</v>
      </c>
      <c r="L206" s="22">
        <v>286.22519999999997</v>
      </c>
    </row>
    <row r="207" spans="1:12" x14ac:dyDescent="0.3">
      <c r="A207" s="22" t="s">
        <v>2018</v>
      </c>
      <c r="B207" s="34" cm="1">
        <f t="array" ref="B207:C207">_xlfn.XLOOKUP(A207,Sales_Fact!A207:A2191,Sales_Fact!B207:C2191)</f>
        <v>45447</v>
      </c>
      <c r="C207" s="22" t="str">
        <v>CUST1246</v>
      </c>
      <c r="D207" s="22" t="str">
        <f>VLOOKUP('Combine Products &amp; Sales Facts'!C207,'Customer Details'!A:B,2,0)</f>
        <v>Mary Russell</v>
      </c>
      <c r="E207" s="22" t="str">
        <f>VLOOKUP(C207,Sales_Fact!C:D,2,0)</f>
        <v>PROD72</v>
      </c>
      <c r="F207" s="22" t="str">
        <f>VLOOKUP(E207,Product_Dim!A:C,3,0)</f>
        <v>Sports</v>
      </c>
      <c r="G207" s="22" t="str" cm="1">
        <f t="array" ref="G207:L207">_xlfn.XLOOKUP(C207,Sales_Fact!C207:C2191,Sales_Fact!E207:J2191)</f>
        <v>STORE1</v>
      </c>
      <c r="H207" s="22">
        <v>4</v>
      </c>
      <c r="I207" s="22">
        <v>640.97</v>
      </c>
      <c r="J207" s="22">
        <v>0.11</v>
      </c>
      <c r="K207" s="22" t="str">
        <v>COD</v>
      </c>
      <c r="L207" s="22">
        <v>2281.8532</v>
      </c>
    </row>
    <row r="208" spans="1:12" x14ac:dyDescent="0.3">
      <c r="A208" s="22" t="s">
        <v>2019</v>
      </c>
      <c r="B208" s="34" cm="1">
        <f t="array" ref="B208:C208">_xlfn.XLOOKUP(A208,Sales_Fact!A208:A2192,Sales_Fact!B208:C2192)</f>
        <v>45225</v>
      </c>
      <c r="C208" s="22" t="str">
        <v>CUST1203</v>
      </c>
      <c r="D208" s="22" t="str">
        <f>VLOOKUP('Combine Products &amp; Sales Facts'!C208,'Customer Details'!A:B,2,0)</f>
        <v>Sarah Brady</v>
      </c>
      <c r="E208" s="22" t="str">
        <f>VLOOKUP(C208,Sales_Fact!C:D,2,0)</f>
        <v>PROD43</v>
      </c>
      <c r="F208" s="22" t="str">
        <f>VLOOKUP(E208,Product_Dim!A:C,3,0)</f>
        <v>Electronics</v>
      </c>
      <c r="G208" s="22" t="str" cm="1">
        <f t="array" ref="G208:L208">_xlfn.XLOOKUP(C208,Sales_Fact!C208:C2192,Sales_Fact!E208:J2192)</f>
        <v>STORE15</v>
      </c>
      <c r="H208" s="22">
        <v>4</v>
      </c>
      <c r="I208" s="22">
        <v>75.37</v>
      </c>
      <c r="J208" s="22">
        <v>0.02</v>
      </c>
      <c r="K208" s="22" t="str">
        <v>COD</v>
      </c>
      <c r="L208" s="22">
        <v>295.4504</v>
      </c>
    </row>
    <row r="209" spans="1:12" x14ac:dyDescent="0.3">
      <c r="A209" s="22" t="s">
        <v>2020</v>
      </c>
      <c r="B209" s="34" cm="1">
        <f t="array" ref="B209:C209">_xlfn.XLOOKUP(A209,Sales_Fact!A209:A2193,Sales_Fact!B209:C2193)</f>
        <v>45754</v>
      </c>
      <c r="C209" s="22" t="str">
        <v>CUST1075</v>
      </c>
      <c r="D209" s="22" t="str">
        <f>VLOOKUP('Combine Products &amp; Sales Facts'!C209,'Customer Details'!A:B,2,0)</f>
        <v>Rhonda Morales</v>
      </c>
      <c r="E209" s="22" t="str">
        <f>VLOOKUP(C209,Sales_Fact!C:D,2,0)</f>
        <v>PROD16</v>
      </c>
      <c r="F209" s="22" t="str">
        <f>VLOOKUP(E209,Product_Dim!A:C,3,0)</f>
        <v>Beauty</v>
      </c>
      <c r="G209" s="22" t="str" cm="1">
        <f t="array" ref="G209:L209">_xlfn.XLOOKUP(C209,Sales_Fact!C209:C2193,Sales_Fact!E209:J2193)</f>
        <v>STORE18</v>
      </c>
      <c r="H209" s="22">
        <v>3</v>
      </c>
      <c r="I209" s="22">
        <v>434.55</v>
      </c>
      <c r="J209" s="22">
        <v>0.08</v>
      </c>
      <c r="K209" s="22" t="str">
        <v>COD</v>
      </c>
      <c r="L209" s="22">
        <v>1199.3579999999999</v>
      </c>
    </row>
    <row r="210" spans="1:12" x14ac:dyDescent="0.3">
      <c r="A210" s="22" t="s">
        <v>2021</v>
      </c>
      <c r="B210" s="34" cm="1">
        <f t="array" ref="B210:C210">_xlfn.XLOOKUP(A210,Sales_Fact!A210:A2194,Sales_Fact!B210:C2194)</f>
        <v>45729</v>
      </c>
      <c r="C210" s="22" t="str">
        <v>CUST1099</v>
      </c>
      <c r="D210" s="22" t="str">
        <f>VLOOKUP('Combine Products &amp; Sales Facts'!C210,'Customer Details'!A:B,2,0)</f>
        <v>Sheila Wilson</v>
      </c>
      <c r="E210" s="22" t="str">
        <f>VLOOKUP(C210,Sales_Fact!C:D,2,0)</f>
        <v>PROD26</v>
      </c>
      <c r="F210" s="22" t="str">
        <f>VLOOKUP(E210,Product_Dim!A:C,3,0)</f>
        <v>Electronics</v>
      </c>
      <c r="G210" s="22" t="str" cm="1">
        <f t="array" ref="G210:L210">_xlfn.XLOOKUP(C210,Sales_Fact!C210:C2194,Sales_Fact!E210:J2194)</f>
        <v>STORE14</v>
      </c>
      <c r="H210" s="22">
        <v>4</v>
      </c>
      <c r="I210" s="22">
        <v>652.28</v>
      </c>
      <c r="J210" s="22">
        <v>0.15</v>
      </c>
      <c r="K210" s="22" t="str">
        <v>Credit Card</v>
      </c>
      <c r="L210" s="22">
        <v>2217.752</v>
      </c>
    </row>
    <row r="211" spans="1:12" x14ac:dyDescent="0.3">
      <c r="A211" s="22" t="s">
        <v>2022</v>
      </c>
      <c r="B211" s="34" cm="1">
        <f t="array" ref="B211:C211">_xlfn.XLOOKUP(A211,Sales_Fact!A211:A2195,Sales_Fact!B211:C2195)</f>
        <v>45480</v>
      </c>
      <c r="C211" s="22" t="str">
        <v>CUST1269</v>
      </c>
      <c r="D211" s="22" t="str">
        <f>VLOOKUP('Combine Products &amp; Sales Facts'!C211,'Customer Details'!A:B,2,0)</f>
        <v>Tyrone Olson</v>
      </c>
      <c r="E211" s="22" t="str">
        <f>VLOOKUP(C211,Sales_Fact!C:D,2,0)</f>
        <v>PROD77</v>
      </c>
      <c r="F211" s="22" t="str">
        <f>VLOOKUP(E211,Product_Dim!A:C,3,0)</f>
        <v>Electronics</v>
      </c>
      <c r="G211" s="22" t="str" cm="1">
        <f t="array" ref="G211:L211">_xlfn.XLOOKUP(C211,Sales_Fact!C211:C2195,Sales_Fact!E211:J2195)</f>
        <v>STORE17</v>
      </c>
      <c r="H211" s="22">
        <v>3</v>
      </c>
      <c r="I211" s="22">
        <v>207.8</v>
      </c>
      <c r="J211" s="22">
        <v>0.15</v>
      </c>
      <c r="K211" s="22" t="str">
        <v>Credit Card</v>
      </c>
      <c r="L211" s="22">
        <v>529.8900000000001</v>
      </c>
    </row>
    <row r="212" spans="1:12" x14ac:dyDescent="0.3">
      <c r="A212" s="22" t="s">
        <v>2023</v>
      </c>
      <c r="B212" s="34" cm="1">
        <f t="array" ref="B212:C212">_xlfn.XLOOKUP(A212,Sales_Fact!A212:A2196,Sales_Fact!B212:C2196)</f>
        <v>45361</v>
      </c>
      <c r="C212" s="22" t="str">
        <v>CUST1495</v>
      </c>
      <c r="D212" s="22" t="str">
        <f>VLOOKUP('Combine Products &amp; Sales Facts'!C212,'Customer Details'!A:B,2,0)</f>
        <v>James Berger</v>
      </c>
      <c r="E212" s="22" t="str">
        <f>VLOOKUP(C212,Sales_Fact!C:D,2,0)</f>
        <v>PROD61</v>
      </c>
      <c r="F212" s="22" t="str">
        <f>VLOOKUP(E212,Product_Dim!A:C,3,0)</f>
        <v>Sports</v>
      </c>
      <c r="G212" s="22" t="str" cm="1">
        <f t="array" ref="G212:L212">_xlfn.XLOOKUP(C212,Sales_Fact!C212:C2196,Sales_Fact!E212:J2196)</f>
        <v>STORE15</v>
      </c>
      <c r="H212" s="22">
        <v>4</v>
      </c>
      <c r="I212" s="22">
        <v>385.5</v>
      </c>
      <c r="J212" s="22">
        <v>0.03</v>
      </c>
      <c r="K212" s="22" t="str">
        <v>PayPal</v>
      </c>
      <c r="L212" s="22">
        <v>1495.74</v>
      </c>
    </row>
    <row r="213" spans="1:12" x14ac:dyDescent="0.3">
      <c r="A213" s="22" t="s">
        <v>2024</v>
      </c>
      <c r="B213" s="34" cm="1">
        <f t="array" ref="B213:C213">_xlfn.XLOOKUP(A213,Sales_Fact!A213:A2197,Sales_Fact!B213:C2197)</f>
        <v>45915</v>
      </c>
      <c r="C213" s="22" t="str">
        <v>CUST1096</v>
      </c>
      <c r="D213" s="22" t="str">
        <f>VLOOKUP('Combine Products &amp; Sales Facts'!C213,'Customer Details'!A:B,2,0)</f>
        <v>Samantha Walker</v>
      </c>
      <c r="E213" s="22" t="str">
        <f>VLOOKUP(C213,Sales_Fact!C:D,2,0)</f>
        <v>PROD65</v>
      </c>
      <c r="F213" s="22" t="str">
        <f>VLOOKUP(E213,Product_Dim!A:C,3,0)</f>
        <v>Sports</v>
      </c>
      <c r="G213" s="22" t="str" cm="1">
        <f t="array" ref="G213:L213">_xlfn.XLOOKUP(C213,Sales_Fact!C213:C2197,Sales_Fact!E213:J2197)</f>
        <v>STORE6</v>
      </c>
      <c r="H213" s="22">
        <v>3</v>
      </c>
      <c r="I213" s="22">
        <v>548.19000000000005</v>
      </c>
      <c r="J213" s="22">
        <v>0.12</v>
      </c>
      <c r="K213" s="22" t="str">
        <v>Credit Card</v>
      </c>
      <c r="L213" s="22">
        <v>1447.2216000000001</v>
      </c>
    </row>
    <row r="214" spans="1:12" x14ac:dyDescent="0.3">
      <c r="A214" s="22" t="s">
        <v>2025</v>
      </c>
      <c r="B214" s="34" cm="1">
        <f t="array" ref="B214:C214">_xlfn.XLOOKUP(A214,Sales_Fact!A214:A2198,Sales_Fact!B214:C2198)</f>
        <v>45607</v>
      </c>
      <c r="C214" s="22" t="str">
        <v>CUST1069</v>
      </c>
      <c r="D214" s="22" t="str">
        <f>VLOOKUP('Combine Products &amp; Sales Facts'!C214,'Customer Details'!A:B,2,0)</f>
        <v>Roy Cole</v>
      </c>
      <c r="E214" s="22" t="str">
        <f>VLOOKUP(C214,Sales_Fact!C:D,2,0)</f>
        <v>PROD73</v>
      </c>
      <c r="F214" s="22" t="str">
        <f>VLOOKUP(E214,Product_Dim!A:C,3,0)</f>
        <v>Sports</v>
      </c>
      <c r="G214" s="22" t="str" cm="1">
        <f t="array" ref="G214:L214">_xlfn.XLOOKUP(C214,Sales_Fact!C214:C2198,Sales_Fact!E214:J2198)</f>
        <v>STORE9</v>
      </c>
      <c r="H214" s="22">
        <v>3</v>
      </c>
      <c r="I214" s="22">
        <v>927.6</v>
      </c>
      <c r="J214" s="22">
        <v>0.09</v>
      </c>
      <c r="K214" s="22" t="str">
        <v>Credit Card</v>
      </c>
      <c r="L214" s="22">
        <v>2532.348</v>
      </c>
    </row>
    <row r="215" spans="1:12" x14ac:dyDescent="0.3">
      <c r="A215" s="22" t="s">
        <v>2026</v>
      </c>
      <c r="B215" s="34" cm="1">
        <f t="array" ref="B215:C215">_xlfn.XLOOKUP(A215,Sales_Fact!A215:A2199,Sales_Fact!B215:C2199)</f>
        <v>45666</v>
      </c>
      <c r="C215" s="22" t="str">
        <v>CUST1266</v>
      </c>
      <c r="D215" s="22" t="str">
        <f>VLOOKUP('Combine Products &amp; Sales Facts'!C215,'Customer Details'!A:B,2,0)</f>
        <v>Cynthia Payne</v>
      </c>
      <c r="E215" s="22" t="str">
        <f>VLOOKUP(C215,Sales_Fact!C:D,2,0)</f>
        <v>PROD15</v>
      </c>
      <c r="F215" s="22" t="str">
        <f>VLOOKUP(E215,Product_Dim!A:C,3,0)</f>
        <v>Electronics</v>
      </c>
      <c r="G215" s="22" t="str" cm="1">
        <f t="array" ref="G215:L215">_xlfn.XLOOKUP(C215,Sales_Fact!C215:C2199,Sales_Fact!E215:J2199)</f>
        <v>STORE3</v>
      </c>
      <c r="H215" s="22">
        <v>4</v>
      </c>
      <c r="I215" s="22">
        <v>585.04</v>
      </c>
      <c r="J215" s="22">
        <v>0.22</v>
      </c>
      <c r="K215" s="22" t="str">
        <v>PayPal</v>
      </c>
      <c r="L215" s="22">
        <v>1825.3248000000001</v>
      </c>
    </row>
    <row r="216" spans="1:12" x14ac:dyDescent="0.3">
      <c r="A216" s="22" t="s">
        <v>2027</v>
      </c>
      <c r="B216" s="34" cm="1">
        <f t="array" ref="B216:C216">_xlfn.XLOOKUP(A216,Sales_Fact!A216:A2200,Sales_Fact!B216:C2200)</f>
        <v>45406</v>
      </c>
      <c r="C216" s="22" t="str">
        <v>CUST1499</v>
      </c>
      <c r="D216" s="22" t="str">
        <f>VLOOKUP('Combine Products &amp; Sales Facts'!C216,'Customer Details'!A:B,2,0)</f>
        <v>Philip Pennington</v>
      </c>
      <c r="E216" s="22" t="str">
        <f>VLOOKUP(C216,Sales_Fact!C:D,2,0)</f>
        <v>PROD55</v>
      </c>
      <c r="F216" s="22" t="str">
        <f>VLOOKUP(E216,Product_Dim!A:C,3,0)</f>
        <v>Home</v>
      </c>
      <c r="G216" s="22" t="str" cm="1">
        <f t="array" ref="G216:L216">_xlfn.XLOOKUP(C216,Sales_Fact!C216:C2200,Sales_Fact!E216:J2200)</f>
        <v>STORE2</v>
      </c>
      <c r="H216" s="22">
        <v>2</v>
      </c>
      <c r="I216" s="22">
        <v>999.89</v>
      </c>
      <c r="J216" s="22">
        <v>0.09</v>
      </c>
      <c r="K216" s="22" t="str">
        <v>Credit Card</v>
      </c>
      <c r="L216" s="22">
        <v>1819.7998</v>
      </c>
    </row>
    <row r="217" spans="1:12" x14ac:dyDescent="0.3">
      <c r="A217" s="22" t="s">
        <v>2028</v>
      </c>
      <c r="B217" s="34" cm="1">
        <f t="array" ref="B217:C217">_xlfn.XLOOKUP(A217,Sales_Fact!A217:A2201,Sales_Fact!B217:C2201)</f>
        <v>45284</v>
      </c>
      <c r="C217" s="22" t="str">
        <v>CUST1107</v>
      </c>
      <c r="D217" s="22" t="str">
        <f>VLOOKUP('Combine Products &amp; Sales Facts'!C217,'Customer Details'!A:B,2,0)</f>
        <v>Erica Carney</v>
      </c>
      <c r="E217" s="22" t="str">
        <f>VLOOKUP(C217,Sales_Fact!C:D,2,0)</f>
        <v>PROD75</v>
      </c>
      <c r="F217" s="22" t="str">
        <f>VLOOKUP(E217,Product_Dim!A:C,3,0)</f>
        <v>Clothing</v>
      </c>
      <c r="G217" s="22" t="str" cm="1">
        <f t="array" ref="G217:L217">_xlfn.XLOOKUP(C217,Sales_Fact!C217:C2201,Sales_Fact!E217:J2201)</f>
        <v>STORE3</v>
      </c>
      <c r="H217" s="22">
        <v>2</v>
      </c>
      <c r="I217" s="22">
        <v>848.98</v>
      </c>
      <c r="J217" s="22">
        <v>0.04</v>
      </c>
      <c r="K217" s="22" t="str">
        <v>PayPal</v>
      </c>
      <c r="L217" s="22">
        <v>1630.0416</v>
      </c>
    </row>
    <row r="218" spans="1:12" x14ac:dyDescent="0.3">
      <c r="A218" s="22" t="s">
        <v>2029</v>
      </c>
      <c r="B218" s="34" cm="1">
        <f t="array" ref="B218:C218">_xlfn.XLOOKUP(A218,Sales_Fact!A218:A2202,Sales_Fact!B218:C2202)</f>
        <v>45348</v>
      </c>
      <c r="C218" s="22" t="str">
        <v>CUST1142</v>
      </c>
      <c r="D218" s="22" t="str">
        <f>VLOOKUP('Combine Products &amp; Sales Facts'!C218,'Customer Details'!A:B,2,0)</f>
        <v>Maria Ramirez</v>
      </c>
      <c r="E218" s="22" t="str">
        <f>VLOOKUP(C218,Sales_Fact!C:D,2,0)</f>
        <v>PROD69</v>
      </c>
      <c r="F218" s="22" t="str">
        <f>VLOOKUP(E218,Product_Dim!A:C,3,0)</f>
        <v>Clothing</v>
      </c>
      <c r="G218" s="22" t="str" cm="1">
        <f t="array" ref="G218:L218">_xlfn.XLOOKUP(C218,Sales_Fact!C218:C2202,Sales_Fact!E218:J2202)</f>
        <v>STORE14</v>
      </c>
      <c r="H218" s="22">
        <v>3</v>
      </c>
      <c r="I218" s="22">
        <v>769.56</v>
      </c>
      <c r="J218" s="22">
        <v>0.08</v>
      </c>
      <c r="K218" s="22" t="str">
        <v>Credit Card</v>
      </c>
      <c r="L218" s="22">
        <v>2123.9856</v>
      </c>
    </row>
    <row r="219" spans="1:12" x14ac:dyDescent="0.3">
      <c r="A219" s="22" t="s">
        <v>2030</v>
      </c>
      <c r="B219" s="34" cm="1">
        <f t="array" ref="B219:C219">_xlfn.XLOOKUP(A219,Sales_Fact!A219:A2203,Sales_Fact!B219:C2203)</f>
        <v>45676</v>
      </c>
      <c r="C219" s="22" t="str">
        <v>CUST1049</v>
      </c>
      <c r="D219" s="22" t="str">
        <f>VLOOKUP('Combine Products &amp; Sales Facts'!C219,'Customer Details'!A:B,2,0)</f>
        <v>Timothy Weaver</v>
      </c>
      <c r="E219" s="22" t="str">
        <f>VLOOKUP(C219,Sales_Fact!C:D,2,0)</f>
        <v>PROD48</v>
      </c>
      <c r="F219" s="22" t="str">
        <f>VLOOKUP(E219,Product_Dim!A:C,3,0)</f>
        <v>Electronics</v>
      </c>
      <c r="G219" s="22" t="str" cm="1">
        <f t="array" ref="G219:L219">_xlfn.XLOOKUP(C219,Sales_Fact!C219:C2203,Sales_Fact!E219:J2203)</f>
        <v>STORE13</v>
      </c>
      <c r="H219" s="22">
        <v>3</v>
      </c>
      <c r="I219" s="22">
        <v>449.88</v>
      </c>
      <c r="J219" s="22">
        <v>0.1</v>
      </c>
      <c r="K219" s="22" t="str">
        <v>PayPal</v>
      </c>
      <c r="L219" s="22">
        <v>1214.6759999999999</v>
      </c>
    </row>
    <row r="220" spans="1:12" x14ac:dyDescent="0.3">
      <c r="A220" s="22" t="s">
        <v>2031</v>
      </c>
      <c r="B220" s="34" cm="1">
        <f t="array" ref="B220:C220">_xlfn.XLOOKUP(A220,Sales_Fact!A220:A2204,Sales_Fact!B220:C2204)</f>
        <v>45863</v>
      </c>
      <c r="C220" s="22" t="str">
        <v>CUST1275</v>
      </c>
      <c r="D220" s="22" t="str">
        <f>VLOOKUP('Combine Products &amp; Sales Facts'!C220,'Customer Details'!A:B,2,0)</f>
        <v>Shannon Miller</v>
      </c>
      <c r="E220" s="22" t="str">
        <f>VLOOKUP(C220,Sales_Fact!C:D,2,0)</f>
        <v>PROD69</v>
      </c>
      <c r="F220" s="22" t="str">
        <f>VLOOKUP(E220,Product_Dim!A:C,3,0)</f>
        <v>Clothing</v>
      </c>
      <c r="G220" s="22" t="str" cm="1">
        <f t="array" ref="G220:L220">_xlfn.XLOOKUP(C220,Sales_Fact!C220:C2204,Sales_Fact!E220:J2204)</f>
        <v>STORE12</v>
      </c>
      <c r="H220" s="22">
        <v>4</v>
      </c>
      <c r="I220" s="22">
        <v>383.74</v>
      </c>
      <c r="J220" s="22">
        <v>0.01</v>
      </c>
      <c r="K220" s="22" t="str">
        <v>Credit Card</v>
      </c>
      <c r="L220" s="22">
        <v>1519.6104</v>
      </c>
    </row>
    <row r="221" spans="1:12" x14ac:dyDescent="0.3">
      <c r="A221" s="22" t="s">
        <v>2032</v>
      </c>
      <c r="B221" s="34" cm="1">
        <f t="array" ref="B221:C221">_xlfn.XLOOKUP(A221,Sales_Fact!A221:A2205,Sales_Fact!B221:C2205)</f>
        <v>45409</v>
      </c>
      <c r="C221" s="22" t="str">
        <v>CUST1148</v>
      </c>
      <c r="D221" s="22" t="str">
        <f>VLOOKUP('Combine Products &amp; Sales Facts'!C221,'Customer Details'!A:B,2,0)</f>
        <v>Theresa Campbell</v>
      </c>
      <c r="E221" s="22" t="str">
        <f>VLOOKUP(C221,Sales_Fact!C:D,2,0)</f>
        <v>PROD13</v>
      </c>
      <c r="F221" s="22" t="str">
        <f>VLOOKUP(E221,Product_Dim!A:C,3,0)</f>
        <v>Electronics</v>
      </c>
      <c r="G221" s="22" t="str" cm="1">
        <f t="array" ref="G221:L221">_xlfn.XLOOKUP(C221,Sales_Fact!C221:C2205,Sales_Fact!E221:J2205)</f>
        <v>STORE10</v>
      </c>
      <c r="H221" s="22">
        <v>4</v>
      </c>
      <c r="I221" s="22">
        <v>794.97</v>
      </c>
      <c r="J221" s="22">
        <v>0.24</v>
      </c>
      <c r="K221" s="22" t="str">
        <v>PayPal</v>
      </c>
      <c r="L221" s="22">
        <v>2416.7087999999999</v>
      </c>
    </row>
    <row r="222" spans="1:12" x14ac:dyDescent="0.3">
      <c r="A222" s="22" t="s">
        <v>2033</v>
      </c>
      <c r="B222" s="34" cm="1">
        <f t="array" ref="B222:C222">_xlfn.XLOOKUP(A222,Sales_Fact!A222:A2206,Sales_Fact!B222:C2206)</f>
        <v>45880</v>
      </c>
      <c r="C222" s="22" t="str">
        <v>CUST1010</v>
      </c>
      <c r="D222" s="22" t="str">
        <f>VLOOKUP('Combine Products &amp; Sales Facts'!C222,'Customer Details'!A:B,2,0)</f>
        <v>Dominic Page</v>
      </c>
      <c r="E222" s="22" t="str">
        <f>VLOOKUP(C222,Sales_Fact!C:D,2,0)</f>
        <v>PROD33</v>
      </c>
      <c r="F222" s="22" t="str">
        <f>VLOOKUP(E222,Product_Dim!A:C,3,0)</f>
        <v>Home</v>
      </c>
      <c r="G222" s="22" t="str" cm="1">
        <f t="array" ref="G222:L222">_xlfn.XLOOKUP(C222,Sales_Fact!C222:C2206,Sales_Fact!E222:J2206)</f>
        <v>STORE5</v>
      </c>
      <c r="H222" s="22">
        <v>1</v>
      </c>
      <c r="I222" s="22">
        <v>989.63</v>
      </c>
      <c r="J222" s="22">
        <v>0.05</v>
      </c>
      <c r="K222" s="22" t="str">
        <v>PayPal</v>
      </c>
      <c r="L222" s="22">
        <v>940.1484999999999</v>
      </c>
    </row>
    <row r="223" spans="1:12" x14ac:dyDescent="0.3">
      <c r="A223" s="22" t="s">
        <v>2034</v>
      </c>
      <c r="B223" s="34" cm="1">
        <f t="array" ref="B223:C223">_xlfn.XLOOKUP(A223,Sales_Fact!A223:A2207,Sales_Fact!B223:C2207)</f>
        <v>45731</v>
      </c>
      <c r="C223" s="22" t="str">
        <v>CUST1335</v>
      </c>
      <c r="D223" s="22" t="str">
        <f>VLOOKUP('Combine Products &amp; Sales Facts'!C223,'Customer Details'!A:B,2,0)</f>
        <v>Jennifer Woods</v>
      </c>
      <c r="E223" s="22" t="str">
        <f>VLOOKUP(C223,Sales_Fact!C:D,2,0)</f>
        <v>PROD29</v>
      </c>
      <c r="F223" s="22" t="str">
        <f>VLOOKUP(E223,Product_Dim!A:C,3,0)</f>
        <v>Home</v>
      </c>
      <c r="G223" s="22" t="str" cm="1">
        <f t="array" ref="G223:L223">_xlfn.XLOOKUP(C223,Sales_Fact!C223:C2207,Sales_Fact!E223:J2207)</f>
        <v>STORE0</v>
      </c>
      <c r="H223" s="22">
        <v>1</v>
      </c>
      <c r="I223" s="22">
        <v>447.16</v>
      </c>
      <c r="J223" s="22">
        <v>0.22</v>
      </c>
      <c r="K223" s="22" t="str">
        <v>COD</v>
      </c>
      <c r="L223" s="22">
        <v>348.78480000000002</v>
      </c>
    </row>
    <row r="224" spans="1:12" x14ac:dyDescent="0.3">
      <c r="A224" s="22" t="s">
        <v>2035</v>
      </c>
      <c r="B224" s="34" cm="1">
        <f t="array" ref="B224:C224">_xlfn.XLOOKUP(A224,Sales_Fact!A224:A2208,Sales_Fact!B224:C2208)</f>
        <v>45671</v>
      </c>
      <c r="C224" s="22" t="str">
        <v>CUST1008</v>
      </c>
      <c r="D224" s="22" t="str">
        <f>VLOOKUP('Combine Products &amp; Sales Facts'!C224,'Customer Details'!A:B,2,0)</f>
        <v>Melissa Howard</v>
      </c>
      <c r="E224" s="22" t="str">
        <f>VLOOKUP(C224,Sales_Fact!C:D,2,0)</f>
        <v>PROD30</v>
      </c>
      <c r="F224" s="22" t="str">
        <f>VLOOKUP(E224,Product_Dim!A:C,3,0)</f>
        <v>Home</v>
      </c>
      <c r="G224" s="22" t="str" cm="1">
        <f t="array" ref="G224:L224">_xlfn.XLOOKUP(C224,Sales_Fact!C224:C2208,Sales_Fact!E224:J2208)</f>
        <v>STORE6</v>
      </c>
      <c r="H224" s="22">
        <v>1</v>
      </c>
      <c r="I224" s="22">
        <v>946.9</v>
      </c>
      <c r="J224" s="22">
        <v>0.28999999999999998</v>
      </c>
      <c r="K224" s="22" t="str">
        <v>COD</v>
      </c>
      <c r="L224" s="22">
        <v>672.29899999999998</v>
      </c>
    </row>
    <row r="225" spans="1:12" x14ac:dyDescent="0.3">
      <c r="A225" s="22" t="s">
        <v>2036</v>
      </c>
      <c r="B225" s="34" cm="1">
        <f t="array" ref="B225:C225">_xlfn.XLOOKUP(A225,Sales_Fact!A225:A2209,Sales_Fact!B225:C2209)</f>
        <v>45809</v>
      </c>
      <c r="C225" s="22" t="str">
        <v>CUST1169</v>
      </c>
      <c r="D225" s="22" t="str">
        <f>VLOOKUP('Combine Products &amp; Sales Facts'!C225,'Customer Details'!A:B,2,0)</f>
        <v>Steve Mclaughlin</v>
      </c>
      <c r="E225" s="22" t="str">
        <f>VLOOKUP(C225,Sales_Fact!C:D,2,0)</f>
        <v>PROD17</v>
      </c>
      <c r="F225" s="22" t="str">
        <f>VLOOKUP(E225,Product_Dim!A:C,3,0)</f>
        <v>Sports</v>
      </c>
      <c r="G225" s="22" t="str" cm="1">
        <f t="array" ref="G225:L225">_xlfn.XLOOKUP(C225,Sales_Fact!C225:C2209,Sales_Fact!E225:J2209)</f>
        <v>STORE0</v>
      </c>
      <c r="H225" s="22">
        <v>4</v>
      </c>
      <c r="I225" s="22">
        <v>469.68</v>
      </c>
      <c r="J225" s="22">
        <v>0.19</v>
      </c>
      <c r="K225" s="22" t="str">
        <v>Credit Card</v>
      </c>
      <c r="L225" s="22">
        <v>1521.7632000000001</v>
      </c>
    </row>
    <row r="226" spans="1:12" x14ac:dyDescent="0.3">
      <c r="A226" s="22" t="s">
        <v>2037</v>
      </c>
      <c r="B226" s="34" cm="1">
        <f t="array" ref="B226:C226">_xlfn.XLOOKUP(A226,Sales_Fact!A226:A2210,Sales_Fact!B226:C2210)</f>
        <v>45559</v>
      </c>
      <c r="C226" s="22" t="str">
        <v>CUST1494</v>
      </c>
      <c r="D226" s="22" t="str">
        <f>VLOOKUP('Combine Products &amp; Sales Facts'!C226,'Customer Details'!A:B,2,0)</f>
        <v>Justin Lopez</v>
      </c>
      <c r="E226" s="22" t="str">
        <f>VLOOKUP(C226,Sales_Fact!C:D,2,0)</f>
        <v>PROD28</v>
      </c>
      <c r="F226" s="22" t="str">
        <f>VLOOKUP(E226,Product_Dim!A:C,3,0)</f>
        <v>Sports</v>
      </c>
      <c r="G226" s="22" t="str" cm="1">
        <f t="array" ref="G226:L226">_xlfn.XLOOKUP(C226,Sales_Fact!C226:C2210,Sales_Fact!E226:J2210)</f>
        <v>STORE17</v>
      </c>
      <c r="H226" s="22">
        <v>4</v>
      </c>
      <c r="I226" s="22">
        <v>320.64</v>
      </c>
      <c r="J226" s="22">
        <v>0.2</v>
      </c>
      <c r="K226" s="22" t="str">
        <v>COD</v>
      </c>
      <c r="L226" s="22">
        <v>1026.048</v>
      </c>
    </row>
    <row r="227" spans="1:12" x14ac:dyDescent="0.3">
      <c r="A227" s="22" t="s">
        <v>2038</v>
      </c>
      <c r="B227" s="34" cm="1">
        <f t="array" ref="B227:C227">_xlfn.XLOOKUP(A227,Sales_Fact!A227:A2211,Sales_Fact!B227:C2211)</f>
        <v>45253</v>
      </c>
      <c r="C227" s="22" t="str">
        <v>CUST1135</v>
      </c>
      <c r="D227" s="22" t="str">
        <f>VLOOKUP('Combine Products &amp; Sales Facts'!C227,'Customer Details'!A:B,2,0)</f>
        <v>Matthew Hanna</v>
      </c>
      <c r="E227" s="22" t="str">
        <f>VLOOKUP(C227,Sales_Fact!C:D,2,0)</f>
        <v>PROD44</v>
      </c>
      <c r="F227" s="22" t="str">
        <f>VLOOKUP(E227,Product_Dim!A:C,3,0)</f>
        <v>Sports</v>
      </c>
      <c r="G227" s="22" t="str" cm="1">
        <f t="array" ref="G227:L227">_xlfn.XLOOKUP(C227,Sales_Fact!C227:C2211,Sales_Fact!E227:J2211)</f>
        <v>STORE5</v>
      </c>
      <c r="H227" s="22">
        <v>1</v>
      </c>
      <c r="I227" s="22">
        <v>594.44000000000005</v>
      </c>
      <c r="J227" s="22">
        <v>0.21</v>
      </c>
      <c r="K227" s="22" t="str">
        <v>Credit Card</v>
      </c>
      <c r="L227" s="22">
        <v>469.60759999999999</v>
      </c>
    </row>
    <row r="228" spans="1:12" x14ac:dyDescent="0.3">
      <c r="A228" s="22" t="s">
        <v>2039</v>
      </c>
      <c r="B228" s="34" cm="1">
        <f t="array" ref="B228:C228">_xlfn.XLOOKUP(A228,Sales_Fact!A228:A2212,Sales_Fact!B228:C2212)</f>
        <v>45861</v>
      </c>
      <c r="C228" s="22" t="str">
        <v>CUST1216</v>
      </c>
      <c r="D228" s="22" t="str">
        <f>VLOOKUP('Combine Products &amp; Sales Facts'!C228,'Customer Details'!A:B,2,0)</f>
        <v>Kathryn Garcia</v>
      </c>
      <c r="E228" s="22" t="str">
        <f>VLOOKUP(C228,Sales_Fact!C:D,2,0)</f>
        <v>PROD86</v>
      </c>
      <c r="F228" s="22" t="str">
        <f>VLOOKUP(E228,Product_Dim!A:C,3,0)</f>
        <v>Home</v>
      </c>
      <c r="G228" s="22" t="str" cm="1">
        <f t="array" ref="G228:L228">_xlfn.XLOOKUP(C228,Sales_Fact!C228:C2212,Sales_Fact!E228:J2212)</f>
        <v>STORE8</v>
      </c>
      <c r="H228" s="22">
        <v>3</v>
      </c>
      <c r="I228" s="22">
        <v>91.7</v>
      </c>
      <c r="J228" s="22">
        <v>0.08</v>
      </c>
      <c r="K228" s="22" t="str">
        <v>COD</v>
      </c>
      <c r="L228" s="22">
        <v>253.09200000000001</v>
      </c>
    </row>
    <row r="229" spans="1:12" x14ac:dyDescent="0.3">
      <c r="A229" s="22" t="s">
        <v>2040</v>
      </c>
      <c r="B229" s="34" cm="1">
        <f t="array" ref="B229:C229">_xlfn.XLOOKUP(A229,Sales_Fact!A229:A2213,Sales_Fact!B229:C2213)</f>
        <v>45917</v>
      </c>
      <c r="C229" s="22" t="str">
        <v>CUST1031</v>
      </c>
      <c r="D229" s="22" t="str">
        <f>VLOOKUP('Combine Products &amp; Sales Facts'!C229,'Customer Details'!A:B,2,0)</f>
        <v>Sarah Vance</v>
      </c>
      <c r="E229" s="22" t="str">
        <f>VLOOKUP(C229,Sales_Fact!C:D,2,0)</f>
        <v>PROD62</v>
      </c>
      <c r="F229" s="22" t="str">
        <f>VLOOKUP(E229,Product_Dim!A:C,3,0)</f>
        <v>Electronics</v>
      </c>
      <c r="G229" s="22" t="str" cm="1">
        <f t="array" ref="G229:L229">_xlfn.XLOOKUP(C229,Sales_Fact!C229:C2213,Sales_Fact!E229:J2213)</f>
        <v>STORE12</v>
      </c>
      <c r="H229" s="22">
        <v>3</v>
      </c>
      <c r="I229" s="22">
        <v>741.33</v>
      </c>
      <c r="J229" s="22">
        <v>0.03</v>
      </c>
      <c r="K229" s="22" t="str">
        <v>Credit Card</v>
      </c>
      <c r="L229" s="22">
        <v>2157.2703000000001</v>
      </c>
    </row>
    <row r="230" spans="1:12" x14ac:dyDescent="0.3">
      <c r="A230" s="22" t="s">
        <v>2041</v>
      </c>
      <c r="B230" s="34" cm="1">
        <f t="array" ref="B230:C230">_xlfn.XLOOKUP(A230,Sales_Fact!A230:A2214,Sales_Fact!B230:C2214)</f>
        <v>45754</v>
      </c>
      <c r="C230" s="22" t="str">
        <v>CUST1476</v>
      </c>
      <c r="D230" s="22" t="str">
        <f>VLOOKUP('Combine Products &amp; Sales Facts'!C230,'Customer Details'!A:B,2,0)</f>
        <v>Elizabeth Foster</v>
      </c>
      <c r="E230" s="22" t="str">
        <f>VLOOKUP(C230,Sales_Fact!C:D,2,0)</f>
        <v>PROD69</v>
      </c>
      <c r="F230" s="22" t="str">
        <f>VLOOKUP(E230,Product_Dim!A:C,3,0)</f>
        <v>Clothing</v>
      </c>
      <c r="G230" s="22" t="str" cm="1">
        <f t="array" ref="G230:L230">_xlfn.XLOOKUP(C230,Sales_Fact!C230:C2214,Sales_Fact!E230:J2214)</f>
        <v>STORE19</v>
      </c>
      <c r="H230" s="22">
        <v>1</v>
      </c>
      <c r="I230" s="22">
        <v>922.78</v>
      </c>
      <c r="J230" s="22">
        <v>0.28999999999999998</v>
      </c>
      <c r="K230" s="22" t="str">
        <v>COD</v>
      </c>
      <c r="L230" s="22">
        <v>655.17379999999991</v>
      </c>
    </row>
    <row r="231" spans="1:12" x14ac:dyDescent="0.3">
      <c r="A231" s="22" t="s">
        <v>2042</v>
      </c>
      <c r="B231" s="34" cm="1">
        <f t="array" ref="B231:C231">_xlfn.XLOOKUP(A231,Sales_Fact!A231:A2215,Sales_Fact!B231:C2215)</f>
        <v>45312</v>
      </c>
      <c r="C231" s="22" t="str">
        <v>CUST1325</v>
      </c>
      <c r="D231" s="22" t="str">
        <f>VLOOKUP('Combine Products &amp; Sales Facts'!C231,'Customer Details'!A:B,2,0)</f>
        <v>Andrew Smith</v>
      </c>
      <c r="E231" s="22" t="str">
        <f>VLOOKUP(C231,Sales_Fact!C:D,2,0)</f>
        <v>PROD54</v>
      </c>
      <c r="F231" s="22" t="str">
        <f>VLOOKUP(E231,Product_Dim!A:C,3,0)</f>
        <v>Sports</v>
      </c>
      <c r="G231" s="22" t="str" cm="1">
        <f t="array" ref="G231:L231">_xlfn.XLOOKUP(C231,Sales_Fact!C231:C2215,Sales_Fact!E231:J2215)</f>
        <v>STORE16</v>
      </c>
      <c r="H231" s="22">
        <v>1</v>
      </c>
      <c r="I231" s="22">
        <v>394.35</v>
      </c>
      <c r="J231" s="22">
        <v>0.09</v>
      </c>
      <c r="K231" s="22" t="str">
        <v>PayPal</v>
      </c>
      <c r="L231" s="22">
        <v>358.85849999999999</v>
      </c>
    </row>
    <row r="232" spans="1:12" x14ac:dyDescent="0.3">
      <c r="A232" s="22" t="s">
        <v>2043</v>
      </c>
      <c r="B232" s="34" cm="1">
        <f t="array" ref="B232:C232">_xlfn.XLOOKUP(A232,Sales_Fact!A232:A2216,Sales_Fact!B232:C2216)</f>
        <v>45480</v>
      </c>
      <c r="C232" s="22" t="str">
        <v>CUST1364</v>
      </c>
      <c r="D232" s="22" t="str">
        <f>VLOOKUP('Combine Products &amp; Sales Facts'!C232,'Customer Details'!A:B,2,0)</f>
        <v>Chloe Aguilar</v>
      </c>
      <c r="E232" s="22" t="str">
        <f>VLOOKUP(C232,Sales_Fact!C:D,2,0)</f>
        <v>PROD65</v>
      </c>
      <c r="F232" s="22" t="str">
        <f>VLOOKUP(E232,Product_Dim!A:C,3,0)</f>
        <v>Sports</v>
      </c>
      <c r="G232" s="22" t="str" cm="1">
        <f t="array" ref="G232:L232">_xlfn.XLOOKUP(C232,Sales_Fact!C232:C2216,Sales_Fact!E232:J2216)</f>
        <v>STORE11</v>
      </c>
      <c r="H232" s="22">
        <v>2</v>
      </c>
      <c r="I232" s="22">
        <v>703.95</v>
      </c>
      <c r="J232" s="22">
        <v>0.03</v>
      </c>
      <c r="K232" s="22" t="str">
        <v>Credit Card</v>
      </c>
      <c r="L232" s="22">
        <v>1365.663</v>
      </c>
    </row>
    <row r="233" spans="1:12" x14ac:dyDescent="0.3">
      <c r="A233" s="22" t="s">
        <v>2044</v>
      </c>
      <c r="B233" s="34" cm="1">
        <f t="array" ref="B233:C233">_xlfn.XLOOKUP(A233,Sales_Fact!A233:A2217,Sales_Fact!B233:C2217)</f>
        <v>45780</v>
      </c>
      <c r="C233" s="22" t="str">
        <v>CUST1200</v>
      </c>
      <c r="D233" s="22" t="str">
        <f>VLOOKUP('Combine Products &amp; Sales Facts'!C233,'Customer Details'!A:B,2,0)</f>
        <v>Anna Perez</v>
      </c>
      <c r="E233" s="22" t="str">
        <f>VLOOKUP(C233,Sales_Fact!C:D,2,0)</f>
        <v>PROD77</v>
      </c>
      <c r="F233" s="22" t="str">
        <f>VLOOKUP(E233,Product_Dim!A:C,3,0)</f>
        <v>Electronics</v>
      </c>
      <c r="G233" s="22" t="str" cm="1">
        <f t="array" ref="G233:L233">_xlfn.XLOOKUP(C233,Sales_Fact!C233:C2217,Sales_Fact!E233:J2217)</f>
        <v>STORE0</v>
      </c>
      <c r="H233" s="22">
        <v>4</v>
      </c>
      <c r="I233" s="22">
        <v>452.67</v>
      </c>
      <c r="J233" s="22">
        <v>0.28000000000000003</v>
      </c>
      <c r="K233" s="22" t="str">
        <v>PayPal</v>
      </c>
      <c r="L233" s="22">
        <v>1303.6895999999999</v>
      </c>
    </row>
    <row r="234" spans="1:12" x14ac:dyDescent="0.3">
      <c r="A234" s="22" t="s">
        <v>2045</v>
      </c>
      <c r="B234" s="34" cm="1">
        <f t="array" ref="B234:C234">_xlfn.XLOOKUP(A234,Sales_Fact!A234:A2218,Sales_Fact!B234:C2218)</f>
        <v>45349</v>
      </c>
      <c r="C234" s="22" t="str">
        <v>CUST1463</v>
      </c>
      <c r="D234" s="22" t="str">
        <f>VLOOKUP('Combine Products &amp; Sales Facts'!C234,'Customer Details'!A:B,2,0)</f>
        <v>Samantha Lee</v>
      </c>
      <c r="E234" s="22" t="str">
        <f>VLOOKUP(C234,Sales_Fact!C:D,2,0)</f>
        <v>PROD8</v>
      </c>
      <c r="F234" s="22" t="str">
        <f>VLOOKUP(E234,Product_Dim!A:C,3,0)</f>
        <v>Electronics</v>
      </c>
      <c r="G234" s="22" t="str" cm="1">
        <f t="array" ref="G234:L234">_xlfn.XLOOKUP(C234,Sales_Fact!C234:C2218,Sales_Fact!E234:J2218)</f>
        <v>STORE7</v>
      </c>
      <c r="H234" s="22">
        <v>2</v>
      </c>
      <c r="I234" s="22">
        <v>377.3</v>
      </c>
      <c r="J234" s="22">
        <v>0.15</v>
      </c>
      <c r="K234" s="22" t="str">
        <v>PayPal</v>
      </c>
      <c r="L234" s="22">
        <v>641.41</v>
      </c>
    </row>
    <row r="235" spans="1:12" x14ac:dyDescent="0.3">
      <c r="A235" s="22" t="s">
        <v>2046</v>
      </c>
      <c r="B235" s="34" cm="1">
        <f t="array" ref="B235:C235">_xlfn.XLOOKUP(A235,Sales_Fact!A235:A2219,Sales_Fact!B235:C2219)</f>
        <v>45846</v>
      </c>
      <c r="C235" s="22" t="str">
        <v>CUST1344</v>
      </c>
      <c r="D235" s="22" t="str">
        <f>VLOOKUP('Combine Products &amp; Sales Facts'!C235,'Customer Details'!A:B,2,0)</f>
        <v>Evelyn Brown</v>
      </c>
      <c r="E235" s="22" t="str">
        <f>VLOOKUP(C235,Sales_Fact!C:D,2,0)</f>
        <v>PROD89</v>
      </c>
      <c r="F235" s="22" t="str">
        <f>VLOOKUP(E235,Product_Dim!A:C,3,0)</f>
        <v>Beauty</v>
      </c>
      <c r="G235" s="22" t="str" cm="1">
        <f t="array" ref="G235:L235">_xlfn.XLOOKUP(C235,Sales_Fact!C235:C2219,Sales_Fact!E235:J2219)</f>
        <v>STORE7</v>
      </c>
      <c r="H235" s="22">
        <v>2</v>
      </c>
      <c r="I235" s="22">
        <v>130.47999999999999</v>
      </c>
      <c r="J235" s="22">
        <v>0.23</v>
      </c>
      <c r="K235" s="22" t="str">
        <v>PayPal</v>
      </c>
      <c r="L235" s="22">
        <v>200.9392</v>
      </c>
    </row>
    <row r="236" spans="1:12" x14ac:dyDescent="0.3">
      <c r="A236" s="22" t="s">
        <v>2047</v>
      </c>
      <c r="B236" s="34" cm="1">
        <f t="array" ref="B236:C236">_xlfn.XLOOKUP(A236,Sales_Fact!A236:A2220,Sales_Fact!B236:C2220)</f>
        <v>45729</v>
      </c>
      <c r="C236" s="22" t="str">
        <v>CUST1435</v>
      </c>
      <c r="D236" s="22" t="str">
        <f>VLOOKUP('Combine Products &amp; Sales Facts'!C236,'Customer Details'!A:B,2,0)</f>
        <v>Lindsay Beasley</v>
      </c>
      <c r="E236" s="22" t="str">
        <f>VLOOKUP(C236,Sales_Fact!C:D,2,0)</f>
        <v>PROD36</v>
      </c>
      <c r="F236" s="22" t="str">
        <f>VLOOKUP(E236,Product_Dim!A:C,3,0)</f>
        <v>Clothing</v>
      </c>
      <c r="G236" s="22" t="str" cm="1">
        <f t="array" ref="G236:L236">_xlfn.XLOOKUP(C236,Sales_Fact!C236:C2220,Sales_Fact!E236:J2220)</f>
        <v>STORE12</v>
      </c>
      <c r="H236" s="22">
        <v>1</v>
      </c>
      <c r="I236" s="22">
        <v>809.45</v>
      </c>
      <c r="J236" s="22">
        <v>0.09</v>
      </c>
      <c r="K236" s="22" t="str">
        <v>COD</v>
      </c>
      <c r="L236" s="22">
        <v>736.59950000000003</v>
      </c>
    </row>
    <row r="237" spans="1:12" x14ac:dyDescent="0.3">
      <c r="A237" s="22" t="s">
        <v>2048</v>
      </c>
      <c r="B237" s="34" cm="1">
        <f t="array" ref="B237:C237">_xlfn.XLOOKUP(A237,Sales_Fact!A237:A2221,Sales_Fact!B237:C2221)</f>
        <v>45768</v>
      </c>
      <c r="C237" s="22" t="str">
        <v>CUST1083</v>
      </c>
      <c r="D237" s="22" t="str">
        <f>VLOOKUP('Combine Products &amp; Sales Facts'!C237,'Customer Details'!A:B,2,0)</f>
        <v>Thomas Robinson</v>
      </c>
      <c r="E237" s="22" t="str">
        <f>VLOOKUP(C237,Sales_Fact!C:D,2,0)</f>
        <v>PROD45</v>
      </c>
      <c r="F237" s="22" t="str">
        <f>VLOOKUP(E237,Product_Dim!A:C,3,0)</f>
        <v>Sports</v>
      </c>
      <c r="G237" s="22" t="str" cm="1">
        <f t="array" ref="G237:L237">_xlfn.XLOOKUP(C237,Sales_Fact!C237:C2221,Sales_Fact!E237:J2221)</f>
        <v>STORE9</v>
      </c>
      <c r="H237" s="22">
        <v>3</v>
      </c>
      <c r="I237" s="22">
        <v>499.12</v>
      </c>
      <c r="J237" s="22">
        <v>0.05</v>
      </c>
      <c r="K237" s="22" t="str">
        <v>PayPal</v>
      </c>
      <c r="L237" s="22">
        <v>1422.492</v>
      </c>
    </row>
    <row r="238" spans="1:12" x14ac:dyDescent="0.3">
      <c r="A238" s="22" t="s">
        <v>2049</v>
      </c>
      <c r="B238" s="34" cm="1">
        <f t="array" ref="B238:C238">_xlfn.XLOOKUP(A238,Sales_Fact!A238:A2222,Sales_Fact!B238:C2222)</f>
        <v>45606</v>
      </c>
      <c r="C238" s="22" t="str">
        <v>CUST1023</v>
      </c>
      <c r="D238" s="22" t="str">
        <f>VLOOKUP('Combine Products &amp; Sales Facts'!C238,'Customer Details'!A:B,2,0)</f>
        <v>Jonathan Steele</v>
      </c>
      <c r="E238" s="22" t="str">
        <f>VLOOKUP(C238,Sales_Fact!C:D,2,0)</f>
        <v>PROD68</v>
      </c>
      <c r="F238" s="22" t="str">
        <f>VLOOKUP(E238,Product_Dim!A:C,3,0)</f>
        <v>Home</v>
      </c>
      <c r="G238" s="22" t="str" cm="1">
        <f t="array" ref="G238:L238">_xlfn.XLOOKUP(C238,Sales_Fact!C238:C2222,Sales_Fact!E238:J2222)</f>
        <v>STORE3</v>
      </c>
      <c r="H238" s="22">
        <v>2</v>
      </c>
      <c r="I238" s="22">
        <v>894.58</v>
      </c>
      <c r="J238" s="22">
        <v>0.25</v>
      </c>
      <c r="K238" s="22" t="str">
        <v>Credit Card</v>
      </c>
      <c r="L238" s="22">
        <v>1341.87</v>
      </c>
    </row>
    <row r="239" spans="1:12" x14ac:dyDescent="0.3">
      <c r="A239" s="22" t="s">
        <v>2050</v>
      </c>
      <c r="B239" s="34" cm="1">
        <f t="array" ref="B239:C239">_xlfn.XLOOKUP(A239,Sales_Fact!A239:A2223,Sales_Fact!B239:C2223)</f>
        <v>45513</v>
      </c>
      <c r="C239" s="22" t="str">
        <v>CUST1131</v>
      </c>
      <c r="D239" s="22" t="str">
        <f>VLOOKUP('Combine Products &amp; Sales Facts'!C239,'Customer Details'!A:B,2,0)</f>
        <v>Joseph Richards</v>
      </c>
      <c r="E239" s="22" t="str">
        <f>VLOOKUP(C239,Sales_Fact!C:D,2,0)</f>
        <v>PROD56</v>
      </c>
      <c r="F239" s="22" t="str">
        <f>VLOOKUP(E239,Product_Dim!A:C,3,0)</f>
        <v>Home</v>
      </c>
      <c r="G239" s="22" t="str" cm="1">
        <f t="array" ref="G239:L239">_xlfn.XLOOKUP(C239,Sales_Fact!C239:C2223,Sales_Fact!E239:J2223)</f>
        <v>STORE9</v>
      </c>
      <c r="H239" s="22">
        <v>4</v>
      </c>
      <c r="I239" s="22">
        <v>578.39</v>
      </c>
      <c r="J239" s="22">
        <v>0.01</v>
      </c>
      <c r="K239" s="22" t="str">
        <v>Credit Card</v>
      </c>
      <c r="L239" s="22">
        <v>2290.4243999999999</v>
      </c>
    </row>
    <row r="240" spans="1:12" x14ac:dyDescent="0.3">
      <c r="A240" s="22" t="s">
        <v>2051</v>
      </c>
      <c r="B240" s="34" cm="1">
        <f t="array" ref="B240:C240">_xlfn.XLOOKUP(A240,Sales_Fact!A240:A2224,Sales_Fact!B240:C2224)</f>
        <v>45356</v>
      </c>
      <c r="C240" s="22" t="str">
        <v>CUST1485</v>
      </c>
      <c r="D240" s="22" t="str">
        <f>VLOOKUP('Combine Products &amp; Sales Facts'!C240,'Customer Details'!A:B,2,0)</f>
        <v>Sara Ingram</v>
      </c>
      <c r="E240" s="22" t="str">
        <f>VLOOKUP(C240,Sales_Fact!C:D,2,0)</f>
        <v>PROD26</v>
      </c>
      <c r="F240" s="22" t="str">
        <f>VLOOKUP(E240,Product_Dim!A:C,3,0)</f>
        <v>Electronics</v>
      </c>
      <c r="G240" s="22" t="str" cm="1">
        <f t="array" ref="G240:L240">_xlfn.XLOOKUP(C240,Sales_Fact!C240:C2224,Sales_Fact!E240:J2224)</f>
        <v>STORE17</v>
      </c>
      <c r="H240" s="22">
        <v>4</v>
      </c>
      <c r="I240" s="22">
        <v>982.45</v>
      </c>
      <c r="J240" s="22">
        <v>0.2</v>
      </c>
      <c r="K240" s="22" t="str">
        <v>PayPal</v>
      </c>
      <c r="L240" s="22">
        <v>3143.84</v>
      </c>
    </row>
    <row r="241" spans="1:12" x14ac:dyDescent="0.3">
      <c r="A241" s="22" t="s">
        <v>2052</v>
      </c>
      <c r="B241" s="34" cm="1">
        <f t="array" ref="B241:C241">_xlfn.XLOOKUP(A241,Sales_Fact!A241:A2225,Sales_Fact!B241:C2225)</f>
        <v>45925</v>
      </c>
      <c r="C241" s="22" t="str">
        <v>CUST1449</v>
      </c>
      <c r="D241" s="22" t="str">
        <f>VLOOKUP('Combine Products &amp; Sales Facts'!C241,'Customer Details'!A:B,2,0)</f>
        <v>William Cortez</v>
      </c>
      <c r="E241" s="22" t="str">
        <f>VLOOKUP(C241,Sales_Fact!C:D,2,0)</f>
        <v>PROD98</v>
      </c>
      <c r="F241" s="22" t="str">
        <f>VLOOKUP(E241,Product_Dim!A:C,3,0)</f>
        <v>Electronics</v>
      </c>
      <c r="G241" s="22" t="str" cm="1">
        <f t="array" ref="G241:L241">_xlfn.XLOOKUP(C241,Sales_Fact!C241:C2225,Sales_Fact!E241:J2225)</f>
        <v>STORE19</v>
      </c>
      <c r="H241" s="22">
        <v>1</v>
      </c>
      <c r="I241" s="22">
        <v>549.52</v>
      </c>
      <c r="J241" s="22">
        <v>0.1</v>
      </c>
      <c r="K241" s="22" t="str">
        <v>PayPal</v>
      </c>
      <c r="L241" s="22">
        <v>494.56799999999998</v>
      </c>
    </row>
    <row r="242" spans="1:12" x14ac:dyDescent="0.3">
      <c r="A242" s="22" t="s">
        <v>2053</v>
      </c>
      <c r="B242" s="34" cm="1">
        <f t="array" ref="B242:C242">_xlfn.XLOOKUP(A242,Sales_Fact!A242:A2226,Sales_Fact!B242:C2226)</f>
        <v>45876</v>
      </c>
      <c r="C242" s="22" t="str">
        <v>CUST1240</v>
      </c>
      <c r="D242" s="22" t="str">
        <f>VLOOKUP('Combine Products &amp; Sales Facts'!C242,'Customer Details'!A:B,2,0)</f>
        <v>William Hull</v>
      </c>
      <c r="E242" s="22" t="str">
        <f>VLOOKUP(C242,Sales_Fact!C:D,2,0)</f>
        <v>PROD92</v>
      </c>
      <c r="F242" s="22" t="str">
        <f>VLOOKUP(E242,Product_Dim!A:C,3,0)</f>
        <v>Home</v>
      </c>
      <c r="G242" s="22" t="str" cm="1">
        <f t="array" ref="G242:L242">_xlfn.XLOOKUP(C242,Sales_Fact!C242:C2226,Sales_Fact!E242:J2226)</f>
        <v>STORE18</v>
      </c>
      <c r="H242" s="22">
        <v>2</v>
      </c>
      <c r="I242" s="22">
        <v>239.92</v>
      </c>
      <c r="J242" s="22">
        <v>0.16</v>
      </c>
      <c r="K242" s="22" t="str">
        <v>Credit Card</v>
      </c>
      <c r="L242" s="22">
        <v>403.06560000000002</v>
      </c>
    </row>
    <row r="243" spans="1:12" x14ac:dyDescent="0.3">
      <c r="A243" s="22" t="s">
        <v>2054</v>
      </c>
      <c r="B243" s="34" cm="1">
        <f t="array" ref="B243:C243">_xlfn.XLOOKUP(A243,Sales_Fact!A243:A2227,Sales_Fact!B243:C2227)</f>
        <v>45338</v>
      </c>
      <c r="C243" s="22" t="str">
        <v>CUST1082</v>
      </c>
      <c r="D243" s="22" t="str">
        <f>VLOOKUP('Combine Products &amp; Sales Facts'!C243,'Customer Details'!A:B,2,0)</f>
        <v>George Rosario</v>
      </c>
      <c r="E243" s="22" t="str">
        <f>VLOOKUP(C243,Sales_Fact!C:D,2,0)</f>
        <v>PROD92</v>
      </c>
      <c r="F243" s="22" t="str">
        <f>VLOOKUP(E243,Product_Dim!A:C,3,0)</f>
        <v>Home</v>
      </c>
      <c r="G243" s="22" t="str" cm="1">
        <f t="array" ref="G243:L243">_xlfn.XLOOKUP(C243,Sales_Fact!C243:C2227,Sales_Fact!E243:J2227)</f>
        <v>STORE6</v>
      </c>
      <c r="H243" s="22">
        <v>2</v>
      </c>
      <c r="I243" s="22">
        <v>878.05</v>
      </c>
      <c r="J243" s="22">
        <v>0.11</v>
      </c>
      <c r="K243" s="22" t="str">
        <v>PayPal</v>
      </c>
      <c r="L243" s="22">
        <v>1562.9290000000001</v>
      </c>
    </row>
    <row r="244" spans="1:12" x14ac:dyDescent="0.3">
      <c r="A244" s="22" t="s">
        <v>2055</v>
      </c>
      <c r="B244" s="34" cm="1">
        <f t="array" ref="B244:C244">_xlfn.XLOOKUP(A244,Sales_Fact!A244:A2228,Sales_Fact!B244:C2228)</f>
        <v>45746</v>
      </c>
      <c r="C244" s="22" t="str">
        <v>CUST1044</v>
      </c>
      <c r="D244" s="22" t="str">
        <f>VLOOKUP('Combine Products &amp; Sales Facts'!C244,'Customer Details'!A:B,2,0)</f>
        <v>Denise Williams</v>
      </c>
      <c r="E244" s="22" t="str">
        <f>VLOOKUP(C244,Sales_Fact!C:D,2,0)</f>
        <v>PROD1</v>
      </c>
      <c r="F244" s="22" t="str">
        <f>VLOOKUP(E244,Product_Dim!A:C,3,0)</f>
        <v>Clothing</v>
      </c>
      <c r="G244" s="22" t="str" cm="1">
        <f t="array" ref="G244:L244">_xlfn.XLOOKUP(C244,Sales_Fact!C244:C2228,Sales_Fact!E244:J2228)</f>
        <v>STORE9</v>
      </c>
      <c r="H244" s="22">
        <v>3</v>
      </c>
      <c r="I244" s="22">
        <v>546.96</v>
      </c>
      <c r="J244" s="22">
        <v>0.19</v>
      </c>
      <c r="K244" s="22" t="str">
        <v>Credit Card</v>
      </c>
      <c r="L244" s="22">
        <v>1329.1128000000001</v>
      </c>
    </row>
    <row r="245" spans="1:12" x14ac:dyDescent="0.3">
      <c r="A245" s="22" t="s">
        <v>2056</v>
      </c>
      <c r="B245" s="34" cm="1">
        <f t="array" ref="B245:C245">_xlfn.XLOOKUP(A245,Sales_Fact!A245:A2229,Sales_Fact!B245:C2229)</f>
        <v>45706</v>
      </c>
      <c r="C245" s="22" t="str">
        <v>CUST1471</v>
      </c>
      <c r="D245" s="22" t="str">
        <f>VLOOKUP('Combine Products &amp; Sales Facts'!C245,'Customer Details'!A:B,2,0)</f>
        <v>Debra Mccullough</v>
      </c>
      <c r="E245" s="22" t="str">
        <f>VLOOKUP(C245,Sales_Fact!C:D,2,0)</f>
        <v>PROD17</v>
      </c>
      <c r="F245" s="22" t="str">
        <f>VLOOKUP(E245,Product_Dim!A:C,3,0)</f>
        <v>Sports</v>
      </c>
      <c r="G245" s="22" t="str" cm="1">
        <f t="array" ref="G245:L245">_xlfn.XLOOKUP(C245,Sales_Fact!C245:C2229,Sales_Fact!E245:J2229)</f>
        <v>STORE10</v>
      </c>
      <c r="H245" s="22">
        <v>2</v>
      </c>
      <c r="I245" s="22">
        <v>71.77</v>
      </c>
      <c r="J245" s="22">
        <v>0.22</v>
      </c>
      <c r="K245" s="22" t="str">
        <v>Credit Card</v>
      </c>
      <c r="L245" s="22">
        <v>111.96120000000001</v>
      </c>
    </row>
    <row r="246" spans="1:12" x14ac:dyDescent="0.3">
      <c r="A246" s="22" t="s">
        <v>2057</v>
      </c>
      <c r="B246" s="34" cm="1">
        <f t="array" ref="B246:C246">_xlfn.XLOOKUP(A246,Sales_Fact!A246:A2230,Sales_Fact!B246:C2230)</f>
        <v>45717</v>
      </c>
      <c r="C246" s="22" t="str">
        <v>CUST1013</v>
      </c>
      <c r="D246" s="22" t="str">
        <f>VLOOKUP('Combine Products &amp; Sales Facts'!C246,'Customer Details'!A:B,2,0)</f>
        <v>Nathan Hernandez</v>
      </c>
      <c r="E246" s="22" t="str">
        <f>VLOOKUP(C246,Sales_Fact!C:D,2,0)</f>
        <v>PROD24</v>
      </c>
      <c r="F246" s="22" t="str">
        <f>VLOOKUP(E246,Product_Dim!A:C,3,0)</f>
        <v>Sports</v>
      </c>
      <c r="G246" s="22" t="str" cm="1">
        <f t="array" ref="G246:L246">_xlfn.XLOOKUP(C246,Sales_Fact!C246:C2230,Sales_Fact!E246:J2230)</f>
        <v>STORE1</v>
      </c>
      <c r="H246" s="22">
        <v>2</v>
      </c>
      <c r="I246" s="22">
        <v>679.86</v>
      </c>
      <c r="J246" s="22">
        <v>0.22</v>
      </c>
      <c r="K246" s="22" t="str">
        <v>COD</v>
      </c>
      <c r="L246" s="22">
        <v>1060.5816</v>
      </c>
    </row>
    <row r="247" spans="1:12" x14ac:dyDescent="0.3">
      <c r="A247" s="22" t="s">
        <v>2058</v>
      </c>
      <c r="B247" s="34" cm="1">
        <f t="array" ref="B247:C247">_xlfn.XLOOKUP(A247,Sales_Fact!A247:A2231,Sales_Fact!B247:C2231)</f>
        <v>45300</v>
      </c>
      <c r="C247" s="22" t="str">
        <v>CUST1136</v>
      </c>
      <c r="D247" s="22" t="str">
        <f>VLOOKUP('Combine Products &amp; Sales Facts'!C247,'Customer Details'!A:B,2,0)</f>
        <v>Patrick Coleman</v>
      </c>
      <c r="E247" s="22" t="str">
        <f>VLOOKUP(C247,Sales_Fact!C:D,2,0)</f>
        <v>PROD35</v>
      </c>
      <c r="F247" s="22" t="str">
        <f>VLOOKUP(E247,Product_Dim!A:C,3,0)</f>
        <v>Home</v>
      </c>
      <c r="G247" s="22" t="str" cm="1">
        <f t="array" ref="G247:L247">_xlfn.XLOOKUP(C247,Sales_Fact!C247:C2231,Sales_Fact!E247:J2231)</f>
        <v>STORE17</v>
      </c>
      <c r="H247" s="22">
        <v>1</v>
      </c>
      <c r="I247" s="22">
        <v>222.94</v>
      </c>
      <c r="J247" s="22">
        <v>0.19</v>
      </c>
      <c r="K247" s="22" t="str">
        <v>Credit Card</v>
      </c>
      <c r="L247" s="22">
        <v>180.5814</v>
      </c>
    </row>
    <row r="248" spans="1:12" x14ac:dyDescent="0.3">
      <c r="A248" s="22" t="s">
        <v>2059</v>
      </c>
      <c r="B248" s="34" cm="1">
        <f t="array" ref="B248:C248">_xlfn.XLOOKUP(A248,Sales_Fact!A248:A2232,Sales_Fact!B248:C2232)</f>
        <v>45497</v>
      </c>
      <c r="C248" s="22" t="str">
        <v>CUST1103</v>
      </c>
      <c r="D248" s="22" t="str">
        <f>VLOOKUP('Combine Products &amp; Sales Facts'!C248,'Customer Details'!A:B,2,0)</f>
        <v>Steven Stein</v>
      </c>
      <c r="E248" s="22" t="str">
        <f>VLOOKUP(C248,Sales_Fact!C:D,2,0)</f>
        <v>PROD89</v>
      </c>
      <c r="F248" s="22" t="str">
        <f>VLOOKUP(E248,Product_Dim!A:C,3,0)</f>
        <v>Beauty</v>
      </c>
      <c r="G248" s="22" t="str" cm="1">
        <f t="array" ref="G248:L248">_xlfn.XLOOKUP(C248,Sales_Fact!C248:C2232,Sales_Fact!E248:J2232)</f>
        <v>STORE19</v>
      </c>
      <c r="H248" s="22">
        <v>4</v>
      </c>
      <c r="I248" s="22">
        <v>611.29999999999995</v>
      </c>
      <c r="J248" s="22">
        <v>0.11</v>
      </c>
      <c r="K248" s="22" t="str">
        <v>PayPal</v>
      </c>
      <c r="L248" s="22">
        <v>2176.2280000000001</v>
      </c>
    </row>
    <row r="249" spans="1:12" x14ac:dyDescent="0.3">
      <c r="A249" s="22" t="s">
        <v>2060</v>
      </c>
      <c r="B249" s="34" cm="1">
        <f t="array" ref="B249:C249">_xlfn.XLOOKUP(A249,Sales_Fact!A249:A2233,Sales_Fact!B249:C2233)</f>
        <v>45742</v>
      </c>
      <c r="C249" s="22" t="str">
        <v>CUST1333</v>
      </c>
      <c r="D249" s="22" t="str">
        <f>VLOOKUP('Combine Products &amp; Sales Facts'!C249,'Customer Details'!A:B,2,0)</f>
        <v>Teresa Johnson</v>
      </c>
      <c r="E249" s="22" t="str">
        <f>VLOOKUP(C249,Sales_Fact!C:D,2,0)</f>
        <v>PROD0</v>
      </c>
      <c r="F249" s="22" t="str">
        <f>VLOOKUP(E249,Product_Dim!A:C,3,0)</f>
        <v>Electronics</v>
      </c>
      <c r="G249" s="22" t="str" cm="1">
        <f t="array" ref="G249:L249">_xlfn.XLOOKUP(C249,Sales_Fact!C249:C2233,Sales_Fact!E249:J2233)</f>
        <v>STORE8</v>
      </c>
      <c r="H249" s="22">
        <v>4</v>
      </c>
      <c r="I249" s="22">
        <v>849.21</v>
      </c>
      <c r="J249" s="22">
        <v>7.0000000000000007E-2</v>
      </c>
      <c r="K249" s="22" t="str">
        <v>Credit Card</v>
      </c>
      <c r="L249" s="22">
        <v>3159.0612000000001</v>
      </c>
    </row>
    <row r="250" spans="1:12" x14ac:dyDescent="0.3">
      <c r="A250" s="22" t="s">
        <v>2061</v>
      </c>
      <c r="B250" s="34" cm="1">
        <f t="array" ref="B250:C250">_xlfn.XLOOKUP(A250,Sales_Fact!A250:A2234,Sales_Fact!B250:C2234)</f>
        <v>45713</v>
      </c>
      <c r="C250" s="22" t="str">
        <v>CUST1209</v>
      </c>
      <c r="D250" s="22" t="str">
        <f>VLOOKUP('Combine Products &amp; Sales Facts'!C250,'Customer Details'!A:B,2,0)</f>
        <v>Joan Johnson</v>
      </c>
      <c r="E250" s="22" t="str">
        <f>VLOOKUP(C250,Sales_Fact!C:D,2,0)</f>
        <v>PROD42</v>
      </c>
      <c r="F250" s="22" t="str">
        <f>VLOOKUP(E250,Product_Dim!A:C,3,0)</f>
        <v>Electronics</v>
      </c>
      <c r="G250" s="22" t="str" cm="1">
        <f t="array" ref="G250:L250">_xlfn.XLOOKUP(C250,Sales_Fact!C250:C2234,Sales_Fact!E250:J2234)</f>
        <v>STORE7</v>
      </c>
      <c r="H250" s="22">
        <v>3</v>
      </c>
      <c r="I250" s="22">
        <v>553.12</v>
      </c>
      <c r="J250" s="22">
        <v>0.28000000000000003</v>
      </c>
      <c r="K250" s="22" t="str">
        <v>COD</v>
      </c>
      <c r="L250" s="22">
        <v>1194.7392</v>
      </c>
    </row>
    <row r="251" spans="1:12" x14ac:dyDescent="0.3">
      <c r="A251" s="22" t="s">
        <v>2062</v>
      </c>
      <c r="B251" s="34" cm="1">
        <f t="array" ref="B251:C251">_xlfn.XLOOKUP(A251,Sales_Fact!A251:A2235,Sales_Fact!B251:C2235)</f>
        <v>45826</v>
      </c>
      <c r="C251" s="22" t="str">
        <v>CUST1282</v>
      </c>
      <c r="D251" s="22" t="str">
        <f>VLOOKUP('Combine Products &amp; Sales Facts'!C251,'Customer Details'!A:B,2,0)</f>
        <v>Kristi Lopez</v>
      </c>
      <c r="E251" s="22" t="str">
        <f>VLOOKUP(C251,Sales_Fact!C:D,2,0)</f>
        <v>PROD91</v>
      </c>
      <c r="F251" s="22" t="str">
        <f>VLOOKUP(E251,Product_Dim!A:C,3,0)</f>
        <v>Clothing</v>
      </c>
      <c r="G251" s="22" t="str" cm="1">
        <f t="array" ref="G251:L251">_xlfn.XLOOKUP(C251,Sales_Fact!C251:C2235,Sales_Fact!E251:J2235)</f>
        <v>STORE9</v>
      </c>
      <c r="H251" s="22">
        <v>2</v>
      </c>
      <c r="I251" s="22">
        <v>903.08</v>
      </c>
      <c r="J251" s="22">
        <v>0.18</v>
      </c>
      <c r="K251" s="22" t="str">
        <v>COD</v>
      </c>
      <c r="L251" s="22">
        <v>1481.0512000000001</v>
      </c>
    </row>
    <row r="252" spans="1:12" x14ac:dyDescent="0.3">
      <c r="A252" s="22" t="s">
        <v>2063</v>
      </c>
      <c r="B252" s="34" cm="1">
        <f t="array" ref="B252:C252">_xlfn.XLOOKUP(A252,Sales_Fact!A252:A2236,Sales_Fact!B252:C2236)</f>
        <v>45648</v>
      </c>
      <c r="C252" s="22" t="str">
        <v>CUST1478</v>
      </c>
      <c r="D252" s="22" t="str">
        <f>VLOOKUP('Combine Products &amp; Sales Facts'!C252,'Customer Details'!A:B,2,0)</f>
        <v>Earl Smith Dds</v>
      </c>
      <c r="E252" s="22" t="str">
        <f>VLOOKUP(C252,Sales_Fact!C:D,2,0)</f>
        <v>PROD39</v>
      </c>
      <c r="F252" s="22" t="str">
        <f>VLOOKUP(E252,Product_Dim!A:C,3,0)</f>
        <v>Electronics</v>
      </c>
      <c r="G252" s="22" t="str" cm="1">
        <f t="array" ref="G252:L252">_xlfn.XLOOKUP(C252,Sales_Fact!C252:C2236,Sales_Fact!E252:J2236)</f>
        <v>STORE11</v>
      </c>
      <c r="H252" s="22">
        <v>4</v>
      </c>
      <c r="I252" s="22">
        <v>640.23</v>
      </c>
      <c r="J252" s="22">
        <v>0.06</v>
      </c>
      <c r="K252" s="22" t="str">
        <v>COD</v>
      </c>
      <c r="L252" s="22">
        <v>2407.2647999999999</v>
      </c>
    </row>
    <row r="253" spans="1:12" x14ac:dyDescent="0.3">
      <c r="A253" s="22" t="s">
        <v>2064</v>
      </c>
      <c r="B253" s="34" cm="1">
        <f t="array" ref="B253:C253">_xlfn.XLOOKUP(A253,Sales_Fact!A253:A2237,Sales_Fact!B253:C2237)</f>
        <v>45836</v>
      </c>
      <c r="C253" s="22" t="str">
        <v>CUST1141</v>
      </c>
      <c r="D253" s="22" t="str">
        <f>VLOOKUP('Combine Products &amp; Sales Facts'!C253,'Customer Details'!A:B,2,0)</f>
        <v>Cristian Wright</v>
      </c>
      <c r="E253" s="22" t="str">
        <f>VLOOKUP(C253,Sales_Fact!C:D,2,0)</f>
        <v>PROD21</v>
      </c>
      <c r="F253" s="22" t="str">
        <f>VLOOKUP(E253,Product_Dim!A:C,3,0)</f>
        <v>Home</v>
      </c>
      <c r="G253" s="22" t="str" cm="1">
        <f t="array" ref="G253:L253">_xlfn.XLOOKUP(C253,Sales_Fact!C253:C2237,Sales_Fact!E253:J2237)</f>
        <v>STORE6</v>
      </c>
      <c r="H253" s="22">
        <v>1</v>
      </c>
      <c r="I253" s="22">
        <v>518</v>
      </c>
      <c r="J253" s="22">
        <v>0.25</v>
      </c>
      <c r="K253" s="22" t="str">
        <v>Credit Card</v>
      </c>
      <c r="L253" s="22">
        <v>388.5</v>
      </c>
    </row>
    <row r="254" spans="1:12" x14ac:dyDescent="0.3">
      <c r="A254" s="22" t="s">
        <v>2065</v>
      </c>
      <c r="B254" s="34" cm="1">
        <f t="array" ref="B254:C254">_xlfn.XLOOKUP(A254,Sales_Fact!A254:A2238,Sales_Fact!B254:C2238)</f>
        <v>45437</v>
      </c>
      <c r="C254" s="22" t="str">
        <v>CUST1433</v>
      </c>
      <c r="D254" s="22" t="str">
        <f>VLOOKUP('Combine Products &amp; Sales Facts'!C254,'Customer Details'!A:B,2,0)</f>
        <v>Thomas Moore</v>
      </c>
      <c r="E254" s="22" t="str">
        <f>VLOOKUP(C254,Sales_Fact!C:D,2,0)</f>
        <v>PROD64</v>
      </c>
      <c r="F254" s="22" t="str">
        <f>VLOOKUP(E254,Product_Dim!A:C,3,0)</f>
        <v>Beauty</v>
      </c>
      <c r="G254" s="22" t="str" cm="1">
        <f t="array" ref="G254:L254">_xlfn.XLOOKUP(C254,Sales_Fact!C254:C2238,Sales_Fact!E254:J2238)</f>
        <v>STORE4</v>
      </c>
      <c r="H254" s="22">
        <v>4</v>
      </c>
      <c r="I254" s="22">
        <v>779.25</v>
      </c>
      <c r="J254" s="22">
        <v>0.25</v>
      </c>
      <c r="K254" s="22" t="str">
        <v>Credit Card</v>
      </c>
      <c r="L254" s="22">
        <v>2337.75</v>
      </c>
    </row>
    <row r="255" spans="1:12" x14ac:dyDescent="0.3">
      <c r="A255" s="22" t="s">
        <v>2066</v>
      </c>
      <c r="B255" s="34" cm="1">
        <f t="array" ref="B255:C255">_xlfn.XLOOKUP(A255,Sales_Fact!A255:A2239,Sales_Fact!B255:C2239)</f>
        <v>45807</v>
      </c>
      <c r="C255" s="22" t="str">
        <v>CUST1118</v>
      </c>
      <c r="D255" s="22" t="str">
        <f>VLOOKUP('Combine Products &amp; Sales Facts'!C255,'Customer Details'!A:B,2,0)</f>
        <v>Earl Allen</v>
      </c>
      <c r="E255" s="22" t="str">
        <f>VLOOKUP(C255,Sales_Fact!C:D,2,0)</f>
        <v>PROD83</v>
      </c>
      <c r="F255" s="22" t="str">
        <f>VLOOKUP(E255,Product_Dim!A:C,3,0)</f>
        <v>Beauty</v>
      </c>
      <c r="G255" s="22" t="str" cm="1">
        <f t="array" ref="G255:L255">_xlfn.XLOOKUP(C255,Sales_Fact!C255:C2239,Sales_Fact!E255:J2239)</f>
        <v>STORE7</v>
      </c>
      <c r="H255" s="22">
        <v>2</v>
      </c>
      <c r="I255" s="22">
        <v>467.75</v>
      </c>
      <c r="J255" s="22">
        <v>0.26</v>
      </c>
      <c r="K255" s="22" t="str">
        <v>Credit Card</v>
      </c>
      <c r="L255" s="22">
        <v>692.27</v>
      </c>
    </row>
    <row r="256" spans="1:12" x14ac:dyDescent="0.3">
      <c r="A256" s="22" t="s">
        <v>2067</v>
      </c>
      <c r="B256" s="34" cm="1">
        <f t="array" ref="B256:C256">_xlfn.XLOOKUP(A256,Sales_Fact!A256:A2240,Sales_Fact!B256:C2240)</f>
        <v>45803</v>
      </c>
      <c r="C256" s="22" t="str">
        <v>CUST1219</v>
      </c>
      <c r="D256" s="22" t="str">
        <f>VLOOKUP('Combine Products &amp; Sales Facts'!C256,'Customer Details'!A:B,2,0)</f>
        <v>Jordan Wells</v>
      </c>
      <c r="E256" s="22" t="str">
        <f>VLOOKUP(C256,Sales_Fact!C:D,2,0)</f>
        <v>PROD37</v>
      </c>
      <c r="F256" s="22" t="str">
        <f>VLOOKUP(E256,Product_Dim!A:C,3,0)</f>
        <v>Clothing</v>
      </c>
      <c r="G256" s="22" t="str" cm="1">
        <f t="array" ref="G256:L256">_xlfn.XLOOKUP(C256,Sales_Fact!C256:C2240,Sales_Fact!E256:J2240)</f>
        <v>STORE0</v>
      </c>
      <c r="H256" s="22">
        <v>4</v>
      </c>
      <c r="I256" s="22">
        <v>747.01</v>
      </c>
      <c r="J256" s="22">
        <v>0.13</v>
      </c>
      <c r="K256" s="22" t="str">
        <v>PayPal</v>
      </c>
      <c r="L256" s="22">
        <v>2599.5947999999999</v>
      </c>
    </row>
    <row r="257" spans="1:12" x14ac:dyDescent="0.3">
      <c r="A257" s="22" t="s">
        <v>2068</v>
      </c>
      <c r="B257" s="34" cm="1">
        <f t="array" ref="B257:C257">_xlfn.XLOOKUP(A257,Sales_Fact!A257:A2241,Sales_Fact!B257:C2241)</f>
        <v>45735</v>
      </c>
      <c r="C257" s="22" t="str">
        <v>CUST1101</v>
      </c>
      <c r="D257" s="22" t="str">
        <f>VLOOKUP('Combine Products &amp; Sales Facts'!C257,'Customer Details'!A:B,2,0)</f>
        <v>Colleen Maynard</v>
      </c>
      <c r="E257" s="22" t="str">
        <f>VLOOKUP(C257,Sales_Fact!C:D,2,0)</f>
        <v>PROD89</v>
      </c>
      <c r="F257" s="22" t="str">
        <f>VLOOKUP(E257,Product_Dim!A:C,3,0)</f>
        <v>Beauty</v>
      </c>
      <c r="G257" s="22" t="str" cm="1">
        <f t="array" ref="G257:L257">_xlfn.XLOOKUP(C257,Sales_Fact!C257:C2241,Sales_Fact!E257:J2241)</f>
        <v>STORE12</v>
      </c>
      <c r="H257" s="22">
        <v>4</v>
      </c>
      <c r="I257" s="22">
        <v>461.83</v>
      </c>
      <c r="J257" s="22">
        <v>0.28000000000000003</v>
      </c>
      <c r="K257" s="22" t="str">
        <v>PayPal</v>
      </c>
      <c r="L257" s="22">
        <v>1330.0704000000001</v>
      </c>
    </row>
    <row r="258" spans="1:12" x14ac:dyDescent="0.3">
      <c r="A258" s="22" t="s">
        <v>2069</v>
      </c>
      <c r="B258" s="34" cm="1">
        <f t="array" ref="B258:C258">_xlfn.XLOOKUP(A258,Sales_Fact!A258:A2242,Sales_Fact!B258:C2242)</f>
        <v>45750</v>
      </c>
      <c r="C258" s="22" t="str">
        <v>CUST1134</v>
      </c>
      <c r="D258" s="22" t="str">
        <f>VLOOKUP('Combine Products &amp; Sales Facts'!C258,'Customer Details'!A:B,2,0)</f>
        <v>Morgan Bowen</v>
      </c>
      <c r="E258" s="22" t="str">
        <f>VLOOKUP(C258,Sales_Fact!C:D,2,0)</f>
        <v>PROD70</v>
      </c>
      <c r="F258" s="22" t="str">
        <f>VLOOKUP(E258,Product_Dim!A:C,3,0)</f>
        <v>Home</v>
      </c>
      <c r="G258" s="22" t="str" cm="1">
        <f t="array" ref="G258:L258">_xlfn.XLOOKUP(C258,Sales_Fact!C258:C2242,Sales_Fact!E258:J2242)</f>
        <v>STORE8</v>
      </c>
      <c r="H258" s="22">
        <v>2</v>
      </c>
      <c r="I258" s="22">
        <v>105.15</v>
      </c>
      <c r="J258" s="22">
        <v>0.06</v>
      </c>
      <c r="K258" s="22" t="str">
        <v>Credit Card</v>
      </c>
      <c r="L258" s="22">
        <v>197.68199999999999</v>
      </c>
    </row>
    <row r="259" spans="1:12" x14ac:dyDescent="0.3">
      <c r="A259" s="22" t="s">
        <v>2070</v>
      </c>
      <c r="B259" s="34" cm="1">
        <f t="array" ref="B259:C259">_xlfn.XLOOKUP(A259,Sales_Fact!A259:A2243,Sales_Fact!B259:C2243)</f>
        <v>45693</v>
      </c>
      <c r="C259" s="22" t="str">
        <v>CUST1033</v>
      </c>
      <c r="D259" s="22" t="str">
        <f>VLOOKUP('Combine Products &amp; Sales Facts'!C259,'Customer Details'!A:B,2,0)</f>
        <v>Robert Jones Dds</v>
      </c>
      <c r="E259" s="22" t="str">
        <f>VLOOKUP(C259,Sales_Fact!C:D,2,0)</f>
        <v>PROD46</v>
      </c>
      <c r="F259" s="22" t="str">
        <f>VLOOKUP(E259,Product_Dim!A:C,3,0)</f>
        <v>Clothing</v>
      </c>
      <c r="G259" s="22" t="str" cm="1">
        <f t="array" ref="G259:L259">_xlfn.XLOOKUP(C259,Sales_Fact!C259:C2243,Sales_Fact!E259:J2243)</f>
        <v>STORE3</v>
      </c>
      <c r="H259" s="22">
        <v>3</v>
      </c>
      <c r="I259" s="22">
        <v>610.24</v>
      </c>
      <c r="J259" s="22">
        <v>0.17</v>
      </c>
      <c r="K259" s="22" t="str">
        <v>COD</v>
      </c>
      <c r="L259" s="22">
        <v>1519.4975999999999</v>
      </c>
    </row>
    <row r="260" spans="1:12" x14ac:dyDescent="0.3">
      <c r="A260" s="22" t="s">
        <v>2071</v>
      </c>
      <c r="B260" s="34" cm="1">
        <f t="array" ref="B260:C260">_xlfn.XLOOKUP(A260,Sales_Fact!A260:A2244,Sales_Fact!B260:C2244)</f>
        <v>45667</v>
      </c>
      <c r="C260" s="22" t="str">
        <v>CUST1312</v>
      </c>
      <c r="D260" s="22" t="str">
        <f>VLOOKUP('Combine Products &amp; Sales Facts'!C260,'Customer Details'!A:B,2,0)</f>
        <v>Jason Mullins</v>
      </c>
      <c r="E260" s="22" t="str">
        <f>VLOOKUP(C260,Sales_Fact!C:D,2,0)</f>
        <v>PROD74</v>
      </c>
      <c r="F260" s="22" t="str">
        <f>VLOOKUP(E260,Product_Dim!A:C,3,0)</f>
        <v>Electronics</v>
      </c>
      <c r="G260" s="22" t="str" cm="1">
        <f t="array" ref="G260:L260">_xlfn.XLOOKUP(C260,Sales_Fact!C260:C2244,Sales_Fact!E260:J2244)</f>
        <v>STORE8</v>
      </c>
      <c r="H260" s="22">
        <v>1</v>
      </c>
      <c r="I260" s="22">
        <v>872.12</v>
      </c>
      <c r="J260" s="22">
        <v>7.0000000000000007E-2</v>
      </c>
      <c r="K260" s="22" t="str">
        <v>PayPal</v>
      </c>
      <c r="L260" s="22">
        <v>811.07159999999999</v>
      </c>
    </row>
    <row r="261" spans="1:12" x14ac:dyDescent="0.3">
      <c r="A261" s="22" t="s">
        <v>3950</v>
      </c>
      <c r="B261" s="34" cm="1">
        <f t="array" ref="B261:C261">_xlfn.XLOOKUP(A261,Sales_Fact!A261:A2245,Sales_Fact!B261:C2245)</f>
        <v>45316</v>
      </c>
      <c r="C261" s="22" t="str">
        <v>CUST1433</v>
      </c>
      <c r="D261" s="22" t="str">
        <f>VLOOKUP('Combine Products &amp; Sales Facts'!C261,'Customer Details'!A:B,2,0)</f>
        <v>Thomas Moore</v>
      </c>
      <c r="E261" s="22" t="str">
        <f>VLOOKUP(C261,Sales_Fact!C:D,2,0)</f>
        <v>PROD64</v>
      </c>
      <c r="F261" s="22" t="str">
        <f>VLOOKUP(E261,Product_Dim!A:C,3,0)</f>
        <v>Beauty</v>
      </c>
      <c r="G261" s="22" t="str" cm="1">
        <f t="array" ref="G261:L261">_xlfn.XLOOKUP(C261,Sales_Fact!C261:C2245,Sales_Fact!E261:J2245)</f>
        <v>STORE1</v>
      </c>
      <c r="H261" s="22">
        <v>1</v>
      </c>
      <c r="I261" s="22">
        <v>406.79</v>
      </c>
      <c r="J261" s="22">
        <v>0.03</v>
      </c>
      <c r="K261" s="22" t="str">
        <v>COD</v>
      </c>
      <c r="L261" s="22">
        <v>394.58629999999999</v>
      </c>
    </row>
    <row r="262" spans="1:12" x14ac:dyDescent="0.3">
      <c r="A262" s="22" t="s">
        <v>2072</v>
      </c>
      <c r="B262" s="34" cm="1">
        <f t="array" ref="B262:C262">_xlfn.XLOOKUP(A262,Sales_Fact!A262:A2246,Sales_Fact!B262:C2246)</f>
        <v>45932</v>
      </c>
      <c r="C262" s="22" t="str">
        <v>CUST1372</v>
      </c>
      <c r="D262" s="22" t="str">
        <f>VLOOKUP('Combine Products &amp; Sales Facts'!C262,'Customer Details'!A:B,2,0)</f>
        <v>Jacqueline Anthony</v>
      </c>
      <c r="E262" s="22" t="str">
        <f>VLOOKUP(C262,Sales_Fact!C:D,2,0)</f>
        <v>PROD72</v>
      </c>
      <c r="F262" s="22" t="str">
        <f>VLOOKUP(E262,Product_Dim!A:C,3,0)</f>
        <v>Sports</v>
      </c>
      <c r="G262" s="22" t="str" cm="1">
        <f t="array" ref="G262:L262">_xlfn.XLOOKUP(C262,Sales_Fact!C262:C2246,Sales_Fact!E262:J2246)</f>
        <v>STORE14</v>
      </c>
      <c r="H262" s="22">
        <v>1</v>
      </c>
      <c r="I262" s="22">
        <v>606.01</v>
      </c>
      <c r="J262" s="22">
        <v>0.04</v>
      </c>
      <c r="K262" s="22" t="str">
        <v>PayPal</v>
      </c>
      <c r="L262" s="22">
        <v>581.76959999999997</v>
      </c>
    </row>
    <row r="263" spans="1:12" x14ac:dyDescent="0.3">
      <c r="A263" s="22" t="s">
        <v>2073</v>
      </c>
      <c r="B263" s="34" cm="1">
        <f t="array" ref="B263:C263">_xlfn.XLOOKUP(A263,Sales_Fact!A263:A2247,Sales_Fact!B263:C2247)</f>
        <v>45483</v>
      </c>
      <c r="C263" s="22" t="str">
        <v>CUST1349</v>
      </c>
      <c r="D263" s="22" t="str">
        <f>VLOOKUP('Combine Products &amp; Sales Facts'!C263,'Customer Details'!A:B,2,0)</f>
        <v>Heather Valenzuela</v>
      </c>
      <c r="E263" s="22" t="str">
        <f>VLOOKUP(C263,Sales_Fact!C:D,2,0)</f>
        <v>PROD71</v>
      </c>
      <c r="F263" s="22" t="str">
        <f>VLOOKUP(E263,Product_Dim!A:C,3,0)</f>
        <v>Beauty</v>
      </c>
      <c r="G263" s="22" t="str" cm="1">
        <f t="array" ref="G263:L263">_xlfn.XLOOKUP(C263,Sales_Fact!C263:C2247,Sales_Fact!E263:J2247)</f>
        <v>STORE5</v>
      </c>
      <c r="H263" s="22">
        <v>4</v>
      </c>
      <c r="I263" s="22">
        <v>322.58</v>
      </c>
      <c r="J263" s="22">
        <v>0.06</v>
      </c>
      <c r="K263" s="22" t="str">
        <v>Credit Card</v>
      </c>
      <c r="L263" s="22">
        <v>1212.9007999999999</v>
      </c>
    </row>
    <row r="264" spans="1:12" x14ac:dyDescent="0.3">
      <c r="A264" s="22" t="s">
        <v>2074</v>
      </c>
      <c r="B264" s="34" cm="1">
        <f t="array" ref="B264:C264">_xlfn.XLOOKUP(A264,Sales_Fact!A264:A2248,Sales_Fact!B264:C2248)</f>
        <v>45661</v>
      </c>
      <c r="C264" s="22" t="str">
        <v>CUST1484</v>
      </c>
      <c r="D264" s="22" t="str">
        <f>VLOOKUP('Combine Products &amp; Sales Facts'!C264,'Customer Details'!A:B,2,0)</f>
        <v>Jessica Castro</v>
      </c>
      <c r="E264" s="22" t="str">
        <f>VLOOKUP(C264,Sales_Fact!C:D,2,0)</f>
        <v>PROD77</v>
      </c>
      <c r="F264" s="22" t="str">
        <f>VLOOKUP(E264,Product_Dim!A:C,3,0)</f>
        <v>Electronics</v>
      </c>
      <c r="G264" s="22" t="str" cm="1">
        <f t="array" ref="G264:L264">_xlfn.XLOOKUP(C264,Sales_Fact!C264:C2248,Sales_Fact!E264:J2248)</f>
        <v>STORE18</v>
      </c>
      <c r="H264" s="22">
        <v>4</v>
      </c>
      <c r="I264" s="22">
        <v>463.17</v>
      </c>
      <c r="J264" s="22">
        <v>0.06</v>
      </c>
      <c r="K264" s="22" t="str">
        <v>PayPal</v>
      </c>
      <c r="L264" s="22">
        <v>1741.5192</v>
      </c>
    </row>
    <row r="265" spans="1:12" x14ac:dyDescent="0.3">
      <c r="A265" s="22" t="s">
        <v>2075</v>
      </c>
      <c r="B265" s="34" cm="1">
        <f t="array" ref="B265:C265">_xlfn.XLOOKUP(A265,Sales_Fact!A265:A2249,Sales_Fact!B265:C2249)</f>
        <v>45798</v>
      </c>
      <c r="C265" s="22" t="str">
        <v>CUST1316</v>
      </c>
      <c r="D265" s="22" t="str">
        <f>VLOOKUP('Combine Products &amp; Sales Facts'!C265,'Customer Details'!A:B,2,0)</f>
        <v>Robert House</v>
      </c>
      <c r="E265" s="22" t="str">
        <f>VLOOKUP(C265,Sales_Fact!C:D,2,0)</f>
        <v>PROD25</v>
      </c>
      <c r="F265" s="22" t="str">
        <f>VLOOKUP(E265,Product_Dim!A:C,3,0)</f>
        <v>Clothing</v>
      </c>
      <c r="G265" s="22" t="str" cm="1">
        <f t="array" ref="G265:L265">_xlfn.XLOOKUP(C265,Sales_Fact!C265:C2249,Sales_Fact!E265:J2249)</f>
        <v>STORE7</v>
      </c>
      <c r="H265" s="22">
        <v>4</v>
      </c>
      <c r="I265" s="22">
        <v>285.82</v>
      </c>
      <c r="J265" s="22">
        <v>0.18</v>
      </c>
      <c r="K265" s="22" t="str">
        <v>PayPal</v>
      </c>
      <c r="L265" s="22">
        <v>937.4896</v>
      </c>
    </row>
    <row r="266" spans="1:12" x14ac:dyDescent="0.3">
      <c r="A266" s="22" t="s">
        <v>2076</v>
      </c>
      <c r="B266" s="34" cm="1">
        <f t="array" ref="B266:C266">_xlfn.XLOOKUP(A266,Sales_Fact!A266:A2250,Sales_Fact!B266:C2250)</f>
        <v>45868</v>
      </c>
      <c r="C266" s="22" t="str">
        <v>CUST1326</v>
      </c>
      <c r="D266" s="22" t="str">
        <f>VLOOKUP('Combine Products &amp; Sales Facts'!C266,'Customer Details'!A:B,2,0)</f>
        <v>Robert King</v>
      </c>
      <c r="E266" s="22" t="str">
        <f>VLOOKUP(C266,Sales_Fact!C:D,2,0)</f>
        <v>PROD37</v>
      </c>
      <c r="F266" s="22" t="str">
        <f>VLOOKUP(E266,Product_Dim!A:C,3,0)</f>
        <v>Clothing</v>
      </c>
      <c r="G266" s="22" t="str" cm="1">
        <f t="array" ref="G266:L266">_xlfn.XLOOKUP(C266,Sales_Fact!C266:C2250,Sales_Fact!E266:J2250)</f>
        <v>STORE11</v>
      </c>
      <c r="H266" s="22">
        <v>3</v>
      </c>
      <c r="I266" s="22">
        <v>995.38</v>
      </c>
      <c r="J266" s="22">
        <v>0.1</v>
      </c>
      <c r="K266" s="22" t="str">
        <v>PayPal</v>
      </c>
      <c r="L266" s="22">
        <v>2687.5259999999998</v>
      </c>
    </row>
    <row r="267" spans="1:12" x14ac:dyDescent="0.3">
      <c r="A267" s="22" t="s">
        <v>2077</v>
      </c>
      <c r="B267" s="34" cm="1">
        <f t="array" ref="B267:C267">_xlfn.XLOOKUP(A267,Sales_Fact!A267:A2251,Sales_Fact!B267:C2251)</f>
        <v>45757</v>
      </c>
      <c r="C267" s="22" t="str">
        <v>CUST1119</v>
      </c>
      <c r="D267" s="22" t="str">
        <f>VLOOKUP('Combine Products &amp; Sales Facts'!C267,'Customer Details'!A:B,2,0)</f>
        <v>Michael Jones</v>
      </c>
      <c r="E267" s="22" t="str">
        <f>VLOOKUP(C267,Sales_Fact!C:D,2,0)</f>
        <v>PROD90</v>
      </c>
      <c r="F267" s="22" t="str">
        <f>VLOOKUP(E267,Product_Dim!A:C,3,0)</f>
        <v>Electronics</v>
      </c>
      <c r="G267" s="22" t="str" cm="1">
        <f t="array" ref="G267:L267">_xlfn.XLOOKUP(C267,Sales_Fact!C267:C2251,Sales_Fact!E267:J2251)</f>
        <v>STORE8</v>
      </c>
      <c r="H267" s="22">
        <v>1</v>
      </c>
      <c r="I267" s="22">
        <v>329.31</v>
      </c>
      <c r="J267" s="22">
        <v>0.09</v>
      </c>
      <c r="K267" s="22" t="str">
        <v>Credit Card</v>
      </c>
      <c r="L267" s="22">
        <v>299.6721</v>
      </c>
    </row>
    <row r="268" spans="1:12" x14ac:dyDescent="0.3">
      <c r="A268" s="22" t="s">
        <v>2078</v>
      </c>
      <c r="B268" s="34" cm="1">
        <f t="array" ref="B268:C268">_xlfn.XLOOKUP(A268,Sales_Fact!A268:A2252,Sales_Fact!B268:C2252)</f>
        <v>45475</v>
      </c>
      <c r="C268" s="22" t="str">
        <v>CUST1490</v>
      </c>
      <c r="D268" s="22" t="str">
        <f>VLOOKUP('Combine Products &amp; Sales Facts'!C268,'Customer Details'!A:B,2,0)</f>
        <v>Scott Harris</v>
      </c>
      <c r="E268" s="22" t="str">
        <f>VLOOKUP(C268,Sales_Fact!C:D,2,0)</f>
        <v>PROD47</v>
      </c>
      <c r="F268" s="22" t="str">
        <f>VLOOKUP(E268,Product_Dim!A:C,3,0)</f>
        <v>Beauty</v>
      </c>
      <c r="G268" s="22" t="str" cm="1">
        <f t="array" ref="G268:L268">_xlfn.XLOOKUP(C268,Sales_Fact!C268:C2252,Sales_Fact!E268:J2252)</f>
        <v>STORE16</v>
      </c>
      <c r="H268" s="22">
        <v>3</v>
      </c>
      <c r="I268" s="22">
        <v>64.2</v>
      </c>
      <c r="J268" s="22">
        <v>0.08</v>
      </c>
      <c r="K268" s="22" t="str">
        <v>COD</v>
      </c>
      <c r="L268" s="22">
        <v>177.19200000000001</v>
      </c>
    </row>
    <row r="269" spans="1:12" x14ac:dyDescent="0.3">
      <c r="A269" s="22" t="s">
        <v>2079</v>
      </c>
      <c r="B269" s="34" cm="1">
        <f t="array" ref="B269:C269">_xlfn.XLOOKUP(A269,Sales_Fact!A269:A2253,Sales_Fact!B269:C2253)</f>
        <v>45829</v>
      </c>
      <c r="C269" s="22" t="str">
        <v>CUST1262</v>
      </c>
      <c r="D269" s="22" t="str">
        <f>VLOOKUP('Combine Products &amp; Sales Facts'!C269,'Customer Details'!A:B,2,0)</f>
        <v>Katherine Cowan</v>
      </c>
      <c r="E269" s="22" t="str">
        <f>VLOOKUP(C269,Sales_Fact!C:D,2,0)</f>
        <v>PROD11</v>
      </c>
      <c r="F269" s="22" t="str">
        <f>VLOOKUP(E269,Product_Dim!A:C,3,0)</f>
        <v>Electronics</v>
      </c>
      <c r="G269" s="22" t="str" cm="1">
        <f t="array" ref="G269:L269">_xlfn.XLOOKUP(C269,Sales_Fact!C269:C2253,Sales_Fact!E269:J2253)</f>
        <v>STORE13</v>
      </c>
      <c r="H269" s="22">
        <v>3</v>
      </c>
      <c r="I269" s="22">
        <v>697.13</v>
      </c>
      <c r="J269" s="22">
        <v>0.25</v>
      </c>
      <c r="K269" s="22" t="str">
        <v>COD</v>
      </c>
      <c r="L269" s="22">
        <v>1568.5425</v>
      </c>
    </row>
    <row r="270" spans="1:12" x14ac:dyDescent="0.3">
      <c r="A270" s="22" t="s">
        <v>3951</v>
      </c>
      <c r="B270" s="34" cm="1">
        <f t="array" ref="B270:C270">_xlfn.XLOOKUP(A270,Sales_Fact!A270:A2254,Sales_Fact!B270:C2254)</f>
        <v>45639</v>
      </c>
      <c r="C270" s="22" t="str">
        <v>CUST1022</v>
      </c>
      <c r="D270" s="22" t="str">
        <f>VLOOKUP('Combine Products &amp; Sales Facts'!C270,'Customer Details'!A:B,2,0)</f>
        <v>Paul Fox</v>
      </c>
      <c r="E270" s="22" t="str">
        <f>VLOOKUP(C270,Sales_Fact!C:D,2,0)</f>
        <v>PROD13</v>
      </c>
      <c r="F270" s="22" t="str">
        <f>VLOOKUP(E270,Product_Dim!A:C,3,0)</f>
        <v>Electronics</v>
      </c>
      <c r="G270" s="22" t="str" cm="1">
        <f t="array" ref="G270:L270">_xlfn.XLOOKUP(C270,Sales_Fact!C270:C2254,Sales_Fact!E270:J2254)</f>
        <v>STORE5</v>
      </c>
      <c r="H270" s="22">
        <v>3</v>
      </c>
      <c r="I270" s="22">
        <v>134.30000000000001</v>
      </c>
      <c r="J270" s="22">
        <v>0.14000000000000001</v>
      </c>
      <c r="K270" s="22" t="str">
        <v>Credit Card</v>
      </c>
      <c r="L270" s="22">
        <v>346.49400000000003</v>
      </c>
    </row>
    <row r="271" spans="1:12" x14ac:dyDescent="0.3">
      <c r="A271" s="22" t="s">
        <v>2080</v>
      </c>
      <c r="B271" s="34" cm="1">
        <f t="array" ref="B271:C271">_xlfn.XLOOKUP(A271,Sales_Fact!A271:A2255,Sales_Fact!B271:C2255)</f>
        <v>45518</v>
      </c>
      <c r="C271" s="22" t="str">
        <v>CUST1260</v>
      </c>
      <c r="D271" s="22" t="str">
        <f>VLOOKUP('Combine Products &amp; Sales Facts'!C271,'Customer Details'!A:B,2,0)</f>
        <v>Russell Lamb</v>
      </c>
      <c r="E271" s="22" t="str">
        <f>VLOOKUP(C271,Sales_Fact!C:D,2,0)</f>
        <v>PROD84</v>
      </c>
      <c r="F271" s="22" t="str">
        <f>VLOOKUP(E271,Product_Dim!A:C,3,0)</f>
        <v>Home</v>
      </c>
      <c r="G271" s="22" t="str" cm="1">
        <f t="array" ref="G271:L271">_xlfn.XLOOKUP(C271,Sales_Fact!C271:C2255,Sales_Fact!E271:J2255)</f>
        <v>STORE13</v>
      </c>
      <c r="H271" s="22">
        <v>1</v>
      </c>
      <c r="I271" s="22">
        <v>520.92999999999995</v>
      </c>
      <c r="J271" s="22">
        <v>0.15</v>
      </c>
      <c r="K271" s="22" t="str">
        <v>Credit Card</v>
      </c>
      <c r="L271" s="22">
        <v>442.79050000000001</v>
      </c>
    </row>
    <row r="272" spans="1:12" x14ac:dyDescent="0.3">
      <c r="A272" s="22" t="s">
        <v>2081</v>
      </c>
      <c r="B272" s="34" cm="1">
        <f t="array" ref="B272:C272">_xlfn.XLOOKUP(A272,Sales_Fact!A272:A2256,Sales_Fact!B272:C2256)</f>
        <v>45721</v>
      </c>
      <c r="C272" s="22" t="str">
        <v>CUST1225</v>
      </c>
      <c r="D272" s="22" t="str">
        <f>VLOOKUP('Combine Products &amp; Sales Facts'!C272,'Customer Details'!A:B,2,0)</f>
        <v>Elizabeth Stanley</v>
      </c>
      <c r="E272" s="22" t="str">
        <f>VLOOKUP(C272,Sales_Fact!C:D,2,0)</f>
        <v>PROD19</v>
      </c>
      <c r="F272" s="22" t="str">
        <f>VLOOKUP(E272,Product_Dim!A:C,3,0)</f>
        <v>Sports</v>
      </c>
      <c r="G272" s="22" t="str" cm="1">
        <f t="array" ref="G272:L272">_xlfn.XLOOKUP(C272,Sales_Fact!C272:C2256,Sales_Fact!E272:J2256)</f>
        <v>STORE7</v>
      </c>
      <c r="H272" s="22">
        <v>2</v>
      </c>
      <c r="I272" s="22">
        <v>350.12</v>
      </c>
      <c r="J272" s="22">
        <v>0.21</v>
      </c>
      <c r="K272" s="22" t="str">
        <v>COD</v>
      </c>
      <c r="L272" s="22">
        <v>553.18960000000004</v>
      </c>
    </row>
    <row r="273" spans="1:12" x14ac:dyDescent="0.3">
      <c r="A273" s="22" t="s">
        <v>2082</v>
      </c>
      <c r="B273" s="34" cm="1">
        <f t="array" ref="B273:C273">_xlfn.XLOOKUP(A273,Sales_Fact!A273:A2257,Sales_Fact!B273:C2257)</f>
        <v>45308</v>
      </c>
      <c r="C273" s="22" t="str">
        <v>CUST1466</v>
      </c>
      <c r="D273" s="22" t="str">
        <f>VLOOKUP('Combine Products &amp; Sales Facts'!C273,'Customer Details'!A:B,2,0)</f>
        <v>Cynthia Parrish</v>
      </c>
      <c r="E273" s="22" t="str">
        <f>VLOOKUP(C273,Sales_Fact!C:D,2,0)</f>
        <v>PROD48</v>
      </c>
      <c r="F273" s="22" t="str">
        <f>VLOOKUP(E273,Product_Dim!A:C,3,0)</f>
        <v>Electronics</v>
      </c>
      <c r="G273" s="22" t="str" cm="1">
        <f t="array" ref="G273:L273">_xlfn.XLOOKUP(C273,Sales_Fact!C273:C2257,Sales_Fact!E273:J2257)</f>
        <v>STORE19</v>
      </c>
      <c r="H273" s="22">
        <v>3</v>
      </c>
      <c r="I273" s="22">
        <v>807.95</v>
      </c>
      <c r="J273" s="22">
        <v>0.1</v>
      </c>
      <c r="K273" s="22" t="str">
        <v>PayPal</v>
      </c>
      <c r="L273" s="22">
        <v>2181.4650000000011</v>
      </c>
    </row>
    <row r="274" spans="1:12" x14ac:dyDescent="0.3">
      <c r="A274" s="22" t="s">
        <v>2083</v>
      </c>
      <c r="B274" s="34" cm="1">
        <f t="array" ref="B274:C274">_xlfn.XLOOKUP(A274,Sales_Fact!A274:A2258,Sales_Fact!B274:C2258)</f>
        <v>45889</v>
      </c>
      <c r="C274" s="22" t="str">
        <v>CUST1335</v>
      </c>
      <c r="D274" s="22" t="str">
        <f>VLOOKUP('Combine Products &amp; Sales Facts'!C274,'Customer Details'!A:B,2,0)</f>
        <v>Jennifer Woods</v>
      </c>
      <c r="E274" s="22" t="str">
        <f>VLOOKUP(C274,Sales_Fact!C:D,2,0)</f>
        <v>PROD29</v>
      </c>
      <c r="F274" s="22" t="str">
        <f>VLOOKUP(E274,Product_Dim!A:C,3,0)</f>
        <v>Home</v>
      </c>
      <c r="G274" s="22" t="str" cm="1">
        <f t="array" ref="G274:L274">_xlfn.XLOOKUP(C274,Sales_Fact!C274:C2258,Sales_Fact!E274:J2258)</f>
        <v>STORE6</v>
      </c>
      <c r="H274" s="22">
        <v>4</v>
      </c>
      <c r="I274" s="22">
        <v>766.03</v>
      </c>
      <c r="J274" s="22">
        <v>0.28999999999999998</v>
      </c>
      <c r="K274" s="22" t="str">
        <v>PayPal</v>
      </c>
      <c r="L274" s="22">
        <v>2175.5252</v>
      </c>
    </row>
    <row r="275" spans="1:12" x14ac:dyDescent="0.3">
      <c r="A275" s="22" t="s">
        <v>2084</v>
      </c>
      <c r="B275" s="34" cm="1">
        <f t="array" ref="B275:C275">_xlfn.XLOOKUP(A275,Sales_Fact!A275:A2259,Sales_Fact!B275:C2259)</f>
        <v>45386</v>
      </c>
      <c r="C275" s="22" t="str">
        <v>CUST1182</v>
      </c>
      <c r="D275" s="22" t="str">
        <f>VLOOKUP('Combine Products &amp; Sales Facts'!C275,'Customer Details'!A:B,2,0)</f>
        <v>Melissa Hamilton</v>
      </c>
      <c r="E275" s="22" t="str">
        <f>VLOOKUP(C275,Sales_Fact!C:D,2,0)</f>
        <v>PROD34</v>
      </c>
      <c r="F275" s="22" t="str">
        <f>VLOOKUP(E275,Product_Dim!A:C,3,0)</f>
        <v>Electronics</v>
      </c>
      <c r="G275" s="22" t="str" cm="1">
        <f t="array" ref="G275:L275">_xlfn.XLOOKUP(C275,Sales_Fact!C275:C2259,Sales_Fact!E275:J2259)</f>
        <v>STORE8</v>
      </c>
      <c r="H275" s="22">
        <v>3</v>
      </c>
      <c r="I275" s="22">
        <v>545.1</v>
      </c>
      <c r="J275" s="22">
        <v>0.08</v>
      </c>
      <c r="K275" s="22" t="str">
        <v>COD</v>
      </c>
      <c r="L275" s="22">
        <v>1504.4760000000001</v>
      </c>
    </row>
    <row r="276" spans="1:12" x14ac:dyDescent="0.3">
      <c r="A276" s="22" t="s">
        <v>2085</v>
      </c>
      <c r="B276" s="34" cm="1">
        <f t="array" ref="B276:C276">_xlfn.XLOOKUP(A276,Sales_Fact!A276:A2260,Sales_Fact!B276:C2260)</f>
        <v>45438</v>
      </c>
      <c r="C276" s="22" t="str">
        <v>CUST1263</v>
      </c>
      <c r="D276" s="22" t="str">
        <f>VLOOKUP('Combine Products &amp; Sales Facts'!C276,'Customer Details'!A:B,2,0)</f>
        <v>Crystal Davis</v>
      </c>
      <c r="E276" s="22" t="str">
        <f>VLOOKUP(C276,Sales_Fact!C:D,2,0)</f>
        <v>PROD65</v>
      </c>
      <c r="F276" s="22" t="str">
        <f>VLOOKUP(E276,Product_Dim!A:C,3,0)</f>
        <v>Sports</v>
      </c>
      <c r="G276" s="22" t="str" cm="1">
        <f t="array" ref="G276:L276">_xlfn.XLOOKUP(C276,Sales_Fact!C276:C2260,Sales_Fact!E276:J2260)</f>
        <v>STORE7</v>
      </c>
      <c r="H276" s="22">
        <v>1</v>
      </c>
      <c r="I276" s="22">
        <v>203.61</v>
      </c>
      <c r="J276" s="22">
        <v>0.24</v>
      </c>
      <c r="K276" s="22" t="str">
        <v>COD</v>
      </c>
      <c r="L276" s="22">
        <v>154.74359999999999</v>
      </c>
    </row>
    <row r="277" spans="1:12" x14ac:dyDescent="0.3">
      <c r="A277" s="22" t="s">
        <v>2086</v>
      </c>
      <c r="B277" s="34" cm="1">
        <f t="array" ref="B277:C277">_xlfn.XLOOKUP(A277,Sales_Fact!A277:A2261,Sales_Fact!B277:C2261)</f>
        <v>45856</v>
      </c>
      <c r="C277" s="22" t="str">
        <v>CUST1417</v>
      </c>
      <c r="D277" s="22" t="str">
        <f>VLOOKUP('Combine Products &amp; Sales Facts'!C277,'Customer Details'!A:B,2,0)</f>
        <v>Karen King</v>
      </c>
      <c r="E277" s="22" t="str">
        <f>VLOOKUP(C277,Sales_Fact!C:D,2,0)</f>
        <v>PROD97</v>
      </c>
      <c r="F277" s="22" t="str">
        <f>VLOOKUP(E277,Product_Dim!A:C,3,0)</f>
        <v>Sports</v>
      </c>
      <c r="G277" s="22" t="str" cm="1">
        <f t="array" ref="G277:L277">_xlfn.XLOOKUP(C277,Sales_Fact!C277:C2261,Sales_Fact!E277:J2261)</f>
        <v>STORE15</v>
      </c>
      <c r="H277" s="22">
        <v>4</v>
      </c>
      <c r="I277" s="22">
        <v>493.8</v>
      </c>
      <c r="J277" s="22">
        <v>0.24</v>
      </c>
      <c r="K277" s="22" t="str">
        <v>COD</v>
      </c>
      <c r="L277" s="22">
        <v>1501.152</v>
      </c>
    </row>
    <row r="278" spans="1:12" x14ac:dyDescent="0.3">
      <c r="A278" s="22" t="s">
        <v>2087</v>
      </c>
      <c r="B278" s="34" cm="1">
        <f t="array" ref="B278:C278">_xlfn.XLOOKUP(A278,Sales_Fact!A278:A2262,Sales_Fact!B278:C2262)</f>
        <v>45485</v>
      </c>
      <c r="C278" s="22" t="str">
        <v>CUST1017</v>
      </c>
      <c r="D278" s="22" t="str">
        <f>VLOOKUP('Combine Products &amp; Sales Facts'!C278,'Customer Details'!A:B,2,0)</f>
        <v>Adam Cruz</v>
      </c>
      <c r="E278" s="22" t="str">
        <f>VLOOKUP(C278,Sales_Fact!C:D,2,0)</f>
        <v>PROD41</v>
      </c>
      <c r="F278" s="22" t="str">
        <f>VLOOKUP(E278,Product_Dim!A:C,3,0)</f>
        <v>Sports</v>
      </c>
      <c r="G278" s="22" t="str" cm="1">
        <f t="array" ref="G278:L278">_xlfn.XLOOKUP(C278,Sales_Fact!C278:C2262,Sales_Fact!E278:J2262)</f>
        <v>STORE17</v>
      </c>
      <c r="H278" s="22">
        <v>1</v>
      </c>
      <c r="I278" s="22">
        <v>640.54999999999995</v>
      </c>
      <c r="J278" s="22">
        <v>0.25</v>
      </c>
      <c r="K278" s="22" t="str">
        <v>Credit Card</v>
      </c>
      <c r="L278" s="22">
        <v>480.41250000000002</v>
      </c>
    </row>
    <row r="279" spans="1:12" x14ac:dyDescent="0.3">
      <c r="A279" s="22" t="s">
        <v>2088</v>
      </c>
      <c r="B279" s="34" cm="1">
        <f t="array" ref="B279:C279">_xlfn.XLOOKUP(A279,Sales_Fact!A279:A2263,Sales_Fact!B279:C2263)</f>
        <v>45545</v>
      </c>
      <c r="C279" s="22" t="str">
        <v>CUST1119</v>
      </c>
      <c r="D279" s="22" t="str">
        <f>VLOOKUP('Combine Products &amp; Sales Facts'!C279,'Customer Details'!A:B,2,0)</f>
        <v>Michael Jones</v>
      </c>
      <c r="E279" s="22" t="str">
        <f>VLOOKUP(C279,Sales_Fact!C:D,2,0)</f>
        <v>PROD90</v>
      </c>
      <c r="F279" s="22" t="str">
        <f>VLOOKUP(E279,Product_Dim!A:C,3,0)</f>
        <v>Electronics</v>
      </c>
      <c r="G279" s="22" t="str" cm="1">
        <f t="array" ref="G279:L279">_xlfn.XLOOKUP(C279,Sales_Fact!C279:C2263,Sales_Fact!E279:J2263)</f>
        <v>STORE4</v>
      </c>
      <c r="H279" s="22">
        <v>1</v>
      </c>
      <c r="I279" s="22">
        <v>702.53</v>
      </c>
      <c r="J279" s="22">
        <v>0.3</v>
      </c>
      <c r="K279" s="22" t="str">
        <v>Credit Card</v>
      </c>
      <c r="L279" s="22">
        <v>491.77100000000002</v>
      </c>
    </row>
    <row r="280" spans="1:12" x14ac:dyDescent="0.3">
      <c r="A280" s="22" t="s">
        <v>2089</v>
      </c>
      <c r="B280" s="34" cm="1">
        <f t="array" ref="B280:C280">_xlfn.XLOOKUP(A280,Sales_Fact!A280:A2264,Sales_Fact!B280:C2264)</f>
        <v>45826</v>
      </c>
      <c r="C280" s="22" t="str">
        <v>CUST1224</v>
      </c>
      <c r="D280" s="22" t="str">
        <f>VLOOKUP('Combine Products &amp; Sales Facts'!C280,'Customer Details'!A:B,2,0)</f>
        <v>Anthony Morgan</v>
      </c>
      <c r="E280" s="22" t="str">
        <f>VLOOKUP(C280,Sales_Fact!C:D,2,0)</f>
        <v>PROD39</v>
      </c>
      <c r="F280" s="22" t="str">
        <f>VLOOKUP(E280,Product_Dim!A:C,3,0)</f>
        <v>Electronics</v>
      </c>
      <c r="G280" s="22" t="str" cm="1">
        <f t="array" ref="G280:L280">_xlfn.XLOOKUP(C280,Sales_Fact!C280:C2264,Sales_Fact!E280:J2264)</f>
        <v>STORE8</v>
      </c>
      <c r="H280" s="22">
        <v>4</v>
      </c>
      <c r="I280" s="22">
        <v>139.94</v>
      </c>
      <c r="J280" s="22">
        <v>0.24</v>
      </c>
      <c r="K280" s="22" t="str">
        <v>Credit Card</v>
      </c>
      <c r="L280" s="22">
        <v>425.41759999999999</v>
      </c>
    </row>
    <row r="281" spans="1:12" x14ac:dyDescent="0.3">
      <c r="A281" s="22" t="s">
        <v>2090</v>
      </c>
      <c r="B281" s="34" cm="1">
        <f t="array" ref="B281:C281">_xlfn.XLOOKUP(A281,Sales_Fact!A281:A2265,Sales_Fact!B281:C2265)</f>
        <v>45654</v>
      </c>
      <c r="C281" s="22" t="str">
        <v>CUST1277</v>
      </c>
      <c r="D281" s="22" t="str">
        <f>VLOOKUP('Combine Products &amp; Sales Facts'!C281,'Customer Details'!A:B,2,0)</f>
        <v>Jeffrey Gomez</v>
      </c>
      <c r="E281" s="22" t="str">
        <f>VLOOKUP(C281,Sales_Fact!C:D,2,0)</f>
        <v>PROD93</v>
      </c>
      <c r="F281" s="22" t="str">
        <f>VLOOKUP(E281,Product_Dim!A:C,3,0)</f>
        <v>Electronics</v>
      </c>
      <c r="G281" s="22" t="str" cm="1">
        <f t="array" ref="G281:L281">_xlfn.XLOOKUP(C281,Sales_Fact!C281:C2265,Sales_Fact!E281:J2265)</f>
        <v>STORE8</v>
      </c>
      <c r="H281" s="22">
        <v>2</v>
      </c>
      <c r="I281" s="22">
        <v>230.85</v>
      </c>
      <c r="J281" s="22">
        <v>0.18</v>
      </c>
      <c r="K281" s="22" t="str">
        <v>Credit Card</v>
      </c>
      <c r="L281" s="22">
        <v>378.59399999999999</v>
      </c>
    </row>
    <row r="282" spans="1:12" x14ac:dyDescent="0.3">
      <c r="A282" s="22" t="s">
        <v>2091</v>
      </c>
      <c r="B282" s="34" cm="1">
        <f t="array" ref="B282:C282">_xlfn.XLOOKUP(A282,Sales_Fact!A282:A2266,Sales_Fact!B282:C2266)</f>
        <v>45556</v>
      </c>
      <c r="C282" s="22" t="str">
        <v>CUST1211</v>
      </c>
      <c r="D282" s="22" t="str">
        <f>VLOOKUP('Combine Products &amp; Sales Facts'!C282,'Customer Details'!A:B,2,0)</f>
        <v>Rodney Huffman</v>
      </c>
      <c r="E282" s="22" t="str">
        <f>VLOOKUP(C282,Sales_Fact!C:D,2,0)</f>
        <v>PROD85</v>
      </c>
      <c r="F282" s="22" t="str">
        <f>VLOOKUP(E282,Product_Dim!A:C,3,0)</f>
        <v>Clothing</v>
      </c>
      <c r="G282" s="22" t="str" cm="1">
        <f t="array" ref="G282:L282">_xlfn.XLOOKUP(C282,Sales_Fact!C282:C2266,Sales_Fact!E282:J2266)</f>
        <v>STORE17</v>
      </c>
      <c r="H282" s="22">
        <v>4</v>
      </c>
      <c r="I282" s="22">
        <v>626.35</v>
      </c>
      <c r="J282" s="22">
        <v>0.25</v>
      </c>
      <c r="K282" s="22" t="str">
        <v>COD</v>
      </c>
      <c r="L282" s="22">
        <v>1879.05</v>
      </c>
    </row>
    <row r="283" spans="1:12" x14ac:dyDescent="0.3">
      <c r="A283" s="22" t="s">
        <v>2092</v>
      </c>
      <c r="B283" s="34" cm="1">
        <f t="array" ref="B283:C283">_xlfn.XLOOKUP(A283,Sales_Fact!A283:A2267,Sales_Fact!B283:C2267)</f>
        <v>45434</v>
      </c>
      <c r="C283" s="22" t="str">
        <v>CUST1082</v>
      </c>
      <c r="D283" s="22" t="str">
        <f>VLOOKUP('Combine Products &amp; Sales Facts'!C283,'Customer Details'!A:B,2,0)</f>
        <v>George Rosario</v>
      </c>
      <c r="E283" s="22" t="str">
        <f>VLOOKUP(C283,Sales_Fact!C:D,2,0)</f>
        <v>PROD92</v>
      </c>
      <c r="F283" s="22" t="str">
        <f>VLOOKUP(E283,Product_Dim!A:C,3,0)</f>
        <v>Home</v>
      </c>
      <c r="G283" s="22" t="str" cm="1">
        <f t="array" ref="G283:L283">_xlfn.XLOOKUP(C283,Sales_Fact!C283:C2267,Sales_Fact!E283:J2267)</f>
        <v>STORE14</v>
      </c>
      <c r="H283" s="22">
        <v>4</v>
      </c>
      <c r="I283" s="22">
        <v>108.55</v>
      </c>
      <c r="J283" s="22">
        <v>0.18</v>
      </c>
      <c r="K283" s="22" t="str">
        <v>PayPal</v>
      </c>
      <c r="L283" s="22">
        <v>356.04399999999998</v>
      </c>
    </row>
    <row r="284" spans="1:12" x14ac:dyDescent="0.3">
      <c r="A284" s="22" t="s">
        <v>2093</v>
      </c>
      <c r="B284" s="34" cm="1">
        <f t="array" ref="B284:C284">_xlfn.XLOOKUP(A284,Sales_Fact!A284:A2268,Sales_Fact!B284:C2268)</f>
        <v>45871</v>
      </c>
      <c r="C284" s="22" t="str">
        <v>CUST1191</v>
      </c>
      <c r="D284" s="22" t="str">
        <f>VLOOKUP('Combine Products &amp; Sales Facts'!C284,'Customer Details'!A:B,2,0)</f>
        <v>Todd Poole</v>
      </c>
      <c r="E284" s="22" t="str">
        <f>VLOOKUP(C284,Sales_Fact!C:D,2,0)</f>
        <v>PROD17</v>
      </c>
      <c r="F284" s="22" t="str">
        <f>VLOOKUP(E284,Product_Dim!A:C,3,0)</f>
        <v>Sports</v>
      </c>
      <c r="G284" s="22" t="str" cm="1">
        <f t="array" ref="G284:L284">_xlfn.XLOOKUP(C284,Sales_Fact!C284:C2268,Sales_Fact!E284:J2268)</f>
        <v>STORE1</v>
      </c>
      <c r="H284" s="22">
        <v>4</v>
      </c>
      <c r="I284" s="22">
        <v>353.67</v>
      </c>
      <c r="J284" s="22">
        <v>0.03</v>
      </c>
      <c r="K284" s="22" t="str">
        <v>COD</v>
      </c>
      <c r="L284" s="22">
        <v>1372.2396000000001</v>
      </c>
    </row>
    <row r="285" spans="1:12" x14ac:dyDescent="0.3">
      <c r="A285" s="22" t="s">
        <v>2094</v>
      </c>
      <c r="B285" s="34" cm="1">
        <f t="array" ref="B285:C285">_xlfn.XLOOKUP(A285,Sales_Fact!A285:A2269,Sales_Fact!B285:C2269)</f>
        <v>45583</v>
      </c>
      <c r="C285" s="22" t="str">
        <v>CUST1065</v>
      </c>
      <c r="D285" s="22" t="str">
        <f>VLOOKUP('Combine Products &amp; Sales Facts'!C285,'Customer Details'!A:B,2,0)</f>
        <v>Michael Thomas</v>
      </c>
      <c r="E285" s="22" t="str">
        <f>VLOOKUP(C285,Sales_Fact!C:D,2,0)</f>
        <v>PROD24</v>
      </c>
      <c r="F285" s="22" t="str">
        <f>VLOOKUP(E285,Product_Dim!A:C,3,0)</f>
        <v>Sports</v>
      </c>
      <c r="G285" s="22" t="str" cm="1">
        <f t="array" ref="G285:L285">_xlfn.XLOOKUP(C285,Sales_Fact!C285:C2269,Sales_Fact!E285:J2269)</f>
        <v>STORE1</v>
      </c>
      <c r="H285" s="22">
        <v>4</v>
      </c>
      <c r="I285" s="22">
        <v>61.98</v>
      </c>
      <c r="J285" s="22">
        <v>0.16</v>
      </c>
      <c r="K285" s="22" t="str">
        <v>Credit Card</v>
      </c>
      <c r="L285" s="22">
        <v>208.25280000000001</v>
      </c>
    </row>
    <row r="286" spans="1:12" x14ac:dyDescent="0.3">
      <c r="A286" s="22" t="s">
        <v>2095</v>
      </c>
      <c r="B286" s="34" cm="1">
        <f t="array" ref="B286:C286">_xlfn.XLOOKUP(A286,Sales_Fact!A286:A2270,Sales_Fact!B286:C2270)</f>
        <v>45348</v>
      </c>
      <c r="C286" s="22" t="str">
        <v>CUST1216</v>
      </c>
      <c r="D286" s="22" t="str">
        <f>VLOOKUP('Combine Products &amp; Sales Facts'!C286,'Customer Details'!A:B,2,0)</f>
        <v>Kathryn Garcia</v>
      </c>
      <c r="E286" s="22" t="str">
        <f>VLOOKUP(C286,Sales_Fact!C:D,2,0)</f>
        <v>PROD86</v>
      </c>
      <c r="F286" s="22" t="str">
        <f>VLOOKUP(E286,Product_Dim!A:C,3,0)</f>
        <v>Home</v>
      </c>
      <c r="G286" s="22" t="str" cm="1">
        <f t="array" ref="G286:L286">_xlfn.XLOOKUP(C286,Sales_Fact!C286:C2270,Sales_Fact!E286:J2270)</f>
        <v>STORE19</v>
      </c>
      <c r="H286" s="22">
        <v>2</v>
      </c>
      <c r="I286" s="22">
        <v>873.1</v>
      </c>
      <c r="J286" s="22">
        <v>0.12</v>
      </c>
      <c r="K286" s="22" t="str">
        <v>PayPal</v>
      </c>
      <c r="L286" s="22">
        <v>1536.6559999999999</v>
      </c>
    </row>
    <row r="287" spans="1:12" x14ac:dyDescent="0.3">
      <c r="A287" s="22" t="s">
        <v>2096</v>
      </c>
      <c r="B287" s="34" cm="1">
        <f t="array" ref="B287:C287">_xlfn.XLOOKUP(A287,Sales_Fact!A287:A2271,Sales_Fact!B287:C2271)</f>
        <v>45268</v>
      </c>
      <c r="C287" s="22" t="str">
        <v>CUST1198</v>
      </c>
      <c r="D287" s="22" t="str">
        <f>VLOOKUP('Combine Products &amp; Sales Facts'!C287,'Customer Details'!A:B,2,0)</f>
        <v>Wanda Snyder</v>
      </c>
      <c r="E287" s="22" t="str">
        <f>VLOOKUP(C287,Sales_Fact!C:D,2,0)</f>
        <v>PROD12</v>
      </c>
      <c r="F287" s="22" t="str">
        <f>VLOOKUP(E287,Product_Dim!A:C,3,0)</f>
        <v>Beauty</v>
      </c>
      <c r="G287" s="22" t="str" cm="1">
        <f t="array" ref="G287:L287">_xlfn.XLOOKUP(C287,Sales_Fact!C287:C2271,Sales_Fact!E287:J2271)</f>
        <v>STORE15</v>
      </c>
      <c r="H287" s="22">
        <v>4</v>
      </c>
      <c r="I287" s="22">
        <v>889.47</v>
      </c>
      <c r="J287" s="22">
        <v>0.24</v>
      </c>
      <c r="K287" s="22" t="str">
        <v>Credit Card</v>
      </c>
      <c r="L287" s="22">
        <v>2703.9888000000001</v>
      </c>
    </row>
    <row r="288" spans="1:12" x14ac:dyDescent="0.3">
      <c r="A288" s="22" t="s">
        <v>2097</v>
      </c>
      <c r="B288" s="34" cm="1">
        <f t="array" ref="B288:C288">_xlfn.XLOOKUP(A288,Sales_Fact!A288:A2272,Sales_Fact!B288:C2272)</f>
        <v>45596</v>
      </c>
      <c r="C288" s="22" t="str">
        <v>CUST1028</v>
      </c>
      <c r="D288" s="22" t="str">
        <f>VLOOKUP('Combine Products &amp; Sales Facts'!C288,'Customer Details'!A:B,2,0)</f>
        <v>Joshua Ryan</v>
      </c>
      <c r="E288" s="22" t="str">
        <f>VLOOKUP(C288,Sales_Fact!C:D,2,0)</f>
        <v>PROD5</v>
      </c>
      <c r="F288" s="22" t="str">
        <f>VLOOKUP(E288,Product_Dim!A:C,3,0)</f>
        <v>Clothing</v>
      </c>
      <c r="G288" s="22" t="str" cm="1">
        <f t="array" ref="G288:L288">_xlfn.XLOOKUP(C288,Sales_Fact!C288:C2272,Sales_Fact!E288:J2272)</f>
        <v>STORE11</v>
      </c>
      <c r="H288" s="22">
        <v>3</v>
      </c>
      <c r="I288" s="22">
        <v>803.76</v>
      </c>
      <c r="J288" s="22">
        <v>0.19</v>
      </c>
      <c r="K288" s="22" t="str">
        <v>COD</v>
      </c>
      <c r="L288" s="22">
        <v>1953.1368</v>
      </c>
    </row>
    <row r="289" spans="1:12" x14ac:dyDescent="0.3">
      <c r="A289" s="22" t="s">
        <v>2098</v>
      </c>
      <c r="B289" s="34" cm="1">
        <f t="array" ref="B289:C289">_xlfn.XLOOKUP(A289,Sales_Fact!A289:A2273,Sales_Fact!B289:C2273)</f>
        <v>45624</v>
      </c>
      <c r="C289" s="22" t="str">
        <v>CUST1468</v>
      </c>
      <c r="D289" s="22" t="str">
        <f>VLOOKUP('Combine Products &amp; Sales Facts'!C289,'Customer Details'!A:B,2,0)</f>
        <v>Gregory Curtis</v>
      </c>
      <c r="E289" s="22" t="str">
        <f>VLOOKUP(C289,Sales_Fact!C:D,2,0)</f>
        <v>PROD75</v>
      </c>
      <c r="F289" s="22" t="str">
        <f>VLOOKUP(E289,Product_Dim!A:C,3,0)</f>
        <v>Clothing</v>
      </c>
      <c r="G289" s="22" t="str" cm="1">
        <f t="array" ref="G289:L289">_xlfn.XLOOKUP(C289,Sales_Fact!C289:C2273,Sales_Fact!E289:J2273)</f>
        <v>STORE5</v>
      </c>
      <c r="H289" s="22">
        <v>2</v>
      </c>
      <c r="I289" s="22">
        <v>865.14</v>
      </c>
      <c r="J289" s="22">
        <v>0.2</v>
      </c>
      <c r="K289" s="22" t="str">
        <v>PayPal</v>
      </c>
      <c r="L289" s="22">
        <v>1384.2239999999999</v>
      </c>
    </row>
    <row r="290" spans="1:12" x14ac:dyDescent="0.3">
      <c r="A290" s="22" t="s">
        <v>2099</v>
      </c>
      <c r="B290" s="34" cm="1">
        <f t="array" ref="B290:C290">_xlfn.XLOOKUP(A290,Sales_Fact!A290:A2274,Sales_Fact!B290:C2274)</f>
        <v>45813</v>
      </c>
      <c r="C290" s="22" t="str">
        <v>CUST1097</v>
      </c>
      <c r="D290" s="22" t="str">
        <f>VLOOKUP('Combine Products &amp; Sales Facts'!C290,'Customer Details'!A:B,2,0)</f>
        <v>David Cobb</v>
      </c>
      <c r="E290" s="22" t="str">
        <f>VLOOKUP(C290,Sales_Fact!C:D,2,0)</f>
        <v>PROD80</v>
      </c>
      <c r="F290" s="22" t="str">
        <f>VLOOKUP(E290,Product_Dim!A:C,3,0)</f>
        <v>Home</v>
      </c>
      <c r="G290" s="22" t="str" cm="1">
        <f t="array" ref="G290:L290">_xlfn.XLOOKUP(C290,Sales_Fact!C290:C2274,Sales_Fact!E290:J2274)</f>
        <v>STORE9</v>
      </c>
      <c r="H290" s="22">
        <v>2</v>
      </c>
      <c r="I290" s="22">
        <v>916.49</v>
      </c>
      <c r="J290" s="22">
        <v>0.3</v>
      </c>
      <c r="K290" s="22" t="str">
        <v>COD</v>
      </c>
      <c r="L290" s="22">
        <v>1283.086</v>
      </c>
    </row>
    <row r="291" spans="1:12" x14ac:dyDescent="0.3">
      <c r="A291" s="22" t="s">
        <v>2100</v>
      </c>
      <c r="B291" s="34" cm="1">
        <f t="array" ref="B291:C291">_xlfn.XLOOKUP(A291,Sales_Fact!A291:A2275,Sales_Fact!B291:C2275)</f>
        <v>45615</v>
      </c>
      <c r="C291" s="22" t="str">
        <v>CUST1042</v>
      </c>
      <c r="D291" s="22" t="str">
        <f>VLOOKUP('Combine Products &amp; Sales Facts'!C291,'Customer Details'!A:B,2,0)</f>
        <v>William Martin</v>
      </c>
      <c r="E291" s="22" t="str">
        <f>VLOOKUP(C291,Sales_Fact!C:D,2,0)</f>
        <v>PROD51</v>
      </c>
      <c r="F291" s="22" t="str">
        <f>VLOOKUP(E291,Product_Dim!A:C,3,0)</f>
        <v>Electronics</v>
      </c>
      <c r="G291" s="22" t="str" cm="1">
        <f t="array" ref="G291:L291">_xlfn.XLOOKUP(C291,Sales_Fact!C291:C2275,Sales_Fact!E291:J2275)</f>
        <v>STORE12</v>
      </c>
      <c r="H291" s="22">
        <v>3</v>
      </c>
      <c r="I291" s="22">
        <v>781.39</v>
      </c>
      <c r="J291" s="22">
        <v>0.12</v>
      </c>
      <c r="K291" s="22" t="str">
        <v>Credit Card</v>
      </c>
      <c r="L291" s="22">
        <v>2062.8696</v>
      </c>
    </row>
    <row r="292" spans="1:12" x14ac:dyDescent="0.3">
      <c r="A292" s="22" t="s">
        <v>2101</v>
      </c>
      <c r="B292" s="34" cm="1">
        <f t="array" ref="B292:C292">_xlfn.XLOOKUP(A292,Sales_Fact!A292:A2276,Sales_Fact!B292:C2276)</f>
        <v>45431</v>
      </c>
      <c r="C292" s="22" t="str">
        <v>CUST1211</v>
      </c>
      <c r="D292" s="22" t="str">
        <f>VLOOKUP('Combine Products &amp; Sales Facts'!C292,'Customer Details'!A:B,2,0)</f>
        <v>Rodney Huffman</v>
      </c>
      <c r="E292" s="22" t="str">
        <f>VLOOKUP(C292,Sales_Fact!C:D,2,0)</f>
        <v>PROD85</v>
      </c>
      <c r="F292" s="22" t="str">
        <f>VLOOKUP(E292,Product_Dim!A:C,3,0)</f>
        <v>Clothing</v>
      </c>
      <c r="G292" s="22" t="str" cm="1">
        <f t="array" ref="G292:L292">_xlfn.XLOOKUP(C292,Sales_Fact!C292:C2276,Sales_Fact!E292:J2276)</f>
        <v>STORE12</v>
      </c>
      <c r="H292" s="22">
        <v>4</v>
      </c>
      <c r="I292" s="22">
        <v>619.74</v>
      </c>
      <c r="J292" s="22">
        <v>0.13</v>
      </c>
      <c r="K292" s="22" t="str">
        <v>COD</v>
      </c>
      <c r="L292" s="22">
        <v>2156.6952000000001</v>
      </c>
    </row>
    <row r="293" spans="1:12" x14ac:dyDescent="0.3">
      <c r="A293" s="22" t="s">
        <v>2102</v>
      </c>
      <c r="B293" s="34" cm="1">
        <f t="array" ref="B293:C293">_xlfn.XLOOKUP(A293,Sales_Fact!A293:A2277,Sales_Fact!B293:C2277)</f>
        <v>45679</v>
      </c>
      <c r="C293" s="22" t="str">
        <v>CUST1481</v>
      </c>
      <c r="D293" s="22" t="str">
        <f>VLOOKUP('Combine Products &amp; Sales Facts'!C293,'Customer Details'!A:B,2,0)</f>
        <v>Bryan Tran</v>
      </c>
      <c r="E293" s="22" t="str">
        <f>VLOOKUP(C293,Sales_Fact!C:D,2,0)</f>
        <v>PROD62</v>
      </c>
      <c r="F293" s="22" t="str">
        <f>VLOOKUP(E293,Product_Dim!A:C,3,0)</f>
        <v>Electronics</v>
      </c>
      <c r="G293" s="22" t="str" cm="1">
        <f t="array" ref="G293:L293">_xlfn.XLOOKUP(C293,Sales_Fact!C293:C2277,Sales_Fact!E293:J2277)</f>
        <v>STORE14</v>
      </c>
      <c r="H293" s="22">
        <v>2</v>
      </c>
      <c r="I293" s="22">
        <v>837.76</v>
      </c>
      <c r="J293" s="22">
        <v>0.03</v>
      </c>
      <c r="K293" s="22" t="str">
        <v>COD</v>
      </c>
      <c r="L293" s="22">
        <v>1625.2544</v>
      </c>
    </row>
    <row r="294" spans="1:12" x14ac:dyDescent="0.3">
      <c r="A294" s="22" t="s">
        <v>2103</v>
      </c>
      <c r="B294" s="34" cm="1">
        <f t="array" ref="B294:C294">_xlfn.XLOOKUP(A294,Sales_Fact!A294:A2278,Sales_Fact!B294:C2278)</f>
        <v>45842</v>
      </c>
      <c r="C294" s="22" t="str">
        <v>CUST1451</v>
      </c>
      <c r="D294" s="22" t="str">
        <f>VLOOKUP('Combine Products &amp; Sales Facts'!C294,'Customer Details'!A:B,2,0)</f>
        <v>Ashley Roberts</v>
      </c>
      <c r="E294" s="22" t="str">
        <f>VLOOKUP(C294,Sales_Fact!C:D,2,0)</f>
        <v>PROD90</v>
      </c>
      <c r="F294" s="22" t="str">
        <f>VLOOKUP(E294,Product_Dim!A:C,3,0)</f>
        <v>Electronics</v>
      </c>
      <c r="G294" s="22" t="str" cm="1">
        <f t="array" ref="G294:L294">_xlfn.XLOOKUP(C294,Sales_Fact!C294:C2278,Sales_Fact!E294:J2278)</f>
        <v>STORE1</v>
      </c>
      <c r="H294" s="22">
        <v>3</v>
      </c>
      <c r="I294" s="22">
        <v>135.94</v>
      </c>
      <c r="J294" s="22">
        <v>0.2</v>
      </c>
      <c r="K294" s="22" t="str">
        <v>Credit Card</v>
      </c>
      <c r="L294" s="22">
        <v>326.25599999999997</v>
      </c>
    </row>
    <row r="295" spans="1:12" x14ac:dyDescent="0.3">
      <c r="A295" s="22" t="s">
        <v>2104</v>
      </c>
      <c r="B295" s="34" cm="1">
        <f t="array" ref="B295:C295">_xlfn.XLOOKUP(A295,Sales_Fact!A295:A2279,Sales_Fact!B295:C2279)</f>
        <v>45796</v>
      </c>
      <c r="C295" s="22" t="str">
        <v>CUST1479</v>
      </c>
      <c r="D295" s="22" t="str">
        <f>VLOOKUP('Combine Products &amp; Sales Facts'!C295,'Customer Details'!A:B,2,0)</f>
        <v>Dylan Gutierrez</v>
      </c>
      <c r="E295" s="22" t="str">
        <f>VLOOKUP(C295,Sales_Fact!C:D,2,0)</f>
        <v>PROD74</v>
      </c>
      <c r="F295" s="22" t="str">
        <f>VLOOKUP(E295,Product_Dim!A:C,3,0)</f>
        <v>Electronics</v>
      </c>
      <c r="G295" s="22" t="str" cm="1">
        <f t="array" ref="G295:L295">_xlfn.XLOOKUP(C295,Sales_Fact!C295:C2279,Sales_Fact!E295:J2279)</f>
        <v>STORE1</v>
      </c>
      <c r="H295" s="22">
        <v>4</v>
      </c>
      <c r="I295" s="22">
        <v>396.53</v>
      </c>
      <c r="J295" s="22">
        <v>7.0000000000000007E-2</v>
      </c>
      <c r="K295" s="22" t="str">
        <v>PayPal</v>
      </c>
      <c r="L295" s="22">
        <v>1475.0916</v>
      </c>
    </row>
    <row r="296" spans="1:12" x14ac:dyDescent="0.3">
      <c r="A296" s="22" t="s">
        <v>2105</v>
      </c>
      <c r="B296" s="34" cm="1">
        <f t="array" ref="B296:C296">_xlfn.XLOOKUP(A296,Sales_Fact!A296:A2280,Sales_Fact!B296:C2280)</f>
        <v>45264</v>
      </c>
      <c r="C296" s="22" t="str">
        <v>CUST1220</v>
      </c>
      <c r="D296" s="22" t="str">
        <f>VLOOKUP('Combine Products &amp; Sales Facts'!C296,'Customer Details'!A:B,2,0)</f>
        <v>George Davis</v>
      </c>
      <c r="E296" s="22" t="str">
        <f>VLOOKUP(C296,Sales_Fact!C:D,2,0)</f>
        <v>PROD29</v>
      </c>
      <c r="F296" s="22" t="str">
        <f>VLOOKUP(E296,Product_Dim!A:C,3,0)</f>
        <v>Home</v>
      </c>
      <c r="G296" s="22" t="str" cm="1">
        <f t="array" ref="G296:L296">_xlfn.XLOOKUP(C296,Sales_Fact!C296:C2280,Sales_Fact!E296:J2280)</f>
        <v>STORE14</v>
      </c>
      <c r="H296" s="22">
        <v>2</v>
      </c>
      <c r="I296" s="22">
        <v>722.45</v>
      </c>
      <c r="J296" s="22">
        <v>0.22</v>
      </c>
      <c r="K296" s="22" t="str">
        <v>PayPal</v>
      </c>
      <c r="L296" s="22">
        <v>1127.0219999999999</v>
      </c>
    </row>
    <row r="297" spans="1:12" x14ac:dyDescent="0.3">
      <c r="A297" s="22" t="s">
        <v>2106</v>
      </c>
      <c r="B297" s="34" cm="1">
        <f t="array" ref="B297:C297">_xlfn.XLOOKUP(A297,Sales_Fact!A297:A2281,Sales_Fact!B297:C2281)</f>
        <v>45504</v>
      </c>
      <c r="C297" s="22" t="str">
        <v>CUST1047</v>
      </c>
      <c r="D297" s="22" t="str">
        <f>VLOOKUP('Combine Products &amp; Sales Facts'!C297,'Customer Details'!A:B,2,0)</f>
        <v>Gina Knight</v>
      </c>
      <c r="E297" s="22" t="str">
        <f>VLOOKUP(C297,Sales_Fact!C:D,2,0)</f>
        <v>PROD64</v>
      </c>
      <c r="F297" s="22" t="str">
        <f>VLOOKUP(E297,Product_Dim!A:C,3,0)</f>
        <v>Beauty</v>
      </c>
      <c r="G297" s="22" t="str" cm="1">
        <f t="array" ref="G297:L297">_xlfn.XLOOKUP(C297,Sales_Fact!C297:C2281,Sales_Fact!E297:J2281)</f>
        <v>STORE2</v>
      </c>
      <c r="H297" s="22">
        <v>2</v>
      </c>
      <c r="I297" s="22">
        <v>138.41</v>
      </c>
      <c r="J297" s="22">
        <v>0.02</v>
      </c>
      <c r="K297" s="22" t="str">
        <v>Credit Card</v>
      </c>
      <c r="L297" s="22">
        <v>271.28359999999998</v>
      </c>
    </row>
    <row r="298" spans="1:12" x14ac:dyDescent="0.3">
      <c r="A298" s="22" t="s">
        <v>2107</v>
      </c>
      <c r="B298" s="34" cm="1">
        <f t="array" ref="B298:C298">_xlfn.XLOOKUP(A298,Sales_Fact!A298:A2282,Sales_Fact!B298:C2282)</f>
        <v>45679</v>
      </c>
      <c r="C298" s="22" t="str">
        <v>CUST1126</v>
      </c>
      <c r="D298" s="22" t="str">
        <f>VLOOKUP('Combine Products &amp; Sales Facts'!C298,'Customer Details'!A:B,2,0)</f>
        <v>James Wolfe</v>
      </c>
      <c r="E298" s="22" t="str">
        <f>VLOOKUP(C298,Sales_Fact!C:D,2,0)</f>
        <v>PROD89</v>
      </c>
      <c r="F298" s="22" t="str">
        <f>VLOOKUP(E298,Product_Dim!A:C,3,0)</f>
        <v>Beauty</v>
      </c>
      <c r="G298" s="22" t="str" cm="1">
        <f t="array" ref="G298:L298">_xlfn.XLOOKUP(C298,Sales_Fact!C298:C2282,Sales_Fact!E298:J2282)</f>
        <v>STORE2</v>
      </c>
      <c r="H298" s="22">
        <v>4</v>
      </c>
      <c r="I298" s="22">
        <v>741.51</v>
      </c>
      <c r="J298" s="22">
        <v>0.09</v>
      </c>
      <c r="K298" s="22" t="str">
        <v>COD</v>
      </c>
      <c r="L298" s="22">
        <v>2699.0963999999999</v>
      </c>
    </row>
    <row r="299" spans="1:12" x14ac:dyDescent="0.3">
      <c r="A299" s="22" t="s">
        <v>2108</v>
      </c>
      <c r="B299" s="34" cm="1">
        <f t="array" ref="B299:C299">_xlfn.XLOOKUP(A299,Sales_Fact!A299:A2283,Sales_Fact!B299:C2283)</f>
        <v>45611</v>
      </c>
      <c r="C299" s="22" t="str">
        <v>CUST1023</v>
      </c>
      <c r="D299" s="22" t="str">
        <f>VLOOKUP('Combine Products &amp; Sales Facts'!C299,'Customer Details'!A:B,2,0)</f>
        <v>Jonathan Steele</v>
      </c>
      <c r="E299" s="22" t="str">
        <f>VLOOKUP(C299,Sales_Fact!C:D,2,0)</f>
        <v>PROD68</v>
      </c>
      <c r="F299" s="22" t="str">
        <f>VLOOKUP(E299,Product_Dim!A:C,3,0)</f>
        <v>Home</v>
      </c>
      <c r="G299" s="22" t="str" cm="1">
        <f t="array" ref="G299:L299">_xlfn.XLOOKUP(C299,Sales_Fact!C299:C2283,Sales_Fact!E299:J2283)</f>
        <v>STORE17</v>
      </c>
      <c r="H299" s="22">
        <v>2</v>
      </c>
      <c r="I299" s="22">
        <v>588.9</v>
      </c>
      <c r="J299" s="22">
        <v>0.19</v>
      </c>
      <c r="K299" s="22" t="str">
        <v>PayPal</v>
      </c>
      <c r="L299" s="22">
        <v>954.01800000000003</v>
      </c>
    </row>
    <row r="300" spans="1:12" x14ac:dyDescent="0.3">
      <c r="A300" s="22" t="s">
        <v>2109</v>
      </c>
      <c r="B300" s="34" cm="1">
        <f t="array" ref="B300:C300">_xlfn.XLOOKUP(A300,Sales_Fact!A300:A2284,Sales_Fact!B300:C2284)</f>
        <v>45389</v>
      </c>
      <c r="C300" s="22" t="str">
        <v>CUST1304</v>
      </c>
      <c r="D300" s="22" t="str">
        <f>VLOOKUP('Combine Products &amp; Sales Facts'!C300,'Customer Details'!A:B,2,0)</f>
        <v>Miss Alexandria Li Dvm</v>
      </c>
      <c r="E300" s="22" t="str">
        <f>VLOOKUP(C300,Sales_Fact!C:D,2,0)</f>
        <v>PROD50</v>
      </c>
      <c r="F300" s="22" t="str">
        <f>VLOOKUP(E300,Product_Dim!A:C,3,0)</f>
        <v>Sports</v>
      </c>
      <c r="G300" s="22" t="str" cm="1">
        <f t="array" ref="G300:L300">_xlfn.XLOOKUP(C300,Sales_Fact!C300:C2284,Sales_Fact!E300:J2284)</f>
        <v>STORE2</v>
      </c>
      <c r="H300" s="22">
        <v>1</v>
      </c>
      <c r="I300" s="22">
        <v>88.92</v>
      </c>
      <c r="J300" s="22">
        <v>0.19</v>
      </c>
      <c r="K300" s="22" t="str">
        <v>PayPal</v>
      </c>
      <c r="L300" s="22">
        <v>72.025200000000012</v>
      </c>
    </row>
    <row r="301" spans="1:12" x14ac:dyDescent="0.3">
      <c r="A301" s="22" t="s">
        <v>2110</v>
      </c>
      <c r="B301" s="34" cm="1">
        <f t="array" ref="B301:C301">_xlfn.XLOOKUP(A301,Sales_Fact!A301:A2285,Sales_Fact!B301:C2285)</f>
        <v>45339</v>
      </c>
      <c r="C301" s="22" t="str">
        <v>CUST1118</v>
      </c>
      <c r="D301" s="22" t="str">
        <f>VLOOKUP('Combine Products &amp; Sales Facts'!C301,'Customer Details'!A:B,2,0)</f>
        <v>Earl Allen</v>
      </c>
      <c r="E301" s="22" t="str">
        <f>VLOOKUP(C301,Sales_Fact!C:D,2,0)</f>
        <v>PROD83</v>
      </c>
      <c r="F301" s="22" t="str">
        <f>VLOOKUP(E301,Product_Dim!A:C,3,0)</f>
        <v>Beauty</v>
      </c>
      <c r="G301" s="22" t="str" cm="1">
        <f t="array" ref="G301:L301">_xlfn.XLOOKUP(C301,Sales_Fact!C301:C2285,Sales_Fact!E301:J2285)</f>
        <v>STORE16</v>
      </c>
      <c r="H301" s="22">
        <v>1</v>
      </c>
      <c r="I301" s="22">
        <v>299.13</v>
      </c>
      <c r="J301" s="22">
        <v>0.1</v>
      </c>
      <c r="K301" s="22" t="str">
        <v>COD</v>
      </c>
      <c r="L301" s="22">
        <v>269.21699999999998</v>
      </c>
    </row>
    <row r="302" spans="1:12" x14ac:dyDescent="0.3">
      <c r="A302" s="22" t="s">
        <v>2111</v>
      </c>
      <c r="B302" s="34" cm="1">
        <f t="array" ref="B302:C302">_xlfn.XLOOKUP(A302,Sales_Fact!A302:A2286,Sales_Fact!B302:C2286)</f>
        <v>45433</v>
      </c>
      <c r="C302" s="22" t="str">
        <v>CUST1116</v>
      </c>
      <c r="D302" s="22" t="str">
        <f>VLOOKUP('Combine Products &amp; Sales Facts'!C302,'Customer Details'!A:B,2,0)</f>
        <v>Anthony Phillips</v>
      </c>
      <c r="E302" s="22" t="str">
        <f>VLOOKUP(C302,Sales_Fact!C:D,2,0)</f>
        <v>PROD15</v>
      </c>
      <c r="F302" s="22" t="str">
        <f>VLOOKUP(E302,Product_Dim!A:C,3,0)</f>
        <v>Electronics</v>
      </c>
      <c r="G302" s="22" t="str" cm="1">
        <f t="array" ref="G302:L302">_xlfn.XLOOKUP(C302,Sales_Fact!C302:C2286,Sales_Fact!E302:J2286)</f>
        <v>STORE3</v>
      </c>
      <c r="H302" s="22">
        <v>2</v>
      </c>
      <c r="I302" s="22">
        <v>548.29999999999995</v>
      </c>
      <c r="J302" s="22">
        <v>0.23</v>
      </c>
      <c r="K302" s="22" t="str">
        <v>Credit Card</v>
      </c>
      <c r="L302" s="22">
        <v>844.38199999999995</v>
      </c>
    </row>
    <row r="303" spans="1:12" x14ac:dyDescent="0.3">
      <c r="A303" s="22" t="s">
        <v>2112</v>
      </c>
      <c r="B303" s="34" cm="1">
        <f t="array" ref="B303:C303">_xlfn.XLOOKUP(A303,Sales_Fact!A303:A2287,Sales_Fact!B303:C2287)</f>
        <v>45435</v>
      </c>
      <c r="C303" s="22" t="str">
        <v>CUST1262</v>
      </c>
      <c r="D303" s="22" t="str">
        <f>VLOOKUP('Combine Products &amp; Sales Facts'!C303,'Customer Details'!A:B,2,0)</f>
        <v>Katherine Cowan</v>
      </c>
      <c r="E303" s="22" t="str">
        <f>VLOOKUP(C303,Sales_Fact!C:D,2,0)</f>
        <v>PROD11</v>
      </c>
      <c r="F303" s="22" t="str">
        <f>VLOOKUP(E303,Product_Dim!A:C,3,0)</f>
        <v>Electronics</v>
      </c>
      <c r="G303" s="22" t="str" cm="1">
        <f t="array" ref="G303:L303">_xlfn.XLOOKUP(C303,Sales_Fact!C303:C2287,Sales_Fact!E303:J2287)</f>
        <v>STORE10</v>
      </c>
      <c r="H303" s="22">
        <v>3</v>
      </c>
      <c r="I303" s="22">
        <v>977.55</v>
      </c>
      <c r="J303" s="22">
        <v>0.02</v>
      </c>
      <c r="K303" s="22" t="str">
        <v>PayPal</v>
      </c>
      <c r="L303" s="22">
        <v>2873.9969999999989</v>
      </c>
    </row>
    <row r="304" spans="1:12" x14ac:dyDescent="0.3">
      <c r="A304" s="22" t="s">
        <v>2113</v>
      </c>
      <c r="B304" s="34" cm="1">
        <f t="array" ref="B304:C304">_xlfn.XLOOKUP(A304,Sales_Fact!A304:A2288,Sales_Fact!B304:C2288)</f>
        <v>45823</v>
      </c>
      <c r="C304" s="22" t="str">
        <v>CUST1346</v>
      </c>
      <c r="D304" s="22" t="str">
        <f>VLOOKUP('Combine Products &amp; Sales Facts'!C304,'Customer Details'!A:B,2,0)</f>
        <v>John Jordan</v>
      </c>
      <c r="E304" s="22" t="str">
        <f>VLOOKUP(C304,Sales_Fact!C:D,2,0)</f>
        <v>PROD76</v>
      </c>
      <c r="F304" s="22" t="str">
        <f>VLOOKUP(E304,Product_Dim!A:C,3,0)</f>
        <v>Electronics</v>
      </c>
      <c r="G304" s="22" t="str" cm="1">
        <f t="array" ref="G304:L304">_xlfn.XLOOKUP(C304,Sales_Fact!C304:C2288,Sales_Fact!E304:J2288)</f>
        <v>STORE18</v>
      </c>
      <c r="H304" s="22">
        <v>1</v>
      </c>
      <c r="I304" s="22">
        <v>459.42</v>
      </c>
      <c r="J304" s="22">
        <v>0.28000000000000003</v>
      </c>
      <c r="K304" s="22" t="str">
        <v>COD</v>
      </c>
      <c r="L304" s="22">
        <v>330.7824</v>
      </c>
    </row>
    <row r="305" spans="1:12" x14ac:dyDescent="0.3">
      <c r="A305" s="22" t="s">
        <v>2114</v>
      </c>
      <c r="B305" s="34" cm="1">
        <f t="array" ref="B305:C305">_xlfn.XLOOKUP(A305,Sales_Fact!A305:A2289,Sales_Fact!B305:C2289)</f>
        <v>45663</v>
      </c>
      <c r="C305" s="22" t="str">
        <v>CUST1088</v>
      </c>
      <c r="D305" s="22" t="str">
        <f>VLOOKUP('Combine Products &amp; Sales Facts'!C305,'Customer Details'!A:B,2,0)</f>
        <v>Timothy Wright</v>
      </c>
      <c r="E305" s="22" t="str">
        <f>VLOOKUP(C305,Sales_Fact!C:D,2,0)</f>
        <v>PROD2</v>
      </c>
      <c r="F305" s="22" t="str">
        <f>VLOOKUP(E305,Product_Dim!A:C,3,0)</f>
        <v>Clothing</v>
      </c>
      <c r="G305" s="22" t="str" cm="1">
        <f t="array" ref="G305:L305">_xlfn.XLOOKUP(C305,Sales_Fact!C305:C2289,Sales_Fact!E305:J2289)</f>
        <v>STORE4</v>
      </c>
      <c r="H305" s="22">
        <v>2</v>
      </c>
      <c r="I305" s="22">
        <v>123.19</v>
      </c>
      <c r="J305" s="22">
        <v>0.19</v>
      </c>
      <c r="K305" s="22" t="str">
        <v>Credit Card</v>
      </c>
      <c r="L305" s="22">
        <v>199.56780000000001</v>
      </c>
    </row>
    <row r="306" spans="1:12" x14ac:dyDescent="0.3">
      <c r="A306" s="22" t="s">
        <v>2115</v>
      </c>
      <c r="B306" s="34" cm="1">
        <f t="array" ref="B306:C306">_xlfn.XLOOKUP(A306,Sales_Fact!A306:A2290,Sales_Fact!B306:C2290)</f>
        <v>45879</v>
      </c>
      <c r="C306" s="22" t="str">
        <v>CUST1358</v>
      </c>
      <c r="D306" s="22" t="str">
        <f>VLOOKUP('Combine Products &amp; Sales Facts'!C306,'Customer Details'!A:B,2,0)</f>
        <v>Ashley Anderson</v>
      </c>
      <c r="E306" s="22" t="str">
        <f>VLOOKUP(C306,Sales_Fact!C:D,2,0)</f>
        <v>PROD55</v>
      </c>
      <c r="F306" s="22" t="str">
        <f>VLOOKUP(E306,Product_Dim!A:C,3,0)</f>
        <v>Home</v>
      </c>
      <c r="G306" s="22" t="str" cm="1">
        <f t="array" ref="G306:L306">_xlfn.XLOOKUP(C306,Sales_Fact!C306:C2290,Sales_Fact!E306:J2290)</f>
        <v>STORE19</v>
      </c>
      <c r="H306" s="22">
        <v>1</v>
      </c>
      <c r="I306" s="22">
        <v>222.95</v>
      </c>
      <c r="J306" s="22">
        <v>0.02</v>
      </c>
      <c r="K306" s="22" t="str">
        <v>PayPal</v>
      </c>
      <c r="L306" s="22">
        <v>218.49100000000001</v>
      </c>
    </row>
    <row r="307" spans="1:12" x14ac:dyDescent="0.3">
      <c r="A307" s="22" t="s">
        <v>2116</v>
      </c>
      <c r="B307" s="34" cm="1">
        <f t="array" ref="B307:C307">_xlfn.XLOOKUP(A307,Sales_Fact!A307:A2291,Sales_Fact!B307:C2291)</f>
        <v>45840</v>
      </c>
      <c r="C307" s="22" t="str">
        <v>CUST1332</v>
      </c>
      <c r="D307" s="22" t="str">
        <f>VLOOKUP('Combine Products &amp; Sales Facts'!C307,'Customer Details'!A:B,2,0)</f>
        <v>Dr. Lindsay Hanna</v>
      </c>
      <c r="E307" s="22" t="str">
        <f>VLOOKUP(C307,Sales_Fact!C:D,2,0)</f>
        <v>PROD32</v>
      </c>
      <c r="F307" s="22" t="str">
        <f>VLOOKUP(E307,Product_Dim!A:C,3,0)</f>
        <v>Beauty</v>
      </c>
      <c r="G307" s="22" t="str" cm="1">
        <f t="array" ref="G307:L307">_xlfn.XLOOKUP(C307,Sales_Fact!C307:C2291,Sales_Fact!E307:J2291)</f>
        <v>STORE4</v>
      </c>
      <c r="H307" s="22">
        <v>3</v>
      </c>
      <c r="I307" s="22">
        <v>601.92999999999995</v>
      </c>
      <c r="J307" s="22">
        <v>0.14000000000000001</v>
      </c>
      <c r="K307" s="22" t="str">
        <v>Credit Card</v>
      </c>
      <c r="L307" s="22">
        <v>1552.9793999999999</v>
      </c>
    </row>
    <row r="308" spans="1:12" x14ac:dyDescent="0.3">
      <c r="A308" s="22" t="s">
        <v>2117</v>
      </c>
      <c r="B308" s="34" cm="1">
        <f t="array" ref="B308:C308">_xlfn.XLOOKUP(A308,Sales_Fact!A308:A2292,Sales_Fact!B308:C2292)</f>
        <v>45380</v>
      </c>
      <c r="C308" s="22" t="str">
        <v>CUST1297</v>
      </c>
      <c r="D308" s="22" t="str">
        <f>VLOOKUP('Combine Products &amp; Sales Facts'!C308,'Customer Details'!A:B,2,0)</f>
        <v>Jennifer Carr</v>
      </c>
      <c r="E308" s="22" t="str">
        <f>VLOOKUP(C308,Sales_Fact!C:D,2,0)</f>
        <v>PROD69</v>
      </c>
      <c r="F308" s="22" t="str">
        <f>VLOOKUP(E308,Product_Dim!A:C,3,0)</f>
        <v>Clothing</v>
      </c>
      <c r="G308" s="22" t="str" cm="1">
        <f t="array" ref="G308:L308">_xlfn.XLOOKUP(C308,Sales_Fact!C308:C2292,Sales_Fact!E308:J2292)</f>
        <v>STORE2</v>
      </c>
      <c r="H308" s="22">
        <v>1</v>
      </c>
      <c r="I308" s="22">
        <v>564.1</v>
      </c>
      <c r="J308" s="22">
        <v>0.03</v>
      </c>
      <c r="K308" s="22" t="str">
        <v>Credit Card</v>
      </c>
      <c r="L308" s="22">
        <v>547.17700000000002</v>
      </c>
    </row>
    <row r="309" spans="1:12" x14ac:dyDescent="0.3">
      <c r="A309" s="22" t="s">
        <v>2118</v>
      </c>
      <c r="B309" s="34" cm="1">
        <f t="array" ref="B309:C309">_xlfn.XLOOKUP(A309,Sales_Fact!A309:A2293,Sales_Fact!B309:C2293)</f>
        <v>45672</v>
      </c>
      <c r="C309" s="22" t="str">
        <v>CUST1095</v>
      </c>
      <c r="D309" s="22" t="str">
        <f>VLOOKUP('Combine Products &amp; Sales Facts'!C309,'Customer Details'!A:B,2,0)</f>
        <v>Amy Fowler</v>
      </c>
      <c r="E309" s="22" t="str">
        <f>VLOOKUP(C309,Sales_Fact!C:D,2,0)</f>
        <v>PROD40</v>
      </c>
      <c r="F309" s="22" t="str">
        <f>VLOOKUP(E309,Product_Dim!A:C,3,0)</f>
        <v>Electronics</v>
      </c>
      <c r="G309" s="22" t="str" cm="1">
        <f t="array" ref="G309:L309">_xlfn.XLOOKUP(C309,Sales_Fact!C309:C2293,Sales_Fact!E309:J2293)</f>
        <v>STORE5</v>
      </c>
      <c r="H309" s="22">
        <v>1</v>
      </c>
      <c r="I309" s="22">
        <v>516.62</v>
      </c>
      <c r="J309" s="22">
        <v>0.18</v>
      </c>
      <c r="K309" s="22" t="str">
        <v>Credit Card</v>
      </c>
      <c r="L309" s="22">
        <v>423.62840000000011</v>
      </c>
    </row>
    <row r="310" spans="1:12" x14ac:dyDescent="0.3">
      <c r="A310" s="22" t="s">
        <v>2119</v>
      </c>
      <c r="B310" s="34" cm="1">
        <f t="array" ref="B310:C310">_xlfn.XLOOKUP(A310,Sales_Fact!A310:A2294,Sales_Fact!B310:C2294)</f>
        <v>45497</v>
      </c>
      <c r="C310" s="22" t="str">
        <v>CUST1438</v>
      </c>
      <c r="D310" s="22" t="str">
        <f>VLOOKUP('Combine Products &amp; Sales Facts'!C310,'Customer Details'!A:B,2,0)</f>
        <v>Monica Flynn</v>
      </c>
      <c r="E310" s="22" t="str">
        <f>VLOOKUP(C310,Sales_Fact!C:D,2,0)</f>
        <v>PROD63</v>
      </c>
      <c r="F310" s="22" t="str">
        <f>VLOOKUP(E310,Product_Dim!A:C,3,0)</f>
        <v>Beauty</v>
      </c>
      <c r="G310" s="22" t="str" cm="1">
        <f t="array" ref="G310:L310">_xlfn.XLOOKUP(C310,Sales_Fact!C310:C2294,Sales_Fact!E310:J2294)</f>
        <v>STORE12</v>
      </c>
      <c r="H310" s="22">
        <v>1</v>
      </c>
      <c r="I310" s="22">
        <v>934.75</v>
      </c>
      <c r="J310" s="22">
        <v>0.11</v>
      </c>
      <c r="K310" s="22" t="str">
        <v>PayPal</v>
      </c>
      <c r="L310" s="22">
        <v>831.92750000000001</v>
      </c>
    </row>
    <row r="311" spans="1:12" x14ac:dyDescent="0.3">
      <c r="A311" s="22" t="s">
        <v>2120</v>
      </c>
      <c r="B311" s="34" cm="1">
        <f t="array" ref="B311:C311">_xlfn.XLOOKUP(A311,Sales_Fact!A311:A2295,Sales_Fact!B311:C2295)</f>
        <v>45407</v>
      </c>
      <c r="C311" s="22" t="str">
        <v>CUST1234</v>
      </c>
      <c r="D311" s="22" t="str">
        <f>VLOOKUP('Combine Products &amp; Sales Facts'!C311,'Customer Details'!A:B,2,0)</f>
        <v>Nathaniel Hill</v>
      </c>
      <c r="E311" s="22" t="str">
        <f>VLOOKUP(C311,Sales_Fact!C:D,2,0)</f>
        <v>PROD98</v>
      </c>
      <c r="F311" s="22" t="str">
        <f>VLOOKUP(E311,Product_Dim!A:C,3,0)</f>
        <v>Electronics</v>
      </c>
      <c r="G311" s="22" t="str" cm="1">
        <f t="array" ref="G311:L311">_xlfn.XLOOKUP(C311,Sales_Fact!C311:C2295,Sales_Fact!E311:J2295)</f>
        <v>STORE7</v>
      </c>
      <c r="H311" s="22">
        <v>4</v>
      </c>
      <c r="I311" s="22">
        <v>548.44000000000005</v>
      </c>
      <c r="J311" s="22">
        <v>0.05</v>
      </c>
      <c r="K311" s="22" t="str">
        <v>PayPal</v>
      </c>
      <c r="L311" s="22">
        <v>2084.0720000000001</v>
      </c>
    </row>
    <row r="312" spans="1:12" x14ac:dyDescent="0.3">
      <c r="A312" s="22" t="s">
        <v>2121</v>
      </c>
      <c r="B312" s="34" cm="1">
        <f t="array" ref="B312:C312">_xlfn.XLOOKUP(A312,Sales_Fact!A312:A2296,Sales_Fact!B312:C2296)</f>
        <v>45764</v>
      </c>
      <c r="C312" s="22" t="str">
        <v>CUST1013</v>
      </c>
      <c r="D312" s="22" t="str">
        <f>VLOOKUP('Combine Products &amp; Sales Facts'!C312,'Customer Details'!A:B,2,0)</f>
        <v>Nathan Hernandez</v>
      </c>
      <c r="E312" s="22" t="str">
        <f>VLOOKUP(C312,Sales_Fact!C:D,2,0)</f>
        <v>PROD24</v>
      </c>
      <c r="F312" s="22" t="str">
        <f>VLOOKUP(E312,Product_Dim!A:C,3,0)</f>
        <v>Sports</v>
      </c>
      <c r="G312" s="22" t="str" cm="1">
        <f t="array" ref="G312:L312">_xlfn.XLOOKUP(C312,Sales_Fact!C312:C2296,Sales_Fact!E312:J2296)</f>
        <v>STORE3</v>
      </c>
      <c r="H312" s="22">
        <v>3</v>
      </c>
      <c r="I312" s="22">
        <v>361.11</v>
      </c>
      <c r="J312" s="22">
        <v>0.06</v>
      </c>
      <c r="K312" s="22" t="str">
        <v>Credit Card</v>
      </c>
      <c r="L312" s="22">
        <v>1018.3302</v>
      </c>
    </row>
    <row r="313" spans="1:12" x14ac:dyDescent="0.3">
      <c r="A313" s="22" t="s">
        <v>2122</v>
      </c>
      <c r="B313" s="34" cm="1">
        <f t="array" ref="B313:C313">_xlfn.XLOOKUP(A313,Sales_Fact!A313:A2297,Sales_Fact!B313:C2297)</f>
        <v>45924</v>
      </c>
      <c r="C313" s="22" t="str">
        <v>CUST1187</v>
      </c>
      <c r="D313" s="22" t="str">
        <f>VLOOKUP('Combine Products &amp; Sales Facts'!C313,'Customer Details'!A:B,2,0)</f>
        <v>Dr. Suzanne Bullock</v>
      </c>
      <c r="E313" s="22" t="str">
        <f>VLOOKUP(C313,Sales_Fact!C:D,2,0)</f>
        <v>PROD13</v>
      </c>
      <c r="F313" s="22" t="str">
        <f>VLOOKUP(E313,Product_Dim!A:C,3,0)</f>
        <v>Electronics</v>
      </c>
      <c r="G313" s="22" t="str" cm="1">
        <f t="array" ref="G313:L313">_xlfn.XLOOKUP(C313,Sales_Fact!C313:C2297,Sales_Fact!E313:J2297)</f>
        <v>STORE1</v>
      </c>
      <c r="H313" s="22">
        <v>2</v>
      </c>
      <c r="I313" s="22">
        <v>610.37</v>
      </c>
      <c r="J313" s="22">
        <v>0.1</v>
      </c>
      <c r="K313" s="22" t="str">
        <v>PayPal</v>
      </c>
      <c r="L313" s="22">
        <v>1098.6659999999999</v>
      </c>
    </row>
    <row r="314" spans="1:12" x14ac:dyDescent="0.3">
      <c r="A314" s="22" t="s">
        <v>2123</v>
      </c>
      <c r="B314" s="34" cm="1">
        <f t="array" ref="B314:C314">_xlfn.XLOOKUP(A314,Sales_Fact!A314:A2298,Sales_Fact!B314:C2298)</f>
        <v>45240</v>
      </c>
      <c r="C314" s="22" t="str">
        <v>CUST1334</v>
      </c>
      <c r="D314" s="22" t="str">
        <f>VLOOKUP('Combine Products &amp; Sales Facts'!C314,'Customer Details'!A:B,2,0)</f>
        <v>Mr. Christopher Sims</v>
      </c>
      <c r="E314" s="22" t="str">
        <f>VLOOKUP(C314,Sales_Fact!C:D,2,0)</f>
        <v>PROD71</v>
      </c>
      <c r="F314" s="22" t="str">
        <f>VLOOKUP(E314,Product_Dim!A:C,3,0)</f>
        <v>Beauty</v>
      </c>
      <c r="G314" s="22" t="str" cm="1">
        <f t="array" ref="G314:L314">_xlfn.XLOOKUP(C314,Sales_Fact!C314:C2298,Sales_Fact!E314:J2298)</f>
        <v>STORE16</v>
      </c>
      <c r="H314" s="22">
        <v>1</v>
      </c>
      <c r="I314" s="22">
        <v>272.2</v>
      </c>
      <c r="J314" s="22">
        <v>0.3</v>
      </c>
      <c r="K314" s="22" t="str">
        <v>Credit Card</v>
      </c>
      <c r="L314" s="22">
        <v>190.54</v>
      </c>
    </row>
    <row r="315" spans="1:12" x14ac:dyDescent="0.3">
      <c r="A315" s="22" t="s">
        <v>2124</v>
      </c>
      <c r="B315" s="34" cm="1">
        <f t="array" ref="B315:C315">_xlfn.XLOOKUP(A315,Sales_Fact!A315:A2299,Sales_Fact!B315:C2299)</f>
        <v>45349</v>
      </c>
      <c r="C315" s="22" t="str">
        <v>CUST1438</v>
      </c>
      <c r="D315" s="22" t="str">
        <f>VLOOKUP('Combine Products &amp; Sales Facts'!C315,'Customer Details'!A:B,2,0)</f>
        <v>Monica Flynn</v>
      </c>
      <c r="E315" s="22" t="str">
        <f>VLOOKUP(C315,Sales_Fact!C:D,2,0)</f>
        <v>PROD63</v>
      </c>
      <c r="F315" s="22" t="str">
        <f>VLOOKUP(E315,Product_Dim!A:C,3,0)</f>
        <v>Beauty</v>
      </c>
      <c r="G315" s="22" t="str" cm="1">
        <f t="array" ref="G315:L315">_xlfn.XLOOKUP(C315,Sales_Fact!C315:C2299,Sales_Fact!E315:J2299)</f>
        <v>STORE6</v>
      </c>
      <c r="H315" s="22">
        <v>3</v>
      </c>
      <c r="I315" s="22">
        <v>573.1</v>
      </c>
      <c r="J315" s="22">
        <v>0.16</v>
      </c>
      <c r="K315" s="22" t="str">
        <v>COD</v>
      </c>
      <c r="L315" s="22">
        <v>1444.212</v>
      </c>
    </row>
    <row r="316" spans="1:12" x14ac:dyDescent="0.3">
      <c r="A316" s="22" t="s">
        <v>2125</v>
      </c>
      <c r="B316" s="34" cm="1">
        <f t="array" ref="B316:C316">_xlfn.XLOOKUP(A316,Sales_Fact!A316:A2300,Sales_Fact!B316:C2300)</f>
        <v>45756</v>
      </c>
      <c r="C316" s="22" t="str">
        <v>CUST1322</v>
      </c>
      <c r="D316" s="22" t="str">
        <f>VLOOKUP('Combine Products &amp; Sales Facts'!C316,'Customer Details'!A:B,2,0)</f>
        <v>Samuel Arias</v>
      </c>
      <c r="E316" s="22" t="str">
        <f>VLOOKUP(C316,Sales_Fact!C:D,2,0)</f>
        <v>PROD6</v>
      </c>
      <c r="F316" s="22" t="str">
        <f>VLOOKUP(E316,Product_Dim!A:C,3,0)</f>
        <v>Beauty</v>
      </c>
      <c r="G316" s="22" t="str" cm="1">
        <f t="array" ref="G316:L316">_xlfn.XLOOKUP(C316,Sales_Fact!C316:C2300,Sales_Fact!E316:J2300)</f>
        <v>STORE0</v>
      </c>
      <c r="H316" s="22">
        <v>4</v>
      </c>
      <c r="I316" s="22">
        <v>24.72</v>
      </c>
      <c r="J316" s="22">
        <v>0.28000000000000003</v>
      </c>
      <c r="K316" s="22" t="str">
        <v>Credit Card</v>
      </c>
      <c r="L316" s="22">
        <v>71.193599999999989</v>
      </c>
    </row>
    <row r="317" spans="1:12" x14ac:dyDescent="0.3">
      <c r="A317" s="22" t="s">
        <v>2126</v>
      </c>
      <c r="B317" s="34" cm="1">
        <f t="array" ref="B317:C317">_xlfn.XLOOKUP(A317,Sales_Fact!A317:A2301,Sales_Fact!B317:C2301)</f>
        <v>45478</v>
      </c>
      <c r="C317" s="22" t="str">
        <v>CUST1251</v>
      </c>
      <c r="D317" s="22" t="str">
        <f>VLOOKUP('Combine Products &amp; Sales Facts'!C317,'Customer Details'!A:B,2,0)</f>
        <v>Tyler Garner</v>
      </c>
      <c r="E317" s="22" t="str">
        <f>VLOOKUP(C317,Sales_Fact!C:D,2,0)</f>
        <v>PROD9</v>
      </c>
      <c r="F317" s="22" t="str">
        <f>VLOOKUP(E317,Product_Dim!A:C,3,0)</f>
        <v>Sports</v>
      </c>
      <c r="G317" s="22" t="str" cm="1">
        <f t="array" ref="G317:L317">_xlfn.XLOOKUP(C317,Sales_Fact!C317:C2301,Sales_Fact!E317:J2301)</f>
        <v>STORE9</v>
      </c>
      <c r="H317" s="22">
        <v>3</v>
      </c>
      <c r="I317" s="22">
        <v>268.89</v>
      </c>
      <c r="J317" s="22">
        <v>7.0000000000000007E-2</v>
      </c>
      <c r="K317" s="22" t="str">
        <v>COD</v>
      </c>
      <c r="L317" s="22">
        <v>750.20309999999995</v>
      </c>
    </row>
    <row r="318" spans="1:12" x14ac:dyDescent="0.3">
      <c r="A318" s="22" t="s">
        <v>2127</v>
      </c>
      <c r="B318" s="34" cm="1">
        <f t="array" ref="B318:C318">_xlfn.XLOOKUP(A318,Sales_Fact!A318:A2302,Sales_Fact!B318:C2302)</f>
        <v>45890</v>
      </c>
      <c r="C318" s="22" t="str">
        <v>CUST1257</v>
      </c>
      <c r="D318" s="22" t="str">
        <f>VLOOKUP('Combine Products &amp; Sales Facts'!C318,'Customer Details'!A:B,2,0)</f>
        <v>Christopher David</v>
      </c>
      <c r="E318" s="22" t="str">
        <f>VLOOKUP(C318,Sales_Fact!C:D,2,0)</f>
        <v>PROD85</v>
      </c>
      <c r="F318" s="22" t="str">
        <f>VLOOKUP(E318,Product_Dim!A:C,3,0)</f>
        <v>Clothing</v>
      </c>
      <c r="G318" s="22" t="str" cm="1">
        <f t="array" ref="G318:L318">_xlfn.XLOOKUP(C318,Sales_Fact!C318:C2302,Sales_Fact!E318:J2302)</f>
        <v>STORE9</v>
      </c>
      <c r="H318" s="22">
        <v>1</v>
      </c>
      <c r="I318" s="22">
        <v>78.5</v>
      </c>
      <c r="J318" s="22">
        <v>0.17</v>
      </c>
      <c r="K318" s="22" t="str">
        <v>COD</v>
      </c>
      <c r="L318" s="22">
        <v>65.155000000000001</v>
      </c>
    </row>
    <row r="319" spans="1:12" x14ac:dyDescent="0.3">
      <c r="A319" s="22" t="s">
        <v>2128</v>
      </c>
      <c r="B319" s="34" cm="1">
        <f t="array" ref="B319:C319">_xlfn.XLOOKUP(A319,Sales_Fact!A319:A2303,Sales_Fact!B319:C2303)</f>
        <v>45815</v>
      </c>
      <c r="C319" s="22" t="str">
        <v>CUST1133</v>
      </c>
      <c r="D319" s="22" t="str">
        <f>VLOOKUP('Combine Products &amp; Sales Facts'!C319,'Customer Details'!A:B,2,0)</f>
        <v>Hayley Pope</v>
      </c>
      <c r="E319" s="22" t="str">
        <f>VLOOKUP(C319,Sales_Fact!C:D,2,0)</f>
        <v>PROD36</v>
      </c>
      <c r="F319" s="22" t="str">
        <f>VLOOKUP(E319,Product_Dim!A:C,3,0)</f>
        <v>Clothing</v>
      </c>
      <c r="G319" s="22" t="str" cm="1">
        <f t="array" ref="G319:L319">_xlfn.XLOOKUP(C319,Sales_Fact!C319:C2303,Sales_Fact!E319:J2303)</f>
        <v>STORE4</v>
      </c>
      <c r="H319" s="22">
        <v>3</v>
      </c>
      <c r="I319" s="22">
        <v>399.42</v>
      </c>
      <c r="J319" s="22">
        <v>0.02</v>
      </c>
      <c r="K319" s="22" t="str">
        <v>Credit Card</v>
      </c>
      <c r="L319" s="22">
        <v>1174.2947999999999</v>
      </c>
    </row>
    <row r="320" spans="1:12" x14ac:dyDescent="0.3">
      <c r="A320" s="22" t="s">
        <v>2129</v>
      </c>
      <c r="B320" s="34" cm="1">
        <f t="array" ref="B320:C320">_xlfn.XLOOKUP(A320,Sales_Fact!A320:A2304,Sales_Fact!B320:C2304)</f>
        <v>45891</v>
      </c>
      <c r="C320" s="22" t="str">
        <v>CUST1085</v>
      </c>
      <c r="D320" s="22" t="str">
        <f>VLOOKUP('Combine Products &amp; Sales Facts'!C320,'Customer Details'!A:B,2,0)</f>
        <v>Richard Delgado</v>
      </c>
      <c r="E320" s="22" t="str">
        <f>VLOOKUP(C320,Sales_Fact!C:D,2,0)</f>
        <v>PROD31</v>
      </c>
      <c r="F320" s="22" t="str">
        <f>VLOOKUP(E320,Product_Dim!A:C,3,0)</f>
        <v>Sports</v>
      </c>
      <c r="G320" s="22" t="str" cm="1">
        <f t="array" ref="G320:L320">_xlfn.XLOOKUP(C320,Sales_Fact!C320:C2304,Sales_Fact!E320:J2304)</f>
        <v>STORE19</v>
      </c>
      <c r="H320" s="22">
        <v>3</v>
      </c>
      <c r="I320" s="22">
        <v>455.82</v>
      </c>
      <c r="J320" s="22">
        <v>0.01</v>
      </c>
      <c r="K320" s="22" t="str">
        <v>PayPal</v>
      </c>
      <c r="L320" s="22">
        <v>1353.7854</v>
      </c>
    </row>
    <row r="321" spans="1:12" x14ac:dyDescent="0.3">
      <c r="A321" s="22" t="s">
        <v>2130</v>
      </c>
      <c r="B321" s="34" cm="1">
        <f t="array" ref="B321:C321">_xlfn.XLOOKUP(A321,Sales_Fact!A321:A2305,Sales_Fact!B321:C2305)</f>
        <v>45609</v>
      </c>
      <c r="C321" s="22" t="str">
        <v>CUST1349</v>
      </c>
      <c r="D321" s="22" t="str">
        <f>VLOOKUP('Combine Products &amp; Sales Facts'!C321,'Customer Details'!A:B,2,0)</f>
        <v>Heather Valenzuela</v>
      </c>
      <c r="E321" s="22" t="str">
        <f>VLOOKUP(C321,Sales_Fact!C:D,2,0)</f>
        <v>PROD71</v>
      </c>
      <c r="F321" s="22" t="str">
        <f>VLOOKUP(E321,Product_Dim!A:C,3,0)</f>
        <v>Beauty</v>
      </c>
      <c r="G321" s="22" t="str" cm="1">
        <f t="array" ref="G321:L321">_xlfn.XLOOKUP(C321,Sales_Fact!C321:C2305,Sales_Fact!E321:J2305)</f>
        <v>STORE5</v>
      </c>
      <c r="H321" s="22">
        <v>2</v>
      </c>
      <c r="I321" s="22">
        <v>613.23</v>
      </c>
      <c r="J321" s="22">
        <v>0.15</v>
      </c>
      <c r="K321" s="22" t="str">
        <v>PayPal</v>
      </c>
      <c r="L321" s="22">
        <v>1042.491</v>
      </c>
    </row>
    <row r="322" spans="1:12" x14ac:dyDescent="0.3">
      <c r="A322" s="22" t="s">
        <v>2131</v>
      </c>
      <c r="B322" s="34" cm="1">
        <f t="array" ref="B322:C322">_xlfn.XLOOKUP(A322,Sales_Fact!A322:A2306,Sales_Fact!B322:C2306)</f>
        <v>45309</v>
      </c>
      <c r="C322" s="22" t="str">
        <v>CUST1458</v>
      </c>
      <c r="D322" s="22" t="str">
        <f>VLOOKUP('Combine Products &amp; Sales Facts'!C322,'Customer Details'!A:B,2,0)</f>
        <v>Kelly Garrett</v>
      </c>
      <c r="E322" s="22" t="str">
        <f>VLOOKUP(C322,Sales_Fact!C:D,2,0)</f>
        <v>PROD2</v>
      </c>
      <c r="F322" s="22" t="str">
        <f>VLOOKUP(E322,Product_Dim!A:C,3,0)</f>
        <v>Clothing</v>
      </c>
      <c r="G322" s="22" t="str" cm="1">
        <f t="array" ref="G322:L322">_xlfn.XLOOKUP(C322,Sales_Fact!C322:C2306,Sales_Fact!E322:J2306)</f>
        <v>STORE14</v>
      </c>
      <c r="H322" s="22">
        <v>4</v>
      </c>
      <c r="I322" s="22">
        <v>971.9</v>
      </c>
      <c r="J322" s="22">
        <v>0.28000000000000003</v>
      </c>
      <c r="K322" s="22" t="str">
        <v>PayPal</v>
      </c>
      <c r="L322" s="22">
        <v>2799.0720000000001</v>
      </c>
    </row>
    <row r="323" spans="1:12" x14ac:dyDescent="0.3">
      <c r="A323" s="22" t="s">
        <v>2132</v>
      </c>
      <c r="B323" s="34" cm="1">
        <f t="array" ref="B323:C323">_xlfn.XLOOKUP(A323,Sales_Fact!A323:A2307,Sales_Fact!B323:C2307)</f>
        <v>45519</v>
      </c>
      <c r="C323" s="22" t="str">
        <v>CUST1034</v>
      </c>
      <c r="D323" s="22" t="str">
        <f>VLOOKUP('Combine Products &amp; Sales Facts'!C323,'Customer Details'!A:B,2,0)</f>
        <v>Christopher Olson</v>
      </c>
      <c r="E323" s="22" t="str">
        <f>VLOOKUP(C323,Sales_Fact!C:D,2,0)</f>
        <v>PROD28</v>
      </c>
      <c r="F323" s="22" t="str">
        <f>VLOOKUP(E323,Product_Dim!A:C,3,0)</f>
        <v>Sports</v>
      </c>
      <c r="G323" s="22" t="str" cm="1">
        <f t="array" ref="G323:L323">_xlfn.XLOOKUP(C323,Sales_Fact!C323:C2307,Sales_Fact!E323:J2307)</f>
        <v>STORE7</v>
      </c>
      <c r="H323" s="22">
        <v>3</v>
      </c>
      <c r="I323" s="22">
        <v>884.92</v>
      </c>
      <c r="J323" s="22">
        <v>0.06</v>
      </c>
      <c r="K323" s="22" t="str">
        <v>PayPal</v>
      </c>
      <c r="L323" s="22">
        <v>2495.4744000000001</v>
      </c>
    </row>
    <row r="324" spans="1:12" x14ac:dyDescent="0.3">
      <c r="A324" s="22" t="s">
        <v>2133</v>
      </c>
      <c r="B324" s="34" cm="1">
        <f t="array" ref="B324:C324">_xlfn.XLOOKUP(A324,Sales_Fact!A324:A2308,Sales_Fact!B324:C2308)</f>
        <v>45921</v>
      </c>
      <c r="C324" s="22" t="str">
        <v>CUST1087</v>
      </c>
      <c r="D324" s="22" t="str">
        <f>VLOOKUP('Combine Products &amp; Sales Facts'!C324,'Customer Details'!A:B,2,0)</f>
        <v>Melissa Duffy Md</v>
      </c>
      <c r="E324" s="22" t="str">
        <f>VLOOKUP(C324,Sales_Fact!C:D,2,0)</f>
        <v>PROD76</v>
      </c>
      <c r="F324" s="22" t="str">
        <f>VLOOKUP(E324,Product_Dim!A:C,3,0)</f>
        <v>Electronics</v>
      </c>
      <c r="G324" s="22" t="str" cm="1">
        <f t="array" ref="G324:L324">_xlfn.XLOOKUP(C324,Sales_Fact!C324:C2308,Sales_Fact!E324:J2308)</f>
        <v>STORE9</v>
      </c>
      <c r="H324" s="22">
        <v>1</v>
      </c>
      <c r="I324" s="22">
        <v>125</v>
      </c>
      <c r="J324" s="22">
        <v>0.23</v>
      </c>
      <c r="K324" s="22" t="str">
        <v>Credit Card</v>
      </c>
      <c r="L324" s="22">
        <v>96.25</v>
      </c>
    </row>
    <row r="325" spans="1:12" x14ac:dyDescent="0.3">
      <c r="A325" s="22" t="s">
        <v>2134</v>
      </c>
      <c r="B325" s="34" cm="1">
        <f t="array" ref="B325:C325">_xlfn.XLOOKUP(A325,Sales_Fact!A325:A2309,Sales_Fact!B325:C2309)</f>
        <v>45465</v>
      </c>
      <c r="C325" s="22" t="str">
        <v>CUST1128</v>
      </c>
      <c r="D325" s="22" t="str">
        <f>VLOOKUP('Combine Products &amp; Sales Facts'!C325,'Customer Details'!A:B,2,0)</f>
        <v>Susan Mcdonald</v>
      </c>
      <c r="E325" s="22" t="str">
        <f>VLOOKUP(C325,Sales_Fact!C:D,2,0)</f>
        <v>PROD25</v>
      </c>
      <c r="F325" s="22" t="str">
        <f>VLOOKUP(E325,Product_Dim!A:C,3,0)</f>
        <v>Clothing</v>
      </c>
      <c r="G325" s="22" t="str" cm="1">
        <f t="array" ref="G325:L325">_xlfn.XLOOKUP(C325,Sales_Fact!C325:C2309,Sales_Fact!E325:J2309)</f>
        <v>STORE15</v>
      </c>
      <c r="H325" s="22">
        <v>2</v>
      </c>
      <c r="I325" s="22">
        <v>188.25</v>
      </c>
      <c r="J325" s="22">
        <v>0.08</v>
      </c>
      <c r="K325" s="22" t="str">
        <v>PayPal</v>
      </c>
      <c r="L325" s="22">
        <v>346.38</v>
      </c>
    </row>
    <row r="326" spans="1:12" x14ac:dyDescent="0.3">
      <c r="A326" s="22" t="s">
        <v>2135</v>
      </c>
      <c r="B326" s="34" cm="1">
        <f t="array" ref="B326:C326">_xlfn.XLOOKUP(A326,Sales_Fact!A326:A2310,Sales_Fact!B326:C2310)</f>
        <v>45303</v>
      </c>
      <c r="C326" s="22" t="str">
        <v>CUST1222</v>
      </c>
      <c r="D326" s="22" t="str">
        <f>VLOOKUP('Combine Products &amp; Sales Facts'!C326,'Customer Details'!A:B,2,0)</f>
        <v>Alejandro Doyle</v>
      </c>
      <c r="E326" s="22" t="str">
        <f>VLOOKUP(C326,Sales_Fact!C:D,2,0)</f>
        <v>PROD46</v>
      </c>
      <c r="F326" s="22" t="str">
        <f>VLOOKUP(E326,Product_Dim!A:C,3,0)</f>
        <v>Clothing</v>
      </c>
      <c r="G326" s="22" t="str" cm="1">
        <f t="array" ref="G326:L326">_xlfn.XLOOKUP(C326,Sales_Fact!C326:C2310,Sales_Fact!E326:J2310)</f>
        <v>STORE6</v>
      </c>
      <c r="H326" s="22">
        <v>4</v>
      </c>
      <c r="I326" s="22">
        <v>344.12</v>
      </c>
      <c r="J326" s="22">
        <v>0.25</v>
      </c>
      <c r="K326" s="22" t="str">
        <v>PayPal</v>
      </c>
      <c r="L326" s="22">
        <v>1032.3599999999999</v>
      </c>
    </row>
    <row r="327" spans="1:12" x14ac:dyDescent="0.3">
      <c r="A327" s="22" t="s">
        <v>2136</v>
      </c>
      <c r="B327" s="34" cm="1">
        <f t="array" ref="B327:C327">_xlfn.XLOOKUP(A327,Sales_Fact!A327:A2311,Sales_Fact!B327:C2311)</f>
        <v>45218</v>
      </c>
      <c r="C327" s="22" t="str">
        <v>CUST1047</v>
      </c>
      <c r="D327" s="22" t="str">
        <f>VLOOKUP('Combine Products &amp; Sales Facts'!C327,'Customer Details'!A:B,2,0)</f>
        <v>Gina Knight</v>
      </c>
      <c r="E327" s="22" t="str">
        <f>VLOOKUP(C327,Sales_Fact!C:D,2,0)</f>
        <v>PROD64</v>
      </c>
      <c r="F327" s="22" t="str">
        <f>VLOOKUP(E327,Product_Dim!A:C,3,0)</f>
        <v>Beauty</v>
      </c>
      <c r="G327" s="22" t="str" cm="1">
        <f t="array" ref="G327:L327">_xlfn.XLOOKUP(C327,Sales_Fact!C327:C2311,Sales_Fact!E327:J2311)</f>
        <v>STORE19</v>
      </c>
      <c r="H327" s="22">
        <v>3</v>
      </c>
      <c r="I327" s="22">
        <v>997.95</v>
      </c>
      <c r="J327" s="22">
        <v>0.09</v>
      </c>
      <c r="K327" s="22" t="str">
        <v>COD</v>
      </c>
      <c r="L327" s="22">
        <v>2724.4034999999999</v>
      </c>
    </row>
    <row r="328" spans="1:12" x14ac:dyDescent="0.3">
      <c r="A328" s="22" t="s">
        <v>2137</v>
      </c>
      <c r="B328" s="34" cm="1">
        <f t="array" ref="B328:C328">_xlfn.XLOOKUP(A328,Sales_Fact!A328:A2312,Sales_Fact!B328:C2312)</f>
        <v>45727</v>
      </c>
      <c r="C328" s="22" t="str">
        <v>CUST1150</v>
      </c>
      <c r="D328" s="22" t="str">
        <f>VLOOKUP('Combine Products &amp; Sales Facts'!C328,'Customer Details'!A:B,2,0)</f>
        <v>Stephanie Conway</v>
      </c>
      <c r="E328" s="22" t="str">
        <f>VLOOKUP(C328,Sales_Fact!C:D,2,0)</f>
        <v>PROD11</v>
      </c>
      <c r="F328" s="22" t="str">
        <f>VLOOKUP(E328,Product_Dim!A:C,3,0)</f>
        <v>Electronics</v>
      </c>
      <c r="G328" s="22" t="str" cm="1">
        <f t="array" ref="G328:L328">_xlfn.XLOOKUP(C328,Sales_Fact!C328:C2312,Sales_Fact!E328:J2312)</f>
        <v>STORE15</v>
      </c>
      <c r="H328" s="22">
        <v>3</v>
      </c>
      <c r="I328" s="22">
        <v>121.64</v>
      </c>
      <c r="J328" s="22">
        <v>7.0000000000000007E-2</v>
      </c>
      <c r="K328" s="22" t="str">
        <v>PayPal</v>
      </c>
      <c r="L328" s="22">
        <v>339.37560000000002</v>
      </c>
    </row>
    <row r="329" spans="1:12" x14ac:dyDescent="0.3">
      <c r="A329" s="22" t="s">
        <v>2138</v>
      </c>
      <c r="B329" s="34" cm="1">
        <f t="array" ref="B329:C329">_xlfn.XLOOKUP(A329,Sales_Fact!A329:A2313,Sales_Fact!B329:C2313)</f>
        <v>45557</v>
      </c>
      <c r="C329" s="22" t="str">
        <v>CUST1221</v>
      </c>
      <c r="D329" s="22" t="str">
        <f>VLOOKUP('Combine Products &amp; Sales Facts'!C329,'Customer Details'!A:B,2,0)</f>
        <v>Lisa Young</v>
      </c>
      <c r="E329" s="22" t="str">
        <f>VLOOKUP(C329,Sales_Fact!C:D,2,0)</f>
        <v>PROD83</v>
      </c>
      <c r="F329" s="22" t="str">
        <f>VLOOKUP(E329,Product_Dim!A:C,3,0)</f>
        <v>Beauty</v>
      </c>
      <c r="G329" s="22" t="str" cm="1">
        <f t="array" ref="G329:L329">_xlfn.XLOOKUP(C329,Sales_Fact!C329:C2313,Sales_Fact!E329:J2313)</f>
        <v>STORE10</v>
      </c>
      <c r="H329" s="22">
        <v>2</v>
      </c>
      <c r="I329" s="22">
        <v>692.72</v>
      </c>
      <c r="J329" s="22">
        <v>0.13</v>
      </c>
      <c r="K329" s="22" t="str">
        <v>PayPal</v>
      </c>
      <c r="L329" s="22">
        <v>1205.3327999999999</v>
      </c>
    </row>
    <row r="330" spans="1:12" x14ac:dyDescent="0.3">
      <c r="A330" s="22" t="s">
        <v>2139</v>
      </c>
      <c r="B330" s="34" cm="1">
        <f t="array" ref="B330:C330">_xlfn.XLOOKUP(A330,Sales_Fact!A330:A2314,Sales_Fact!B330:C2314)</f>
        <v>45623</v>
      </c>
      <c r="C330" s="22" t="str">
        <v>CUST1027</v>
      </c>
      <c r="D330" s="22" t="str">
        <f>VLOOKUP('Combine Products &amp; Sales Facts'!C330,'Customer Details'!A:B,2,0)</f>
        <v>Leslie Johnson</v>
      </c>
      <c r="E330" s="22" t="str">
        <f>VLOOKUP(C330,Sales_Fact!C:D,2,0)</f>
        <v>PROD24</v>
      </c>
      <c r="F330" s="22" t="str">
        <f>VLOOKUP(E330,Product_Dim!A:C,3,0)</f>
        <v>Sports</v>
      </c>
      <c r="G330" s="22" t="str" cm="1">
        <f t="array" ref="G330:L330">_xlfn.XLOOKUP(C330,Sales_Fact!C330:C2314,Sales_Fact!E330:J2314)</f>
        <v>STORE19</v>
      </c>
      <c r="H330" s="22">
        <v>3</v>
      </c>
      <c r="I330" s="22">
        <v>794.59</v>
      </c>
      <c r="J330" s="22">
        <v>0.03</v>
      </c>
      <c r="K330" s="22" t="str">
        <v>PayPal</v>
      </c>
      <c r="L330" s="22">
        <v>2312.2568999999999</v>
      </c>
    </row>
    <row r="331" spans="1:12" x14ac:dyDescent="0.3">
      <c r="A331" s="22" t="s">
        <v>2140</v>
      </c>
      <c r="B331" s="34" cm="1">
        <f t="array" ref="B331:C331">_xlfn.XLOOKUP(A331,Sales_Fact!A331:A2315,Sales_Fact!B331:C2315)</f>
        <v>45224</v>
      </c>
      <c r="C331" s="22" t="str">
        <v>CUST1014</v>
      </c>
      <c r="D331" s="22" t="str">
        <f>VLOOKUP('Combine Products &amp; Sales Facts'!C331,'Customer Details'!A:B,2,0)</f>
        <v>Ashley Cohen</v>
      </c>
      <c r="E331" s="22" t="str">
        <f>VLOOKUP(C331,Sales_Fact!C:D,2,0)</f>
        <v>PROD26</v>
      </c>
      <c r="F331" s="22" t="str">
        <f>VLOOKUP(E331,Product_Dim!A:C,3,0)</f>
        <v>Electronics</v>
      </c>
      <c r="G331" s="22" t="str" cm="1">
        <f t="array" ref="G331:L331">_xlfn.XLOOKUP(C331,Sales_Fact!C331:C2315,Sales_Fact!E331:J2315)</f>
        <v>STORE9</v>
      </c>
      <c r="H331" s="22">
        <v>1</v>
      </c>
      <c r="I331" s="22">
        <v>907.95</v>
      </c>
      <c r="J331" s="22">
        <v>0.1</v>
      </c>
      <c r="K331" s="22" t="str">
        <v>PayPal</v>
      </c>
      <c r="L331" s="22">
        <v>817.15500000000009</v>
      </c>
    </row>
    <row r="332" spans="1:12" x14ac:dyDescent="0.3">
      <c r="A332" s="22" t="s">
        <v>2141</v>
      </c>
      <c r="B332" s="34" cm="1">
        <f t="array" ref="B332:C332">_xlfn.XLOOKUP(A332,Sales_Fact!A332:A2316,Sales_Fact!B332:C2316)</f>
        <v>45940</v>
      </c>
      <c r="C332" s="22" t="str">
        <v>CUST1287</v>
      </c>
      <c r="D332" s="22" t="str">
        <f>VLOOKUP('Combine Products &amp; Sales Facts'!C332,'Customer Details'!A:B,2,0)</f>
        <v>Cynthia Roberts</v>
      </c>
      <c r="E332" s="22" t="str">
        <f>VLOOKUP(C332,Sales_Fact!C:D,2,0)</f>
        <v>PROD3</v>
      </c>
      <c r="F332" s="22" t="str">
        <f>VLOOKUP(E332,Product_Dim!A:C,3,0)</f>
        <v>Clothing</v>
      </c>
      <c r="G332" s="22" t="str" cm="1">
        <f t="array" ref="G332:L332">_xlfn.XLOOKUP(C332,Sales_Fact!C332:C2316,Sales_Fact!E332:J2316)</f>
        <v>STORE0</v>
      </c>
      <c r="H332" s="22">
        <v>2</v>
      </c>
      <c r="I332" s="22">
        <v>660.81</v>
      </c>
      <c r="J332" s="22">
        <v>0.18</v>
      </c>
      <c r="K332" s="22" t="str">
        <v>Credit Card</v>
      </c>
      <c r="L332" s="22">
        <v>1083.7284</v>
      </c>
    </row>
    <row r="333" spans="1:12" x14ac:dyDescent="0.3">
      <c r="A333" s="22" t="s">
        <v>2142</v>
      </c>
      <c r="B333" s="34" cm="1">
        <f t="array" ref="B333:C333">_xlfn.XLOOKUP(A333,Sales_Fact!A333:A2317,Sales_Fact!B333:C2317)</f>
        <v>45915</v>
      </c>
      <c r="C333" s="22" t="str">
        <v>CUST1061</v>
      </c>
      <c r="D333" s="22" t="str">
        <f>VLOOKUP('Combine Products &amp; Sales Facts'!C333,'Customer Details'!A:B,2,0)</f>
        <v>Kristin Stein</v>
      </c>
      <c r="E333" s="22" t="str">
        <f>VLOOKUP(C333,Sales_Fact!C:D,2,0)</f>
        <v>PROD51</v>
      </c>
      <c r="F333" s="22" t="str">
        <f>VLOOKUP(E333,Product_Dim!A:C,3,0)</f>
        <v>Electronics</v>
      </c>
      <c r="G333" s="22" t="str" cm="1">
        <f t="array" ref="G333:L333">_xlfn.XLOOKUP(C333,Sales_Fact!C333:C2317,Sales_Fact!E333:J2317)</f>
        <v>STORE8</v>
      </c>
      <c r="H333" s="22">
        <v>3</v>
      </c>
      <c r="I333" s="22">
        <v>564.94000000000005</v>
      </c>
      <c r="J333" s="22">
        <v>0.22</v>
      </c>
      <c r="K333" s="22" t="str">
        <v>COD</v>
      </c>
      <c r="L333" s="22">
        <v>1321.9595999999999</v>
      </c>
    </row>
    <row r="334" spans="1:12" x14ac:dyDescent="0.3">
      <c r="A334" s="22" t="s">
        <v>2143</v>
      </c>
      <c r="B334" s="34" cm="1">
        <f t="array" ref="B334:C334">_xlfn.XLOOKUP(A334,Sales_Fact!A334:A2318,Sales_Fact!B334:C2318)</f>
        <v>45541</v>
      </c>
      <c r="C334" s="22" t="str">
        <v>CUST1054</v>
      </c>
      <c r="D334" s="22" t="str">
        <f>VLOOKUP('Combine Products &amp; Sales Facts'!C334,'Customer Details'!A:B,2,0)</f>
        <v>Katherine Dorsey</v>
      </c>
      <c r="E334" s="22" t="str">
        <f>VLOOKUP(C334,Sales_Fact!C:D,2,0)</f>
        <v>PROD88</v>
      </c>
      <c r="F334" s="22" t="str">
        <f>VLOOKUP(E334,Product_Dim!A:C,3,0)</f>
        <v>Sports</v>
      </c>
      <c r="G334" s="22" t="str" cm="1">
        <f t="array" ref="G334:L334">_xlfn.XLOOKUP(C334,Sales_Fact!C334:C2318,Sales_Fact!E334:J2318)</f>
        <v>STORE15</v>
      </c>
      <c r="H334" s="22">
        <v>2</v>
      </c>
      <c r="I334" s="22">
        <v>280.37</v>
      </c>
      <c r="J334" s="22">
        <v>0.22</v>
      </c>
      <c r="K334" s="22" t="str">
        <v>COD</v>
      </c>
      <c r="L334" s="22">
        <v>437.37720000000002</v>
      </c>
    </row>
    <row r="335" spans="1:12" x14ac:dyDescent="0.3">
      <c r="A335" s="22" t="s">
        <v>2144</v>
      </c>
      <c r="B335" s="34" cm="1">
        <f t="array" ref="B335:C335">_xlfn.XLOOKUP(A335,Sales_Fact!A335:A2319,Sales_Fact!B335:C2319)</f>
        <v>45489</v>
      </c>
      <c r="C335" s="22" t="str">
        <v>CUST1372</v>
      </c>
      <c r="D335" s="22" t="str">
        <f>VLOOKUP('Combine Products &amp; Sales Facts'!C335,'Customer Details'!A:B,2,0)</f>
        <v>Jacqueline Anthony</v>
      </c>
      <c r="E335" s="22" t="str">
        <f>VLOOKUP(C335,Sales_Fact!C:D,2,0)</f>
        <v>PROD72</v>
      </c>
      <c r="F335" s="22" t="str">
        <f>VLOOKUP(E335,Product_Dim!A:C,3,0)</f>
        <v>Sports</v>
      </c>
      <c r="G335" s="22" t="str" cm="1">
        <f t="array" ref="G335:L335">_xlfn.XLOOKUP(C335,Sales_Fact!C335:C2319,Sales_Fact!E335:J2319)</f>
        <v>STORE3</v>
      </c>
      <c r="H335" s="22">
        <v>2</v>
      </c>
      <c r="I335" s="22">
        <v>85.23</v>
      </c>
      <c r="J335" s="22">
        <v>0.13</v>
      </c>
      <c r="K335" s="22" t="str">
        <v>Credit Card</v>
      </c>
      <c r="L335" s="22">
        <v>148.30019999999999</v>
      </c>
    </row>
    <row r="336" spans="1:12" x14ac:dyDescent="0.3">
      <c r="A336" s="22" t="s">
        <v>2145</v>
      </c>
      <c r="B336" s="34" cm="1">
        <f t="array" ref="B336:C336">_xlfn.XLOOKUP(A336,Sales_Fact!A336:A2320,Sales_Fact!B336:C2320)</f>
        <v>45748</v>
      </c>
      <c r="C336" s="22" t="str">
        <v>CUST1312</v>
      </c>
      <c r="D336" s="22" t="str">
        <f>VLOOKUP('Combine Products &amp; Sales Facts'!C336,'Customer Details'!A:B,2,0)</f>
        <v>Jason Mullins</v>
      </c>
      <c r="E336" s="22" t="str">
        <f>VLOOKUP(C336,Sales_Fact!C:D,2,0)</f>
        <v>PROD74</v>
      </c>
      <c r="F336" s="22" t="str">
        <f>VLOOKUP(E336,Product_Dim!A:C,3,0)</f>
        <v>Electronics</v>
      </c>
      <c r="G336" s="22" t="str" cm="1">
        <f t="array" ref="G336:L336">_xlfn.XLOOKUP(C336,Sales_Fact!C336:C2320,Sales_Fact!E336:J2320)</f>
        <v>STORE13</v>
      </c>
      <c r="H336" s="22">
        <v>2</v>
      </c>
      <c r="I336" s="22">
        <v>563.29999999999995</v>
      </c>
      <c r="J336" s="22">
        <v>0.26</v>
      </c>
      <c r="K336" s="22" t="str">
        <v>Credit Card</v>
      </c>
      <c r="L336" s="22">
        <v>833.68399999999997</v>
      </c>
    </row>
    <row r="337" spans="1:12" x14ac:dyDescent="0.3">
      <c r="A337" s="22" t="s">
        <v>2146</v>
      </c>
      <c r="B337" s="34" cm="1">
        <f t="array" ref="B337:C337">_xlfn.XLOOKUP(A337,Sales_Fact!A337:A2321,Sales_Fact!B337:C2321)</f>
        <v>45309</v>
      </c>
      <c r="C337" s="22" t="str">
        <v>CUST1033</v>
      </c>
      <c r="D337" s="22" t="str">
        <f>VLOOKUP('Combine Products &amp; Sales Facts'!C337,'Customer Details'!A:B,2,0)</f>
        <v>Robert Jones Dds</v>
      </c>
      <c r="E337" s="22" t="str">
        <f>VLOOKUP(C337,Sales_Fact!C:D,2,0)</f>
        <v>PROD46</v>
      </c>
      <c r="F337" s="22" t="str">
        <f>VLOOKUP(E337,Product_Dim!A:C,3,0)</f>
        <v>Clothing</v>
      </c>
      <c r="G337" s="22" t="str" cm="1">
        <f t="array" ref="G337:L337">_xlfn.XLOOKUP(C337,Sales_Fact!C337:C2321,Sales_Fact!E337:J2321)</f>
        <v>STORE18</v>
      </c>
      <c r="H337" s="22">
        <v>2</v>
      </c>
      <c r="I337" s="22">
        <v>827.81</v>
      </c>
      <c r="J337" s="22">
        <v>0.04</v>
      </c>
      <c r="K337" s="22" t="str">
        <v>PayPal</v>
      </c>
      <c r="L337" s="22">
        <v>1589.3951999999999</v>
      </c>
    </row>
    <row r="338" spans="1:12" x14ac:dyDescent="0.3">
      <c r="A338" s="22" t="s">
        <v>2147</v>
      </c>
      <c r="B338" s="34" cm="1">
        <f t="array" ref="B338:C338">_xlfn.XLOOKUP(A338,Sales_Fact!A338:A2322,Sales_Fact!B338:C2322)</f>
        <v>45621</v>
      </c>
      <c r="C338" s="22" t="str">
        <v>CUST1214</v>
      </c>
      <c r="D338" s="22" t="str">
        <f>VLOOKUP('Combine Products &amp; Sales Facts'!C338,'Customer Details'!A:B,2,0)</f>
        <v>Eric Todd</v>
      </c>
      <c r="E338" s="22" t="str">
        <f>VLOOKUP(C338,Sales_Fact!C:D,2,0)</f>
        <v>PROD91</v>
      </c>
      <c r="F338" s="22" t="str">
        <f>VLOOKUP(E338,Product_Dim!A:C,3,0)</f>
        <v>Clothing</v>
      </c>
      <c r="G338" s="22" t="str" cm="1">
        <f t="array" ref="G338:L338">_xlfn.XLOOKUP(C338,Sales_Fact!C338:C2322,Sales_Fact!E338:J2322)</f>
        <v>STORE18</v>
      </c>
      <c r="H338" s="22">
        <v>3</v>
      </c>
      <c r="I338" s="22">
        <v>877.71</v>
      </c>
      <c r="J338" s="22">
        <v>0.12</v>
      </c>
      <c r="K338" s="22" t="str">
        <v>PayPal</v>
      </c>
      <c r="L338" s="22">
        <v>2317.1543999999999</v>
      </c>
    </row>
    <row r="339" spans="1:12" x14ac:dyDescent="0.3">
      <c r="A339" s="22" t="s">
        <v>2148</v>
      </c>
      <c r="B339" s="34" cm="1">
        <f t="array" ref="B339:C339">_xlfn.XLOOKUP(A339,Sales_Fact!A339:A2323,Sales_Fact!B339:C2323)</f>
        <v>45603</v>
      </c>
      <c r="C339" s="22" t="str">
        <v>CUST1257</v>
      </c>
      <c r="D339" s="22" t="str">
        <f>VLOOKUP('Combine Products &amp; Sales Facts'!C339,'Customer Details'!A:B,2,0)</f>
        <v>Christopher David</v>
      </c>
      <c r="E339" s="22" t="str">
        <f>VLOOKUP(C339,Sales_Fact!C:D,2,0)</f>
        <v>PROD85</v>
      </c>
      <c r="F339" s="22" t="str">
        <f>VLOOKUP(E339,Product_Dim!A:C,3,0)</f>
        <v>Clothing</v>
      </c>
      <c r="G339" s="22" t="str" cm="1">
        <f t="array" ref="G339:L339">_xlfn.XLOOKUP(C339,Sales_Fact!C339:C2323,Sales_Fact!E339:J2323)</f>
        <v>STORE9</v>
      </c>
      <c r="H339" s="22">
        <v>4</v>
      </c>
      <c r="I339" s="22">
        <v>488.56</v>
      </c>
      <c r="J339" s="22">
        <v>0.26</v>
      </c>
      <c r="K339" s="22" t="str">
        <v>COD</v>
      </c>
      <c r="L339" s="22">
        <v>1446.1376</v>
      </c>
    </row>
    <row r="340" spans="1:12" x14ac:dyDescent="0.3">
      <c r="A340" s="22" t="s">
        <v>2149</v>
      </c>
      <c r="B340" s="34" cm="1">
        <f t="array" ref="B340:C340">_xlfn.XLOOKUP(A340,Sales_Fact!A340:A2324,Sales_Fact!B340:C2324)</f>
        <v>45501</v>
      </c>
      <c r="C340" s="22" t="str">
        <v>CUST1104</v>
      </c>
      <c r="D340" s="22" t="str">
        <f>VLOOKUP('Combine Products &amp; Sales Facts'!C340,'Customer Details'!A:B,2,0)</f>
        <v>Christopher Lester</v>
      </c>
      <c r="E340" s="22" t="str">
        <f>VLOOKUP(C340,Sales_Fact!C:D,2,0)</f>
        <v>PROD25</v>
      </c>
      <c r="F340" s="22" t="str">
        <f>VLOOKUP(E340,Product_Dim!A:C,3,0)</f>
        <v>Clothing</v>
      </c>
      <c r="G340" s="22" t="str" cm="1">
        <f t="array" ref="G340:L340">_xlfn.XLOOKUP(C340,Sales_Fact!C340:C2324,Sales_Fact!E340:J2324)</f>
        <v>STORE12</v>
      </c>
      <c r="H340" s="22">
        <v>4</v>
      </c>
      <c r="I340" s="22">
        <v>175.91</v>
      </c>
      <c r="J340" s="22">
        <v>0.13</v>
      </c>
      <c r="K340" s="22" t="str">
        <v>PayPal</v>
      </c>
      <c r="L340" s="22">
        <v>612.16679999999997</v>
      </c>
    </row>
    <row r="341" spans="1:12" x14ac:dyDescent="0.3">
      <c r="A341" s="22" t="s">
        <v>2150</v>
      </c>
      <c r="B341" s="34" cm="1">
        <f t="array" ref="B341:C341">_xlfn.XLOOKUP(A341,Sales_Fact!A341:A2325,Sales_Fact!B341:C2325)</f>
        <v>45398</v>
      </c>
      <c r="C341" s="22" t="str">
        <v>CUST1248</v>
      </c>
      <c r="D341" s="22" t="str">
        <f>VLOOKUP('Combine Products &amp; Sales Facts'!C341,'Customer Details'!A:B,2,0)</f>
        <v>Nicholas Webb</v>
      </c>
      <c r="E341" s="22" t="str">
        <f>VLOOKUP(C341,Sales_Fact!C:D,2,0)</f>
        <v>PROD87</v>
      </c>
      <c r="F341" s="22" t="str">
        <f>VLOOKUP(E341,Product_Dim!A:C,3,0)</f>
        <v>Home</v>
      </c>
      <c r="G341" s="22" t="str" cm="1">
        <f t="array" ref="G341:L341">_xlfn.XLOOKUP(C341,Sales_Fact!C341:C2325,Sales_Fact!E341:J2325)</f>
        <v>STORE8</v>
      </c>
      <c r="H341" s="22">
        <v>4</v>
      </c>
      <c r="I341" s="22">
        <v>289.66000000000003</v>
      </c>
      <c r="J341" s="22">
        <v>0.25</v>
      </c>
      <c r="K341" s="22" t="str">
        <v>COD</v>
      </c>
      <c r="L341" s="22">
        <v>868.98</v>
      </c>
    </row>
    <row r="342" spans="1:12" x14ac:dyDescent="0.3">
      <c r="A342" s="22" t="s">
        <v>2151</v>
      </c>
      <c r="B342" s="34" cm="1">
        <f t="array" ref="B342:C342">_xlfn.XLOOKUP(A342,Sales_Fact!A342:A2326,Sales_Fact!B342:C2326)</f>
        <v>45304</v>
      </c>
      <c r="C342" s="22" t="str">
        <v>CUST1241</v>
      </c>
      <c r="D342" s="22" t="str">
        <f>VLOOKUP('Combine Products &amp; Sales Facts'!C342,'Customer Details'!A:B,2,0)</f>
        <v>Mr. William Horton</v>
      </c>
      <c r="E342" s="22" t="str">
        <f>VLOOKUP(C342,Sales_Fact!C:D,2,0)</f>
        <v>PROD15</v>
      </c>
      <c r="F342" s="22" t="str">
        <f>VLOOKUP(E342,Product_Dim!A:C,3,0)</f>
        <v>Electronics</v>
      </c>
      <c r="G342" s="22" t="str" cm="1">
        <f t="array" ref="G342:L342">_xlfn.XLOOKUP(C342,Sales_Fact!C342:C2326,Sales_Fact!E342:J2326)</f>
        <v>STORE15</v>
      </c>
      <c r="H342" s="22">
        <v>2</v>
      </c>
      <c r="I342" s="22">
        <v>899.27</v>
      </c>
      <c r="J342" s="22">
        <v>0.17</v>
      </c>
      <c r="K342" s="22" t="str">
        <v>Credit Card</v>
      </c>
      <c r="L342" s="22">
        <v>1492.7882</v>
      </c>
    </row>
    <row r="343" spans="1:12" x14ac:dyDescent="0.3">
      <c r="A343" s="22" t="s">
        <v>2152</v>
      </c>
      <c r="B343" s="34" cm="1">
        <f t="array" ref="B343:C343">_xlfn.XLOOKUP(A343,Sales_Fact!A343:A2327,Sales_Fact!B343:C2327)</f>
        <v>45299</v>
      </c>
      <c r="C343" s="22" t="str">
        <v>CUST1065</v>
      </c>
      <c r="D343" s="22" t="str">
        <f>VLOOKUP('Combine Products &amp; Sales Facts'!C343,'Customer Details'!A:B,2,0)</f>
        <v>Michael Thomas</v>
      </c>
      <c r="E343" s="22" t="str">
        <f>VLOOKUP(C343,Sales_Fact!C:D,2,0)</f>
        <v>PROD24</v>
      </c>
      <c r="F343" s="22" t="str">
        <f>VLOOKUP(E343,Product_Dim!A:C,3,0)</f>
        <v>Sports</v>
      </c>
      <c r="G343" s="22" t="str" cm="1">
        <f t="array" ref="G343:L343">_xlfn.XLOOKUP(C343,Sales_Fact!C343:C2327,Sales_Fact!E343:J2327)</f>
        <v>STORE1</v>
      </c>
      <c r="H343" s="22">
        <v>1</v>
      </c>
      <c r="I343" s="22">
        <v>691.38</v>
      </c>
      <c r="J343" s="22">
        <v>0.11</v>
      </c>
      <c r="K343" s="22" t="str">
        <v>COD</v>
      </c>
      <c r="L343" s="22">
        <v>615.32820000000004</v>
      </c>
    </row>
    <row r="344" spans="1:12" x14ac:dyDescent="0.3">
      <c r="A344" s="22" t="s">
        <v>2153</v>
      </c>
      <c r="B344" s="34" cm="1">
        <f t="array" ref="B344:C344">_xlfn.XLOOKUP(A344,Sales_Fact!A344:A2328,Sales_Fact!B344:C2328)</f>
        <v>45564</v>
      </c>
      <c r="C344" s="22" t="str">
        <v>CUST1165</v>
      </c>
      <c r="D344" s="22" t="str">
        <f>VLOOKUP('Combine Products &amp; Sales Facts'!C344,'Customer Details'!A:B,2,0)</f>
        <v>Jason Wheeler</v>
      </c>
      <c r="E344" s="22" t="str">
        <f>VLOOKUP(C344,Sales_Fact!C:D,2,0)</f>
        <v>PROD27</v>
      </c>
      <c r="F344" s="22" t="str">
        <f>VLOOKUP(E344,Product_Dim!A:C,3,0)</f>
        <v>Home</v>
      </c>
      <c r="G344" s="22" t="str" cm="1">
        <f t="array" ref="G344:L344">_xlfn.XLOOKUP(C344,Sales_Fact!C344:C2328,Sales_Fact!E344:J2328)</f>
        <v>STORE0</v>
      </c>
      <c r="H344" s="22">
        <v>3</v>
      </c>
      <c r="I344" s="22">
        <v>158.72</v>
      </c>
      <c r="J344" s="22">
        <v>0.13</v>
      </c>
      <c r="K344" s="22" t="str">
        <v>Credit Card</v>
      </c>
      <c r="L344" s="22">
        <v>414.25920000000002</v>
      </c>
    </row>
    <row r="345" spans="1:12" x14ac:dyDescent="0.3">
      <c r="A345" s="22" t="s">
        <v>2154</v>
      </c>
      <c r="B345" s="34" cm="1">
        <f t="array" ref="B345:C345">_xlfn.XLOOKUP(A345,Sales_Fact!A345:A2329,Sales_Fact!B345:C2329)</f>
        <v>45413</v>
      </c>
      <c r="C345" s="22" t="str">
        <v>CUST1210</v>
      </c>
      <c r="D345" s="22" t="str">
        <f>VLOOKUP('Combine Products &amp; Sales Facts'!C345,'Customer Details'!A:B,2,0)</f>
        <v>Antonio Jones</v>
      </c>
      <c r="E345" s="22" t="str">
        <f>VLOOKUP(C345,Sales_Fact!C:D,2,0)</f>
        <v>PROD60</v>
      </c>
      <c r="F345" s="22" t="str">
        <f>VLOOKUP(E345,Product_Dim!A:C,3,0)</f>
        <v>Beauty</v>
      </c>
      <c r="G345" s="22" t="str" cm="1">
        <f t="array" ref="G345:L345">_xlfn.XLOOKUP(C345,Sales_Fact!C345:C2329,Sales_Fact!E345:J2329)</f>
        <v>STORE16</v>
      </c>
      <c r="H345" s="22">
        <v>4</v>
      </c>
      <c r="I345" s="22">
        <v>537.15</v>
      </c>
      <c r="J345" s="22">
        <v>0.06</v>
      </c>
      <c r="K345" s="22" t="str">
        <v>COD</v>
      </c>
      <c r="L345" s="22">
        <v>2019.684</v>
      </c>
    </row>
    <row r="346" spans="1:12" x14ac:dyDescent="0.3">
      <c r="A346" s="22" t="s">
        <v>2155</v>
      </c>
      <c r="B346" s="34" cm="1">
        <f t="array" ref="B346:C346">_xlfn.XLOOKUP(A346,Sales_Fact!A346:A2330,Sales_Fact!B346:C2330)</f>
        <v>45480</v>
      </c>
      <c r="C346" s="22" t="str">
        <v>CUST1417</v>
      </c>
      <c r="D346" s="22" t="str">
        <f>VLOOKUP('Combine Products &amp; Sales Facts'!C346,'Customer Details'!A:B,2,0)</f>
        <v>Karen King</v>
      </c>
      <c r="E346" s="22" t="str">
        <f>VLOOKUP(C346,Sales_Fact!C:D,2,0)</f>
        <v>PROD97</v>
      </c>
      <c r="F346" s="22" t="str">
        <f>VLOOKUP(E346,Product_Dim!A:C,3,0)</f>
        <v>Sports</v>
      </c>
      <c r="G346" s="22" t="str" cm="1">
        <f t="array" ref="G346:L346">_xlfn.XLOOKUP(C346,Sales_Fact!C346:C2330,Sales_Fact!E346:J2330)</f>
        <v>STORE9</v>
      </c>
      <c r="H346" s="22">
        <v>3</v>
      </c>
      <c r="I346" s="22">
        <v>771.7</v>
      </c>
      <c r="J346" s="22">
        <v>0.05</v>
      </c>
      <c r="K346" s="22" t="str">
        <v>COD</v>
      </c>
      <c r="L346" s="22">
        <v>2199.3449999999998</v>
      </c>
    </row>
    <row r="347" spans="1:12" x14ac:dyDescent="0.3">
      <c r="A347" s="22" t="s">
        <v>2156</v>
      </c>
      <c r="B347" s="34" cm="1">
        <f t="array" ref="B347:C347">_xlfn.XLOOKUP(A347,Sales_Fact!A347:A2331,Sales_Fact!B347:C2331)</f>
        <v>45610</v>
      </c>
      <c r="C347" s="22" t="str">
        <v>CUST1108</v>
      </c>
      <c r="D347" s="22" t="str">
        <f>VLOOKUP('Combine Products &amp; Sales Facts'!C347,'Customer Details'!A:B,2,0)</f>
        <v>Travis Holland</v>
      </c>
      <c r="E347" s="22" t="str">
        <f>VLOOKUP(C347,Sales_Fact!C:D,2,0)</f>
        <v>PROD30</v>
      </c>
      <c r="F347" s="22" t="str">
        <f>VLOOKUP(E347,Product_Dim!A:C,3,0)</f>
        <v>Home</v>
      </c>
      <c r="G347" s="22" t="str" cm="1">
        <f t="array" ref="G347:L347">_xlfn.XLOOKUP(C347,Sales_Fact!C347:C2331,Sales_Fact!E347:J2331)</f>
        <v>STORE1</v>
      </c>
      <c r="H347" s="22">
        <v>4</v>
      </c>
      <c r="I347" s="22">
        <v>677.25</v>
      </c>
      <c r="J347" s="22">
        <v>0.14000000000000001</v>
      </c>
      <c r="K347" s="22" t="str">
        <v>PayPal</v>
      </c>
      <c r="L347" s="22">
        <v>2329.7399999999998</v>
      </c>
    </row>
    <row r="348" spans="1:12" x14ac:dyDescent="0.3">
      <c r="A348" s="22" t="s">
        <v>2157</v>
      </c>
      <c r="B348" s="34" cm="1">
        <f t="array" ref="B348:C348">_xlfn.XLOOKUP(A348,Sales_Fact!A348:A2332,Sales_Fact!B348:C2332)</f>
        <v>45763</v>
      </c>
      <c r="C348" s="22" t="str">
        <v>CUST1102</v>
      </c>
      <c r="D348" s="22" t="str">
        <f>VLOOKUP('Combine Products &amp; Sales Facts'!C348,'Customer Details'!A:B,2,0)</f>
        <v>Sarah Schneider</v>
      </c>
      <c r="E348" s="22" t="str">
        <f>VLOOKUP(C348,Sales_Fact!C:D,2,0)</f>
        <v>PROD98</v>
      </c>
      <c r="F348" s="22" t="str">
        <f>VLOOKUP(E348,Product_Dim!A:C,3,0)</f>
        <v>Electronics</v>
      </c>
      <c r="G348" s="22" t="str" cm="1">
        <f t="array" ref="G348:L348">_xlfn.XLOOKUP(C348,Sales_Fact!C348:C2332,Sales_Fact!E348:J2332)</f>
        <v>STORE11</v>
      </c>
      <c r="H348" s="22">
        <v>1</v>
      </c>
      <c r="I348" s="22">
        <v>645.48</v>
      </c>
      <c r="J348" s="22">
        <v>0.26</v>
      </c>
      <c r="K348" s="22" t="str">
        <v>COD</v>
      </c>
      <c r="L348" s="22">
        <v>477.65519999999998</v>
      </c>
    </row>
    <row r="349" spans="1:12" x14ac:dyDescent="0.3">
      <c r="A349" s="22" t="s">
        <v>2158</v>
      </c>
      <c r="B349" s="34" cm="1">
        <f t="array" ref="B349:C349">_xlfn.XLOOKUP(A349,Sales_Fact!A349:A2333,Sales_Fact!B349:C2333)</f>
        <v>45856</v>
      </c>
      <c r="C349" s="22" t="str">
        <v>CUST1360</v>
      </c>
      <c r="D349" s="22" t="str">
        <f>VLOOKUP('Combine Products &amp; Sales Facts'!C349,'Customer Details'!A:B,2,0)</f>
        <v>Denise Tate</v>
      </c>
      <c r="E349" s="22" t="str">
        <f>VLOOKUP(C349,Sales_Fact!C:D,2,0)</f>
        <v>PROD73</v>
      </c>
      <c r="F349" s="22" t="str">
        <f>VLOOKUP(E349,Product_Dim!A:C,3,0)</f>
        <v>Sports</v>
      </c>
      <c r="G349" s="22" t="str" cm="1">
        <f t="array" ref="G349:L349">_xlfn.XLOOKUP(C349,Sales_Fact!C349:C2333,Sales_Fact!E349:J2333)</f>
        <v>STORE2</v>
      </c>
      <c r="H349" s="22">
        <v>2</v>
      </c>
      <c r="I349" s="22">
        <v>934</v>
      </c>
      <c r="J349" s="22">
        <v>0.3</v>
      </c>
      <c r="K349" s="22" t="str">
        <v>COD</v>
      </c>
      <c r="L349" s="22">
        <v>1307.5999999999999</v>
      </c>
    </row>
    <row r="350" spans="1:12" x14ac:dyDescent="0.3">
      <c r="A350" s="22" t="s">
        <v>2159</v>
      </c>
      <c r="B350" s="34" cm="1">
        <f t="array" ref="B350:C350">_xlfn.XLOOKUP(A350,Sales_Fact!A350:A2334,Sales_Fact!B350:C2334)</f>
        <v>45712</v>
      </c>
      <c r="C350" s="22" t="str">
        <v>CUST1334</v>
      </c>
      <c r="D350" s="22" t="str">
        <f>VLOOKUP('Combine Products &amp; Sales Facts'!C350,'Customer Details'!A:B,2,0)</f>
        <v>Mr. Christopher Sims</v>
      </c>
      <c r="E350" s="22" t="str">
        <f>VLOOKUP(C350,Sales_Fact!C:D,2,0)</f>
        <v>PROD71</v>
      </c>
      <c r="F350" s="22" t="str">
        <f>VLOOKUP(E350,Product_Dim!A:C,3,0)</f>
        <v>Beauty</v>
      </c>
      <c r="G350" s="22" t="str" cm="1">
        <f t="array" ref="G350:L350">_xlfn.XLOOKUP(C350,Sales_Fact!C350:C2334,Sales_Fact!E350:J2334)</f>
        <v>STORE2</v>
      </c>
      <c r="H350" s="22">
        <v>1</v>
      </c>
      <c r="I350" s="22">
        <v>669.53</v>
      </c>
      <c r="J350" s="22">
        <v>0.2</v>
      </c>
      <c r="K350" s="22" t="str">
        <v>Credit Card</v>
      </c>
      <c r="L350" s="22">
        <v>535.62400000000002</v>
      </c>
    </row>
    <row r="351" spans="1:12" x14ac:dyDescent="0.3">
      <c r="A351" s="22" t="s">
        <v>2160</v>
      </c>
      <c r="B351" s="34" cm="1">
        <f t="array" ref="B351:C351">_xlfn.XLOOKUP(A351,Sales_Fact!A351:A2335,Sales_Fact!B351:C2335)</f>
        <v>45723</v>
      </c>
      <c r="C351" s="22" t="str">
        <v>CUST1216</v>
      </c>
      <c r="D351" s="22" t="str">
        <f>VLOOKUP('Combine Products &amp; Sales Facts'!C351,'Customer Details'!A:B,2,0)</f>
        <v>Kathryn Garcia</v>
      </c>
      <c r="E351" s="22" t="str">
        <f>VLOOKUP(C351,Sales_Fact!C:D,2,0)</f>
        <v>PROD86</v>
      </c>
      <c r="F351" s="22" t="str">
        <f>VLOOKUP(E351,Product_Dim!A:C,3,0)</f>
        <v>Home</v>
      </c>
      <c r="G351" s="22" t="str" cm="1">
        <f t="array" ref="G351:L351">_xlfn.XLOOKUP(C351,Sales_Fact!C351:C2335,Sales_Fact!E351:J2335)</f>
        <v>STORE18</v>
      </c>
      <c r="H351" s="22">
        <v>1</v>
      </c>
      <c r="I351" s="22">
        <v>213.69</v>
      </c>
      <c r="J351" s="22">
        <v>0.28000000000000003</v>
      </c>
      <c r="K351" s="22" t="str">
        <v>COD</v>
      </c>
      <c r="L351" s="22">
        <v>153.85679999999999</v>
      </c>
    </row>
    <row r="352" spans="1:12" x14ac:dyDescent="0.3">
      <c r="A352" s="22" t="s">
        <v>2161</v>
      </c>
      <c r="B352" s="34" cm="1">
        <f t="array" ref="B352:C352">_xlfn.XLOOKUP(A352,Sales_Fact!A352:A2336,Sales_Fact!B352:C2336)</f>
        <v>45706</v>
      </c>
      <c r="C352" s="22" t="str">
        <v>CUST1077</v>
      </c>
      <c r="D352" s="22" t="str">
        <f>VLOOKUP('Combine Products &amp; Sales Facts'!C352,'Customer Details'!A:B,2,0)</f>
        <v>Katherine Young</v>
      </c>
      <c r="E352" s="22" t="str">
        <f>VLOOKUP(C352,Sales_Fact!C:D,2,0)</f>
        <v>PROD21</v>
      </c>
      <c r="F352" s="22" t="str">
        <f>VLOOKUP(E352,Product_Dim!A:C,3,0)</f>
        <v>Home</v>
      </c>
      <c r="G352" s="22" t="str" cm="1">
        <f t="array" ref="G352:L352">_xlfn.XLOOKUP(C352,Sales_Fact!C352:C2336,Sales_Fact!E352:J2336)</f>
        <v>STORE19</v>
      </c>
      <c r="H352" s="22">
        <v>2</v>
      </c>
      <c r="I352" s="22">
        <v>99.1</v>
      </c>
      <c r="J352" s="22">
        <v>0.2</v>
      </c>
      <c r="K352" s="22" t="str">
        <v>PayPal</v>
      </c>
      <c r="L352" s="22">
        <v>158.56</v>
      </c>
    </row>
    <row r="353" spans="1:12" x14ac:dyDescent="0.3">
      <c r="A353" s="22" t="s">
        <v>2162</v>
      </c>
      <c r="B353" s="34" cm="1">
        <f t="array" ref="B353:C353">_xlfn.XLOOKUP(A353,Sales_Fact!A353:A2337,Sales_Fact!B353:C2337)</f>
        <v>45469</v>
      </c>
      <c r="C353" s="22" t="str">
        <v>CUST1370</v>
      </c>
      <c r="D353" s="22" t="str">
        <f>VLOOKUP('Combine Products &amp; Sales Facts'!C353,'Customer Details'!A:B,2,0)</f>
        <v>James Holloway Jr.</v>
      </c>
      <c r="E353" s="22" t="str">
        <f>VLOOKUP(C353,Sales_Fact!C:D,2,0)</f>
        <v>PROD37</v>
      </c>
      <c r="F353" s="22" t="str">
        <f>VLOOKUP(E353,Product_Dim!A:C,3,0)</f>
        <v>Clothing</v>
      </c>
      <c r="G353" s="22" t="str" cm="1">
        <f t="array" ref="G353:L353">_xlfn.XLOOKUP(C353,Sales_Fact!C353:C2337,Sales_Fact!E353:J2337)</f>
        <v>STORE16</v>
      </c>
      <c r="H353" s="22">
        <v>1</v>
      </c>
      <c r="I353" s="22">
        <v>628.98</v>
      </c>
      <c r="J353" s="22">
        <v>0.03</v>
      </c>
      <c r="K353" s="22" t="str">
        <v>COD</v>
      </c>
      <c r="L353" s="22">
        <v>610.11059999999998</v>
      </c>
    </row>
    <row r="354" spans="1:12" x14ac:dyDescent="0.3">
      <c r="A354" s="22" t="s">
        <v>2163</v>
      </c>
      <c r="B354" s="34" cm="1">
        <f t="array" ref="B354:C354">_xlfn.XLOOKUP(A354,Sales_Fact!A354:A2338,Sales_Fact!B354:C2338)</f>
        <v>45711</v>
      </c>
      <c r="C354" s="22" t="str">
        <v>CUST1085</v>
      </c>
      <c r="D354" s="22" t="str">
        <f>VLOOKUP('Combine Products &amp; Sales Facts'!C354,'Customer Details'!A:B,2,0)</f>
        <v>Richard Delgado</v>
      </c>
      <c r="E354" s="22" t="str">
        <f>VLOOKUP(C354,Sales_Fact!C:D,2,0)</f>
        <v>PROD31</v>
      </c>
      <c r="F354" s="22" t="str">
        <f>VLOOKUP(E354,Product_Dim!A:C,3,0)</f>
        <v>Sports</v>
      </c>
      <c r="G354" s="22" t="str" cm="1">
        <f t="array" ref="G354:L354">_xlfn.XLOOKUP(C354,Sales_Fact!C354:C2338,Sales_Fact!E354:J2338)</f>
        <v>STORE4</v>
      </c>
      <c r="H354" s="22">
        <v>3</v>
      </c>
      <c r="I354" s="22">
        <v>944.64</v>
      </c>
      <c r="J354" s="22">
        <v>0.26</v>
      </c>
      <c r="K354" s="22" t="str">
        <v>Credit Card</v>
      </c>
      <c r="L354" s="22">
        <v>2097.1008000000002</v>
      </c>
    </row>
    <row r="355" spans="1:12" x14ac:dyDescent="0.3">
      <c r="A355" s="22" t="s">
        <v>2164</v>
      </c>
      <c r="B355" s="34" cm="1">
        <f t="array" ref="B355:C355">_xlfn.XLOOKUP(A355,Sales_Fact!A355:A2339,Sales_Fact!B355:C2339)</f>
        <v>45823</v>
      </c>
      <c r="C355" s="22" t="str">
        <v>CUST1471</v>
      </c>
      <c r="D355" s="22" t="str">
        <f>VLOOKUP('Combine Products &amp; Sales Facts'!C355,'Customer Details'!A:B,2,0)</f>
        <v>Debra Mccullough</v>
      </c>
      <c r="E355" s="22" t="str">
        <f>VLOOKUP(C355,Sales_Fact!C:D,2,0)</f>
        <v>PROD17</v>
      </c>
      <c r="F355" s="22" t="str">
        <f>VLOOKUP(E355,Product_Dim!A:C,3,0)</f>
        <v>Sports</v>
      </c>
      <c r="G355" s="22" t="str" cm="1">
        <f t="array" ref="G355:L355">_xlfn.XLOOKUP(C355,Sales_Fact!C355:C2339,Sales_Fact!E355:J2339)</f>
        <v>STORE12</v>
      </c>
      <c r="H355" s="22">
        <v>2</v>
      </c>
      <c r="I355" s="22">
        <v>121.7</v>
      </c>
      <c r="J355" s="22">
        <v>0.06</v>
      </c>
      <c r="K355" s="22" t="str">
        <v>COD</v>
      </c>
      <c r="L355" s="22">
        <v>228.79599999999999</v>
      </c>
    </row>
    <row r="356" spans="1:12" x14ac:dyDescent="0.3">
      <c r="A356" s="22" t="s">
        <v>2165</v>
      </c>
      <c r="B356" s="34" cm="1">
        <f t="array" ref="B356:C356">_xlfn.XLOOKUP(A356,Sales_Fact!A356:A2340,Sales_Fact!B356:C2340)</f>
        <v>45217</v>
      </c>
      <c r="C356" s="22" t="str">
        <v>CUST1448</v>
      </c>
      <c r="D356" s="22" t="str">
        <f>VLOOKUP('Combine Products &amp; Sales Facts'!C356,'Customer Details'!A:B,2,0)</f>
        <v>Eric Holmes</v>
      </c>
      <c r="E356" s="22" t="str">
        <f>VLOOKUP(C356,Sales_Fact!C:D,2,0)</f>
        <v>PROD81</v>
      </c>
      <c r="F356" s="22" t="str">
        <f>VLOOKUP(E356,Product_Dim!A:C,3,0)</f>
        <v>Sports</v>
      </c>
      <c r="G356" s="22" t="str" cm="1">
        <f t="array" ref="G356:L356">_xlfn.XLOOKUP(C356,Sales_Fact!C356:C2340,Sales_Fact!E356:J2340)</f>
        <v>STORE3</v>
      </c>
      <c r="H356" s="22">
        <v>4</v>
      </c>
      <c r="I356" s="22">
        <v>269.49</v>
      </c>
      <c r="J356" s="22">
        <v>7.0000000000000007E-2</v>
      </c>
      <c r="K356" s="22" t="str">
        <v>PayPal</v>
      </c>
      <c r="L356" s="22">
        <v>1002.5028</v>
      </c>
    </row>
    <row r="357" spans="1:12" x14ac:dyDescent="0.3">
      <c r="A357" s="22" t="s">
        <v>2166</v>
      </c>
      <c r="B357" s="34" cm="1">
        <f t="array" ref="B357:C357">_xlfn.XLOOKUP(A357,Sales_Fact!A357:A2341,Sales_Fact!B357:C2341)</f>
        <v>45733</v>
      </c>
      <c r="C357" s="22" t="str">
        <v>CUST1099</v>
      </c>
      <c r="D357" s="22" t="str">
        <f>VLOOKUP('Combine Products &amp; Sales Facts'!C357,'Customer Details'!A:B,2,0)</f>
        <v>Sheila Wilson</v>
      </c>
      <c r="E357" s="22" t="str">
        <f>VLOOKUP(C357,Sales_Fact!C:D,2,0)</f>
        <v>PROD26</v>
      </c>
      <c r="F357" s="22" t="str">
        <f>VLOOKUP(E357,Product_Dim!A:C,3,0)</f>
        <v>Electronics</v>
      </c>
      <c r="G357" s="22" t="str" cm="1">
        <f t="array" ref="G357:L357">_xlfn.XLOOKUP(C357,Sales_Fact!C357:C2341,Sales_Fact!E357:J2341)</f>
        <v>STORE18</v>
      </c>
      <c r="H357" s="22">
        <v>1</v>
      </c>
      <c r="I357" s="22">
        <v>678.2</v>
      </c>
      <c r="J357" s="22">
        <v>0.14000000000000001</v>
      </c>
      <c r="K357" s="22" t="str">
        <v>Credit Card</v>
      </c>
      <c r="L357" s="22">
        <v>583.25200000000007</v>
      </c>
    </row>
    <row r="358" spans="1:12" x14ac:dyDescent="0.3">
      <c r="A358" s="22" t="s">
        <v>2167</v>
      </c>
      <c r="B358" s="34" cm="1">
        <f t="array" ref="B358:C358">_xlfn.XLOOKUP(A358,Sales_Fact!A358:A2342,Sales_Fact!B358:C2342)</f>
        <v>45520</v>
      </c>
      <c r="C358" s="22" t="str">
        <v>CUST1231</v>
      </c>
      <c r="D358" s="22" t="str">
        <f>VLOOKUP('Combine Products &amp; Sales Facts'!C358,'Customer Details'!A:B,2,0)</f>
        <v>Timothy Juarez</v>
      </c>
      <c r="E358" s="22" t="str">
        <f>VLOOKUP(C358,Sales_Fact!C:D,2,0)</f>
        <v>PROD31</v>
      </c>
      <c r="F358" s="22" t="str">
        <f>VLOOKUP(E358,Product_Dim!A:C,3,0)</f>
        <v>Sports</v>
      </c>
      <c r="G358" s="22" t="str" cm="1">
        <f t="array" ref="G358:L358">_xlfn.XLOOKUP(C358,Sales_Fact!C358:C2342,Sales_Fact!E358:J2342)</f>
        <v>STORE13</v>
      </c>
      <c r="H358" s="22">
        <v>1</v>
      </c>
      <c r="I358" s="22">
        <v>752.45</v>
      </c>
      <c r="J358" s="22">
        <v>0.21</v>
      </c>
      <c r="K358" s="22" t="str">
        <v>COD</v>
      </c>
      <c r="L358" s="22">
        <v>594.43550000000005</v>
      </c>
    </row>
    <row r="359" spans="1:12" x14ac:dyDescent="0.3">
      <c r="A359" s="22" t="s">
        <v>2168</v>
      </c>
      <c r="B359" s="34" cm="1">
        <f t="array" ref="B359:C359">_xlfn.XLOOKUP(A359,Sales_Fact!A359:A2343,Sales_Fact!B359:C2343)</f>
        <v>45373</v>
      </c>
      <c r="C359" s="22" t="str">
        <v>CUST1037</v>
      </c>
      <c r="D359" s="22" t="str">
        <f>VLOOKUP('Combine Products &amp; Sales Facts'!C359,'Customer Details'!A:B,2,0)</f>
        <v>Christopher Carter</v>
      </c>
      <c r="E359" s="22" t="str">
        <f>VLOOKUP(C359,Sales_Fact!C:D,2,0)</f>
        <v>PROD45</v>
      </c>
      <c r="F359" s="22" t="str">
        <f>VLOOKUP(E359,Product_Dim!A:C,3,0)</f>
        <v>Sports</v>
      </c>
      <c r="G359" s="22" t="str" cm="1">
        <f t="array" ref="G359:L359">_xlfn.XLOOKUP(C359,Sales_Fact!C359:C2343,Sales_Fact!E359:J2343)</f>
        <v>STORE13</v>
      </c>
      <c r="H359" s="22">
        <v>2</v>
      </c>
      <c r="I359" s="22">
        <v>209.66</v>
      </c>
      <c r="J359" s="22">
        <v>0.21</v>
      </c>
      <c r="K359" s="22" t="str">
        <v>Credit Card</v>
      </c>
      <c r="L359" s="22">
        <v>331.26280000000003</v>
      </c>
    </row>
    <row r="360" spans="1:12" x14ac:dyDescent="0.3">
      <c r="A360" s="22" t="s">
        <v>2169</v>
      </c>
      <c r="B360" s="34" cm="1">
        <f t="array" ref="B360:C360">_xlfn.XLOOKUP(A360,Sales_Fact!A360:A2344,Sales_Fact!B360:C2344)</f>
        <v>45688</v>
      </c>
      <c r="C360" s="22" t="str">
        <v>CUST1161</v>
      </c>
      <c r="D360" s="22" t="str">
        <f>VLOOKUP('Combine Products &amp; Sales Facts'!C360,'Customer Details'!A:B,2,0)</f>
        <v>Cynthia Morris</v>
      </c>
      <c r="E360" s="22" t="str">
        <f>VLOOKUP(C360,Sales_Fact!C:D,2,0)</f>
        <v>PROD97</v>
      </c>
      <c r="F360" s="22" t="str">
        <f>VLOOKUP(E360,Product_Dim!A:C,3,0)</f>
        <v>Sports</v>
      </c>
      <c r="G360" s="22" t="str" cm="1">
        <f t="array" ref="G360:L360">_xlfn.XLOOKUP(C360,Sales_Fact!C360:C2344,Sales_Fact!E360:J2344)</f>
        <v>STORE19</v>
      </c>
      <c r="H360" s="22">
        <v>2</v>
      </c>
      <c r="I360" s="22">
        <v>739.95</v>
      </c>
      <c r="J360" s="22">
        <v>0.1</v>
      </c>
      <c r="K360" s="22" t="str">
        <v>COD</v>
      </c>
      <c r="L360" s="22">
        <v>1331.91</v>
      </c>
    </row>
    <row r="361" spans="1:12" x14ac:dyDescent="0.3">
      <c r="A361" s="22" t="s">
        <v>2170</v>
      </c>
      <c r="B361" s="34" cm="1">
        <f t="array" ref="B361:C361">_xlfn.XLOOKUP(A361,Sales_Fact!A361:A2345,Sales_Fact!B361:C2345)</f>
        <v>45276</v>
      </c>
      <c r="C361" s="22" t="str">
        <v>CUST1469</v>
      </c>
      <c r="D361" s="22" t="str">
        <f>VLOOKUP('Combine Products &amp; Sales Facts'!C361,'Customer Details'!A:B,2,0)</f>
        <v>James Foster</v>
      </c>
      <c r="E361" s="22" t="str">
        <f>VLOOKUP(C361,Sales_Fact!C:D,2,0)</f>
        <v>PROD45</v>
      </c>
      <c r="F361" s="22" t="str">
        <f>VLOOKUP(E361,Product_Dim!A:C,3,0)</f>
        <v>Sports</v>
      </c>
      <c r="G361" s="22" t="str" cm="1">
        <f t="array" ref="G361:L361">_xlfn.XLOOKUP(C361,Sales_Fact!C361:C2345,Sales_Fact!E361:J2345)</f>
        <v>STORE15</v>
      </c>
      <c r="H361" s="22">
        <v>1</v>
      </c>
      <c r="I361" s="22">
        <v>496.19</v>
      </c>
      <c r="J361" s="22">
        <v>0.08</v>
      </c>
      <c r="K361" s="22" t="str">
        <v>COD</v>
      </c>
      <c r="L361" s="22">
        <v>456.4948</v>
      </c>
    </row>
    <row r="362" spans="1:12" x14ac:dyDescent="0.3">
      <c r="A362" s="22" t="s">
        <v>2171</v>
      </c>
      <c r="B362" s="34" cm="1">
        <f t="array" ref="B362:C362">_xlfn.XLOOKUP(A362,Sales_Fact!A362:A2346,Sales_Fact!B362:C2346)</f>
        <v>45756</v>
      </c>
      <c r="C362" s="22" t="str">
        <v>CUST1044</v>
      </c>
      <c r="D362" s="22" t="str">
        <f>VLOOKUP('Combine Products &amp; Sales Facts'!C362,'Customer Details'!A:B,2,0)</f>
        <v>Denise Williams</v>
      </c>
      <c r="E362" s="22" t="str">
        <f>VLOOKUP(C362,Sales_Fact!C:D,2,0)</f>
        <v>PROD1</v>
      </c>
      <c r="F362" s="22" t="str">
        <f>VLOOKUP(E362,Product_Dim!A:C,3,0)</f>
        <v>Clothing</v>
      </c>
      <c r="G362" s="22" t="str" cm="1">
        <f t="array" ref="G362:L362">_xlfn.XLOOKUP(C362,Sales_Fact!C362:C2346,Sales_Fact!E362:J2346)</f>
        <v>STORE12</v>
      </c>
      <c r="H362" s="22">
        <v>1</v>
      </c>
      <c r="I362" s="22">
        <v>306.36</v>
      </c>
      <c r="J362" s="22">
        <v>0.01</v>
      </c>
      <c r="K362" s="22" t="str">
        <v>PayPal</v>
      </c>
      <c r="L362" s="22">
        <v>303.29640000000001</v>
      </c>
    </row>
    <row r="363" spans="1:12" x14ac:dyDescent="0.3">
      <c r="A363" s="22" t="s">
        <v>2172</v>
      </c>
      <c r="B363" s="34" cm="1">
        <f t="array" ref="B363:C363">_xlfn.XLOOKUP(A363,Sales_Fact!A363:A2347,Sales_Fact!B363:C2347)</f>
        <v>45309</v>
      </c>
      <c r="C363" s="22" t="str">
        <v>CUST1120</v>
      </c>
      <c r="D363" s="22" t="str">
        <f>VLOOKUP('Combine Products &amp; Sales Facts'!C363,'Customer Details'!A:B,2,0)</f>
        <v>Jacob Hopkins</v>
      </c>
      <c r="E363" s="22" t="str">
        <f>VLOOKUP(C363,Sales_Fact!C:D,2,0)</f>
        <v>PROD73</v>
      </c>
      <c r="F363" s="22" t="str">
        <f>VLOOKUP(E363,Product_Dim!A:C,3,0)</f>
        <v>Sports</v>
      </c>
      <c r="G363" s="22" t="str" cm="1">
        <f t="array" ref="G363:L363">_xlfn.XLOOKUP(C363,Sales_Fact!C363:C2347,Sales_Fact!E363:J2347)</f>
        <v>STORE4</v>
      </c>
      <c r="H363" s="22">
        <v>4</v>
      </c>
      <c r="I363" s="22">
        <v>693.16</v>
      </c>
      <c r="J363" s="22">
        <v>0.05</v>
      </c>
      <c r="K363" s="22" t="str">
        <v>PayPal</v>
      </c>
      <c r="L363" s="22">
        <v>2634.0079999999998</v>
      </c>
    </row>
    <row r="364" spans="1:12" x14ac:dyDescent="0.3">
      <c r="A364" s="22" t="s">
        <v>2173</v>
      </c>
      <c r="B364" s="34" cm="1">
        <f t="array" ref="B364:C364">_xlfn.XLOOKUP(A364,Sales_Fact!A364:A2348,Sales_Fact!B364:C2348)</f>
        <v>45744</v>
      </c>
      <c r="C364" s="22" t="str">
        <v>CUST1455</v>
      </c>
      <c r="D364" s="22" t="str">
        <f>VLOOKUP('Combine Products &amp; Sales Facts'!C364,'Customer Details'!A:B,2,0)</f>
        <v>Tyler Weber</v>
      </c>
      <c r="E364" s="22" t="str">
        <f>VLOOKUP(C364,Sales_Fact!C:D,2,0)</f>
        <v>PROD83</v>
      </c>
      <c r="F364" s="22" t="str">
        <f>VLOOKUP(E364,Product_Dim!A:C,3,0)</f>
        <v>Beauty</v>
      </c>
      <c r="G364" s="22" t="str" cm="1">
        <f t="array" ref="G364:L364">_xlfn.XLOOKUP(C364,Sales_Fact!C364:C2348,Sales_Fact!E364:J2348)</f>
        <v>STORE10</v>
      </c>
      <c r="H364" s="22">
        <v>1</v>
      </c>
      <c r="I364" s="22">
        <v>995.52</v>
      </c>
      <c r="J364" s="22">
        <v>0.22</v>
      </c>
      <c r="K364" s="22" t="str">
        <v>PayPal</v>
      </c>
      <c r="L364" s="22">
        <v>776.50559999999996</v>
      </c>
    </row>
    <row r="365" spans="1:12" x14ac:dyDescent="0.3">
      <c r="A365" s="22" t="s">
        <v>2174</v>
      </c>
      <c r="B365" s="34" cm="1">
        <f t="array" ref="B365:C365">_xlfn.XLOOKUP(A365,Sales_Fact!A365:A2349,Sales_Fact!B365:C2349)</f>
        <v>45535</v>
      </c>
      <c r="C365" s="22" t="str">
        <v>CUST1125</v>
      </c>
      <c r="D365" s="22" t="str">
        <f>VLOOKUP('Combine Products &amp; Sales Facts'!C365,'Customer Details'!A:B,2,0)</f>
        <v>Keith Miller</v>
      </c>
      <c r="E365" s="22" t="str">
        <f>VLOOKUP(C365,Sales_Fact!C:D,2,0)</f>
        <v>PROD7</v>
      </c>
      <c r="F365" s="22" t="str">
        <f>VLOOKUP(E365,Product_Dim!A:C,3,0)</f>
        <v>Home</v>
      </c>
      <c r="G365" s="22" t="str" cm="1">
        <f t="array" ref="G365:L365">_xlfn.XLOOKUP(C365,Sales_Fact!C365:C2349,Sales_Fact!E365:J2349)</f>
        <v>STORE18</v>
      </c>
      <c r="H365" s="22">
        <v>4</v>
      </c>
      <c r="I365" s="22">
        <v>241.32</v>
      </c>
      <c r="J365" s="22">
        <v>0.28999999999999998</v>
      </c>
      <c r="K365" s="22" t="str">
        <v>COD</v>
      </c>
      <c r="L365" s="22">
        <v>685.34879999999998</v>
      </c>
    </row>
    <row r="366" spans="1:12" x14ac:dyDescent="0.3">
      <c r="A366" s="22" t="s">
        <v>2175</v>
      </c>
      <c r="B366" s="34" cm="1">
        <f t="array" ref="B366:C366">_xlfn.XLOOKUP(A366,Sales_Fact!A366:A2350,Sales_Fact!B366:C2350)</f>
        <v>45240</v>
      </c>
      <c r="C366" s="22" t="str">
        <v>CUST1239</v>
      </c>
      <c r="D366" s="22" t="str">
        <f>VLOOKUP('Combine Products &amp; Sales Facts'!C366,'Customer Details'!A:B,2,0)</f>
        <v>Maria Hill</v>
      </c>
      <c r="E366" s="22" t="str">
        <f>VLOOKUP(C366,Sales_Fact!C:D,2,0)</f>
        <v>PROD19</v>
      </c>
      <c r="F366" s="22" t="str">
        <f>VLOOKUP(E366,Product_Dim!A:C,3,0)</f>
        <v>Sports</v>
      </c>
      <c r="G366" s="22" t="str" cm="1">
        <f t="array" ref="G366:L366">_xlfn.XLOOKUP(C366,Sales_Fact!C366:C2350,Sales_Fact!E366:J2350)</f>
        <v>STORE1</v>
      </c>
      <c r="H366" s="22">
        <v>3</v>
      </c>
      <c r="I366" s="22">
        <v>636.03</v>
      </c>
      <c r="J366" s="22">
        <v>0.06</v>
      </c>
      <c r="K366" s="22" t="str">
        <v>COD</v>
      </c>
      <c r="L366" s="22">
        <v>1793.6045999999999</v>
      </c>
    </row>
    <row r="367" spans="1:12" x14ac:dyDescent="0.3">
      <c r="A367" s="22" t="s">
        <v>2176</v>
      </c>
      <c r="B367" s="34" cm="1">
        <f t="array" ref="B367:C367">_xlfn.XLOOKUP(A367,Sales_Fact!A367:A2351,Sales_Fact!B367:C2351)</f>
        <v>45275</v>
      </c>
      <c r="C367" s="22" t="str">
        <v>CUST1096</v>
      </c>
      <c r="D367" s="22" t="str">
        <f>VLOOKUP('Combine Products &amp; Sales Facts'!C367,'Customer Details'!A:B,2,0)</f>
        <v>Samantha Walker</v>
      </c>
      <c r="E367" s="22" t="str">
        <f>VLOOKUP(C367,Sales_Fact!C:D,2,0)</f>
        <v>PROD65</v>
      </c>
      <c r="F367" s="22" t="str">
        <f>VLOOKUP(E367,Product_Dim!A:C,3,0)</f>
        <v>Sports</v>
      </c>
      <c r="G367" s="22" t="str" cm="1">
        <f t="array" ref="G367:L367">_xlfn.XLOOKUP(C367,Sales_Fact!C367:C2351,Sales_Fact!E367:J2351)</f>
        <v>STORE19</v>
      </c>
      <c r="H367" s="22">
        <v>4</v>
      </c>
      <c r="I367" s="22">
        <v>603.30999999999995</v>
      </c>
      <c r="J367" s="22">
        <v>0.15</v>
      </c>
      <c r="K367" s="22" t="str">
        <v>Credit Card</v>
      </c>
      <c r="L367" s="22">
        <v>2051.2539999999999</v>
      </c>
    </row>
    <row r="368" spans="1:12" x14ac:dyDescent="0.3">
      <c r="A368" s="22" t="s">
        <v>2177</v>
      </c>
      <c r="B368" s="34" cm="1">
        <f t="array" ref="B368:C368">_xlfn.XLOOKUP(A368,Sales_Fact!A368:A2352,Sales_Fact!B368:C2352)</f>
        <v>45427</v>
      </c>
      <c r="C368" s="22" t="str">
        <v>CUST1075</v>
      </c>
      <c r="D368" s="22" t="str">
        <f>VLOOKUP('Combine Products &amp; Sales Facts'!C368,'Customer Details'!A:B,2,0)</f>
        <v>Rhonda Morales</v>
      </c>
      <c r="E368" s="22" t="str">
        <f>VLOOKUP(C368,Sales_Fact!C:D,2,0)</f>
        <v>PROD16</v>
      </c>
      <c r="F368" s="22" t="str">
        <f>VLOOKUP(E368,Product_Dim!A:C,3,0)</f>
        <v>Beauty</v>
      </c>
      <c r="G368" s="22" t="str" cm="1">
        <f t="array" ref="G368:L368">_xlfn.XLOOKUP(C368,Sales_Fact!C368:C2352,Sales_Fact!E368:J2352)</f>
        <v>STORE10</v>
      </c>
      <c r="H368" s="22">
        <v>3</v>
      </c>
      <c r="I368" s="22">
        <v>437.96</v>
      </c>
      <c r="J368" s="22">
        <v>0.27</v>
      </c>
      <c r="K368" s="22" t="str">
        <v>COD</v>
      </c>
      <c r="L368" s="22">
        <v>959.13239999999985</v>
      </c>
    </row>
    <row r="369" spans="1:12" x14ac:dyDescent="0.3">
      <c r="A369" s="22" t="s">
        <v>2178</v>
      </c>
      <c r="B369" s="34" cm="1">
        <f t="array" ref="B369:C369">_xlfn.XLOOKUP(A369,Sales_Fact!A369:A2353,Sales_Fact!B369:C2353)</f>
        <v>45322</v>
      </c>
      <c r="C369" s="22" t="str">
        <v>CUST1208</v>
      </c>
      <c r="D369" s="22" t="str">
        <f>VLOOKUP('Combine Products &amp; Sales Facts'!C369,'Customer Details'!A:B,2,0)</f>
        <v>John Perez</v>
      </c>
      <c r="E369" s="22" t="str">
        <f>VLOOKUP(C369,Sales_Fact!C:D,2,0)</f>
        <v>PROD34</v>
      </c>
      <c r="F369" s="22" t="str">
        <f>VLOOKUP(E369,Product_Dim!A:C,3,0)</f>
        <v>Electronics</v>
      </c>
      <c r="G369" s="22" t="str" cm="1">
        <f t="array" ref="G369:L369">_xlfn.XLOOKUP(C369,Sales_Fact!C369:C2353,Sales_Fact!E369:J2353)</f>
        <v>STORE4</v>
      </c>
      <c r="H369" s="22">
        <v>2</v>
      </c>
      <c r="I369" s="22">
        <v>56.91</v>
      </c>
      <c r="J369" s="22">
        <v>0.08</v>
      </c>
      <c r="K369" s="22" t="str">
        <v>COD</v>
      </c>
      <c r="L369" s="22">
        <v>104.7144</v>
      </c>
    </row>
    <row r="370" spans="1:12" x14ac:dyDescent="0.3">
      <c r="A370" s="22" t="s">
        <v>2179</v>
      </c>
      <c r="B370" s="34" cm="1">
        <f t="array" ref="B370:C370">_xlfn.XLOOKUP(A370,Sales_Fact!A370:A2354,Sales_Fact!B370:C2354)</f>
        <v>45266</v>
      </c>
      <c r="C370" s="22" t="str">
        <v>CUST1334</v>
      </c>
      <c r="D370" s="22" t="str">
        <f>VLOOKUP('Combine Products &amp; Sales Facts'!C370,'Customer Details'!A:B,2,0)</f>
        <v>Mr. Christopher Sims</v>
      </c>
      <c r="E370" s="22" t="str">
        <f>VLOOKUP(C370,Sales_Fact!C:D,2,0)</f>
        <v>PROD71</v>
      </c>
      <c r="F370" s="22" t="str">
        <f>VLOOKUP(E370,Product_Dim!A:C,3,0)</f>
        <v>Beauty</v>
      </c>
      <c r="G370" s="22" t="str" cm="1">
        <f t="array" ref="G370:L370">_xlfn.XLOOKUP(C370,Sales_Fact!C370:C2354,Sales_Fact!E370:J2354)</f>
        <v>STORE6</v>
      </c>
      <c r="H370" s="22">
        <v>1</v>
      </c>
      <c r="I370" s="22">
        <v>141.79</v>
      </c>
      <c r="J370" s="22">
        <v>0.1</v>
      </c>
      <c r="K370" s="22" t="str">
        <v>Credit Card</v>
      </c>
      <c r="L370" s="22">
        <v>127.611</v>
      </c>
    </row>
    <row r="371" spans="1:12" x14ac:dyDescent="0.3">
      <c r="A371" s="22" t="s">
        <v>2180</v>
      </c>
      <c r="B371" s="34" cm="1">
        <f t="array" ref="B371:C371">_xlfn.XLOOKUP(A371,Sales_Fact!A371:A2355,Sales_Fact!B371:C2355)</f>
        <v>45302</v>
      </c>
      <c r="C371" s="22" t="str">
        <v>CUST1483</v>
      </c>
      <c r="D371" s="22" t="str">
        <f>VLOOKUP('Combine Products &amp; Sales Facts'!C371,'Customer Details'!A:B,2,0)</f>
        <v>Sarah Smith</v>
      </c>
      <c r="E371" s="22" t="str">
        <f>VLOOKUP(C371,Sales_Fact!C:D,2,0)</f>
        <v>PROD12</v>
      </c>
      <c r="F371" s="22" t="str">
        <f>VLOOKUP(E371,Product_Dim!A:C,3,0)</f>
        <v>Beauty</v>
      </c>
      <c r="G371" s="22" t="str" cm="1">
        <f t="array" ref="G371:L371">_xlfn.XLOOKUP(C371,Sales_Fact!C371:C2355,Sales_Fact!E371:J2355)</f>
        <v>STORE15</v>
      </c>
      <c r="H371" s="22">
        <v>4</v>
      </c>
      <c r="I371" s="22">
        <v>355.14</v>
      </c>
      <c r="J371" s="22">
        <v>0.16</v>
      </c>
      <c r="K371" s="22" t="str">
        <v>COD</v>
      </c>
      <c r="L371" s="22">
        <v>1193.2704000000001</v>
      </c>
    </row>
    <row r="372" spans="1:12" x14ac:dyDescent="0.3">
      <c r="A372" s="22" t="s">
        <v>2181</v>
      </c>
      <c r="B372" s="34" cm="1">
        <f t="array" ref="B372:C372">_xlfn.XLOOKUP(A372,Sales_Fact!A372:A2356,Sales_Fact!B372:C2356)</f>
        <v>45907</v>
      </c>
      <c r="C372" s="22" t="str">
        <v>CUST1211</v>
      </c>
      <c r="D372" s="22" t="str">
        <f>VLOOKUP('Combine Products &amp; Sales Facts'!C372,'Customer Details'!A:B,2,0)</f>
        <v>Rodney Huffman</v>
      </c>
      <c r="E372" s="22" t="str">
        <f>VLOOKUP(C372,Sales_Fact!C:D,2,0)</f>
        <v>PROD85</v>
      </c>
      <c r="F372" s="22" t="str">
        <f>VLOOKUP(E372,Product_Dim!A:C,3,0)</f>
        <v>Clothing</v>
      </c>
      <c r="G372" s="22" t="str" cm="1">
        <f t="array" ref="G372:L372">_xlfn.XLOOKUP(C372,Sales_Fact!C372:C2356,Sales_Fact!E372:J2356)</f>
        <v>STORE6</v>
      </c>
      <c r="H372" s="22">
        <v>4</v>
      </c>
      <c r="I372" s="22">
        <v>960.38</v>
      </c>
      <c r="J372" s="22">
        <v>0.15</v>
      </c>
      <c r="K372" s="22" t="str">
        <v>COD</v>
      </c>
      <c r="L372" s="22">
        <v>3265.2919999999999</v>
      </c>
    </row>
    <row r="373" spans="1:12" x14ac:dyDescent="0.3">
      <c r="A373" s="22" t="s">
        <v>2182</v>
      </c>
      <c r="B373" s="34" cm="1">
        <f t="array" ref="B373:C373">_xlfn.XLOOKUP(A373,Sales_Fact!A373:A2357,Sales_Fact!B373:C2357)</f>
        <v>45433</v>
      </c>
      <c r="C373" s="22" t="str">
        <v>CUST1420</v>
      </c>
      <c r="D373" s="22" t="str">
        <f>VLOOKUP('Combine Products &amp; Sales Facts'!C373,'Customer Details'!A:B,2,0)</f>
        <v>Dr. Tamara White Md</v>
      </c>
      <c r="E373" s="22" t="str">
        <f>VLOOKUP(C373,Sales_Fact!C:D,2,0)</f>
        <v>PROD21</v>
      </c>
      <c r="F373" s="22" t="str">
        <f>VLOOKUP(E373,Product_Dim!A:C,3,0)</f>
        <v>Home</v>
      </c>
      <c r="G373" s="22" t="str" cm="1">
        <f t="array" ref="G373:L373">_xlfn.XLOOKUP(C373,Sales_Fact!C373:C2357,Sales_Fact!E373:J2357)</f>
        <v>STORE16</v>
      </c>
      <c r="H373" s="22">
        <v>3</v>
      </c>
      <c r="I373" s="22">
        <v>847.21</v>
      </c>
      <c r="J373" s="22">
        <v>0.06</v>
      </c>
      <c r="K373" s="22" t="str">
        <v>PayPal</v>
      </c>
      <c r="L373" s="22">
        <v>2389.1322</v>
      </c>
    </row>
    <row r="374" spans="1:12" x14ac:dyDescent="0.3">
      <c r="A374" s="22" t="s">
        <v>2183</v>
      </c>
      <c r="B374" s="34" cm="1">
        <f t="array" ref="B374:C374">_xlfn.XLOOKUP(A374,Sales_Fact!A374:A2358,Sales_Fact!B374:C2358)</f>
        <v>45892</v>
      </c>
      <c r="C374" s="22" t="str">
        <v>CUST1066</v>
      </c>
      <c r="D374" s="22" t="str">
        <f>VLOOKUP('Combine Products &amp; Sales Facts'!C374,'Customer Details'!A:B,2,0)</f>
        <v>Cody Diaz</v>
      </c>
      <c r="E374" s="22" t="str">
        <f>VLOOKUP(C374,Sales_Fact!C:D,2,0)</f>
        <v>PROD94</v>
      </c>
      <c r="F374" s="22" t="str">
        <f>VLOOKUP(E374,Product_Dim!A:C,3,0)</f>
        <v>Beauty</v>
      </c>
      <c r="G374" s="22" t="str" cm="1">
        <f t="array" ref="G374:L374">_xlfn.XLOOKUP(C374,Sales_Fact!C374:C2358,Sales_Fact!E374:J2358)</f>
        <v>STORE10</v>
      </c>
      <c r="H374" s="22">
        <v>4</v>
      </c>
      <c r="I374" s="22">
        <v>773.81</v>
      </c>
      <c r="J374" s="22">
        <v>0.08</v>
      </c>
      <c r="K374" s="22" t="str">
        <v>COD</v>
      </c>
      <c r="L374" s="22">
        <v>2847.6208000000001</v>
      </c>
    </row>
    <row r="375" spans="1:12" x14ac:dyDescent="0.3">
      <c r="A375" s="22" t="s">
        <v>2184</v>
      </c>
      <c r="B375" s="34" cm="1">
        <f t="array" ref="B375:C375">_xlfn.XLOOKUP(A375,Sales_Fact!A375:A2359,Sales_Fact!B375:C2359)</f>
        <v>45780</v>
      </c>
      <c r="C375" s="22" t="str">
        <v>CUST1000</v>
      </c>
      <c r="D375" s="22" t="str">
        <f>VLOOKUP('Combine Products &amp; Sales Facts'!C375,'Customer Details'!A:B,2,0)</f>
        <v xml:space="preserve">Sheena Bonilla  </v>
      </c>
      <c r="E375" s="22" t="str">
        <f>VLOOKUP(C375,Sales_Fact!C:D,2,0)</f>
        <v>PROD63</v>
      </c>
      <c r="F375" s="22" t="str">
        <f>VLOOKUP(E375,Product_Dim!A:C,3,0)</f>
        <v>Beauty</v>
      </c>
      <c r="G375" s="22" t="str" cm="1">
        <f t="array" ref="G375:L375">_xlfn.XLOOKUP(C375,Sales_Fact!C375:C2359,Sales_Fact!E375:J2359)</f>
        <v>STORE16</v>
      </c>
      <c r="H375" s="22">
        <v>1</v>
      </c>
      <c r="I375" s="22">
        <v>664.71</v>
      </c>
      <c r="J375" s="22">
        <v>0.1</v>
      </c>
      <c r="K375" s="22" t="str">
        <v>PayPal</v>
      </c>
      <c r="L375" s="22">
        <v>598.23900000000003</v>
      </c>
    </row>
    <row r="376" spans="1:12" x14ac:dyDescent="0.3">
      <c r="A376" s="22" t="s">
        <v>2185</v>
      </c>
      <c r="B376" s="34" cm="1">
        <f t="array" ref="B376:C376">_xlfn.XLOOKUP(A376,Sales_Fact!A376:A2360,Sales_Fact!B376:C2360)</f>
        <v>45233</v>
      </c>
      <c r="C376" s="22" t="str">
        <v>CUST1347</v>
      </c>
      <c r="D376" s="22" t="str">
        <f>VLOOKUP('Combine Products &amp; Sales Facts'!C376,'Customer Details'!A:B,2,0)</f>
        <v>Justin Mason Dds</v>
      </c>
      <c r="E376" s="22" t="str">
        <f>VLOOKUP(C376,Sales_Fact!C:D,2,0)</f>
        <v>PROD37</v>
      </c>
      <c r="F376" s="22" t="str">
        <f>VLOOKUP(E376,Product_Dim!A:C,3,0)</f>
        <v>Clothing</v>
      </c>
      <c r="G376" s="22" t="str" cm="1">
        <f t="array" ref="G376:L376">_xlfn.XLOOKUP(C376,Sales_Fact!C376:C2360,Sales_Fact!E376:J2360)</f>
        <v>STORE7</v>
      </c>
      <c r="H376" s="22">
        <v>4</v>
      </c>
      <c r="I376" s="22">
        <v>482.06</v>
      </c>
      <c r="J376" s="22">
        <v>7.0000000000000007E-2</v>
      </c>
      <c r="K376" s="22" t="str">
        <v>PayPal</v>
      </c>
      <c r="L376" s="22">
        <v>1793.2632000000001</v>
      </c>
    </row>
    <row r="377" spans="1:12" x14ac:dyDescent="0.3">
      <c r="A377" s="22" t="s">
        <v>2186</v>
      </c>
      <c r="B377" s="34" cm="1">
        <f t="array" ref="B377:C377">_xlfn.XLOOKUP(A377,Sales_Fact!A377:A2361,Sales_Fact!B377:C2361)</f>
        <v>45742</v>
      </c>
      <c r="C377" s="22" t="str">
        <v>CUST1089</v>
      </c>
      <c r="D377" s="22" t="str">
        <f>VLOOKUP('Combine Products &amp; Sales Facts'!C377,'Customer Details'!A:B,2,0)</f>
        <v>Jamie Yoder</v>
      </c>
      <c r="E377" s="22" t="str">
        <f>VLOOKUP(C377,Sales_Fact!C:D,2,0)</f>
        <v>PROD57</v>
      </c>
      <c r="F377" s="22" t="str">
        <f>VLOOKUP(E377,Product_Dim!A:C,3,0)</f>
        <v>Sports</v>
      </c>
      <c r="G377" s="22" t="str" cm="1">
        <f t="array" ref="G377:L377">_xlfn.XLOOKUP(C377,Sales_Fact!C377:C2361,Sales_Fact!E377:J2361)</f>
        <v>STORE3</v>
      </c>
      <c r="H377" s="22">
        <v>4</v>
      </c>
      <c r="I377" s="22">
        <v>995.55</v>
      </c>
      <c r="J377" s="22">
        <v>0.19</v>
      </c>
      <c r="K377" s="22" t="str">
        <v>PayPal</v>
      </c>
      <c r="L377" s="22">
        <v>3225.5819999999999</v>
      </c>
    </row>
    <row r="378" spans="1:12" x14ac:dyDescent="0.3">
      <c r="A378" s="22" t="s">
        <v>2187</v>
      </c>
      <c r="B378" s="34" cm="1">
        <f t="array" ref="B378:C378">_xlfn.XLOOKUP(A378,Sales_Fact!A378:A2362,Sales_Fact!B378:C2362)</f>
        <v>45478</v>
      </c>
      <c r="C378" s="22" t="str">
        <v>CUST1141</v>
      </c>
      <c r="D378" s="22" t="str">
        <f>VLOOKUP('Combine Products &amp; Sales Facts'!C378,'Customer Details'!A:B,2,0)</f>
        <v>Cristian Wright</v>
      </c>
      <c r="E378" s="22" t="str">
        <f>VLOOKUP(C378,Sales_Fact!C:D,2,0)</f>
        <v>PROD21</v>
      </c>
      <c r="F378" s="22" t="str">
        <f>VLOOKUP(E378,Product_Dim!A:C,3,0)</f>
        <v>Home</v>
      </c>
      <c r="G378" s="22" t="str" cm="1">
        <f t="array" ref="G378:L378">_xlfn.XLOOKUP(C378,Sales_Fact!C378:C2362,Sales_Fact!E378:J2362)</f>
        <v>STORE13</v>
      </c>
      <c r="H378" s="22">
        <v>2</v>
      </c>
      <c r="I378" s="22">
        <v>153.84</v>
      </c>
      <c r="J378" s="22">
        <v>0.27</v>
      </c>
      <c r="K378" s="22" t="str">
        <v>PayPal</v>
      </c>
      <c r="L378" s="22">
        <v>224.60640000000001</v>
      </c>
    </row>
    <row r="379" spans="1:12" x14ac:dyDescent="0.3">
      <c r="A379" s="22" t="s">
        <v>2188</v>
      </c>
      <c r="B379" s="34" cm="1">
        <f t="array" ref="B379:C379">_xlfn.XLOOKUP(A379,Sales_Fact!A379:A2363,Sales_Fact!B379:C2363)</f>
        <v>45789</v>
      </c>
      <c r="C379" s="22" t="str">
        <v>CUST1153</v>
      </c>
      <c r="D379" s="22" t="str">
        <f>VLOOKUP('Combine Products &amp; Sales Facts'!C379,'Customer Details'!A:B,2,0)</f>
        <v>Joseph Faulkner</v>
      </c>
      <c r="E379" s="22" t="str">
        <f>VLOOKUP(C379,Sales_Fact!C:D,2,0)</f>
        <v>PROD72</v>
      </c>
      <c r="F379" s="22" t="str">
        <f>VLOOKUP(E379,Product_Dim!A:C,3,0)</f>
        <v>Sports</v>
      </c>
      <c r="G379" s="22" t="str" cm="1">
        <f t="array" ref="G379:L379">_xlfn.XLOOKUP(C379,Sales_Fact!C379:C2363,Sales_Fact!E379:J2363)</f>
        <v>STORE6</v>
      </c>
      <c r="H379" s="22">
        <v>3</v>
      </c>
      <c r="I379" s="22">
        <v>362.11</v>
      </c>
      <c r="J379" s="22">
        <v>0.23</v>
      </c>
      <c r="K379" s="22" t="str">
        <v>COD</v>
      </c>
      <c r="L379" s="22">
        <v>836.47409999999991</v>
      </c>
    </row>
    <row r="380" spans="1:12" x14ac:dyDescent="0.3">
      <c r="A380" s="22" t="s">
        <v>2189</v>
      </c>
      <c r="B380" s="34" cm="1">
        <f t="array" ref="B380:C380">_xlfn.XLOOKUP(A380,Sales_Fact!A380:A2364,Sales_Fact!B380:C2364)</f>
        <v>45561</v>
      </c>
      <c r="C380" s="22" t="str">
        <v>CUST1472</v>
      </c>
      <c r="D380" s="22" t="str">
        <f>VLOOKUP('Combine Products &amp; Sales Facts'!C380,'Customer Details'!A:B,2,0)</f>
        <v>Philip Mendoza</v>
      </c>
      <c r="E380" s="22" t="str">
        <f>VLOOKUP(C380,Sales_Fact!C:D,2,0)</f>
        <v>PROD34</v>
      </c>
      <c r="F380" s="22" t="str">
        <f>VLOOKUP(E380,Product_Dim!A:C,3,0)</f>
        <v>Electronics</v>
      </c>
      <c r="G380" s="22" t="str" cm="1">
        <f t="array" ref="G380:L380">_xlfn.XLOOKUP(C380,Sales_Fact!C380:C2364,Sales_Fact!E380:J2364)</f>
        <v>STORE8</v>
      </c>
      <c r="H380" s="22">
        <v>3</v>
      </c>
      <c r="I380" s="22">
        <v>112.26</v>
      </c>
      <c r="J380" s="22">
        <v>0.11</v>
      </c>
      <c r="K380" s="22" t="str">
        <v>Credit Card</v>
      </c>
      <c r="L380" s="22">
        <v>299.73419999999999</v>
      </c>
    </row>
    <row r="381" spans="1:12" x14ac:dyDescent="0.3">
      <c r="A381" s="22" t="s">
        <v>2190</v>
      </c>
      <c r="B381" s="34" cm="1">
        <f t="array" ref="B381:C381">_xlfn.XLOOKUP(A381,Sales_Fact!A381:A2365,Sales_Fact!B381:C2365)</f>
        <v>45378</v>
      </c>
      <c r="C381" s="22" t="str">
        <v>CUST1203</v>
      </c>
      <c r="D381" s="22" t="str">
        <f>VLOOKUP('Combine Products &amp; Sales Facts'!C381,'Customer Details'!A:B,2,0)</f>
        <v>Sarah Brady</v>
      </c>
      <c r="E381" s="22" t="str">
        <f>VLOOKUP(C381,Sales_Fact!C:D,2,0)</f>
        <v>PROD43</v>
      </c>
      <c r="F381" s="22" t="str">
        <f>VLOOKUP(E381,Product_Dim!A:C,3,0)</f>
        <v>Electronics</v>
      </c>
      <c r="G381" s="22" t="str" cm="1">
        <f t="array" ref="G381:L381">_xlfn.XLOOKUP(C381,Sales_Fact!C381:C2365,Sales_Fact!E381:J2365)</f>
        <v>STORE19</v>
      </c>
      <c r="H381" s="22">
        <v>2</v>
      </c>
      <c r="I381" s="22">
        <v>962.81</v>
      </c>
      <c r="J381" s="22">
        <v>0.06</v>
      </c>
      <c r="K381" s="22" t="str">
        <v>COD</v>
      </c>
      <c r="L381" s="22">
        <v>1810.0827999999999</v>
      </c>
    </row>
    <row r="382" spans="1:12" x14ac:dyDescent="0.3">
      <c r="A382" s="22" t="s">
        <v>2191</v>
      </c>
      <c r="B382" s="34" cm="1">
        <f t="array" ref="B382:C382">_xlfn.XLOOKUP(A382,Sales_Fact!A382:A2366,Sales_Fact!B382:C2366)</f>
        <v>45308</v>
      </c>
      <c r="C382" s="22" t="str">
        <v>CUST1213</v>
      </c>
      <c r="D382" s="22" t="str">
        <f>VLOOKUP('Combine Products &amp; Sales Facts'!C382,'Customer Details'!A:B,2,0)</f>
        <v>Stuart Johnson</v>
      </c>
      <c r="E382" s="22" t="str">
        <f>VLOOKUP(C382,Sales_Fact!C:D,2,0)</f>
        <v>PROD21</v>
      </c>
      <c r="F382" s="22" t="str">
        <f>VLOOKUP(E382,Product_Dim!A:C,3,0)</f>
        <v>Home</v>
      </c>
      <c r="G382" s="22" t="str" cm="1">
        <f t="array" ref="G382:L382">_xlfn.XLOOKUP(C382,Sales_Fact!C382:C2366,Sales_Fact!E382:J2366)</f>
        <v>STORE0</v>
      </c>
      <c r="H382" s="22">
        <v>4</v>
      </c>
      <c r="I382" s="22">
        <v>276.23</v>
      </c>
      <c r="J382" s="22">
        <v>0.12</v>
      </c>
      <c r="K382" s="22" t="str">
        <v>Credit Card</v>
      </c>
      <c r="L382" s="22">
        <v>972.32960000000003</v>
      </c>
    </row>
    <row r="383" spans="1:12" x14ac:dyDescent="0.3">
      <c r="A383" s="22" t="s">
        <v>2192</v>
      </c>
      <c r="B383" s="34" cm="1">
        <f t="array" ref="B383:C383">_xlfn.XLOOKUP(A383,Sales_Fact!A383:A2367,Sales_Fact!B383:C2367)</f>
        <v>45407</v>
      </c>
      <c r="C383" s="22" t="str">
        <v>CUST1015</v>
      </c>
      <c r="D383" s="22" t="str">
        <f>VLOOKUP('Combine Products &amp; Sales Facts'!C383,'Customer Details'!A:B,2,0)</f>
        <v>Laura Alvarez</v>
      </c>
      <c r="E383" s="22" t="str">
        <f>VLOOKUP(C383,Sales_Fact!C:D,2,0)</f>
        <v>PROD18</v>
      </c>
      <c r="F383" s="22" t="str">
        <f>VLOOKUP(E383,Product_Dim!A:C,3,0)</f>
        <v>Clothing</v>
      </c>
      <c r="G383" s="22" t="str" cm="1">
        <f t="array" ref="G383:L383">_xlfn.XLOOKUP(C383,Sales_Fact!C383:C2367,Sales_Fact!E383:J2367)</f>
        <v>STORE14</v>
      </c>
      <c r="H383" s="22">
        <v>3</v>
      </c>
      <c r="I383" s="22">
        <v>991.37</v>
      </c>
      <c r="J383" s="22">
        <v>0.1</v>
      </c>
      <c r="K383" s="22" t="str">
        <v>PayPal</v>
      </c>
      <c r="L383" s="22">
        <v>2676.6990000000001</v>
      </c>
    </row>
    <row r="384" spans="1:12" x14ac:dyDescent="0.3">
      <c r="A384" s="22" t="s">
        <v>2193</v>
      </c>
      <c r="B384" s="34" cm="1">
        <f t="array" ref="B384:C384">_xlfn.XLOOKUP(A384,Sales_Fact!A384:A2368,Sales_Fact!B384:C2368)</f>
        <v>45929</v>
      </c>
      <c r="C384" s="22" t="str">
        <v>CUST1168</v>
      </c>
      <c r="D384" s="22" t="str">
        <f>VLOOKUP('Combine Products &amp; Sales Facts'!C384,'Customer Details'!A:B,2,0)</f>
        <v>Daniel Contreras</v>
      </c>
      <c r="E384" s="22" t="str">
        <f>VLOOKUP(C384,Sales_Fact!C:D,2,0)</f>
        <v>PROD72</v>
      </c>
      <c r="F384" s="22" t="str">
        <f>VLOOKUP(E384,Product_Dim!A:C,3,0)</f>
        <v>Sports</v>
      </c>
      <c r="G384" s="22" t="str" cm="1">
        <f t="array" ref="G384:L384">_xlfn.XLOOKUP(C384,Sales_Fact!C384:C2368,Sales_Fact!E384:J2368)</f>
        <v>STORE13</v>
      </c>
      <c r="H384" s="22">
        <v>3</v>
      </c>
      <c r="I384" s="22">
        <v>977.47</v>
      </c>
      <c r="J384" s="22">
        <v>0.05</v>
      </c>
      <c r="K384" s="22" t="str">
        <v>Credit Card</v>
      </c>
      <c r="L384" s="22">
        <v>2785.7894999999999</v>
      </c>
    </row>
    <row r="385" spans="1:12" x14ac:dyDescent="0.3">
      <c r="A385" s="22" t="s">
        <v>2194</v>
      </c>
      <c r="B385" s="34" cm="1">
        <f t="array" ref="B385:C385">_xlfn.XLOOKUP(A385,Sales_Fact!A385:A2369,Sales_Fact!B385:C2369)</f>
        <v>45844</v>
      </c>
      <c r="C385" s="22" t="str">
        <v>CUST1206</v>
      </c>
      <c r="D385" s="22" t="str">
        <f>VLOOKUP('Combine Products &amp; Sales Facts'!C385,'Customer Details'!A:B,2,0)</f>
        <v>Ronald Jones</v>
      </c>
      <c r="E385" s="22" t="str">
        <f>VLOOKUP(C385,Sales_Fact!C:D,2,0)</f>
        <v>PROD94</v>
      </c>
      <c r="F385" s="22" t="str">
        <f>VLOOKUP(E385,Product_Dim!A:C,3,0)</f>
        <v>Beauty</v>
      </c>
      <c r="G385" s="22" t="str" cm="1">
        <f t="array" ref="G385:L385">_xlfn.XLOOKUP(C385,Sales_Fact!C385:C2369,Sales_Fact!E385:J2369)</f>
        <v>STORE12</v>
      </c>
      <c r="H385" s="22">
        <v>2</v>
      </c>
      <c r="I385" s="22">
        <v>308.7</v>
      </c>
      <c r="J385" s="22">
        <v>0.2</v>
      </c>
      <c r="K385" s="22" t="str">
        <v>PayPal</v>
      </c>
      <c r="L385" s="22">
        <v>493.92</v>
      </c>
    </row>
    <row r="386" spans="1:12" x14ac:dyDescent="0.3">
      <c r="A386" s="22" t="s">
        <v>2195</v>
      </c>
      <c r="B386" s="34" cm="1">
        <f t="array" ref="B386:C386">_xlfn.XLOOKUP(A386,Sales_Fact!A386:A2370,Sales_Fact!B386:C2370)</f>
        <v>45579</v>
      </c>
      <c r="C386" s="22" t="str">
        <v>CUST1037</v>
      </c>
      <c r="D386" s="22" t="str">
        <f>VLOOKUP('Combine Products &amp; Sales Facts'!C386,'Customer Details'!A:B,2,0)</f>
        <v>Christopher Carter</v>
      </c>
      <c r="E386" s="22" t="str">
        <f>VLOOKUP(C386,Sales_Fact!C:D,2,0)</f>
        <v>PROD45</v>
      </c>
      <c r="F386" s="22" t="str">
        <f>VLOOKUP(E386,Product_Dim!A:C,3,0)</f>
        <v>Sports</v>
      </c>
      <c r="G386" s="22" t="str" cm="1">
        <f t="array" ref="G386:L386">_xlfn.XLOOKUP(C386,Sales_Fact!C386:C2370,Sales_Fact!E386:J2370)</f>
        <v>STORE16</v>
      </c>
      <c r="H386" s="22">
        <v>2</v>
      </c>
      <c r="I386" s="22">
        <v>733.87</v>
      </c>
      <c r="J386" s="22">
        <v>0.1</v>
      </c>
      <c r="K386" s="22" t="str">
        <v>PayPal</v>
      </c>
      <c r="L386" s="22">
        <v>1320.9659999999999</v>
      </c>
    </row>
    <row r="387" spans="1:12" x14ac:dyDescent="0.3">
      <c r="A387" s="22" t="s">
        <v>2196</v>
      </c>
      <c r="B387" s="34" cm="1">
        <f t="array" ref="B387:C387">_xlfn.XLOOKUP(A387,Sales_Fact!A387:A2371,Sales_Fact!B387:C2371)</f>
        <v>45227</v>
      </c>
      <c r="C387" s="22" t="str">
        <v>CUST1095</v>
      </c>
      <c r="D387" s="22" t="str">
        <f>VLOOKUP('Combine Products &amp; Sales Facts'!C387,'Customer Details'!A:B,2,0)</f>
        <v>Amy Fowler</v>
      </c>
      <c r="E387" s="22" t="str">
        <f>VLOOKUP(C387,Sales_Fact!C:D,2,0)</f>
        <v>PROD40</v>
      </c>
      <c r="F387" s="22" t="str">
        <f>VLOOKUP(E387,Product_Dim!A:C,3,0)</f>
        <v>Electronics</v>
      </c>
      <c r="G387" s="22" t="str" cm="1">
        <f t="array" ref="G387:L387">_xlfn.XLOOKUP(C387,Sales_Fact!C387:C2371,Sales_Fact!E387:J2371)</f>
        <v>STORE16</v>
      </c>
      <c r="H387" s="22">
        <v>2</v>
      </c>
      <c r="I387" s="22">
        <v>22.47</v>
      </c>
      <c r="J387" s="22">
        <v>0.22</v>
      </c>
      <c r="K387" s="22" t="str">
        <v>PayPal</v>
      </c>
      <c r="L387" s="22">
        <v>35.053199999999997</v>
      </c>
    </row>
    <row r="388" spans="1:12" x14ac:dyDescent="0.3">
      <c r="A388" s="22" t="s">
        <v>2197</v>
      </c>
      <c r="B388" s="34" cm="1">
        <f t="array" ref="B388:C388">_xlfn.XLOOKUP(A388,Sales_Fact!A388:A2372,Sales_Fact!B388:C2372)</f>
        <v>45380</v>
      </c>
      <c r="C388" s="22" t="str">
        <v>CUST1348</v>
      </c>
      <c r="D388" s="22" t="str">
        <f>VLOOKUP('Combine Products &amp; Sales Facts'!C388,'Customer Details'!A:B,2,0)</f>
        <v>Sherry Cabrera</v>
      </c>
      <c r="E388" s="22" t="str">
        <f>VLOOKUP(C388,Sales_Fact!C:D,2,0)</f>
        <v>PROD24</v>
      </c>
      <c r="F388" s="22" t="str">
        <f>VLOOKUP(E388,Product_Dim!A:C,3,0)</f>
        <v>Sports</v>
      </c>
      <c r="G388" s="22" t="str" cm="1">
        <f t="array" ref="G388:L388">_xlfn.XLOOKUP(C388,Sales_Fact!C388:C2372,Sales_Fact!E388:J2372)</f>
        <v>STORE13</v>
      </c>
      <c r="H388" s="22">
        <v>4</v>
      </c>
      <c r="I388" s="22">
        <v>651.36</v>
      </c>
      <c r="J388" s="22">
        <v>0.13</v>
      </c>
      <c r="K388" s="22" t="str">
        <v>Credit Card</v>
      </c>
      <c r="L388" s="22">
        <v>2266.7328000000002</v>
      </c>
    </row>
    <row r="389" spans="1:12" x14ac:dyDescent="0.3">
      <c r="A389" s="22" t="s">
        <v>2198</v>
      </c>
      <c r="B389" s="34" cm="1">
        <f t="array" ref="B389:C389">_xlfn.XLOOKUP(A389,Sales_Fact!A389:A2373,Sales_Fact!B389:C2373)</f>
        <v>45817</v>
      </c>
      <c r="C389" s="22" t="str">
        <v>CUST1296</v>
      </c>
      <c r="D389" s="22" t="str">
        <f>VLOOKUP('Combine Products &amp; Sales Facts'!C389,'Customer Details'!A:B,2,0)</f>
        <v>Jared Moran</v>
      </c>
      <c r="E389" s="22" t="str">
        <f>VLOOKUP(C389,Sales_Fact!C:D,2,0)</f>
        <v>PROD14</v>
      </c>
      <c r="F389" s="22" t="str">
        <f>VLOOKUP(E389,Product_Dim!A:C,3,0)</f>
        <v>Home</v>
      </c>
      <c r="G389" s="22" t="str" cm="1">
        <f t="array" ref="G389:L389">_xlfn.XLOOKUP(C389,Sales_Fact!C389:C2373,Sales_Fact!E389:J2373)</f>
        <v>STORE10</v>
      </c>
      <c r="H389" s="22">
        <v>1</v>
      </c>
      <c r="I389" s="22">
        <v>753.39</v>
      </c>
      <c r="J389" s="22">
        <v>0.04</v>
      </c>
      <c r="K389" s="22" t="str">
        <v>COD</v>
      </c>
      <c r="L389" s="22">
        <v>723.25439999999992</v>
      </c>
    </row>
    <row r="390" spans="1:12" x14ac:dyDescent="0.3">
      <c r="A390" s="22" t="s">
        <v>2199</v>
      </c>
      <c r="B390" s="34" cm="1">
        <f t="array" ref="B390:C390">_xlfn.XLOOKUP(A390,Sales_Fact!A390:A2374,Sales_Fact!B390:C2374)</f>
        <v>45576</v>
      </c>
      <c r="C390" s="22" t="str">
        <v>CUST1201</v>
      </c>
      <c r="D390" s="22" t="str">
        <f>VLOOKUP('Combine Products &amp; Sales Facts'!C390,'Customer Details'!A:B,2,0)</f>
        <v>Mary Boyd</v>
      </c>
      <c r="E390" s="22" t="str">
        <f>VLOOKUP(C390,Sales_Fact!C:D,2,0)</f>
        <v>PROD87</v>
      </c>
      <c r="F390" s="22" t="str">
        <f>VLOOKUP(E390,Product_Dim!A:C,3,0)</f>
        <v>Home</v>
      </c>
      <c r="G390" s="22" t="str" cm="1">
        <f t="array" ref="G390:L390">_xlfn.XLOOKUP(C390,Sales_Fact!C390:C2374,Sales_Fact!E390:J2374)</f>
        <v>STORE12</v>
      </c>
      <c r="H390" s="22">
        <v>4</v>
      </c>
      <c r="I390" s="22">
        <v>849.17</v>
      </c>
      <c r="J390" s="22">
        <v>0.12</v>
      </c>
      <c r="K390" s="22" t="str">
        <v>COD</v>
      </c>
      <c r="L390" s="22">
        <v>2989.0783999999999</v>
      </c>
    </row>
    <row r="391" spans="1:12" x14ac:dyDescent="0.3">
      <c r="A391" s="22" t="s">
        <v>2200</v>
      </c>
      <c r="B391" s="34" cm="1">
        <f t="array" ref="B391:C391">_xlfn.XLOOKUP(A391,Sales_Fact!A391:A2375,Sales_Fact!B391:C2375)</f>
        <v>45495</v>
      </c>
      <c r="C391" s="22" t="str">
        <v>CUST1379</v>
      </c>
      <c r="D391" s="22" t="str">
        <f>VLOOKUP('Combine Products &amp; Sales Facts'!C391,'Customer Details'!A:B,2,0)</f>
        <v>Tanya Lopez</v>
      </c>
      <c r="E391" s="22" t="str">
        <f>VLOOKUP(C391,Sales_Fact!C:D,2,0)</f>
        <v>PROD20</v>
      </c>
      <c r="F391" s="22" t="str">
        <f>VLOOKUP(E391,Product_Dim!A:C,3,0)</f>
        <v>Sports</v>
      </c>
      <c r="G391" s="22" t="str" cm="1">
        <f t="array" ref="G391:L391">_xlfn.XLOOKUP(C391,Sales_Fact!C391:C2375,Sales_Fact!E391:J2375)</f>
        <v>STORE0</v>
      </c>
      <c r="H391" s="22">
        <v>4</v>
      </c>
      <c r="I391" s="22">
        <v>585.45000000000005</v>
      </c>
      <c r="J391" s="22">
        <v>0.25</v>
      </c>
      <c r="K391" s="22" t="str">
        <v>COD</v>
      </c>
      <c r="L391" s="22">
        <v>1756.35</v>
      </c>
    </row>
    <row r="392" spans="1:12" x14ac:dyDescent="0.3">
      <c r="A392" s="22" t="s">
        <v>2201</v>
      </c>
      <c r="B392" s="34" cm="1">
        <f t="array" ref="B392:C392">_xlfn.XLOOKUP(A392,Sales_Fact!A392:A2376,Sales_Fact!B392:C2376)</f>
        <v>45628</v>
      </c>
      <c r="C392" s="22" t="str">
        <v>CUST1476</v>
      </c>
      <c r="D392" s="22" t="str">
        <f>VLOOKUP('Combine Products &amp; Sales Facts'!C392,'Customer Details'!A:B,2,0)</f>
        <v>Elizabeth Foster</v>
      </c>
      <c r="E392" s="22" t="str">
        <f>VLOOKUP(C392,Sales_Fact!C:D,2,0)</f>
        <v>PROD69</v>
      </c>
      <c r="F392" s="22" t="str">
        <f>VLOOKUP(E392,Product_Dim!A:C,3,0)</f>
        <v>Clothing</v>
      </c>
      <c r="G392" s="22" t="str" cm="1">
        <f t="array" ref="G392:L392">_xlfn.XLOOKUP(C392,Sales_Fact!C392:C2376,Sales_Fact!E392:J2376)</f>
        <v>STORE16</v>
      </c>
      <c r="H392" s="22">
        <v>1</v>
      </c>
      <c r="I392" s="22">
        <v>745.15</v>
      </c>
      <c r="J392" s="22">
        <v>0.25</v>
      </c>
      <c r="K392" s="22" t="str">
        <v>COD</v>
      </c>
      <c r="L392" s="22">
        <v>558.86249999999995</v>
      </c>
    </row>
    <row r="393" spans="1:12" x14ac:dyDescent="0.3">
      <c r="A393" s="22" t="s">
        <v>2202</v>
      </c>
      <c r="B393" s="34" cm="1">
        <f t="array" ref="B393:C393">_xlfn.XLOOKUP(A393,Sales_Fact!A393:A2377,Sales_Fact!B393:C2377)</f>
        <v>45244</v>
      </c>
      <c r="C393" s="22" t="str">
        <v>CUST1050</v>
      </c>
      <c r="D393" s="22" t="str">
        <f>VLOOKUP('Combine Products &amp; Sales Facts'!C393,'Customer Details'!A:B,2,0)</f>
        <v>Matthew Hunter Jr.</v>
      </c>
      <c r="E393" s="22" t="str">
        <f>VLOOKUP(C393,Sales_Fact!C:D,2,0)</f>
        <v>PROD99</v>
      </c>
      <c r="F393" s="22" t="str">
        <f>VLOOKUP(E393,Product_Dim!A:C,3,0)</f>
        <v>Home</v>
      </c>
      <c r="G393" s="22" t="str" cm="1">
        <f t="array" ref="G393:L393">_xlfn.XLOOKUP(C393,Sales_Fact!C393:C2377,Sales_Fact!E393:J2377)</f>
        <v>STORE2</v>
      </c>
      <c r="H393" s="22">
        <v>1</v>
      </c>
      <c r="I393" s="22">
        <v>848.69</v>
      </c>
      <c r="J393" s="22">
        <v>0.04</v>
      </c>
      <c r="K393" s="22" t="str">
        <v>COD</v>
      </c>
      <c r="L393" s="22">
        <v>814.74239999999998</v>
      </c>
    </row>
    <row r="394" spans="1:12" x14ac:dyDescent="0.3">
      <c r="A394" s="22" t="s">
        <v>2203</v>
      </c>
      <c r="B394" s="34" cm="1">
        <f t="array" ref="B394:C394">_xlfn.XLOOKUP(A394,Sales_Fact!A394:A2378,Sales_Fact!B394:C2378)</f>
        <v>45336</v>
      </c>
      <c r="C394" s="22" t="str">
        <v>CUST1413</v>
      </c>
      <c r="D394" s="22" t="str">
        <f>VLOOKUP('Combine Products &amp; Sales Facts'!C394,'Customer Details'!A:B,2,0)</f>
        <v>Megan Ryan</v>
      </c>
      <c r="E394" s="22" t="str">
        <f>VLOOKUP(C394,Sales_Fact!C:D,2,0)</f>
        <v>PROD70</v>
      </c>
      <c r="F394" s="22" t="str">
        <f>VLOOKUP(E394,Product_Dim!A:C,3,0)</f>
        <v>Home</v>
      </c>
      <c r="G394" s="22" t="str" cm="1">
        <f t="array" ref="G394:L394">_xlfn.XLOOKUP(C394,Sales_Fact!C394:C2378,Sales_Fact!E394:J2378)</f>
        <v>STORE14</v>
      </c>
      <c r="H394" s="22">
        <v>2</v>
      </c>
      <c r="I394" s="22">
        <v>247.67</v>
      </c>
      <c r="J394" s="22">
        <v>0.1</v>
      </c>
      <c r="K394" s="22" t="str">
        <v>PayPal</v>
      </c>
      <c r="L394" s="22">
        <v>445.80599999999998</v>
      </c>
    </row>
    <row r="395" spans="1:12" x14ac:dyDescent="0.3">
      <c r="A395" s="22" t="s">
        <v>2204</v>
      </c>
      <c r="B395" s="34" cm="1">
        <f t="array" ref="B395:C395">_xlfn.XLOOKUP(A395,Sales_Fact!A395:A2379,Sales_Fact!B395:C2379)</f>
        <v>45465</v>
      </c>
      <c r="C395" s="22" t="str">
        <v>CUST1039</v>
      </c>
      <c r="D395" s="22" t="str">
        <f>VLOOKUP('Combine Products &amp; Sales Facts'!C395,'Customer Details'!A:B,2,0)</f>
        <v>Tonya Reynolds</v>
      </c>
      <c r="E395" s="22" t="str">
        <f>VLOOKUP(C395,Sales_Fact!C:D,2,0)</f>
        <v>PROD74</v>
      </c>
      <c r="F395" s="22" t="str">
        <f>VLOOKUP(E395,Product_Dim!A:C,3,0)</f>
        <v>Electronics</v>
      </c>
      <c r="G395" s="22" t="str" cm="1">
        <f t="array" ref="G395:L395">_xlfn.XLOOKUP(C395,Sales_Fact!C395:C2379,Sales_Fact!E395:J2379)</f>
        <v>STORE3</v>
      </c>
      <c r="H395" s="22">
        <v>3</v>
      </c>
      <c r="I395" s="22">
        <v>220.51</v>
      </c>
      <c r="J395" s="22">
        <v>0.02</v>
      </c>
      <c r="K395" s="22" t="str">
        <v>PayPal</v>
      </c>
      <c r="L395" s="22">
        <v>648.29939999999999</v>
      </c>
    </row>
    <row r="396" spans="1:12" x14ac:dyDescent="0.3">
      <c r="A396" s="22" t="s">
        <v>2205</v>
      </c>
      <c r="B396" s="34" cm="1">
        <f t="array" ref="B396:C396">_xlfn.XLOOKUP(A396,Sales_Fact!A396:A2380,Sales_Fact!B396:C2380)</f>
        <v>45837</v>
      </c>
      <c r="C396" s="22" t="str">
        <v>CUST1327</v>
      </c>
      <c r="D396" s="22" t="str">
        <f>VLOOKUP('Combine Products &amp; Sales Facts'!C396,'Customer Details'!A:B,2,0)</f>
        <v>Reginald Willis</v>
      </c>
      <c r="E396" s="22" t="str">
        <f>VLOOKUP(C396,Sales_Fact!C:D,2,0)</f>
        <v>PROD1</v>
      </c>
      <c r="F396" s="22" t="str">
        <f>VLOOKUP(E396,Product_Dim!A:C,3,0)</f>
        <v>Clothing</v>
      </c>
      <c r="G396" s="22" t="str" cm="1">
        <f t="array" ref="G396:L396">_xlfn.XLOOKUP(C396,Sales_Fact!C396:C2380,Sales_Fact!E396:J2380)</f>
        <v>STORE16</v>
      </c>
      <c r="H396" s="22">
        <v>4</v>
      </c>
      <c r="I396" s="22">
        <v>370.63</v>
      </c>
      <c r="J396" s="22">
        <v>0.08</v>
      </c>
      <c r="K396" s="22" t="str">
        <v>Credit Card</v>
      </c>
      <c r="L396" s="22">
        <v>1363.9184</v>
      </c>
    </row>
    <row r="397" spans="1:12" x14ac:dyDescent="0.3">
      <c r="A397" s="22" t="s">
        <v>2206</v>
      </c>
      <c r="B397" s="34" cm="1">
        <f t="array" ref="B397:C397">_xlfn.XLOOKUP(A397,Sales_Fact!A397:A2381,Sales_Fact!B397:C2381)</f>
        <v>45706</v>
      </c>
      <c r="C397" s="22" t="str">
        <v>CUST1391</v>
      </c>
      <c r="D397" s="22" t="str">
        <f>VLOOKUP('Combine Products &amp; Sales Facts'!C397,'Customer Details'!A:B,2,0)</f>
        <v>Heidi Tyler</v>
      </c>
      <c r="E397" s="22" t="str">
        <f>VLOOKUP(C397,Sales_Fact!C:D,2,0)</f>
        <v>PROD29</v>
      </c>
      <c r="F397" s="22" t="str">
        <f>VLOOKUP(E397,Product_Dim!A:C,3,0)</f>
        <v>Home</v>
      </c>
      <c r="G397" s="22" t="str" cm="1">
        <f t="array" ref="G397:L397">_xlfn.XLOOKUP(C397,Sales_Fact!C397:C2381,Sales_Fact!E397:J2381)</f>
        <v>STORE19</v>
      </c>
      <c r="H397" s="22">
        <v>4</v>
      </c>
      <c r="I397" s="22">
        <v>349.84</v>
      </c>
      <c r="J397" s="22">
        <v>0.11</v>
      </c>
      <c r="K397" s="22" t="str">
        <v>Credit Card</v>
      </c>
      <c r="L397" s="22">
        <v>1245.4304</v>
      </c>
    </row>
    <row r="398" spans="1:12" x14ac:dyDescent="0.3">
      <c r="A398" s="22" t="s">
        <v>2207</v>
      </c>
      <c r="B398" s="34" cm="1">
        <f t="array" ref="B398:C398">_xlfn.XLOOKUP(A398,Sales_Fact!A398:A2382,Sales_Fact!B398:C2382)</f>
        <v>45823</v>
      </c>
      <c r="C398" s="22" t="str">
        <v>CUST1043</v>
      </c>
      <c r="D398" s="22" t="str">
        <f>VLOOKUP('Combine Products &amp; Sales Facts'!C398,'Customer Details'!A:B,2,0)</f>
        <v>Joseph Snow</v>
      </c>
      <c r="E398" s="22" t="str">
        <f>VLOOKUP(C398,Sales_Fact!C:D,2,0)</f>
        <v>PROD39</v>
      </c>
      <c r="F398" s="22" t="str">
        <f>VLOOKUP(E398,Product_Dim!A:C,3,0)</f>
        <v>Electronics</v>
      </c>
      <c r="G398" s="22" t="str" cm="1">
        <f t="array" ref="G398:L398">_xlfn.XLOOKUP(C398,Sales_Fact!C398:C2382,Sales_Fact!E398:J2382)</f>
        <v>STORE12</v>
      </c>
      <c r="H398" s="22">
        <v>1</v>
      </c>
      <c r="I398" s="22">
        <v>770.87</v>
      </c>
      <c r="J398" s="22">
        <v>0.1</v>
      </c>
      <c r="K398" s="22" t="str">
        <v>COD</v>
      </c>
      <c r="L398" s="22">
        <v>693.78300000000002</v>
      </c>
    </row>
    <row r="399" spans="1:12" x14ac:dyDescent="0.3">
      <c r="A399" s="22" t="s">
        <v>2208</v>
      </c>
      <c r="B399" s="34" cm="1">
        <f t="array" ref="B399:C399">_xlfn.XLOOKUP(A399,Sales_Fact!A399:A2383,Sales_Fact!B399:C2383)</f>
        <v>45518</v>
      </c>
      <c r="C399" s="22" t="str">
        <v>CUST1479</v>
      </c>
      <c r="D399" s="22" t="str">
        <f>VLOOKUP('Combine Products &amp; Sales Facts'!C399,'Customer Details'!A:B,2,0)</f>
        <v>Dylan Gutierrez</v>
      </c>
      <c r="E399" s="22" t="str">
        <f>VLOOKUP(C399,Sales_Fact!C:D,2,0)</f>
        <v>PROD74</v>
      </c>
      <c r="F399" s="22" t="str">
        <f>VLOOKUP(E399,Product_Dim!A:C,3,0)</f>
        <v>Electronics</v>
      </c>
      <c r="G399" s="22" t="str" cm="1">
        <f t="array" ref="G399:L399">_xlfn.XLOOKUP(C399,Sales_Fact!C399:C2383,Sales_Fact!E399:J2383)</f>
        <v>STORE17</v>
      </c>
      <c r="H399" s="22">
        <v>3</v>
      </c>
      <c r="I399" s="22">
        <v>507.33</v>
      </c>
      <c r="J399" s="22">
        <v>0.06</v>
      </c>
      <c r="K399" s="22" t="str">
        <v>PayPal</v>
      </c>
      <c r="L399" s="22">
        <v>1430.6705999999999</v>
      </c>
    </row>
    <row r="400" spans="1:12" x14ac:dyDescent="0.3">
      <c r="A400" s="22" t="s">
        <v>2209</v>
      </c>
      <c r="B400" s="34" cm="1">
        <f t="array" ref="B400:C400">_xlfn.XLOOKUP(A400,Sales_Fact!A400:A2384,Sales_Fact!B400:C2384)</f>
        <v>45863</v>
      </c>
      <c r="C400" s="22" t="str">
        <v>CUST1185</v>
      </c>
      <c r="D400" s="22" t="str">
        <f>VLOOKUP('Combine Products &amp; Sales Facts'!C400,'Customer Details'!A:B,2,0)</f>
        <v>Brent Rivas</v>
      </c>
      <c r="E400" s="22" t="str">
        <f>VLOOKUP(C400,Sales_Fact!C:D,2,0)</f>
        <v>PROD79</v>
      </c>
      <c r="F400" s="22" t="str">
        <f>VLOOKUP(E400,Product_Dim!A:C,3,0)</f>
        <v>Home</v>
      </c>
      <c r="G400" s="22" t="str" cm="1">
        <f t="array" ref="G400:L400">_xlfn.XLOOKUP(C400,Sales_Fact!C400:C2384,Sales_Fact!E400:J2384)</f>
        <v>STORE9</v>
      </c>
      <c r="H400" s="22">
        <v>1</v>
      </c>
      <c r="I400" s="22">
        <v>87.78</v>
      </c>
      <c r="J400" s="22">
        <v>0.06</v>
      </c>
      <c r="K400" s="22" t="str">
        <v>Credit Card</v>
      </c>
      <c r="L400" s="22">
        <v>82.513199999999998</v>
      </c>
    </row>
    <row r="401" spans="1:12" x14ac:dyDescent="0.3">
      <c r="A401" s="22" t="s">
        <v>2210</v>
      </c>
      <c r="B401" s="34" cm="1">
        <f t="array" ref="B401:C401">_xlfn.XLOOKUP(A401,Sales_Fact!A401:A2385,Sales_Fact!B401:C2385)</f>
        <v>45666</v>
      </c>
      <c r="C401" s="22" t="str">
        <v>CUST1006</v>
      </c>
      <c r="D401" s="22" t="str">
        <f>VLOOKUP('Combine Products &amp; Sales Facts'!C401,'Customer Details'!A:B,2,0)</f>
        <v>Amber Jackson</v>
      </c>
      <c r="E401" s="22" t="str">
        <f>VLOOKUP(C401,Sales_Fact!C:D,2,0)</f>
        <v>PROD93</v>
      </c>
      <c r="F401" s="22" t="str">
        <f>VLOOKUP(E401,Product_Dim!A:C,3,0)</f>
        <v>Electronics</v>
      </c>
      <c r="G401" s="22" t="str" cm="1">
        <f t="array" ref="G401:L401">_xlfn.XLOOKUP(C401,Sales_Fact!C401:C2385,Sales_Fact!E401:J2385)</f>
        <v>STORE4</v>
      </c>
      <c r="H401" s="22">
        <v>2</v>
      </c>
      <c r="I401" s="22">
        <v>772.24</v>
      </c>
      <c r="J401" s="22">
        <v>0.22</v>
      </c>
      <c r="K401" s="22" t="str">
        <v>Credit Card</v>
      </c>
      <c r="L401" s="22">
        <v>1204.6944000000001</v>
      </c>
    </row>
    <row r="402" spans="1:12" x14ac:dyDescent="0.3">
      <c r="A402" s="22" t="s">
        <v>2211</v>
      </c>
      <c r="B402" s="34" cm="1">
        <f t="array" ref="B402:C402">_xlfn.XLOOKUP(A402,Sales_Fact!A402:A2386,Sales_Fact!B402:C2386)</f>
        <v>45813</v>
      </c>
      <c r="C402" s="22" t="str">
        <v>CUST1047</v>
      </c>
      <c r="D402" s="22" t="str">
        <f>VLOOKUP('Combine Products &amp; Sales Facts'!C402,'Customer Details'!A:B,2,0)</f>
        <v>Gina Knight</v>
      </c>
      <c r="E402" s="22" t="str">
        <f>VLOOKUP(C402,Sales_Fact!C:D,2,0)</f>
        <v>PROD64</v>
      </c>
      <c r="F402" s="22" t="str">
        <f>VLOOKUP(E402,Product_Dim!A:C,3,0)</f>
        <v>Beauty</v>
      </c>
      <c r="G402" s="22" t="str" cm="1">
        <f t="array" ref="G402:L402">_xlfn.XLOOKUP(C402,Sales_Fact!C402:C2386,Sales_Fact!E402:J2386)</f>
        <v>STORE14</v>
      </c>
      <c r="H402" s="22">
        <v>1</v>
      </c>
      <c r="I402" s="22">
        <v>108.27</v>
      </c>
      <c r="J402" s="22">
        <v>0.1</v>
      </c>
      <c r="K402" s="22" t="str">
        <v>COD</v>
      </c>
      <c r="L402" s="22">
        <v>97.442999999999998</v>
      </c>
    </row>
    <row r="403" spans="1:12" x14ac:dyDescent="0.3">
      <c r="A403" s="22" t="s">
        <v>2212</v>
      </c>
      <c r="B403" s="34" cm="1">
        <f t="array" ref="B403:C403">_xlfn.XLOOKUP(A403,Sales_Fact!A403:A2387,Sales_Fact!B403:C2387)</f>
        <v>45633</v>
      </c>
      <c r="C403" s="22" t="str">
        <v>CUST1347</v>
      </c>
      <c r="D403" s="22" t="str">
        <f>VLOOKUP('Combine Products &amp; Sales Facts'!C403,'Customer Details'!A:B,2,0)</f>
        <v>Justin Mason Dds</v>
      </c>
      <c r="E403" s="22" t="str">
        <f>VLOOKUP(C403,Sales_Fact!C:D,2,0)</f>
        <v>PROD37</v>
      </c>
      <c r="F403" s="22" t="str">
        <f>VLOOKUP(E403,Product_Dim!A:C,3,0)</f>
        <v>Clothing</v>
      </c>
      <c r="G403" s="22" t="str" cm="1">
        <f t="array" ref="G403:L403">_xlfn.XLOOKUP(C403,Sales_Fact!C403:C2387,Sales_Fact!E403:J2387)</f>
        <v>STORE17</v>
      </c>
      <c r="H403" s="22">
        <v>2</v>
      </c>
      <c r="I403" s="22">
        <v>839.24</v>
      </c>
      <c r="J403" s="22">
        <v>0.21</v>
      </c>
      <c r="K403" s="22" t="str">
        <v>PayPal</v>
      </c>
      <c r="L403" s="22">
        <v>1325.9992</v>
      </c>
    </row>
    <row r="404" spans="1:12" x14ac:dyDescent="0.3">
      <c r="A404" s="22" t="s">
        <v>2213</v>
      </c>
      <c r="B404" s="34" cm="1">
        <f t="array" ref="B404:C404">_xlfn.XLOOKUP(A404,Sales_Fact!A404:A2388,Sales_Fact!B404:C2388)</f>
        <v>45331</v>
      </c>
      <c r="C404" s="22" t="str">
        <v>CUST1383</v>
      </c>
      <c r="D404" s="22" t="str">
        <f>VLOOKUP('Combine Products &amp; Sales Facts'!C404,'Customer Details'!A:B,2,0)</f>
        <v>Kristine Higgins</v>
      </c>
      <c r="E404" s="22" t="str">
        <f>VLOOKUP(C404,Sales_Fact!C:D,2,0)</f>
        <v>PROD58</v>
      </c>
      <c r="F404" s="22" t="str">
        <f>VLOOKUP(E404,Product_Dim!A:C,3,0)</f>
        <v>Clothing</v>
      </c>
      <c r="G404" s="22" t="str" cm="1">
        <f t="array" ref="G404:L404">_xlfn.XLOOKUP(C404,Sales_Fact!C404:C2388,Sales_Fact!E404:J2388)</f>
        <v>STORE10</v>
      </c>
      <c r="H404" s="22">
        <v>2</v>
      </c>
      <c r="I404" s="22">
        <v>466.27</v>
      </c>
      <c r="J404" s="22">
        <v>0.11</v>
      </c>
      <c r="K404" s="22" t="str">
        <v>PayPal</v>
      </c>
      <c r="L404" s="22">
        <v>829.9606</v>
      </c>
    </row>
    <row r="405" spans="1:12" x14ac:dyDescent="0.3">
      <c r="A405" s="22" t="s">
        <v>2214</v>
      </c>
      <c r="B405" s="34" cm="1">
        <f t="array" ref="B405:C405">_xlfn.XLOOKUP(A405,Sales_Fact!A405:A2389,Sales_Fact!B405:C2389)</f>
        <v>45942</v>
      </c>
      <c r="C405" s="22" t="str">
        <v>CUST1398</v>
      </c>
      <c r="D405" s="22" t="str">
        <f>VLOOKUP('Combine Products &amp; Sales Facts'!C405,'Customer Details'!A:B,2,0)</f>
        <v>Jennifer Johnson</v>
      </c>
      <c r="E405" s="22" t="str">
        <f>VLOOKUP(C405,Sales_Fact!C:D,2,0)</f>
        <v>PROD75</v>
      </c>
      <c r="F405" s="22" t="str">
        <f>VLOOKUP(E405,Product_Dim!A:C,3,0)</f>
        <v>Clothing</v>
      </c>
      <c r="G405" s="22" t="str" cm="1">
        <f t="array" ref="G405:L405">_xlfn.XLOOKUP(C405,Sales_Fact!C405:C2389,Sales_Fact!E405:J2389)</f>
        <v>STORE14</v>
      </c>
      <c r="H405" s="22">
        <v>3</v>
      </c>
      <c r="I405" s="22">
        <v>969.83</v>
      </c>
      <c r="J405" s="22">
        <v>0.02</v>
      </c>
      <c r="K405" s="22" t="str">
        <v>Credit Card</v>
      </c>
      <c r="L405" s="22">
        <v>2851.3002000000001</v>
      </c>
    </row>
    <row r="406" spans="1:12" x14ac:dyDescent="0.3">
      <c r="A406" s="22" t="s">
        <v>2215</v>
      </c>
      <c r="B406" s="34" cm="1">
        <f t="array" ref="B406:C406">_xlfn.XLOOKUP(A406,Sales_Fact!A406:A2390,Sales_Fact!B406:C2390)</f>
        <v>45824</v>
      </c>
      <c r="C406" s="22" t="str">
        <v>CUST1417</v>
      </c>
      <c r="D406" s="22" t="str">
        <f>VLOOKUP('Combine Products &amp; Sales Facts'!C406,'Customer Details'!A:B,2,0)</f>
        <v>Karen King</v>
      </c>
      <c r="E406" s="22" t="str">
        <f>VLOOKUP(C406,Sales_Fact!C:D,2,0)</f>
        <v>PROD97</v>
      </c>
      <c r="F406" s="22" t="str">
        <f>VLOOKUP(E406,Product_Dim!A:C,3,0)</f>
        <v>Sports</v>
      </c>
      <c r="G406" s="22" t="str" cm="1">
        <f t="array" ref="G406:L406">_xlfn.XLOOKUP(C406,Sales_Fact!C406:C2390,Sales_Fact!E406:J2390)</f>
        <v>STORE19</v>
      </c>
      <c r="H406" s="22">
        <v>2</v>
      </c>
      <c r="I406" s="22">
        <v>782.11</v>
      </c>
      <c r="J406" s="22">
        <v>0.17</v>
      </c>
      <c r="K406" s="22" t="str">
        <v>PayPal</v>
      </c>
      <c r="L406" s="22">
        <v>1298.3026</v>
      </c>
    </row>
    <row r="407" spans="1:12" x14ac:dyDescent="0.3">
      <c r="A407" s="22" t="s">
        <v>2216</v>
      </c>
      <c r="B407" s="34" cm="1">
        <f t="array" ref="B407:C407">_xlfn.XLOOKUP(A407,Sales_Fact!A407:A2391,Sales_Fact!B407:C2391)</f>
        <v>45921</v>
      </c>
      <c r="C407" s="22" t="str">
        <v>CUST1451</v>
      </c>
      <c r="D407" s="22" t="str">
        <f>VLOOKUP('Combine Products &amp; Sales Facts'!C407,'Customer Details'!A:B,2,0)</f>
        <v>Ashley Roberts</v>
      </c>
      <c r="E407" s="22" t="str">
        <f>VLOOKUP(C407,Sales_Fact!C:D,2,0)</f>
        <v>PROD90</v>
      </c>
      <c r="F407" s="22" t="str">
        <f>VLOOKUP(E407,Product_Dim!A:C,3,0)</f>
        <v>Electronics</v>
      </c>
      <c r="G407" s="22" t="str" cm="1">
        <f t="array" ref="G407:L407">_xlfn.XLOOKUP(C407,Sales_Fact!C407:C2391,Sales_Fact!E407:J2391)</f>
        <v>STORE11</v>
      </c>
      <c r="H407" s="22">
        <v>2</v>
      </c>
      <c r="I407" s="22">
        <v>74.63</v>
      </c>
      <c r="J407" s="22">
        <v>0.01</v>
      </c>
      <c r="K407" s="22" t="str">
        <v>PayPal</v>
      </c>
      <c r="L407" s="22">
        <v>147.76740000000001</v>
      </c>
    </row>
    <row r="408" spans="1:12" x14ac:dyDescent="0.3">
      <c r="A408" s="22" t="s">
        <v>2217</v>
      </c>
      <c r="B408" s="34" cm="1">
        <f t="array" ref="B408:C408">_xlfn.XLOOKUP(A408,Sales_Fact!A408:A2392,Sales_Fact!B408:C2392)</f>
        <v>45909</v>
      </c>
      <c r="C408" s="22" t="str">
        <v>CUST1041</v>
      </c>
      <c r="D408" s="22" t="str">
        <f>VLOOKUP('Combine Products &amp; Sales Facts'!C408,'Customer Details'!A:B,2,0)</f>
        <v>James Gibbs</v>
      </c>
      <c r="E408" s="22" t="str">
        <f>VLOOKUP(C408,Sales_Fact!C:D,2,0)</f>
        <v>PROD22</v>
      </c>
      <c r="F408" s="22" t="str">
        <f>VLOOKUP(E408,Product_Dim!A:C,3,0)</f>
        <v>Sports</v>
      </c>
      <c r="G408" s="22" t="str" cm="1">
        <f t="array" ref="G408:L408">_xlfn.XLOOKUP(C408,Sales_Fact!C408:C2392,Sales_Fact!E408:J2392)</f>
        <v>STORE6</v>
      </c>
      <c r="H408" s="22">
        <v>3</v>
      </c>
      <c r="I408" s="22">
        <v>522.78</v>
      </c>
      <c r="J408" s="22">
        <v>0.25</v>
      </c>
      <c r="K408" s="22" t="str">
        <v>PayPal</v>
      </c>
      <c r="L408" s="22">
        <v>1176.2550000000001</v>
      </c>
    </row>
    <row r="409" spans="1:12" x14ac:dyDescent="0.3">
      <c r="A409" s="22" t="s">
        <v>2218</v>
      </c>
      <c r="B409" s="34" cm="1">
        <f t="array" ref="B409:C409">_xlfn.XLOOKUP(A409,Sales_Fact!A409:A2393,Sales_Fact!B409:C2393)</f>
        <v>45853</v>
      </c>
      <c r="C409" s="22" t="str">
        <v>CUST1338</v>
      </c>
      <c r="D409" s="22" t="str">
        <f>VLOOKUP('Combine Products &amp; Sales Facts'!C409,'Customer Details'!A:B,2,0)</f>
        <v>Jasmine Snyder</v>
      </c>
      <c r="E409" s="22" t="str">
        <f>VLOOKUP(C409,Sales_Fact!C:D,2,0)</f>
        <v>PROD86</v>
      </c>
      <c r="F409" s="22" t="str">
        <f>VLOOKUP(E409,Product_Dim!A:C,3,0)</f>
        <v>Home</v>
      </c>
      <c r="G409" s="22" t="str" cm="1">
        <f t="array" ref="G409:L409">_xlfn.XLOOKUP(C409,Sales_Fact!C409:C2393,Sales_Fact!E409:J2393)</f>
        <v>STORE15</v>
      </c>
      <c r="H409" s="22">
        <v>1</v>
      </c>
      <c r="I409" s="22">
        <v>206.45</v>
      </c>
      <c r="J409" s="22">
        <v>0.15</v>
      </c>
      <c r="K409" s="22" t="str">
        <v>PayPal</v>
      </c>
      <c r="L409" s="22">
        <v>175.48249999999999</v>
      </c>
    </row>
    <row r="410" spans="1:12" x14ac:dyDescent="0.3">
      <c r="A410" s="22" t="s">
        <v>2219</v>
      </c>
      <c r="B410" s="34" cm="1">
        <f t="array" ref="B410:C410">_xlfn.XLOOKUP(A410,Sales_Fact!A410:A2394,Sales_Fact!B410:C2394)</f>
        <v>45580</v>
      </c>
      <c r="C410" s="22" t="str">
        <v>CUST1145</v>
      </c>
      <c r="D410" s="22" t="str">
        <f>VLOOKUP('Combine Products &amp; Sales Facts'!C410,'Customer Details'!A:B,2,0)</f>
        <v>Cameron Simpson</v>
      </c>
      <c r="E410" s="22" t="str">
        <f>VLOOKUP(C410,Sales_Fact!C:D,2,0)</f>
        <v>PROD69</v>
      </c>
      <c r="F410" s="22" t="str">
        <f>VLOOKUP(E410,Product_Dim!A:C,3,0)</f>
        <v>Clothing</v>
      </c>
      <c r="G410" s="22" t="str" cm="1">
        <f t="array" ref="G410:L410">_xlfn.XLOOKUP(C410,Sales_Fact!C410:C2394,Sales_Fact!E410:J2394)</f>
        <v>STORE5</v>
      </c>
      <c r="H410" s="22">
        <v>1</v>
      </c>
      <c r="I410" s="22">
        <v>815.53</v>
      </c>
      <c r="J410" s="22">
        <v>0.3</v>
      </c>
      <c r="K410" s="22" t="str">
        <v>PayPal</v>
      </c>
      <c r="L410" s="22">
        <v>570.87099999999998</v>
      </c>
    </row>
    <row r="411" spans="1:12" x14ac:dyDescent="0.3">
      <c r="A411" s="22" t="s">
        <v>2220</v>
      </c>
      <c r="B411" s="34" cm="1">
        <f t="array" ref="B411:C411">_xlfn.XLOOKUP(A411,Sales_Fact!A411:A2395,Sales_Fact!B411:C2395)</f>
        <v>45220</v>
      </c>
      <c r="C411" s="22" t="str">
        <v>CUST1037</v>
      </c>
      <c r="D411" s="22" t="str">
        <f>VLOOKUP('Combine Products &amp; Sales Facts'!C411,'Customer Details'!A:B,2,0)</f>
        <v>Christopher Carter</v>
      </c>
      <c r="E411" s="22" t="str">
        <f>VLOOKUP(C411,Sales_Fact!C:D,2,0)</f>
        <v>PROD45</v>
      </c>
      <c r="F411" s="22" t="str">
        <f>VLOOKUP(E411,Product_Dim!A:C,3,0)</f>
        <v>Sports</v>
      </c>
      <c r="G411" s="22" t="str" cm="1">
        <f t="array" ref="G411:L411">_xlfn.XLOOKUP(C411,Sales_Fact!C411:C2395,Sales_Fact!E411:J2395)</f>
        <v>STORE13</v>
      </c>
      <c r="H411" s="22">
        <v>1</v>
      </c>
      <c r="I411" s="22">
        <v>823.61</v>
      </c>
      <c r="J411" s="22">
        <v>0.28000000000000003</v>
      </c>
      <c r="K411" s="22" t="str">
        <v>COD</v>
      </c>
      <c r="L411" s="22">
        <v>592.99919999999997</v>
      </c>
    </row>
    <row r="412" spans="1:12" x14ac:dyDescent="0.3">
      <c r="A412" s="22" t="s">
        <v>2221</v>
      </c>
      <c r="B412" s="34" cm="1">
        <f t="array" ref="B412:C412">_xlfn.XLOOKUP(A412,Sales_Fact!A412:A2396,Sales_Fact!B412:C2396)</f>
        <v>45807</v>
      </c>
      <c r="C412" s="22" t="str">
        <v>CUST1478</v>
      </c>
      <c r="D412" s="22" t="str">
        <f>VLOOKUP('Combine Products &amp; Sales Facts'!C412,'Customer Details'!A:B,2,0)</f>
        <v>Earl Smith Dds</v>
      </c>
      <c r="E412" s="22" t="str">
        <f>VLOOKUP(C412,Sales_Fact!C:D,2,0)</f>
        <v>PROD39</v>
      </c>
      <c r="F412" s="22" t="str">
        <f>VLOOKUP(E412,Product_Dim!A:C,3,0)</f>
        <v>Electronics</v>
      </c>
      <c r="G412" s="22" t="str" cm="1">
        <f t="array" ref="G412:L412">_xlfn.XLOOKUP(C412,Sales_Fact!C412:C2396,Sales_Fact!E412:J2396)</f>
        <v>STORE9</v>
      </c>
      <c r="H412" s="22">
        <v>2</v>
      </c>
      <c r="I412" s="22">
        <v>209.96</v>
      </c>
      <c r="J412" s="22">
        <v>0</v>
      </c>
      <c r="K412" s="22" t="str">
        <v>Credit Card</v>
      </c>
      <c r="L412" s="22">
        <v>419.92</v>
      </c>
    </row>
    <row r="413" spans="1:12" x14ac:dyDescent="0.3">
      <c r="A413" s="22" t="s">
        <v>2222</v>
      </c>
      <c r="B413" s="34" cm="1">
        <f t="array" ref="B413:C413">_xlfn.XLOOKUP(A413,Sales_Fact!A413:A2397,Sales_Fact!B413:C2397)</f>
        <v>45462</v>
      </c>
      <c r="C413" s="22" t="str">
        <v>CUST1175</v>
      </c>
      <c r="D413" s="22" t="str">
        <f>VLOOKUP('Combine Products &amp; Sales Facts'!C413,'Customer Details'!A:B,2,0)</f>
        <v>Michelle Rogers</v>
      </c>
      <c r="E413" s="22" t="str">
        <f>VLOOKUP(C413,Sales_Fact!C:D,2,0)</f>
        <v>PROD49</v>
      </c>
      <c r="F413" s="22" t="str">
        <f>VLOOKUP(E413,Product_Dim!A:C,3,0)</f>
        <v>Beauty</v>
      </c>
      <c r="G413" s="22" t="str" cm="1">
        <f t="array" ref="G413:L413">_xlfn.XLOOKUP(C413,Sales_Fact!C413:C2397,Sales_Fact!E413:J2397)</f>
        <v>STORE16</v>
      </c>
      <c r="H413" s="22">
        <v>4</v>
      </c>
      <c r="I413" s="22">
        <v>897.93</v>
      </c>
      <c r="J413" s="22">
        <v>0.05</v>
      </c>
      <c r="K413" s="22" t="str">
        <v>COD</v>
      </c>
      <c r="L413" s="22">
        <v>3412.134</v>
      </c>
    </row>
    <row r="414" spans="1:12" x14ac:dyDescent="0.3">
      <c r="A414" s="22" t="s">
        <v>2223</v>
      </c>
      <c r="B414" s="34" cm="1">
        <f t="array" ref="B414:C414">_xlfn.XLOOKUP(A414,Sales_Fact!A414:A2398,Sales_Fact!B414:C2398)</f>
        <v>45646</v>
      </c>
      <c r="C414" s="22" t="str">
        <v>CUST1181</v>
      </c>
      <c r="D414" s="22" t="str">
        <f>VLOOKUP('Combine Products &amp; Sales Facts'!C414,'Customer Details'!A:B,2,0)</f>
        <v>Erin Ward</v>
      </c>
      <c r="E414" s="22" t="str">
        <f>VLOOKUP(C414,Sales_Fact!C:D,2,0)</f>
        <v>PROD63</v>
      </c>
      <c r="F414" s="22" t="str">
        <f>VLOOKUP(E414,Product_Dim!A:C,3,0)</f>
        <v>Beauty</v>
      </c>
      <c r="G414" s="22" t="str" cm="1">
        <f t="array" ref="G414:L414">_xlfn.XLOOKUP(C414,Sales_Fact!C414:C2398,Sales_Fact!E414:J2398)</f>
        <v>STORE0</v>
      </c>
      <c r="H414" s="22">
        <v>4</v>
      </c>
      <c r="I414" s="22">
        <v>925.95</v>
      </c>
      <c r="J414" s="22">
        <v>0.16</v>
      </c>
      <c r="K414" s="22" t="str">
        <v>COD</v>
      </c>
      <c r="L414" s="22">
        <v>3111.192</v>
      </c>
    </row>
    <row r="415" spans="1:12" x14ac:dyDescent="0.3">
      <c r="A415" s="22" t="s">
        <v>2224</v>
      </c>
      <c r="B415" s="34" cm="1">
        <f t="array" ref="B415:C415">_xlfn.XLOOKUP(A415,Sales_Fact!A415:A2399,Sales_Fact!B415:C2399)</f>
        <v>45520</v>
      </c>
      <c r="C415" s="22" t="str">
        <v>CUST1084</v>
      </c>
      <c r="D415" s="22" t="str">
        <f>VLOOKUP('Combine Products &amp; Sales Facts'!C415,'Customer Details'!A:B,2,0)</f>
        <v>Christy Hoffman</v>
      </c>
      <c r="E415" s="22" t="str">
        <f>VLOOKUP(C415,Sales_Fact!C:D,2,0)</f>
        <v>PROD25</v>
      </c>
      <c r="F415" s="22" t="str">
        <f>VLOOKUP(E415,Product_Dim!A:C,3,0)</f>
        <v>Clothing</v>
      </c>
      <c r="G415" s="22" t="str" cm="1">
        <f t="array" ref="G415:L415">_xlfn.XLOOKUP(C415,Sales_Fact!C415:C2399,Sales_Fact!E415:J2399)</f>
        <v>STORE6</v>
      </c>
      <c r="H415" s="22">
        <v>2</v>
      </c>
      <c r="I415" s="22">
        <v>573.09</v>
      </c>
      <c r="J415" s="22">
        <v>0.03</v>
      </c>
      <c r="K415" s="22" t="str">
        <v>COD</v>
      </c>
      <c r="L415" s="22">
        <v>1111.7945999999999</v>
      </c>
    </row>
    <row r="416" spans="1:12" x14ac:dyDescent="0.3">
      <c r="A416" s="22" t="s">
        <v>2225</v>
      </c>
      <c r="B416" s="34" cm="1">
        <f t="array" ref="B416:C416">_xlfn.XLOOKUP(A416,Sales_Fact!A416:A2400,Sales_Fact!B416:C2400)</f>
        <v>45731</v>
      </c>
      <c r="C416" s="22" t="str">
        <v>CUST1183</v>
      </c>
      <c r="D416" s="22" t="str">
        <f>VLOOKUP('Combine Products &amp; Sales Facts'!C416,'Customer Details'!A:B,2,0)</f>
        <v>Mario Jacobs</v>
      </c>
      <c r="E416" s="22" t="str">
        <f>VLOOKUP(C416,Sales_Fact!C:D,2,0)</f>
        <v>PROD38</v>
      </c>
      <c r="F416" s="22" t="str">
        <f>VLOOKUP(E416,Product_Dim!A:C,3,0)</f>
        <v>Sports</v>
      </c>
      <c r="G416" s="22" t="str" cm="1">
        <f t="array" ref="G416:L416">_xlfn.XLOOKUP(C416,Sales_Fact!C416:C2400,Sales_Fact!E416:J2400)</f>
        <v>STORE4</v>
      </c>
      <c r="H416" s="22">
        <v>4</v>
      </c>
      <c r="I416" s="22">
        <v>149.83000000000001</v>
      </c>
      <c r="J416" s="22">
        <v>0.02</v>
      </c>
      <c r="K416" s="22" t="str">
        <v>Credit Card</v>
      </c>
      <c r="L416" s="22">
        <v>587.33360000000005</v>
      </c>
    </row>
    <row r="417" spans="1:12" x14ac:dyDescent="0.3">
      <c r="A417" s="22" t="s">
        <v>2226</v>
      </c>
      <c r="B417" s="34" cm="1">
        <f t="array" ref="B417:C417">_xlfn.XLOOKUP(A417,Sales_Fact!A417:A2401,Sales_Fact!B417:C2401)</f>
        <v>45445</v>
      </c>
      <c r="C417" s="22" t="str">
        <v>CUST1001</v>
      </c>
      <c r="D417" s="22" t="str">
        <f>VLOOKUP('Combine Products &amp; Sales Facts'!C417,'Customer Details'!A:B,2,0)</f>
        <v>Eugene Nelson</v>
      </c>
      <c r="E417" s="22" t="str">
        <f>VLOOKUP(C417,Sales_Fact!C:D,2,0)</f>
        <v>PROD51</v>
      </c>
      <c r="F417" s="22" t="str">
        <f>VLOOKUP(E417,Product_Dim!A:C,3,0)</f>
        <v>Electronics</v>
      </c>
      <c r="G417" s="22" t="str" cm="1">
        <f t="array" ref="G417:L417">_xlfn.XLOOKUP(C417,Sales_Fact!C417:C2401,Sales_Fact!E417:J2401)</f>
        <v>STORE14</v>
      </c>
      <c r="H417" s="22">
        <v>3</v>
      </c>
      <c r="I417" s="22">
        <v>287.70999999999998</v>
      </c>
      <c r="J417" s="22">
        <v>0.03</v>
      </c>
      <c r="K417" s="22" t="str">
        <v>COD</v>
      </c>
      <c r="L417" s="22">
        <v>837.23609999999985</v>
      </c>
    </row>
    <row r="418" spans="1:12" x14ac:dyDescent="0.3">
      <c r="A418" s="22" t="s">
        <v>2227</v>
      </c>
      <c r="B418" s="34" cm="1">
        <f t="array" ref="B418:C418">_xlfn.XLOOKUP(A418,Sales_Fact!A418:A2402,Sales_Fact!B418:C2402)</f>
        <v>45860</v>
      </c>
      <c r="C418" s="22" t="str">
        <v>CUST1094</v>
      </c>
      <c r="D418" s="22" t="str">
        <f>VLOOKUP('Combine Products &amp; Sales Facts'!C418,'Customer Details'!A:B,2,0)</f>
        <v>David Patterson</v>
      </c>
      <c r="E418" s="22" t="str">
        <f>VLOOKUP(C418,Sales_Fact!C:D,2,0)</f>
        <v>PROD39</v>
      </c>
      <c r="F418" s="22" t="str">
        <f>VLOOKUP(E418,Product_Dim!A:C,3,0)</f>
        <v>Electronics</v>
      </c>
      <c r="G418" s="22" t="str" cm="1">
        <f t="array" ref="G418:L418">_xlfn.XLOOKUP(C418,Sales_Fact!C418:C2402,Sales_Fact!E418:J2402)</f>
        <v>STORE6</v>
      </c>
      <c r="H418" s="22">
        <v>2</v>
      </c>
      <c r="I418" s="22">
        <v>849.8</v>
      </c>
      <c r="J418" s="22">
        <v>0.06</v>
      </c>
      <c r="K418" s="22" t="str">
        <v>COD</v>
      </c>
      <c r="L418" s="22">
        <v>1597.624</v>
      </c>
    </row>
    <row r="419" spans="1:12" x14ac:dyDescent="0.3">
      <c r="A419" s="22" t="s">
        <v>2228</v>
      </c>
      <c r="B419" s="34" cm="1">
        <f t="array" ref="B419:C419">_xlfn.XLOOKUP(A419,Sales_Fact!A419:A2403,Sales_Fact!B419:C2403)</f>
        <v>45725</v>
      </c>
      <c r="C419" s="22" t="str">
        <v>CUST1016</v>
      </c>
      <c r="D419" s="22" t="str">
        <f>VLOOKUP('Combine Products &amp; Sales Facts'!C419,'Customer Details'!A:B,2,0)</f>
        <v>John Scott</v>
      </c>
      <c r="E419" s="22" t="str">
        <f>VLOOKUP(C419,Sales_Fact!C:D,2,0)</f>
        <v>PROD56</v>
      </c>
      <c r="F419" s="22" t="str">
        <f>VLOOKUP(E419,Product_Dim!A:C,3,0)</f>
        <v>Home</v>
      </c>
      <c r="G419" s="22" t="str" cm="1">
        <f t="array" ref="G419:L419">_xlfn.XLOOKUP(C419,Sales_Fact!C419:C2403,Sales_Fact!E419:J2403)</f>
        <v>STORE3</v>
      </c>
      <c r="H419" s="22">
        <v>3</v>
      </c>
      <c r="I419" s="22">
        <v>482.58</v>
      </c>
      <c r="J419" s="22">
        <v>0.28000000000000003</v>
      </c>
      <c r="K419" s="22" t="str">
        <v>PayPal</v>
      </c>
      <c r="L419" s="22">
        <v>1042.3728000000001</v>
      </c>
    </row>
    <row r="420" spans="1:12" x14ac:dyDescent="0.3">
      <c r="A420" s="22" t="s">
        <v>2229</v>
      </c>
      <c r="B420" s="34" cm="1">
        <f t="array" ref="B420:C420">_xlfn.XLOOKUP(A420,Sales_Fact!A420:A2404,Sales_Fact!B420:C2404)</f>
        <v>45699</v>
      </c>
      <c r="C420" s="22" t="str">
        <v>CUST1114</v>
      </c>
      <c r="D420" s="22" t="str">
        <f>VLOOKUP('Combine Products &amp; Sales Facts'!C420,'Customer Details'!A:B,2,0)</f>
        <v>Ryan Hernandez</v>
      </c>
      <c r="E420" s="22" t="str">
        <f>VLOOKUP(C420,Sales_Fact!C:D,2,0)</f>
        <v>PROD59</v>
      </c>
      <c r="F420" s="22" t="str">
        <f>VLOOKUP(E420,Product_Dim!A:C,3,0)</f>
        <v>Beauty</v>
      </c>
      <c r="G420" s="22" t="str" cm="1">
        <f t="array" ref="G420:L420">_xlfn.XLOOKUP(C420,Sales_Fact!C420:C2404,Sales_Fact!E420:J2404)</f>
        <v>STORE2</v>
      </c>
      <c r="H420" s="22">
        <v>2</v>
      </c>
      <c r="I420" s="22">
        <v>64.7</v>
      </c>
      <c r="J420" s="22">
        <v>0</v>
      </c>
      <c r="K420" s="22" t="str">
        <v>Credit Card</v>
      </c>
      <c r="L420" s="22">
        <v>129.4</v>
      </c>
    </row>
    <row r="421" spans="1:12" x14ac:dyDescent="0.3">
      <c r="A421" s="22" t="s">
        <v>2230</v>
      </c>
      <c r="B421" s="34" cm="1">
        <f t="array" ref="B421:C421">_xlfn.XLOOKUP(A421,Sales_Fact!A421:A2405,Sales_Fact!B421:C2405)</f>
        <v>45266</v>
      </c>
      <c r="C421" s="22" t="str">
        <v>CUST1148</v>
      </c>
      <c r="D421" s="22" t="str">
        <f>VLOOKUP('Combine Products &amp; Sales Facts'!C421,'Customer Details'!A:B,2,0)</f>
        <v>Theresa Campbell</v>
      </c>
      <c r="E421" s="22" t="str">
        <f>VLOOKUP(C421,Sales_Fact!C:D,2,0)</f>
        <v>PROD13</v>
      </c>
      <c r="F421" s="22" t="str">
        <f>VLOOKUP(E421,Product_Dim!A:C,3,0)</f>
        <v>Electronics</v>
      </c>
      <c r="G421" s="22" t="str" cm="1">
        <f t="array" ref="G421:L421">_xlfn.XLOOKUP(C421,Sales_Fact!C421:C2405,Sales_Fact!E421:J2405)</f>
        <v>STORE5</v>
      </c>
      <c r="H421" s="22">
        <v>3</v>
      </c>
      <c r="I421" s="22">
        <v>589.83000000000004</v>
      </c>
      <c r="J421" s="22">
        <v>0.26</v>
      </c>
      <c r="K421" s="22" t="str">
        <v>Credit Card</v>
      </c>
      <c r="L421" s="22">
        <v>1309.4226000000001</v>
      </c>
    </row>
    <row r="422" spans="1:12" x14ac:dyDescent="0.3">
      <c r="A422" s="22" t="s">
        <v>2231</v>
      </c>
      <c r="B422" s="34" cm="1">
        <f t="array" ref="B422:C422">_xlfn.XLOOKUP(A422,Sales_Fact!A422:A2406,Sales_Fact!B422:C2406)</f>
        <v>45889</v>
      </c>
      <c r="C422" s="22" t="str">
        <v>CUST1288</v>
      </c>
      <c r="D422" s="22" t="str">
        <f>VLOOKUP('Combine Products &amp; Sales Facts'!C422,'Customer Details'!A:B,2,0)</f>
        <v>Misty Ferguson</v>
      </c>
      <c r="E422" s="22" t="str">
        <f>VLOOKUP(C422,Sales_Fact!C:D,2,0)</f>
        <v>PROD3</v>
      </c>
      <c r="F422" s="22" t="str">
        <f>VLOOKUP(E422,Product_Dim!A:C,3,0)</f>
        <v>Clothing</v>
      </c>
      <c r="G422" s="22" t="str" cm="1">
        <f t="array" ref="G422:L422">_xlfn.XLOOKUP(C422,Sales_Fact!C422:C2406,Sales_Fact!E422:J2406)</f>
        <v>STORE9</v>
      </c>
      <c r="H422" s="22">
        <v>4</v>
      </c>
      <c r="I422" s="22">
        <v>758.49</v>
      </c>
      <c r="J422" s="22">
        <v>0.16</v>
      </c>
      <c r="K422" s="22" t="str">
        <v>COD</v>
      </c>
      <c r="L422" s="22">
        <v>2548.5264000000002</v>
      </c>
    </row>
    <row r="423" spans="1:12" x14ac:dyDescent="0.3">
      <c r="A423" s="22" t="s">
        <v>2232</v>
      </c>
      <c r="B423" s="34" cm="1">
        <f t="array" ref="B423:C423">_xlfn.XLOOKUP(A423,Sales_Fact!A423:A2407,Sales_Fact!B423:C2407)</f>
        <v>45555</v>
      </c>
      <c r="C423" s="22" t="str">
        <v>CUST1053</v>
      </c>
      <c r="D423" s="22" t="str">
        <f>VLOOKUP('Combine Products &amp; Sales Facts'!C423,'Customer Details'!A:B,2,0)</f>
        <v>Sharon Brown</v>
      </c>
      <c r="E423" s="22" t="str">
        <f>VLOOKUP(C423,Sales_Fact!C:D,2,0)</f>
        <v>PROD37</v>
      </c>
      <c r="F423" s="22" t="str">
        <f>VLOOKUP(E423,Product_Dim!A:C,3,0)</f>
        <v>Clothing</v>
      </c>
      <c r="G423" s="22" t="str" cm="1">
        <f t="array" ref="G423:L423">_xlfn.XLOOKUP(C423,Sales_Fact!C423:C2407,Sales_Fact!E423:J2407)</f>
        <v>STORE12</v>
      </c>
      <c r="H423" s="22">
        <v>4</v>
      </c>
      <c r="I423" s="22">
        <v>747.56</v>
      </c>
      <c r="J423" s="22">
        <v>0.09</v>
      </c>
      <c r="K423" s="22" t="str">
        <v>COD</v>
      </c>
      <c r="L423" s="22">
        <v>2721.1183999999998</v>
      </c>
    </row>
    <row r="424" spans="1:12" x14ac:dyDescent="0.3">
      <c r="A424" s="22" t="s">
        <v>2233</v>
      </c>
      <c r="B424" s="34" cm="1">
        <f t="array" ref="B424:C424">_xlfn.XLOOKUP(A424,Sales_Fact!A424:A2408,Sales_Fact!B424:C2408)</f>
        <v>45813</v>
      </c>
      <c r="C424" s="22" t="str">
        <v>CUST1253</v>
      </c>
      <c r="D424" s="22" t="str">
        <f>VLOOKUP('Combine Products &amp; Sales Facts'!C424,'Customer Details'!A:B,2,0)</f>
        <v>Dr. Ashley Yates Md</v>
      </c>
      <c r="E424" s="22" t="str">
        <f>VLOOKUP(C424,Sales_Fact!C:D,2,0)</f>
        <v>PROD71</v>
      </c>
      <c r="F424" s="22" t="str">
        <f>VLOOKUP(E424,Product_Dim!A:C,3,0)</f>
        <v>Beauty</v>
      </c>
      <c r="G424" s="22" t="str" cm="1">
        <f t="array" ref="G424:L424">_xlfn.XLOOKUP(C424,Sales_Fact!C424:C2408,Sales_Fact!E424:J2408)</f>
        <v>STORE17</v>
      </c>
      <c r="H424" s="22">
        <v>3</v>
      </c>
      <c r="I424" s="22">
        <v>551.22</v>
      </c>
      <c r="J424" s="22">
        <v>0.12</v>
      </c>
      <c r="K424" s="22" t="str">
        <v>PayPal</v>
      </c>
      <c r="L424" s="22">
        <v>1455.2208000000001</v>
      </c>
    </row>
    <row r="425" spans="1:12" x14ac:dyDescent="0.3">
      <c r="A425" s="22" t="s">
        <v>2234</v>
      </c>
      <c r="B425" s="34" cm="1">
        <f t="array" ref="B425:C425">_xlfn.XLOOKUP(A425,Sales_Fact!A425:A2409,Sales_Fact!B425:C2409)</f>
        <v>45811</v>
      </c>
      <c r="C425" s="22" t="str">
        <v>CUST1159</v>
      </c>
      <c r="D425" s="22" t="str">
        <f>VLOOKUP('Combine Products &amp; Sales Facts'!C425,'Customer Details'!A:B,2,0)</f>
        <v>Brian Choi</v>
      </c>
      <c r="E425" s="22" t="str">
        <f>VLOOKUP(C425,Sales_Fact!C:D,2,0)</f>
        <v>PROD69</v>
      </c>
      <c r="F425" s="22" t="str">
        <f>VLOOKUP(E425,Product_Dim!A:C,3,0)</f>
        <v>Clothing</v>
      </c>
      <c r="G425" s="22" t="str" cm="1">
        <f t="array" ref="G425:L425">_xlfn.XLOOKUP(C425,Sales_Fact!C425:C2409,Sales_Fact!E425:J2409)</f>
        <v>STORE14</v>
      </c>
      <c r="H425" s="22">
        <v>2</v>
      </c>
      <c r="I425" s="22">
        <v>527.05999999999995</v>
      </c>
      <c r="J425" s="22">
        <v>0.17</v>
      </c>
      <c r="K425" s="22" t="str">
        <v>PayPal</v>
      </c>
      <c r="L425" s="22">
        <v>874.91959999999983</v>
      </c>
    </row>
    <row r="426" spans="1:12" x14ac:dyDescent="0.3">
      <c r="A426" s="22" t="s">
        <v>2235</v>
      </c>
      <c r="B426" s="34" cm="1">
        <f t="array" ref="B426:C426">_xlfn.XLOOKUP(A426,Sales_Fact!A426:A2410,Sales_Fact!B426:C2410)</f>
        <v>45670</v>
      </c>
      <c r="C426" s="22" t="str">
        <v>CUST1098</v>
      </c>
      <c r="D426" s="22" t="str">
        <f>VLOOKUP('Combine Products &amp; Sales Facts'!C426,'Customer Details'!A:B,2,0)</f>
        <v>Brittney Morgan</v>
      </c>
      <c r="E426" s="22" t="str">
        <f>VLOOKUP(C426,Sales_Fact!C:D,2,0)</f>
        <v>PROD62</v>
      </c>
      <c r="F426" s="22" t="str">
        <f>VLOOKUP(E426,Product_Dim!A:C,3,0)</f>
        <v>Electronics</v>
      </c>
      <c r="G426" s="22" t="str" cm="1">
        <f t="array" ref="G426:L426">_xlfn.XLOOKUP(C426,Sales_Fact!C426:C2410,Sales_Fact!E426:J2410)</f>
        <v>STORE5</v>
      </c>
      <c r="H426" s="22">
        <v>4</v>
      </c>
      <c r="I426" s="22">
        <v>875.41</v>
      </c>
      <c r="J426" s="22">
        <v>0.27</v>
      </c>
      <c r="K426" s="22" t="str">
        <v>Credit Card</v>
      </c>
      <c r="L426" s="22">
        <v>2556.1972000000001</v>
      </c>
    </row>
    <row r="427" spans="1:12" x14ac:dyDescent="0.3">
      <c r="A427" s="22" t="s">
        <v>2236</v>
      </c>
      <c r="B427" s="34" cm="1">
        <f t="array" ref="B427:C427">_xlfn.XLOOKUP(A427,Sales_Fact!A427:A2411,Sales_Fact!B427:C2411)</f>
        <v>45736</v>
      </c>
      <c r="C427" s="22" t="str">
        <v>CUST1007</v>
      </c>
      <c r="D427" s="22" t="str">
        <f>VLOOKUP('Combine Products &amp; Sales Facts'!C427,'Customer Details'!A:B,2,0)</f>
        <v>Daniel Boyd</v>
      </c>
      <c r="E427" s="22" t="str">
        <f>VLOOKUP(C427,Sales_Fact!C:D,2,0)</f>
        <v>PROD67</v>
      </c>
      <c r="F427" s="22" t="str">
        <f>VLOOKUP(E427,Product_Dim!A:C,3,0)</f>
        <v>Electronics</v>
      </c>
      <c r="G427" s="22" t="str" cm="1">
        <f t="array" ref="G427:L427">_xlfn.XLOOKUP(C427,Sales_Fact!C427:C2411,Sales_Fact!E427:J2411)</f>
        <v>STORE0</v>
      </c>
      <c r="H427" s="22">
        <v>2</v>
      </c>
      <c r="I427" s="22">
        <v>226.43</v>
      </c>
      <c r="J427" s="22">
        <v>0.03</v>
      </c>
      <c r="K427" s="22" t="str">
        <v>Credit Card</v>
      </c>
      <c r="L427" s="22">
        <v>439.27420000000001</v>
      </c>
    </row>
    <row r="428" spans="1:12" x14ac:dyDescent="0.3">
      <c r="A428" s="22" t="s">
        <v>2237</v>
      </c>
      <c r="B428" s="34" cm="1">
        <f t="array" ref="B428:C428">_xlfn.XLOOKUP(A428,Sales_Fact!A428:A2412,Sales_Fact!B428:C2412)</f>
        <v>45480</v>
      </c>
      <c r="C428" s="22" t="str">
        <v>CUST1035</v>
      </c>
      <c r="D428" s="22" t="str">
        <f>VLOOKUP('Combine Products &amp; Sales Facts'!C428,'Customer Details'!A:B,2,0)</f>
        <v>Rachel Myers</v>
      </c>
      <c r="E428" s="22" t="str">
        <f>VLOOKUP(C428,Sales_Fact!C:D,2,0)</f>
        <v>PROD97</v>
      </c>
      <c r="F428" s="22" t="str">
        <f>VLOOKUP(E428,Product_Dim!A:C,3,0)</f>
        <v>Sports</v>
      </c>
      <c r="G428" s="22" t="str" cm="1">
        <f t="array" ref="G428:L428">_xlfn.XLOOKUP(C428,Sales_Fact!C428:C2412,Sales_Fact!E428:J2412)</f>
        <v>STORE5</v>
      </c>
      <c r="H428" s="22">
        <v>2</v>
      </c>
      <c r="I428" s="22">
        <v>285.39</v>
      </c>
      <c r="J428" s="22">
        <v>0.1</v>
      </c>
      <c r="K428" s="22" t="str">
        <v>Credit Card</v>
      </c>
      <c r="L428" s="22">
        <v>513.702</v>
      </c>
    </row>
    <row r="429" spans="1:12" x14ac:dyDescent="0.3">
      <c r="A429" s="22" t="s">
        <v>2238</v>
      </c>
      <c r="B429" s="34" cm="1">
        <f t="array" ref="B429:C429">_xlfn.XLOOKUP(A429,Sales_Fact!A429:A2413,Sales_Fact!B429:C2413)</f>
        <v>45929</v>
      </c>
      <c r="C429" s="22" t="str">
        <v>CUST1334</v>
      </c>
      <c r="D429" s="22" t="str">
        <f>VLOOKUP('Combine Products &amp; Sales Facts'!C429,'Customer Details'!A:B,2,0)</f>
        <v>Mr. Christopher Sims</v>
      </c>
      <c r="E429" s="22" t="str">
        <f>VLOOKUP(C429,Sales_Fact!C:D,2,0)</f>
        <v>PROD71</v>
      </c>
      <c r="F429" s="22" t="str">
        <f>VLOOKUP(E429,Product_Dim!A:C,3,0)</f>
        <v>Beauty</v>
      </c>
      <c r="G429" s="22" t="str" cm="1">
        <f t="array" ref="G429:L429">_xlfn.XLOOKUP(C429,Sales_Fact!C429:C2413,Sales_Fact!E429:J2413)</f>
        <v>STORE15</v>
      </c>
      <c r="H429" s="22">
        <v>2</v>
      </c>
      <c r="I429" s="22">
        <v>298.01</v>
      </c>
      <c r="J429" s="22">
        <v>0.05</v>
      </c>
      <c r="K429" s="22" t="str">
        <v>Credit Card</v>
      </c>
      <c r="L429" s="22">
        <v>566.21899999999994</v>
      </c>
    </row>
    <row r="430" spans="1:12" x14ac:dyDescent="0.3">
      <c r="A430" s="22" t="s">
        <v>2239</v>
      </c>
      <c r="B430" s="34" cm="1">
        <f t="array" ref="B430:C430">_xlfn.XLOOKUP(A430,Sales_Fact!A430:A2414,Sales_Fact!B430:C2414)</f>
        <v>45626</v>
      </c>
      <c r="C430" s="22" t="str">
        <v>CUST1159</v>
      </c>
      <c r="D430" s="22" t="str">
        <f>VLOOKUP('Combine Products &amp; Sales Facts'!C430,'Customer Details'!A:B,2,0)</f>
        <v>Brian Choi</v>
      </c>
      <c r="E430" s="22" t="str">
        <f>VLOOKUP(C430,Sales_Fact!C:D,2,0)</f>
        <v>PROD69</v>
      </c>
      <c r="F430" s="22" t="str">
        <f>VLOOKUP(E430,Product_Dim!A:C,3,0)</f>
        <v>Clothing</v>
      </c>
      <c r="G430" s="22" t="str" cm="1">
        <f t="array" ref="G430:L430">_xlfn.XLOOKUP(C430,Sales_Fact!C430:C2414,Sales_Fact!E430:J2414)</f>
        <v>STORE4</v>
      </c>
      <c r="H430" s="22">
        <v>4</v>
      </c>
      <c r="I430" s="22">
        <v>753.49</v>
      </c>
      <c r="J430" s="22">
        <v>0.26</v>
      </c>
      <c r="K430" s="22" t="str">
        <v>COD</v>
      </c>
      <c r="L430" s="22">
        <v>2230.3303999999998</v>
      </c>
    </row>
    <row r="431" spans="1:12" x14ac:dyDescent="0.3">
      <c r="A431" s="22" t="s">
        <v>2240</v>
      </c>
      <c r="B431" s="34" cm="1">
        <f t="array" ref="B431:C431">_xlfn.XLOOKUP(A431,Sales_Fact!A431:A2415,Sales_Fact!B431:C2415)</f>
        <v>45460</v>
      </c>
      <c r="C431" s="22" t="str">
        <v>CUST1488</v>
      </c>
      <c r="D431" s="22" t="str">
        <f>VLOOKUP('Combine Products &amp; Sales Facts'!C431,'Customer Details'!A:B,2,0)</f>
        <v>Zachary Andrade</v>
      </c>
      <c r="E431" s="22" t="str">
        <f>VLOOKUP(C431,Sales_Fact!C:D,2,0)</f>
        <v>PROD78</v>
      </c>
      <c r="F431" s="22" t="str">
        <f>VLOOKUP(E431,Product_Dim!A:C,3,0)</f>
        <v>Home</v>
      </c>
      <c r="G431" s="22" t="str" cm="1">
        <f t="array" ref="G431:L431">_xlfn.XLOOKUP(C431,Sales_Fact!C431:C2415,Sales_Fact!E431:J2415)</f>
        <v>STORE12</v>
      </c>
      <c r="H431" s="22">
        <v>2</v>
      </c>
      <c r="I431" s="22">
        <v>130.38999999999999</v>
      </c>
      <c r="J431" s="22">
        <v>0.17</v>
      </c>
      <c r="K431" s="22" t="str">
        <v>PayPal</v>
      </c>
      <c r="L431" s="22">
        <v>216.44739999999999</v>
      </c>
    </row>
    <row r="432" spans="1:12" x14ac:dyDescent="0.3">
      <c r="A432" s="22" t="s">
        <v>2241</v>
      </c>
      <c r="B432" s="34" cm="1">
        <f t="array" ref="B432:C432">_xlfn.XLOOKUP(A432,Sales_Fact!A432:A2416,Sales_Fact!B432:C2416)</f>
        <v>45709</v>
      </c>
      <c r="C432" s="22" t="str">
        <v>CUST1345</v>
      </c>
      <c r="D432" s="22" t="str">
        <f>VLOOKUP('Combine Products &amp; Sales Facts'!C432,'Customer Details'!A:B,2,0)</f>
        <v>Daniel Nelson</v>
      </c>
      <c r="E432" s="22" t="str">
        <f>VLOOKUP(C432,Sales_Fact!C:D,2,0)</f>
        <v>PROD22</v>
      </c>
      <c r="F432" s="22" t="str">
        <f>VLOOKUP(E432,Product_Dim!A:C,3,0)</f>
        <v>Sports</v>
      </c>
      <c r="G432" s="22" t="str" cm="1">
        <f t="array" ref="G432:L432">_xlfn.XLOOKUP(C432,Sales_Fact!C432:C2416,Sales_Fact!E432:J2416)</f>
        <v>STORE9</v>
      </c>
      <c r="H432" s="22">
        <v>4</v>
      </c>
      <c r="I432" s="22">
        <v>164.02</v>
      </c>
      <c r="J432" s="22">
        <v>0.01</v>
      </c>
      <c r="K432" s="22" t="str">
        <v>PayPal</v>
      </c>
      <c r="L432" s="22">
        <v>649.51920000000007</v>
      </c>
    </row>
    <row r="433" spans="1:12" x14ac:dyDescent="0.3">
      <c r="A433" s="22" t="s">
        <v>2242</v>
      </c>
      <c r="B433" s="34" cm="1">
        <f t="array" ref="B433:C433">_xlfn.XLOOKUP(A433,Sales_Fact!A433:A2417,Sales_Fact!B433:C2417)</f>
        <v>45551</v>
      </c>
      <c r="C433" s="22" t="str">
        <v>CUST1164</v>
      </c>
      <c r="D433" s="22" t="str">
        <f>VLOOKUP('Combine Products &amp; Sales Facts'!C433,'Customer Details'!A:B,2,0)</f>
        <v>Daniel Rivas</v>
      </c>
      <c r="E433" s="22" t="str">
        <f>VLOOKUP(C433,Sales_Fact!C:D,2,0)</f>
        <v>PROD48</v>
      </c>
      <c r="F433" s="22" t="str">
        <f>VLOOKUP(E433,Product_Dim!A:C,3,0)</f>
        <v>Electronics</v>
      </c>
      <c r="G433" s="22" t="str" cm="1">
        <f t="array" ref="G433:L433">_xlfn.XLOOKUP(C433,Sales_Fact!C433:C2417,Sales_Fact!E433:J2417)</f>
        <v>STORE4</v>
      </c>
      <c r="H433" s="22">
        <v>2</v>
      </c>
      <c r="I433" s="22">
        <v>527.51</v>
      </c>
      <c r="J433" s="22">
        <v>0.18</v>
      </c>
      <c r="K433" s="22" t="str">
        <v>PayPal</v>
      </c>
      <c r="L433" s="22">
        <v>865.1164</v>
      </c>
    </row>
    <row r="434" spans="1:12" x14ac:dyDescent="0.3">
      <c r="A434" s="22" t="s">
        <v>2243</v>
      </c>
      <c r="B434" s="34" cm="1">
        <f t="array" ref="B434:C434">_xlfn.XLOOKUP(A434,Sales_Fact!A434:A2418,Sales_Fact!B434:C2418)</f>
        <v>45939</v>
      </c>
      <c r="C434" s="22" t="str">
        <v>CUST1253</v>
      </c>
      <c r="D434" s="22" t="str">
        <f>VLOOKUP('Combine Products &amp; Sales Facts'!C434,'Customer Details'!A:B,2,0)</f>
        <v>Dr. Ashley Yates Md</v>
      </c>
      <c r="E434" s="22" t="str">
        <f>VLOOKUP(C434,Sales_Fact!C:D,2,0)</f>
        <v>PROD71</v>
      </c>
      <c r="F434" s="22" t="str">
        <f>VLOOKUP(E434,Product_Dim!A:C,3,0)</f>
        <v>Beauty</v>
      </c>
      <c r="G434" s="22" t="str" cm="1">
        <f t="array" ref="G434:L434">_xlfn.XLOOKUP(C434,Sales_Fact!C434:C2418,Sales_Fact!E434:J2418)</f>
        <v>STORE13</v>
      </c>
      <c r="H434" s="22">
        <v>3</v>
      </c>
      <c r="I434" s="22">
        <v>628.17999999999995</v>
      </c>
      <c r="J434" s="22">
        <v>0.26</v>
      </c>
      <c r="K434" s="22" t="str">
        <v>Credit Card</v>
      </c>
      <c r="L434" s="22">
        <v>1394.5596</v>
      </c>
    </row>
    <row r="435" spans="1:12" x14ac:dyDescent="0.3">
      <c r="A435" s="22" t="s">
        <v>2244</v>
      </c>
      <c r="B435" s="34" cm="1">
        <f t="array" ref="B435:C435">_xlfn.XLOOKUP(A435,Sales_Fact!A435:A2419,Sales_Fact!B435:C2419)</f>
        <v>45553</v>
      </c>
      <c r="C435" s="22" t="str">
        <v>CUST1269</v>
      </c>
      <c r="D435" s="22" t="str">
        <f>VLOOKUP('Combine Products &amp; Sales Facts'!C435,'Customer Details'!A:B,2,0)</f>
        <v>Tyrone Olson</v>
      </c>
      <c r="E435" s="22" t="str">
        <f>VLOOKUP(C435,Sales_Fact!C:D,2,0)</f>
        <v>PROD77</v>
      </c>
      <c r="F435" s="22" t="str">
        <f>VLOOKUP(E435,Product_Dim!A:C,3,0)</f>
        <v>Electronics</v>
      </c>
      <c r="G435" s="22" t="str" cm="1">
        <f t="array" ref="G435:L435">_xlfn.XLOOKUP(C435,Sales_Fact!C435:C2419,Sales_Fact!E435:J2419)</f>
        <v>STORE3</v>
      </c>
      <c r="H435" s="22">
        <v>1</v>
      </c>
      <c r="I435" s="22">
        <v>862.31</v>
      </c>
      <c r="J435" s="22">
        <v>0.06</v>
      </c>
      <c r="K435" s="22" t="str">
        <v>Credit Card</v>
      </c>
      <c r="L435" s="22">
        <v>810.57139999999993</v>
      </c>
    </row>
    <row r="436" spans="1:12" x14ac:dyDescent="0.3">
      <c r="A436" s="22" t="s">
        <v>2245</v>
      </c>
      <c r="B436" s="34" cm="1">
        <f t="array" ref="B436:C436">_xlfn.XLOOKUP(A436,Sales_Fact!A436:A2420,Sales_Fact!B436:C2420)</f>
        <v>45806</v>
      </c>
      <c r="C436" s="22" t="str">
        <v>CUST1071</v>
      </c>
      <c r="D436" s="22" t="str">
        <f>VLOOKUP('Combine Products &amp; Sales Facts'!C436,'Customer Details'!A:B,2,0)</f>
        <v>Andrea Perez</v>
      </c>
      <c r="E436" s="22" t="str">
        <f>VLOOKUP(C436,Sales_Fact!C:D,2,0)</f>
        <v>PROD83</v>
      </c>
      <c r="F436" s="22" t="str">
        <f>VLOOKUP(E436,Product_Dim!A:C,3,0)</f>
        <v>Beauty</v>
      </c>
      <c r="G436" s="22" t="str" cm="1">
        <f t="array" ref="G436:L436">_xlfn.XLOOKUP(C436,Sales_Fact!C436:C2420,Sales_Fact!E436:J2420)</f>
        <v>STORE14</v>
      </c>
      <c r="H436" s="22">
        <v>2</v>
      </c>
      <c r="I436" s="22">
        <v>541.39</v>
      </c>
      <c r="J436" s="22">
        <v>0.03</v>
      </c>
      <c r="K436" s="22" t="str">
        <v>COD</v>
      </c>
      <c r="L436" s="22">
        <v>1050.2965999999999</v>
      </c>
    </row>
    <row r="437" spans="1:12" x14ac:dyDescent="0.3">
      <c r="A437" s="22" t="s">
        <v>2246</v>
      </c>
      <c r="B437" s="34" cm="1">
        <f t="array" ref="B437:C437">_xlfn.XLOOKUP(A437,Sales_Fact!A437:A2421,Sales_Fact!B437:C2421)</f>
        <v>45811</v>
      </c>
      <c r="C437" s="22" t="str">
        <v>CUST1477</v>
      </c>
      <c r="D437" s="22" t="str">
        <f>VLOOKUP('Combine Products &amp; Sales Facts'!C437,'Customer Details'!A:B,2,0)</f>
        <v>Andrea Harris</v>
      </c>
      <c r="E437" s="22" t="str">
        <f>VLOOKUP(C437,Sales_Fact!C:D,2,0)</f>
        <v>PROD76</v>
      </c>
      <c r="F437" s="22" t="str">
        <f>VLOOKUP(E437,Product_Dim!A:C,3,0)</f>
        <v>Electronics</v>
      </c>
      <c r="G437" s="22" t="str" cm="1">
        <f t="array" ref="G437:L437">_xlfn.XLOOKUP(C437,Sales_Fact!C437:C2421,Sales_Fact!E437:J2421)</f>
        <v>STORE16</v>
      </c>
      <c r="H437" s="22">
        <v>3</v>
      </c>
      <c r="I437" s="22">
        <v>761.8</v>
      </c>
      <c r="J437" s="22">
        <v>0.06</v>
      </c>
      <c r="K437" s="22" t="str">
        <v>COD</v>
      </c>
      <c r="L437" s="22">
        <v>2148.2759999999989</v>
      </c>
    </row>
    <row r="438" spans="1:12" x14ac:dyDescent="0.3">
      <c r="A438" s="22" t="s">
        <v>2247</v>
      </c>
      <c r="B438" s="34" cm="1">
        <f t="array" ref="B438:C438">_xlfn.XLOOKUP(A438,Sales_Fact!A438:A2422,Sales_Fact!B438:C2422)</f>
        <v>45508</v>
      </c>
      <c r="C438" s="22" t="str">
        <v>CUST1422</v>
      </c>
      <c r="D438" s="22" t="str">
        <f>VLOOKUP('Combine Products &amp; Sales Facts'!C438,'Customer Details'!A:B,2,0)</f>
        <v>Brittany Edwards Dds</v>
      </c>
      <c r="E438" s="22" t="str">
        <f>VLOOKUP(C438,Sales_Fact!C:D,2,0)</f>
        <v>PROD49</v>
      </c>
      <c r="F438" s="22" t="str">
        <f>VLOOKUP(E438,Product_Dim!A:C,3,0)</f>
        <v>Beauty</v>
      </c>
      <c r="G438" s="22" t="str" cm="1">
        <f t="array" ref="G438:L438">_xlfn.XLOOKUP(C438,Sales_Fact!C438:C2422,Sales_Fact!E438:J2422)</f>
        <v>STORE2</v>
      </c>
      <c r="H438" s="22">
        <v>4</v>
      </c>
      <c r="I438" s="22">
        <v>829.36</v>
      </c>
      <c r="J438" s="22">
        <v>0.11</v>
      </c>
      <c r="K438" s="22" t="str">
        <v>PayPal</v>
      </c>
      <c r="L438" s="22">
        <v>2952.5216</v>
      </c>
    </row>
    <row r="439" spans="1:12" x14ac:dyDescent="0.3">
      <c r="A439" s="22" t="s">
        <v>2248</v>
      </c>
      <c r="B439" s="34" cm="1">
        <f t="array" ref="B439:C439">_xlfn.XLOOKUP(A439,Sales_Fact!A439:A2423,Sales_Fact!B439:C2423)</f>
        <v>45460</v>
      </c>
      <c r="C439" s="22" t="str">
        <v>CUST1404</v>
      </c>
      <c r="D439" s="22" t="str">
        <f>VLOOKUP('Combine Products &amp; Sales Facts'!C439,'Customer Details'!A:B,2,0)</f>
        <v>David Ross</v>
      </c>
      <c r="E439" s="22" t="str">
        <f>VLOOKUP(C439,Sales_Fact!C:D,2,0)</f>
        <v>PROD23</v>
      </c>
      <c r="F439" s="22" t="str">
        <f>VLOOKUP(E439,Product_Dim!A:C,3,0)</f>
        <v>Clothing</v>
      </c>
      <c r="G439" s="22" t="str" cm="1">
        <f t="array" ref="G439:L439">_xlfn.XLOOKUP(C439,Sales_Fact!C439:C2423,Sales_Fact!E439:J2423)</f>
        <v>STORE16</v>
      </c>
      <c r="H439" s="22">
        <v>2</v>
      </c>
      <c r="I439" s="22">
        <v>425.06</v>
      </c>
      <c r="J439" s="22">
        <v>0.09</v>
      </c>
      <c r="K439" s="22" t="str">
        <v>PayPal</v>
      </c>
      <c r="L439" s="22">
        <v>773.60919999999999</v>
      </c>
    </row>
    <row r="440" spans="1:12" x14ac:dyDescent="0.3">
      <c r="A440" s="22" t="s">
        <v>2249</v>
      </c>
      <c r="B440" s="34" cm="1">
        <f t="array" ref="B440:C440">_xlfn.XLOOKUP(A440,Sales_Fact!A440:A2424,Sales_Fact!B440:C2424)</f>
        <v>45311</v>
      </c>
      <c r="C440" s="22" t="str">
        <v>CUST1127</v>
      </c>
      <c r="D440" s="22" t="str">
        <f>VLOOKUP('Combine Products &amp; Sales Facts'!C440,'Customer Details'!A:B,2,0)</f>
        <v>John Mcknight</v>
      </c>
      <c r="E440" s="22" t="str">
        <f>VLOOKUP(C440,Sales_Fact!C:D,2,0)</f>
        <v>PROD55</v>
      </c>
      <c r="F440" s="22" t="str">
        <f>VLOOKUP(E440,Product_Dim!A:C,3,0)</f>
        <v>Home</v>
      </c>
      <c r="G440" s="22" t="str" cm="1">
        <f t="array" ref="G440:L440">_xlfn.XLOOKUP(C440,Sales_Fact!C440:C2424,Sales_Fact!E440:J2424)</f>
        <v>STORE0</v>
      </c>
      <c r="H440" s="22">
        <v>2</v>
      </c>
      <c r="I440" s="22">
        <v>911.14</v>
      </c>
      <c r="J440" s="22">
        <v>0.1</v>
      </c>
      <c r="K440" s="22" t="str">
        <v>Credit Card</v>
      </c>
      <c r="L440" s="22">
        <v>1640.0519999999999</v>
      </c>
    </row>
    <row r="441" spans="1:12" x14ac:dyDescent="0.3">
      <c r="A441" s="22" t="s">
        <v>2250</v>
      </c>
      <c r="B441" s="34" cm="1">
        <f t="array" ref="B441:C441">_xlfn.XLOOKUP(A441,Sales_Fact!A441:A2425,Sales_Fact!B441:C2425)</f>
        <v>45906</v>
      </c>
      <c r="C441" s="22" t="str">
        <v>CUST1084</v>
      </c>
      <c r="D441" s="22" t="str">
        <f>VLOOKUP('Combine Products &amp; Sales Facts'!C441,'Customer Details'!A:B,2,0)</f>
        <v>Christy Hoffman</v>
      </c>
      <c r="E441" s="22" t="str">
        <f>VLOOKUP(C441,Sales_Fact!C:D,2,0)</f>
        <v>PROD25</v>
      </c>
      <c r="F441" s="22" t="str">
        <f>VLOOKUP(E441,Product_Dim!A:C,3,0)</f>
        <v>Clothing</v>
      </c>
      <c r="G441" s="22" t="str" cm="1">
        <f t="array" ref="G441:L441">_xlfn.XLOOKUP(C441,Sales_Fact!C441:C2425,Sales_Fact!E441:J2425)</f>
        <v>STORE8</v>
      </c>
      <c r="H441" s="22">
        <v>3</v>
      </c>
      <c r="I441" s="22">
        <v>811.96</v>
      </c>
      <c r="J441" s="22">
        <v>0.28999999999999998</v>
      </c>
      <c r="K441" s="22" t="str">
        <v>Credit Card</v>
      </c>
      <c r="L441" s="22">
        <v>1729.4748</v>
      </c>
    </row>
    <row r="442" spans="1:12" x14ac:dyDescent="0.3">
      <c r="A442" s="22" t="s">
        <v>2251</v>
      </c>
      <c r="B442" s="34" cm="1">
        <f t="array" ref="B442:C442">_xlfn.XLOOKUP(A442,Sales_Fact!A442:A2426,Sales_Fact!B442:C2426)</f>
        <v>45380</v>
      </c>
      <c r="C442" s="22" t="str">
        <v>CUST1273</v>
      </c>
      <c r="D442" s="22" t="str">
        <f>VLOOKUP('Combine Products &amp; Sales Facts'!C442,'Customer Details'!A:B,2,0)</f>
        <v>Samantha Robinson</v>
      </c>
      <c r="E442" s="22" t="str">
        <f>VLOOKUP(C442,Sales_Fact!C:D,2,0)</f>
        <v>PROD20</v>
      </c>
      <c r="F442" s="22" t="str">
        <f>VLOOKUP(E442,Product_Dim!A:C,3,0)</f>
        <v>Sports</v>
      </c>
      <c r="G442" s="22" t="str" cm="1">
        <f t="array" ref="G442:L442">_xlfn.XLOOKUP(C442,Sales_Fact!C442:C2426,Sales_Fact!E442:J2426)</f>
        <v>STORE10</v>
      </c>
      <c r="H442" s="22">
        <v>2</v>
      </c>
      <c r="I442" s="22">
        <v>780.05</v>
      </c>
      <c r="J442" s="22">
        <v>0.12</v>
      </c>
      <c r="K442" s="22" t="str">
        <v>COD</v>
      </c>
      <c r="L442" s="22">
        <v>1372.8879999999999</v>
      </c>
    </row>
    <row r="443" spans="1:12" x14ac:dyDescent="0.3">
      <c r="A443" s="22" t="s">
        <v>2252</v>
      </c>
      <c r="B443" s="34" cm="1">
        <f t="array" ref="B443:C443">_xlfn.XLOOKUP(A443,Sales_Fact!A443:A2427,Sales_Fact!B443:C2427)</f>
        <v>45527</v>
      </c>
      <c r="C443" s="22" t="str">
        <v>CUST1215</v>
      </c>
      <c r="D443" s="22" t="str">
        <f>VLOOKUP('Combine Products &amp; Sales Facts'!C443,'Customer Details'!A:B,2,0)</f>
        <v>Steve Medina</v>
      </c>
      <c r="E443" s="22" t="str">
        <f>VLOOKUP(C443,Sales_Fact!C:D,2,0)</f>
        <v>PROD32</v>
      </c>
      <c r="F443" s="22" t="str">
        <f>VLOOKUP(E443,Product_Dim!A:C,3,0)</f>
        <v>Beauty</v>
      </c>
      <c r="G443" s="22" t="str" cm="1">
        <f t="array" ref="G443:L443">_xlfn.XLOOKUP(C443,Sales_Fact!C443:C2427,Sales_Fact!E443:J2427)</f>
        <v>STORE9</v>
      </c>
      <c r="H443" s="22">
        <v>4</v>
      </c>
      <c r="I443" s="22">
        <v>315.95</v>
      </c>
      <c r="J443" s="22">
        <v>0.19</v>
      </c>
      <c r="K443" s="22" t="str">
        <v>COD</v>
      </c>
      <c r="L443" s="22">
        <v>1023.678</v>
      </c>
    </row>
    <row r="444" spans="1:12" x14ac:dyDescent="0.3">
      <c r="A444" s="22" t="s">
        <v>2253</v>
      </c>
      <c r="B444" s="34" cm="1">
        <f t="array" ref="B444:C444">_xlfn.XLOOKUP(A444,Sales_Fact!A444:A2428,Sales_Fact!B444:C2428)</f>
        <v>45796</v>
      </c>
      <c r="C444" s="22" t="str">
        <v>CUST1229</v>
      </c>
      <c r="D444" s="22" t="str">
        <f>VLOOKUP('Combine Products &amp; Sales Facts'!C444,'Customer Details'!A:B,2,0)</f>
        <v>Tanner Thompson</v>
      </c>
      <c r="E444" s="22" t="str">
        <f>VLOOKUP(C444,Sales_Fact!C:D,2,0)</f>
        <v>PROD52</v>
      </c>
      <c r="F444" s="22" t="str">
        <f>VLOOKUP(E444,Product_Dim!A:C,3,0)</f>
        <v>Sports</v>
      </c>
      <c r="G444" s="22" t="str" cm="1">
        <f t="array" ref="G444:L444">_xlfn.XLOOKUP(C444,Sales_Fact!C444:C2428,Sales_Fact!E444:J2428)</f>
        <v>STORE9</v>
      </c>
      <c r="H444" s="22">
        <v>2</v>
      </c>
      <c r="I444" s="22">
        <v>810.17</v>
      </c>
      <c r="J444" s="22">
        <v>0.27</v>
      </c>
      <c r="K444" s="22" t="str">
        <v>Credit Card</v>
      </c>
      <c r="L444" s="22">
        <v>1182.8481999999999</v>
      </c>
    </row>
    <row r="445" spans="1:12" x14ac:dyDescent="0.3">
      <c r="A445" s="22" t="s">
        <v>2254</v>
      </c>
      <c r="B445" s="34" cm="1">
        <f t="array" ref="B445:C445">_xlfn.XLOOKUP(A445,Sales_Fact!A445:A2429,Sales_Fact!B445:C2429)</f>
        <v>45389</v>
      </c>
      <c r="C445" s="22" t="str">
        <v>CUST1205</v>
      </c>
      <c r="D445" s="22" t="str">
        <f>VLOOKUP('Combine Products &amp; Sales Facts'!C445,'Customer Details'!A:B,2,0)</f>
        <v>Michelle Carpenter</v>
      </c>
      <c r="E445" s="22" t="str">
        <f>VLOOKUP(C445,Sales_Fact!C:D,2,0)</f>
        <v>PROD84</v>
      </c>
      <c r="F445" s="22" t="str">
        <f>VLOOKUP(E445,Product_Dim!A:C,3,0)</f>
        <v>Home</v>
      </c>
      <c r="G445" s="22" t="str" cm="1">
        <f t="array" ref="G445:L445">_xlfn.XLOOKUP(C445,Sales_Fact!C445:C2429,Sales_Fact!E445:J2429)</f>
        <v>STORE4</v>
      </c>
      <c r="H445" s="22">
        <v>3</v>
      </c>
      <c r="I445" s="22">
        <v>505.01</v>
      </c>
      <c r="J445" s="22">
        <v>0.02</v>
      </c>
      <c r="K445" s="22" t="str">
        <v>PayPal</v>
      </c>
      <c r="L445" s="22">
        <v>1484.7293999999999</v>
      </c>
    </row>
    <row r="446" spans="1:12" x14ac:dyDescent="0.3">
      <c r="A446" s="22" t="s">
        <v>2255</v>
      </c>
      <c r="B446" s="34" cm="1">
        <f t="array" ref="B446:C446">_xlfn.XLOOKUP(A446,Sales_Fact!A446:A2430,Sales_Fact!B446:C2430)</f>
        <v>45315</v>
      </c>
      <c r="C446" s="22" t="str">
        <v>CUST1467</v>
      </c>
      <c r="D446" s="22" t="str">
        <f>VLOOKUP('Combine Products &amp; Sales Facts'!C446,'Customer Details'!A:B,2,0)</f>
        <v>Michael Foley</v>
      </c>
      <c r="E446" s="22" t="str">
        <f>VLOOKUP(C446,Sales_Fact!C:D,2,0)</f>
        <v>PROD74</v>
      </c>
      <c r="F446" s="22" t="str">
        <f>VLOOKUP(E446,Product_Dim!A:C,3,0)</f>
        <v>Electronics</v>
      </c>
      <c r="G446" s="22" t="str" cm="1">
        <f t="array" ref="G446:L446">_xlfn.XLOOKUP(C446,Sales_Fact!C446:C2430,Sales_Fact!E446:J2430)</f>
        <v>STORE17</v>
      </c>
      <c r="H446" s="22">
        <v>2</v>
      </c>
      <c r="I446" s="22">
        <v>736.75</v>
      </c>
      <c r="J446" s="22">
        <v>0.18</v>
      </c>
      <c r="K446" s="22" t="str">
        <v>Credit Card</v>
      </c>
      <c r="L446" s="22">
        <v>1208.27</v>
      </c>
    </row>
    <row r="447" spans="1:12" x14ac:dyDescent="0.3">
      <c r="A447" s="22" t="s">
        <v>2256</v>
      </c>
      <c r="B447" s="34" cm="1">
        <f t="array" ref="B447:C447">_xlfn.XLOOKUP(A447,Sales_Fact!A447:A2431,Sales_Fact!B447:C2431)</f>
        <v>45311</v>
      </c>
      <c r="C447" s="22" t="str">
        <v>CUST1027</v>
      </c>
      <c r="D447" s="22" t="str">
        <f>VLOOKUP('Combine Products &amp; Sales Facts'!C447,'Customer Details'!A:B,2,0)</f>
        <v>Leslie Johnson</v>
      </c>
      <c r="E447" s="22" t="str">
        <f>VLOOKUP(C447,Sales_Fact!C:D,2,0)</f>
        <v>PROD24</v>
      </c>
      <c r="F447" s="22" t="str">
        <f>VLOOKUP(E447,Product_Dim!A:C,3,0)</f>
        <v>Sports</v>
      </c>
      <c r="G447" s="22" t="str" cm="1">
        <f t="array" ref="G447:L447">_xlfn.XLOOKUP(C447,Sales_Fact!C447:C2431,Sales_Fact!E447:J2431)</f>
        <v>STORE9</v>
      </c>
      <c r="H447" s="22">
        <v>4</v>
      </c>
      <c r="I447" s="22">
        <v>700.31</v>
      </c>
      <c r="J447" s="22">
        <v>0.2</v>
      </c>
      <c r="K447" s="22" t="str">
        <v>PayPal</v>
      </c>
      <c r="L447" s="22">
        <v>2240.9920000000002</v>
      </c>
    </row>
    <row r="448" spans="1:12" x14ac:dyDescent="0.3">
      <c r="A448" s="22" t="s">
        <v>2257</v>
      </c>
      <c r="B448" s="34" cm="1">
        <f t="array" ref="B448:C448">_xlfn.XLOOKUP(A448,Sales_Fact!A448:A2432,Sales_Fact!B448:C2432)</f>
        <v>45270</v>
      </c>
      <c r="C448" s="22" t="str">
        <v>CUST1129</v>
      </c>
      <c r="D448" s="22" t="str">
        <f>VLOOKUP('Combine Products &amp; Sales Facts'!C448,'Customer Details'!A:B,2,0)</f>
        <v>Jessica Mitchell</v>
      </c>
      <c r="E448" s="22" t="str">
        <f>VLOOKUP(C448,Sales_Fact!C:D,2,0)</f>
        <v>PROD91</v>
      </c>
      <c r="F448" s="22" t="str">
        <f>VLOOKUP(E448,Product_Dim!A:C,3,0)</f>
        <v>Clothing</v>
      </c>
      <c r="G448" s="22" t="str" cm="1">
        <f t="array" ref="G448:L448">_xlfn.XLOOKUP(C448,Sales_Fact!C448:C2432,Sales_Fact!E448:J2432)</f>
        <v>STORE11</v>
      </c>
      <c r="H448" s="22">
        <v>4</v>
      </c>
      <c r="I448" s="22">
        <v>202.46</v>
      </c>
      <c r="J448" s="22">
        <v>0.24</v>
      </c>
      <c r="K448" s="22" t="str">
        <v>Credit Card</v>
      </c>
      <c r="L448" s="22">
        <v>615.47840000000008</v>
      </c>
    </row>
    <row r="449" spans="1:12" x14ac:dyDescent="0.3">
      <c r="A449" s="22" t="s">
        <v>2258</v>
      </c>
      <c r="B449" s="34" cm="1">
        <f t="array" ref="B449:C449">_xlfn.XLOOKUP(A449,Sales_Fact!A449:A2433,Sales_Fact!B449:C2433)</f>
        <v>45279</v>
      </c>
      <c r="C449" s="22" t="str">
        <v>CUST1265</v>
      </c>
      <c r="D449" s="22" t="str">
        <f>VLOOKUP('Combine Products &amp; Sales Facts'!C449,'Customer Details'!A:B,2,0)</f>
        <v>Tracy Kelly</v>
      </c>
      <c r="E449" s="22" t="str">
        <f>VLOOKUP(C449,Sales_Fact!C:D,2,0)</f>
        <v>PROD87</v>
      </c>
      <c r="F449" s="22" t="str">
        <f>VLOOKUP(E449,Product_Dim!A:C,3,0)</f>
        <v>Home</v>
      </c>
      <c r="G449" s="22" t="str" cm="1">
        <f t="array" ref="G449:L449">_xlfn.XLOOKUP(C449,Sales_Fact!C449:C2433,Sales_Fact!E449:J2433)</f>
        <v>STORE1</v>
      </c>
      <c r="H449" s="22">
        <v>2</v>
      </c>
      <c r="I449" s="22">
        <v>291.83999999999997</v>
      </c>
      <c r="J449" s="22">
        <v>0.25</v>
      </c>
      <c r="K449" s="22" t="str">
        <v>PayPal</v>
      </c>
      <c r="L449" s="22">
        <v>437.76</v>
      </c>
    </row>
    <row r="450" spans="1:12" x14ac:dyDescent="0.3">
      <c r="A450" s="22" t="s">
        <v>2259</v>
      </c>
      <c r="B450" s="34" cm="1">
        <f t="array" ref="B450:C450">_xlfn.XLOOKUP(A450,Sales_Fact!A450:A2434,Sales_Fact!B450:C2434)</f>
        <v>45252</v>
      </c>
      <c r="C450" s="22" t="str">
        <v>CUST1163</v>
      </c>
      <c r="D450" s="22" t="str">
        <f>VLOOKUP('Combine Products &amp; Sales Facts'!C450,'Customer Details'!A:B,2,0)</f>
        <v>Joseph Jones</v>
      </c>
      <c r="E450" s="22" t="str">
        <f>VLOOKUP(C450,Sales_Fact!C:D,2,0)</f>
        <v>PROD97</v>
      </c>
      <c r="F450" s="22" t="str">
        <f>VLOOKUP(E450,Product_Dim!A:C,3,0)</f>
        <v>Sports</v>
      </c>
      <c r="G450" s="22" t="str" cm="1">
        <f t="array" ref="G450:L450">_xlfn.XLOOKUP(C450,Sales_Fact!C450:C2434,Sales_Fact!E450:J2434)</f>
        <v>STORE5</v>
      </c>
      <c r="H450" s="22">
        <v>2</v>
      </c>
      <c r="I450" s="22">
        <v>261.48</v>
      </c>
      <c r="J450" s="22">
        <v>0.17</v>
      </c>
      <c r="K450" s="22" t="str">
        <v>Credit Card</v>
      </c>
      <c r="L450" s="22">
        <v>434.05680000000001</v>
      </c>
    </row>
    <row r="451" spans="1:12" x14ac:dyDescent="0.3">
      <c r="A451" s="22" t="s">
        <v>2260</v>
      </c>
      <c r="B451" s="34" cm="1">
        <f t="array" ref="B451:C451">_xlfn.XLOOKUP(A451,Sales_Fact!A451:A2435,Sales_Fact!B451:C2435)</f>
        <v>45938</v>
      </c>
      <c r="C451" s="22" t="str">
        <v>CUST1300</v>
      </c>
      <c r="D451" s="22" t="str">
        <f>VLOOKUP('Combine Products &amp; Sales Facts'!C451,'Customer Details'!A:B,2,0)</f>
        <v>Matthew Avery</v>
      </c>
      <c r="E451" s="22" t="str">
        <f>VLOOKUP(C451,Sales_Fact!C:D,2,0)</f>
        <v>PROD36</v>
      </c>
      <c r="F451" s="22" t="str">
        <f>VLOOKUP(E451,Product_Dim!A:C,3,0)</f>
        <v>Clothing</v>
      </c>
      <c r="G451" s="22" t="str" cm="1">
        <f t="array" ref="G451:L451">_xlfn.XLOOKUP(C451,Sales_Fact!C451:C2435,Sales_Fact!E451:J2435)</f>
        <v>STORE14</v>
      </c>
      <c r="H451" s="22">
        <v>1</v>
      </c>
      <c r="I451" s="22">
        <v>850.83</v>
      </c>
      <c r="J451" s="22">
        <v>0.28000000000000003</v>
      </c>
      <c r="K451" s="22" t="str">
        <v>PayPal</v>
      </c>
      <c r="L451" s="22">
        <v>612.59760000000006</v>
      </c>
    </row>
    <row r="452" spans="1:12" x14ac:dyDescent="0.3">
      <c r="A452" s="22" t="s">
        <v>2261</v>
      </c>
      <c r="B452" s="34" cm="1">
        <f t="array" ref="B452:C452">_xlfn.XLOOKUP(A452,Sales_Fact!A452:A2436,Sales_Fact!B452:C2436)</f>
        <v>45711</v>
      </c>
      <c r="C452" s="22" t="str">
        <v>CUST1405</v>
      </c>
      <c r="D452" s="22" t="str">
        <f>VLOOKUP('Combine Products &amp; Sales Facts'!C452,'Customer Details'!A:B,2,0)</f>
        <v>Eric Wolfe</v>
      </c>
      <c r="E452" s="22" t="str">
        <f>VLOOKUP(C452,Sales_Fact!C:D,2,0)</f>
        <v>PROD48</v>
      </c>
      <c r="F452" s="22" t="str">
        <f>VLOOKUP(E452,Product_Dim!A:C,3,0)</f>
        <v>Electronics</v>
      </c>
      <c r="G452" s="22" t="str" cm="1">
        <f t="array" ref="G452:L452">_xlfn.XLOOKUP(C452,Sales_Fact!C452:C2436,Sales_Fact!E452:J2436)</f>
        <v>STORE9</v>
      </c>
      <c r="H452" s="22">
        <v>1</v>
      </c>
      <c r="I452" s="22">
        <v>83.83</v>
      </c>
      <c r="J452" s="22">
        <v>0.05</v>
      </c>
      <c r="K452" s="22" t="str">
        <v>Credit Card</v>
      </c>
      <c r="L452" s="22">
        <v>79.638499999999993</v>
      </c>
    </row>
    <row r="453" spans="1:12" x14ac:dyDescent="0.3">
      <c r="A453" s="22" t="s">
        <v>2262</v>
      </c>
      <c r="B453" s="34" cm="1">
        <f t="array" ref="B453:C453">_xlfn.XLOOKUP(A453,Sales_Fact!A453:A2437,Sales_Fact!B453:C2437)</f>
        <v>45713</v>
      </c>
      <c r="C453" s="22" t="str">
        <v>CUST1006</v>
      </c>
      <c r="D453" s="22" t="str">
        <f>VLOOKUP('Combine Products &amp; Sales Facts'!C453,'Customer Details'!A:B,2,0)</f>
        <v>Amber Jackson</v>
      </c>
      <c r="E453" s="22" t="str">
        <f>VLOOKUP(C453,Sales_Fact!C:D,2,0)</f>
        <v>PROD93</v>
      </c>
      <c r="F453" s="22" t="str">
        <f>VLOOKUP(E453,Product_Dim!A:C,3,0)</f>
        <v>Electronics</v>
      </c>
      <c r="G453" s="22" t="str" cm="1">
        <f t="array" ref="G453:L453">_xlfn.XLOOKUP(C453,Sales_Fact!C453:C2437,Sales_Fact!E453:J2437)</f>
        <v>STORE16</v>
      </c>
      <c r="H453" s="22">
        <v>3</v>
      </c>
      <c r="I453" s="22">
        <v>649.95000000000005</v>
      </c>
      <c r="J453" s="22">
        <v>0.28000000000000003</v>
      </c>
      <c r="K453" s="22" t="str">
        <v>COD</v>
      </c>
      <c r="L453" s="22">
        <v>1403.8920000000001</v>
      </c>
    </row>
    <row r="454" spans="1:12" x14ac:dyDescent="0.3">
      <c r="A454" s="22" t="s">
        <v>2263</v>
      </c>
      <c r="B454" s="34" cm="1">
        <f t="array" ref="B454:C454">_xlfn.XLOOKUP(A454,Sales_Fact!A454:A2438,Sales_Fact!B454:C2438)</f>
        <v>45565</v>
      </c>
      <c r="C454" s="22" t="str">
        <v>CUST1366</v>
      </c>
      <c r="D454" s="22" t="str">
        <f>VLOOKUP('Combine Products &amp; Sales Facts'!C454,'Customer Details'!A:B,2,0)</f>
        <v>Mallory Allen</v>
      </c>
      <c r="E454" s="22" t="str">
        <f>VLOOKUP(C454,Sales_Fact!C:D,2,0)</f>
        <v>PROD73</v>
      </c>
      <c r="F454" s="22" t="str">
        <f>VLOOKUP(E454,Product_Dim!A:C,3,0)</f>
        <v>Sports</v>
      </c>
      <c r="G454" s="22" t="str" cm="1">
        <f t="array" ref="G454:L454">_xlfn.XLOOKUP(C454,Sales_Fact!C454:C2438,Sales_Fact!E454:J2438)</f>
        <v>STORE6</v>
      </c>
      <c r="H454" s="22">
        <v>4</v>
      </c>
      <c r="I454" s="22">
        <v>934.96</v>
      </c>
      <c r="J454" s="22">
        <v>0.18</v>
      </c>
      <c r="K454" s="22" t="str">
        <v>PayPal</v>
      </c>
      <c r="L454" s="22">
        <v>3066.6687999999999</v>
      </c>
    </row>
    <row r="455" spans="1:12" x14ac:dyDescent="0.3">
      <c r="A455" s="22" t="s">
        <v>2264</v>
      </c>
      <c r="B455" s="34" cm="1">
        <f t="array" ref="B455:C455">_xlfn.XLOOKUP(A455,Sales_Fact!A455:A2439,Sales_Fact!B455:C2439)</f>
        <v>45279</v>
      </c>
      <c r="C455" s="22" t="str">
        <v>CUST1206</v>
      </c>
      <c r="D455" s="22" t="str">
        <f>VLOOKUP('Combine Products &amp; Sales Facts'!C455,'Customer Details'!A:B,2,0)</f>
        <v>Ronald Jones</v>
      </c>
      <c r="E455" s="22" t="str">
        <f>VLOOKUP(C455,Sales_Fact!C:D,2,0)</f>
        <v>PROD94</v>
      </c>
      <c r="F455" s="22" t="str">
        <f>VLOOKUP(E455,Product_Dim!A:C,3,0)</f>
        <v>Beauty</v>
      </c>
      <c r="G455" s="22" t="str" cm="1">
        <f t="array" ref="G455:L455">_xlfn.XLOOKUP(C455,Sales_Fact!C455:C2439,Sales_Fact!E455:J2439)</f>
        <v>STORE14</v>
      </c>
      <c r="H455" s="22">
        <v>1</v>
      </c>
      <c r="I455" s="22">
        <v>880.89</v>
      </c>
      <c r="J455" s="22">
        <v>0.13</v>
      </c>
      <c r="K455" s="22" t="str">
        <v>COD</v>
      </c>
      <c r="L455" s="22">
        <v>766.37429999999995</v>
      </c>
    </row>
    <row r="456" spans="1:12" x14ac:dyDescent="0.3">
      <c r="A456" s="22" t="s">
        <v>2265</v>
      </c>
      <c r="B456" s="34" cm="1">
        <f t="array" ref="B456:C456">_xlfn.XLOOKUP(A456,Sales_Fact!A456:A2440,Sales_Fact!B456:C2440)</f>
        <v>45614</v>
      </c>
      <c r="C456" s="22" t="str">
        <v>CUST1477</v>
      </c>
      <c r="D456" s="22" t="str">
        <f>VLOOKUP('Combine Products &amp; Sales Facts'!C456,'Customer Details'!A:B,2,0)</f>
        <v>Andrea Harris</v>
      </c>
      <c r="E456" s="22" t="str">
        <f>VLOOKUP(C456,Sales_Fact!C:D,2,0)</f>
        <v>PROD76</v>
      </c>
      <c r="F456" s="22" t="str">
        <f>VLOOKUP(E456,Product_Dim!A:C,3,0)</f>
        <v>Electronics</v>
      </c>
      <c r="G456" s="22" t="str" cm="1">
        <f t="array" ref="G456:L456">_xlfn.XLOOKUP(C456,Sales_Fact!C456:C2440,Sales_Fact!E456:J2440)</f>
        <v>STORE8</v>
      </c>
      <c r="H456" s="22">
        <v>4</v>
      </c>
      <c r="I456" s="22">
        <v>610.6</v>
      </c>
      <c r="J456" s="22">
        <v>0.1</v>
      </c>
      <c r="K456" s="22" t="str">
        <v>PayPal</v>
      </c>
      <c r="L456" s="22">
        <v>2198.16</v>
      </c>
    </row>
    <row r="457" spans="1:12" x14ac:dyDescent="0.3">
      <c r="A457" s="22" t="s">
        <v>2266</v>
      </c>
      <c r="B457" s="34" cm="1">
        <f t="array" ref="B457:C457">_xlfn.XLOOKUP(A457,Sales_Fact!A457:A2441,Sales_Fact!B457:C2441)</f>
        <v>45912</v>
      </c>
      <c r="C457" s="22" t="str">
        <v>CUST1075</v>
      </c>
      <c r="D457" s="22" t="str">
        <f>VLOOKUP('Combine Products &amp; Sales Facts'!C457,'Customer Details'!A:B,2,0)</f>
        <v>Rhonda Morales</v>
      </c>
      <c r="E457" s="22" t="str">
        <f>VLOOKUP(C457,Sales_Fact!C:D,2,0)</f>
        <v>PROD16</v>
      </c>
      <c r="F457" s="22" t="str">
        <f>VLOOKUP(E457,Product_Dim!A:C,3,0)</f>
        <v>Beauty</v>
      </c>
      <c r="G457" s="22" t="str" cm="1">
        <f t="array" ref="G457:L457">_xlfn.XLOOKUP(C457,Sales_Fact!C457:C2441,Sales_Fact!E457:J2441)</f>
        <v>STORE18</v>
      </c>
      <c r="H457" s="22">
        <v>1</v>
      </c>
      <c r="I457" s="22">
        <v>514.19000000000005</v>
      </c>
      <c r="J457" s="22">
        <v>0.2</v>
      </c>
      <c r="K457" s="22" t="str">
        <v>Credit Card</v>
      </c>
      <c r="L457" s="22">
        <v>411.35200000000009</v>
      </c>
    </row>
    <row r="458" spans="1:12" x14ac:dyDescent="0.3">
      <c r="A458" s="22" t="s">
        <v>2267</v>
      </c>
      <c r="B458" s="34" cm="1">
        <f t="array" ref="B458:C458">_xlfn.XLOOKUP(A458,Sales_Fact!A458:A2442,Sales_Fact!B458:C2442)</f>
        <v>45688</v>
      </c>
      <c r="C458" s="22" t="str">
        <v>CUST1399</v>
      </c>
      <c r="D458" s="22" t="str">
        <f>VLOOKUP('Combine Products &amp; Sales Facts'!C458,'Customer Details'!A:B,2,0)</f>
        <v>John Donaldson</v>
      </c>
      <c r="E458" s="22" t="str">
        <f>VLOOKUP(C458,Sales_Fact!C:D,2,0)</f>
        <v>PROD66</v>
      </c>
      <c r="F458" s="22" t="str">
        <f>VLOOKUP(E458,Product_Dim!A:C,3,0)</f>
        <v>Beauty</v>
      </c>
      <c r="G458" s="22" t="str" cm="1">
        <f t="array" ref="G458:L458">_xlfn.XLOOKUP(C458,Sales_Fact!C458:C2442,Sales_Fact!E458:J2442)</f>
        <v>STORE13</v>
      </c>
      <c r="H458" s="22">
        <v>1</v>
      </c>
      <c r="I458" s="22">
        <v>546.20000000000005</v>
      </c>
      <c r="J458" s="22">
        <v>0.22</v>
      </c>
      <c r="K458" s="22" t="str">
        <v>PayPal</v>
      </c>
      <c r="L458" s="22">
        <v>426.03600000000012</v>
      </c>
    </row>
    <row r="459" spans="1:12" x14ac:dyDescent="0.3">
      <c r="A459" s="22" t="s">
        <v>2268</v>
      </c>
      <c r="B459" s="34" cm="1">
        <f t="array" ref="B459:C459">_xlfn.XLOOKUP(A459,Sales_Fact!A459:A2443,Sales_Fact!B459:C2443)</f>
        <v>45591</v>
      </c>
      <c r="C459" s="22" t="str">
        <v>CUST1197</v>
      </c>
      <c r="D459" s="22" t="str">
        <f>VLOOKUP('Combine Products &amp; Sales Facts'!C459,'Customer Details'!A:B,2,0)</f>
        <v>Andrea Jacobs</v>
      </c>
      <c r="E459" s="22" t="str">
        <f>VLOOKUP(C459,Sales_Fact!C:D,2,0)</f>
        <v>PROD37</v>
      </c>
      <c r="F459" s="22" t="str">
        <f>VLOOKUP(E459,Product_Dim!A:C,3,0)</f>
        <v>Clothing</v>
      </c>
      <c r="G459" s="22" t="str" cm="1">
        <f t="array" ref="G459:L459">_xlfn.XLOOKUP(C459,Sales_Fact!C459:C2443,Sales_Fact!E459:J2443)</f>
        <v>STORE0</v>
      </c>
      <c r="H459" s="22">
        <v>3</v>
      </c>
      <c r="I459" s="22">
        <v>416.01</v>
      </c>
      <c r="J459" s="22">
        <v>0.02</v>
      </c>
      <c r="K459" s="22" t="str">
        <v>Credit Card</v>
      </c>
      <c r="L459" s="22">
        <v>1223.0694000000001</v>
      </c>
    </row>
    <row r="460" spans="1:12" x14ac:dyDescent="0.3">
      <c r="A460" s="22" t="s">
        <v>2269</v>
      </c>
      <c r="B460" s="34" cm="1">
        <f t="array" ref="B460:C460">_xlfn.XLOOKUP(A460,Sales_Fact!A460:A2444,Sales_Fact!B460:C2444)</f>
        <v>45864</v>
      </c>
      <c r="C460" s="22" t="str">
        <v>CUST1384</v>
      </c>
      <c r="D460" s="22" t="str">
        <f>VLOOKUP('Combine Products &amp; Sales Facts'!C460,'Customer Details'!A:B,2,0)</f>
        <v>Andrew Mason</v>
      </c>
      <c r="E460" s="22" t="str">
        <f>VLOOKUP(C460,Sales_Fact!C:D,2,0)</f>
        <v>PROD74</v>
      </c>
      <c r="F460" s="22" t="str">
        <f>VLOOKUP(E460,Product_Dim!A:C,3,0)</f>
        <v>Electronics</v>
      </c>
      <c r="G460" s="22" t="str" cm="1">
        <f t="array" ref="G460:L460">_xlfn.XLOOKUP(C460,Sales_Fact!C460:C2444,Sales_Fact!E460:J2444)</f>
        <v>STORE10</v>
      </c>
      <c r="H460" s="22">
        <v>1</v>
      </c>
      <c r="I460" s="22">
        <v>30.94</v>
      </c>
      <c r="J460" s="22">
        <v>0.21</v>
      </c>
      <c r="K460" s="22" t="str">
        <v>COD</v>
      </c>
      <c r="L460" s="22">
        <v>24.442599999999999</v>
      </c>
    </row>
    <row r="461" spans="1:12" x14ac:dyDescent="0.3">
      <c r="A461" s="22" t="s">
        <v>2270</v>
      </c>
      <c r="B461" s="34" cm="1">
        <f t="array" ref="B461:C461">_xlfn.XLOOKUP(A461,Sales_Fact!A461:A2445,Sales_Fact!B461:C2445)</f>
        <v>45875</v>
      </c>
      <c r="C461" s="22" t="str">
        <v>CUST1200</v>
      </c>
      <c r="D461" s="22" t="str">
        <f>VLOOKUP('Combine Products &amp; Sales Facts'!C461,'Customer Details'!A:B,2,0)</f>
        <v>Anna Perez</v>
      </c>
      <c r="E461" s="22" t="str">
        <f>VLOOKUP(C461,Sales_Fact!C:D,2,0)</f>
        <v>PROD77</v>
      </c>
      <c r="F461" s="22" t="str">
        <f>VLOOKUP(E461,Product_Dim!A:C,3,0)</f>
        <v>Electronics</v>
      </c>
      <c r="G461" s="22" t="str" cm="1">
        <f t="array" ref="G461:L461">_xlfn.XLOOKUP(C461,Sales_Fact!C461:C2445,Sales_Fact!E461:J2445)</f>
        <v>STORE16</v>
      </c>
      <c r="H461" s="22">
        <v>3</v>
      </c>
      <c r="I461" s="22">
        <v>666.39</v>
      </c>
      <c r="J461" s="22">
        <v>0.21</v>
      </c>
      <c r="K461" s="22" t="str">
        <v>COD</v>
      </c>
      <c r="L461" s="22">
        <v>1579.3443</v>
      </c>
    </row>
    <row r="462" spans="1:12" x14ac:dyDescent="0.3">
      <c r="A462" s="22" t="s">
        <v>2271</v>
      </c>
      <c r="B462" s="34" cm="1">
        <f t="array" ref="B462:C462">_xlfn.XLOOKUP(A462,Sales_Fact!A462:A2446,Sales_Fact!B462:C2446)</f>
        <v>45797</v>
      </c>
      <c r="C462" s="22" t="str">
        <v>CUST1166</v>
      </c>
      <c r="D462" s="22" t="str">
        <f>VLOOKUP('Combine Products &amp; Sales Facts'!C462,'Customer Details'!A:B,2,0)</f>
        <v>Patricia Gardner</v>
      </c>
      <c r="E462" s="22" t="str">
        <f>VLOOKUP(C462,Sales_Fact!C:D,2,0)</f>
        <v>PROD81</v>
      </c>
      <c r="F462" s="22" t="str">
        <f>VLOOKUP(E462,Product_Dim!A:C,3,0)</f>
        <v>Sports</v>
      </c>
      <c r="G462" s="22" t="str" cm="1">
        <f t="array" ref="G462:L462">_xlfn.XLOOKUP(C462,Sales_Fact!C462:C2446,Sales_Fact!E462:J2446)</f>
        <v>STORE10</v>
      </c>
      <c r="H462" s="22">
        <v>2</v>
      </c>
      <c r="I462" s="22">
        <v>145.26</v>
      </c>
      <c r="J462" s="22">
        <v>0.19</v>
      </c>
      <c r="K462" s="22" t="str">
        <v>PayPal</v>
      </c>
      <c r="L462" s="22">
        <v>235.3212</v>
      </c>
    </row>
    <row r="463" spans="1:12" x14ac:dyDescent="0.3">
      <c r="A463" s="22" t="s">
        <v>2272</v>
      </c>
      <c r="B463" s="34" cm="1">
        <f t="array" ref="B463:C463">_xlfn.XLOOKUP(A463,Sales_Fact!A463:A2447,Sales_Fact!B463:C2447)</f>
        <v>45364</v>
      </c>
      <c r="C463" s="22" t="str">
        <v>CUST1118</v>
      </c>
      <c r="D463" s="22" t="str">
        <f>VLOOKUP('Combine Products &amp; Sales Facts'!C463,'Customer Details'!A:B,2,0)</f>
        <v>Earl Allen</v>
      </c>
      <c r="E463" s="22" t="str">
        <f>VLOOKUP(C463,Sales_Fact!C:D,2,0)</f>
        <v>PROD83</v>
      </c>
      <c r="F463" s="22" t="str">
        <f>VLOOKUP(E463,Product_Dim!A:C,3,0)</f>
        <v>Beauty</v>
      </c>
      <c r="G463" s="22" t="str" cm="1">
        <f t="array" ref="G463:L463">_xlfn.XLOOKUP(C463,Sales_Fact!C463:C2447,Sales_Fact!E463:J2447)</f>
        <v>STORE5</v>
      </c>
      <c r="H463" s="22">
        <v>4</v>
      </c>
      <c r="I463" s="22">
        <v>940.77</v>
      </c>
      <c r="J463" s="22">
        <v>0.24</v>
      </c>
      <c r="K463" s="22" t="str">
        <v>COD</v>
      </c>
      <c r="L463" s="22">
        <v>2859.9407999999999</v>
      </c>
    </row>
    <row r="464" spans="1:12" x14ac:dyDescent="0.3">
      <c r="A464" s="22" t="s">
        <v>2273</v>
      </c>
      <c r="B464" s="34" cm="1">
        <f t="array" ref="B464:C464">_xlfn.XLOOKUP(A464,Sales_Fact!A464:A2448,Sales_Fact!B464:C2448)</f>
        <v>45700</v>
      </c>
      <c r="C464" s="22" t="str">
        <v>CUST1469</v>
      </c>
      <c r="D464" s="22" t="str">
        <f>VLOOKUP('Combine Products &amp; Sales Facts'!C464,'Customer Details'!A:B,2,0)</f>
        <v>James Foster</v>
      </c>
      <c r="E464" s="22" t="str">
        <f>VLOOKUP(C464,Sales_Fact!C:D,2,0)</f>
        <v>PROD45</v>
      </c>
      <c r="F464" s="22" t="str">
        <f>VLOOKUP(E464,Product_Dim!A:C,3,0)</f>
        <v>Sports</v>
      </c>
      <c r="G464" s="22" t="str" cm="1">
        <f t="array" ref="G464:L464">_xlfn.XLOOKUP(C464,Sales_Fact!C464:C2448,Sales_Fact!E464:J2448)</f>
        <v>STORE17</v>
      </c>
      <c r="H464" s="22">
        <v>1</v>
      </c>
      <c r="I464" s="22">
        <v>708.88</v>
      </c>
      <c r="J464" s="22">
        <v>0.09</v>
      </c>
      <c r="K464" s="22" t="str">
        <v>Credit Card</v>
      </c>
      <c r="L464" s="22">
        <v>645.08080000000007</v>
      </c>
    </row>
    <row r="465" spans="1:12" x14ac:dyDescent="0.3">
      <c r="A465" s="22" t="s">
        <v>2274</v>
      </c>
      <c r="B465" s="34" cm="1">
        <f t="array" ref="B465:C465">_xlfn.XLOOKUP(A465,Sales_Fact!A465:A2449,Sales_Fact!B465:C2449)</f>
        <v>45924</v>
      </c>
      <c r="C465" s="22" t="str">
        <v>CUST1307</v>
      </c>
      <c r="D465" s="22" t="str">
        <f>VLOOKUP('Combine Products &amp; Sales Facts'!C465,'Customer Details'!A:B,2,0)</f>
        <v>Brandy Thompson</v>
      </c>
      <c r="E465" s="22" t="str">
        <f>VLOOKUP(C465,Sales_Fact!C:D,2,0)</f>
        <v>PROD93</v>
      </c>
      <c r="F465" s="22" t="str">
        <f>VLOOKUP(E465,Product_Dim!A:C,3,0)</f>
        <v>Electronics</v>
      </c>
      <c r="G465" s="22" t="str" cm="1">
        <f t="array" ref="G465:L465">_xlfn.XLOOKUP(C465,Sales_Fact!C465:C2449,Sales_Fact!E465:J2449)</f>
        <v>STORE2</v>
      </c>
      <c r="H465" s="22">
        <v>1</v>
      </c>
      <c r="I465" s="22">
        <v>790.73</v>
      </c>
      <c r="J465" s="22">
        <v>0.24</v>
      </c>
      <c r="K465" s="22" t="str">
        <v>PayPal</v>
      </c>
      <c r="L465" s="22">
        <v>600.95479999999998</v>
      </c>
    </row>
    <row r="466" spans="1:12" x14ac:dyDescent="0.3">
      <c r="A466" s="22" t="s">
        <v>2275</v>
      </c>
      <c r="B466" s="34" cm="1">
        <f t="array" ref="B466:C466">_xlfn.XLOOKUP(A466,Sales_Fact!A466:A2450,Sales_Fact!B466:C2450)</f>
        <v>45574</v>
      </c>
      <c r="C466" s="22" t="str">
        <v>CUST1449</v>
      </c>
      <c r="D466" s="22" t="str">
        <f>VLOOKUP('Combine Products &amp; Sales Facts'!C466,'Customer Details'!A:B,2,0)</f>
        <v>William Cortez</v>
      </c>
      <c r="E466" s="22" t="str">
        <f>VLOOKUP(C466,Sales_Fact!C:D,2,0)</f>
        <v>PROD98</v>
      </c>
      <c r="F466" s="22" t="str">
        <f>VLOOKUP(E466,Product_Dim!A:C,3,0)</f>
        <v>Electronics</v>
      </c>
      <c r="G466" s="22" t="str" cm="1">
        <f t="array" ref="G466:L466">_xlfn.XLOOKUP(C466,Sales_Fact!C466:C2450,Sales_Fact!E466:J2450)</f>
        <v>STORE9</v>
      </c>
      <c r="H466" s="22">
        <v>3</v>
      </c>
      <c r="I466" s="22">
        <v>635.13</v>
      </c>
      <c r="J466" s="22">
        <v>0.09</v>
      </c>
      <c r="K466" s="22" t="str">
        <v>PayPal</v>
      </c>
      <c r="L466" s="22">
        <v>1733.9049</v>
      </c>
    </row>
    <row r="467" spans="1:12" x14ac:dyDescent="0.3">
      <c r="A467" s="22" t="s">
        <v>2276</v>
      </c>
      <c r="B467" s="34" cm="1">
        <f t="array" ref="B467:C467">_xlfn.XLOOKUP(A467,Sales_Fact!A467:A2451,Sales_Fact!B467:C2451)</f>
        <v>45233</v>
      </c>
      <c r="C467" s="22" t="str">
        <v>CUST1266</v>
      </c>
      <c r="D467" s="22" t="str">
        <f>VLOOKUP('Combine Products &amp; Sales Facts'!C467,'Customer Details'!A:B,2,0)</f>
        <v>Cynthia Payne</v>
      </c>
      <c r="E467" s="22" t="str">
        <f>VLOOKUP(C467,Sales_Fact!C:D,2,0)</f>
        <v>PROD15</v>
      </c>
      <c r="F467" s="22" t="str">
        <f>VLOOKUP(E467,Product_Dim!A:C,3,0)</f>
        <v>Electronics</v>
      </c>
      <c r="G467" s="22" t="str" cm="1">
        <f t="array" ref="G467:L467">_xlfn.XLOOKUP(C467,Sales_Fact!C467:C2451,Sales_Fact!E467:J2451)</f>
        <v>STORE14</v>
      </c>
      <c r="H467" s="22">
        <v>1</v>
      </c>
      <c r="I467" s="22">
        <v>744.88</v>
      </c>
      <c r="J467" s="22">
        <v>0.15</v>
      </c>
      <c r="K467" s="22" t="str">
        <v>COD</v>
      </c>
      <c r="L467" s="22">
        <v>633.14800000000002</v>
      </c>
    </row>
    <row r="468" spans="1:12" x14ac:dyDescent="0.3">
      <c r="A468" s="22" t="s">
        <v>2277</v>
      </c>
      <c r="B468" s="34" cm="1">
        <f t="array" ref="B468:C468">_xlfn.XLOOKUP(A468,Sales_Fact!A468:A2452,Sales_Fact!B468:C2452)</f>
        <v>45745</v>
      </c>
      <c r="C468" s="22" t="str">
        <v>CUST1183</v>
      </c>
      <c r="D468" s="22" t="str">
        <f>VLOOKUP('Combine Products &amp; Sales Facts'!C468,'Customer Details'!A:B,2,0)</f>
        <v>Mario Jacobs</v>
      </c>
      <c r="E468" s="22" t="str">
        <f>VLOOKUP(C468,Sales_Fact!C:D,2,0)</f>
        <v>PROD38</v>
      </c>
      <c r="F468" s="22" t="str">
        <f>VLOOKUP(E468,Product_Dim!A:C,3,0)</f>
        <v>Sports</v>
      </c>
      <c r="G468" s="22" t="str" cm="1">
        <f t="array" ref="G468:L468">_xlfn.XLOOKUP(C468,Sales_Fact!C468:C2452,Sales_Fact!E468:J2452)</f>
        <v>STORE1</v>
      </c>
      <c r="H468" s="22">
        <v>3</v>
      </c>
      <c r="I468" s="22">
        <v>205.34</v>
      </c>
      <c r="J468" s="22">
        <v>0.25</v>
      </c>
      <c r="K468" s="22" t="str">
        <v>Credit Card</v>
      </c>
      <c r="L468" s="22">
        <v>462.01499999999999</v>
      </c>
    </row>
    <row r="469" spans="1:12" x14ac:dyDescent="0.3">
      <c r="A469" s="22" t="s">
        <v>2278</v>
      </c>
      <c r="B469" s="34" cm="1">
        <f t="array" ref="B469:C469">_xlfn.XLOOKUP(A469,Sales_Fact!A469:A2453,Sales_Fact!B469:C2453)</f>
        <v>45851</v>
      </c>
      <c r="C469" s="22" t="str">
        <v>CUST1419</v>
      </c>
      <c r="D469" s="22" t="str">
        <f>VLOOKUP('Combine Products &amp; Sales Facts'!C469,'Customer Details'!A:B,2,0)</f>
        <v>Monica Miller</v>
      </c>
      <c r="E469" s="22" t="str">
        <f>VLOOKUP(C469,Sales_Fact!C:D,2,0)</f>
        <v>PROD3</v>
      </c>
      <c r="F469" s="22" t="str">
        <f>VLOOKUP(E469,Product_Dim!A:C,3,0)</f>
        <v>Clothing</v>
      </c>
      <c r="G469" s="22" t="str" cm="1">
        <f t="array" ref="G469:L469">_xlfn.XLOOKUP(C469,Sales_Fact!C469:C2453,Sales_Fact!E469:J2453)</f>
        <v>STORE8</v>
      </c>
      <c r="H469" s="22">
        <v>2</v>
      </c>
      <c r="I469" s="22">
        <v>756.8</v>
      </c>
      <c r="J469" s="22">
        <v>0.15</v>
      </c>
      <c r="K469" s="22" t="str">
        <v>Credit Card</v>
      </c>
      <c r="L469" s="22">
        <v>1286.56</v>
      </c>
    </row>
    <row r="470" spans="1:12" x14ac:dyDescent="0.3">
      <c r="A470" s="22" t="s">
        <v>2279</v>
      </c>
      <c r="B470" s="34" cm="1">
        <f t="array" ref="B470:C470">_xlfn.XLOOKUP(A470,Sales_Fact!A470:A2454,Sales_Fact!B470:C2454)</f>
        <v>45308</v>
      </c>
      <c r="C470" s="22" t="str">
        <v>CUST1044</v>
      </c>
      <c r="D470" s="22" t="str">
        <f>VLOOKUP('Combine Products &amp; Sales Facts'!C470,'Customer Details'!A:B,2,0)</f>
        <v>Denise Williams</v>
      </c>
      <c r="E470" s="22" t="str">
        <f>VLOOKUP(C470,Sales_Fact!C:D,2,0)</f>
        <v>PROD1</v>
      </c>
      <c r="F470" s="22" t="str">
        <f>VLOOKUP(E470,Product_Dim!A:C,3,0)</f>
        <v>Clothing</v>
      </c>
      <c r="G470" s="22" t="str" cm="1">
        <f t="array" ref="G470:L470">_xlfn.XLOOKUP(C470,Sales_Fact!C470:C2454,Sales_Fact!E470:J2454)</f>
        <v>STORE10</v>
      </c>
      <c r="H470" s="22">
        <v>1</v>
      </c>
      <c r="I470" s="22">
        <v>771.73</v>
      </c>
      <c r="J470" s="22">
        <v>0.2</v>
      </c>
      <c r="K470" s="22" t="str">
        <v>Credit Card</v>
      </c>
      <c r="L470" s="22">
        <v>617.38400000000001</v>
      </c>
    </row>
    <row r="471" spans="1:12" x14ac:dyDescent="0.3">
      <c r="A471" s="22" t="s">
        <v>2280</v>
      </c>
      <c r="B471" s="34" cm="1">
        <f t="array" ref="B471:C471">_xlfn.XLOOKUP(A471,Sales_Fact!A471:A2455,Sales_Fact!B471:C2455)</f>
        <v>45639</v>
      </c>
      <c r="C471" s="22" t="str">
        <v>CUST1479</v>
      </c>
      <c r="D471" s="22" t="str">
        <f>VLOOKUP('Combine Products &amp; Sales Facts'!C471,'Customer Details'!A:B,2,0)</f>
        <v>Dylan Gutierrez</v>
      </c>
      <c r="E471" s="22" t="str">
        <f>VLOOKUP(C471,Sales_Fact!C:D,2,0)</f>
        <v>PROD74</v>
      </c>
      <c r="F471" s="22" t="str">
        <f>VLOOKUP(E471,Product_Dim!A:C,3,0)</f>
        <v>Electronics</v>
      </c>
      <c r="G471" s="22" t="str" cm="1">
        <f t="array" ref="G471:L471">_xlfn.XLOOKUP(C471,Sales_Fact!C471:C2455,Sales_Fact!E471:J2455)</f>
        <v>STORE17</v>
      </c>
      <c r="H471" s="22">
        <v>1</v>
      </c>
      <c r="I471" s="22">
        <v>440.19</v>
      </c>
      <c r="J471" s="22">
        <v>0.03</v>
      </c>
      <c r="K471" s="22" t="str">
        <v>PayPal</v>
      </c>
      <c r="L471" s="22">
        <v>426.98430000000002</v>
      </c>
    </row>
    <row r="472" spans="1:12" x14ac:dyDescent="0.3">
      <c r="A472" s="22" t="s">
        <v>2281</v>
      </c>
      <c r="B472" s="34" cm="1">
        <f t="array" ref="B472:C472">_xlfn.XLOOKUP(A472,Sales_Fact!A472:A2456,Sales_Fact!B472:C2456)</f>
        <v>45919</v>
      </c>
      <c r="C472" s="22" t="str">
        <v>CUST1047</v>
      </c>
      <c r="D472" s="22" t="str">
        <f>VLOOKUP('Combine Products &amp; Sales Facts'!C472,'Customer Details'!A:B,2,0)</f>
        <v>Gina Knight</v>
      </c>
      <c r="E472" s="22" t="str">
        <f>VLOOKUP(C472,Sales_Fact!C:D,2,0)</f>
        <v>PROD64</v>
      </c>
      <c r="F472" s="22" t="str">
        <f>VLOOKUP(E472,Product_Dim!A:C,3,0)</f>
        <v>Beauty</v>
      </c>
      <c r="G472" s="22" t="str" cm="1">
        <f t="array" ref="G472:L472">_xlfn.XLOOKUP(C472,Sales_Fact!C472:C2456,Sales_Fact!E472:J2456)</f>
        <v>STORE2</v>
      </c>
      <c r="H472" s="22">
        <v>2</v>
      </c>
      <c r="I472" s="22">
        <v>409</v>
      </c>
      <c r="J472" s="22">
        <v>0.17</v>
      </c>
      <c r="K472" s="22" t="str">
        <v>Credit Card</v>
      </c>
      <c r="L472" s="22">
        <v>678.93999999999994</v>
      </c>
    </row>
    <row r="473" spans="1:12" x14ac:dyDescent="0.3">
      <c r="A473" s="22" t="s">
        <v>2282</v>
      </c>
      <c r="B473" s="34" cm="1">
        <f t="array" ref="B473:C473">_xlfn.XLOOKUP(A473,Sales_Fact!A473:A2457,Sales_Fact!B473:C2457)</f>
        <v>45333</v>
      </c>
      <c r="C473" s="22" t="str">
        <v>CUST1343</v>
      </c>
      <c r="D473" s="22" t="str">
        <f>VLOOKUP('Combine Products &amp; Sales Facts'!C473,'Customer Details'!A:B,2,0)</f>
        <v>Ryan Moore</v>
      </c>
      <c r="E473" s="22" t="str">
        <f>VLOOKUP(C473,Sales_Fact!C:D,2,0)</f>
        <v>PROD17</v>
      </c>
      <c r="F473" s="22" t="str">
        <f>VLOOKUP(E473,Product_Dim!A:C,3,0)</f>
        <v>Sports</v>
      </c>
      <c r="G473" s="22" t="str" cm="1">
        <f t="array" ref="G473:L473">_xlfn.XLOOKUP(C473,Sales_Fact!C473:C2457,Sales_Fact!E473:J2457)</f>
        <v>STORE19</v>
      </c>
      <c r="H473" s="22">
        <v>3</v>
      </c>
      <c r="I473" s="22">
        <v>134.58000000000001</v>
      </c>
      <c r="J473" s="22">
        <v>0.04</v>
      </c>
      <c r="K473" s="22" t="str">
        <v>COD</v>
      </c>
      <c r="L473" s="22">
        <v>387.59039999999999</v>
      </c>
    </row>
    <row r="474" spans="1:12" x14ac:dyDescent="0.3">
      <c r="A474" s="22" t="s">
        <v>2283</v>
      </c>
      <c r="B474" s="34" cm="1">
        <f t="array" ref="B474:C474">_xlfn.XLOOKUP(A474,Sales_Fact!A474:A2458,Sales_Fact!B474:C2458)</f>
        <v>45811</v>
      </c>
      <c r="C474" s="22" t="str">
        <v>CUST1348</v>
      </c>
      <c r="D474" s="22" t="str">
        <f>VLOOKUP('Combine Products &amp; Sales Facts'!C474,'Customer Details'!A:B,2,0)</f>
        <v>Sherry Cabrera</v>
      </c>
      <c r="E474" s="22" t="str">
        <f>VLOOKUP(C474,Sales_Fact!C:D,2,0)</f>
        <v>PROD24</v>
      </c>
      <c r="F474" s="22" t="str">
        <f>VLOOKUP(E474,Product_Dim!A:C,3,0)</f>
        <v>Sports</v>
      </c>
      <c r="G474" s="22" t="str" cm="1">
        <f t="array" ref="G474:L474">_xlfn.XLOOKUP(C474,Sales_Fact!C474:C2458,Sales_Fact!E474:J2458)</f>
        <v>STORE7</v>
      </c>
      <c r="H474" s="22">
        <v>4</v>
      </c>
      <c r="I474" s="22">
        <v>284.44</v>
      </c>
      <c r="J474" s="22">
        <v>0.02</v>
      </c>
      <c r="K474" s="22" t="str">
        <v>Credit Card</v>
      </c>
      <c r="L474" s="22">
        <v>1115.0047999999999</v>
      </c>
    </row>
    <row r="475" spans="1:12" x14ac:dyDescent="0.3">
      <c r="A475" s="22" t="s">
        <v>2284</v>
      </c>
      <c r="B475" s="34" cm="1">
        <f t="array" ref="B475:C475">_xlfn.XLOOKUP(A475,Sales_Fact!A475:A2459,Sales_Fact!B475:C2459)</f>
        <v>45726</v>
      </c>
      <c r="C475" s="22" t="str">
        <v>CUST1405</v>
      </c>
      <c r="D475" s="22" t="str">
        <f>VLOOKUP('Combine Products &amp; Sales Facts'!C475,'Customer Details'!A:B,2,0)</f>
        <v>Eric Wolfe</v>
      </c>
      <c r="E475" s="22" t="str">
        <f>VLOOKUP(C475,Sales_Fact!C:D,2,0)</f>
        <v>PROD48</v>
      </c>
      <c r="F475" s="22" t="str">
        <f>VLOOKUP(E475,Product_Dim!A:C,3,0)</f>
        <v>Electronics</v>
      </c>
      <c r="G475" s="22" t="str" cm="1">
        <f t="array" ref="G475:L475">_xlfn.XLOOKUP(C475,Sales_Fact!C475:C2459,Sales_Fact!E475:J2459)</f>
        <v>STORE13</v>
      </c>
      <c r="H475" s="22">
        <v>4</v>
      </c>
      <c r="I475" s="22">
        <v>922.69</v>
      </c>
      <c r="J475" s="22">
        <v>0.16</v>
      </c>
      <c r="K475" s="22" t="str">
        <v>Credit Card</v>
      </c>
      <c r="L475" s="22">
        <v>3100.2384000000002</v>
      </c>
    </row>
    <row r="476" spans="1:12" x14ac:dyDescent="0.3">
      <c r="A476" s="22" t="s">
        <v>2285</v>
      </c>
      <c r="B476" s="34" cm="1">
        <f t="array" ref="B476:C476">_xlfn.XLOOKUP(A476,Sales_Fact!A476:A2460,Sales_Fact!B476:C2460)</f>
        <v>45644</v>
      </c>
      <c r="C476" s="22" t="str">
        <v>CUST1275</v>
      </c>
      <c r="D476" s="22" t="str">
        <f>VLOOKUP('Combine Products &amp; Sales Facts'!C476,'Customer Details'!A:B,2,0)</f>
        <v>Shannon Miller</v>
      </c>
      <c r="E476" s="22" t="str">
        <f>VLOOKUP(C476,Sales_Fact!C:D,2,0)</f>
        <v>PROD69</v>
      </c>
      <c r="F476" s="22" t="str">
        <f>VLOOKUP(E476,Product_Dim!A:C,3,0)</f>
        <v>Clothing</v>
      </c>
      <c r="G476" s="22" t="str" cm="1">
        <f t="array" ref="G476:L476">_xlfn.XLOOKUP(C476,Sales_Fact!C476:C2460,Sales_Fact!E476:J2460)</f>
        <v>STORE6</v>
      </c>
      <c r="H476" s="22">
        <v>2</v>
      </c>
      <c r="I476" s="22">
        <v>992.55</v>
      </c>
      <c r="J476" s="22">
        <v>0.28000000000000003</v>
      </c>
      <c r="K476" s="22" t="str">
        <v>Credit Card</v>
      </c>
      <c r="L476" s="22">
        <v>1429.2719999999999</v>
      </c>
    </row>
    <row r="477" spans="1:12" x14ac:dyDescent="0.3">
      <c r="A477" s="22" t="s">
        <v>2286</v>
      </c>
      <c r="B477" s="34" cm="1">
        <f t="array" ref="B477:C477">_xlfn.XLOOKUP(A477,Sales_Fact!A477:A2461,Sales_Fact!B477:C2461)</f>
        <v>45371</v>
      </c>
      <c r="C477" s="22" t="str">
        <v>CUST1418</v>
      </c>
      <c r="D477" s="22" t="str">
        <f>VLOOKUP('Combine Products &amp; Sales Facts'!C477,'Customer Details'!A:B,2,0)</f>
        <v>Luke Parks</v>
      </c>
      <c r="E477" s="22" t="str">
        <f>VLOOKUP(C477,Sales_Fact!C:D,2,0)</f>
        <v>PROD89</v>
      </c>
      <c r="F477" s="22" t="str">
        <f>VLOOKUP(E477,Product_Dim!A:C,3,0)</f>
        <v>Beauty</v>
      </c>
      <c r="G477" s="22" t="str" cm="1">
        <f t="array" ref="G477:L477">_xlfn.XLOOKUP(C477,Sales_Fact!C477:C2461,Sales_Fact!E477:J2461)</f>
        <v>STORE18</v>
      </c>
      <c r="H477" s="22">
        <v>1</v>
      </c>
      <c r="I477" s="22">
        <v>170.43</v>
      </c>
      <c r="J477" s="22">
        <v>0.03</v>
      </c>
      <c r="K477" s="22" t="str">
        <v>Credit Card</v>
      </c>
      <c r="L477" s="22">
        <v>165.31710000000001</v>
      </c>
    </row>
    <row r="478" spans="1:12" x14ac:dyDescent="0.3">
      <c r="A478" s="22" t="s">
        <v>2287</v>
      </c>
      <c r="B478" s="34" cm="1">
        <f t="array" ref="B478:C478">_xlfn.XLOOKUP(A478,Sales_Fact!A478:A2462,Sales_Fact!B478:C2462)</f>
        <v>45462</v>
      </c>
      <c r="C478" s="22" t="str">
        <v>CUST1223</v>
      </c>
      <c r="D478" s="22" t="str">
        <f>VLOOKUP('Combine Products &amp; Sales Facts'!C478,'Customer Details'!A:B,2,0)</f>
        <v>Robert Harris</v>
      </c>
      <c r="E478" s="22" t="str">
        <f>VLOOKUP(C478,Sales_Fact!C:D,2,0)</f>
        <v>PROD72</v>
      </c>
      <c r="F478" s="22" t="str">
        <f>VLOOKUP(E478,Product_Dim!A:C,3,0)</f>
        <v>Sports</v>
      </c>
      <c r="G478" s="22" t="str" cm="1">
        <f t="array" ref="G478:L478">_xlfn.XLOOKUP(C478,Sales_Fact!C478:C2462,Sales_Fact!E478:J2462)</f>
        <v>STORE2</v>
      </c>
      <c r="H478" s="22">
        <v>3</v>
      </c>
      <c r="I478" s="22">
        <v>480.51</v>
      </c>
      <c r="J478" s="22">
        <v>0.03</v>
      </c>
      <c r="K478" s="22" t="str">
        <v>Credit Card</v>
      </c>
      <c r="L478" s="22">
        <v>1398.2841000000001</v>
      </c>
    </row>
    <row r="479" spans="1:12" x14ac:dyDescent="0.3">
      <c r="A479" s="22" t="s">
        <v>2288</v>
      </c>
      <c r="B479" s="34" cm="1">
        <f t="array" ref="B479:C479">_xlfn.XLOOKUP(A479,Sales_Fact!A479:A2463,Sales_Fact!B479:C2463)</f>
        <v>45632</v>
      </c>
      <c r="C479" s="22" t="str">
        <v>CUST1156</v>
      </c>
      <c r="D479" s="22" t="str">
        <f>VLOOKUP('Combine Products &amp; Sales Facts'!C479,'Customer Details'!A:B,2,0)</f>
        <v>Maria Sanchez</v>
      </c>
      <c r="E479" s="22" t="str">
        <f>VLOOKUP(C479,Sales_Fact!C:D,2,0)</f>
        <v>PROD49</v>
      </c>
      <c r="F479" s="22" t="str">
        <f>VLOOKUP(E479,Product_Dim!A:C,3,0)</f>
        <v>Beauty</v>
      </c>
      <c r="G479" s="22" t="str" cm="1">
        <f t="array" ref="G479:L479">_xlfn.XLOOKUP(C479,Sales_Fact!C479:C2463,Sales_Fact!E479:J2463)</f>
        <v>STORE7</v>
      </c>
      <c r="H479" s="22">
        <v>2</v>
      </c>
      <c r="I479" s="22">
        <v>955.66</v>
      </c>
      <c r="J479" s="22">
        <v>0.28999999999999998</v>
      </c>
      <c r="K479" s="22" t="str">
        <v>COD</v>
      </c>
      <c r="L479" s="22">
        <v>1357.0372</v>
      </c>
    </row>
    <row r="480" spans="1:12" x14ac:dyDescent="0.3">
      <c r="A480" s="22" t="s">
        <v>2289</v>
      </c>
      <c r="B480" s="34" cm="1">
        <f t="array" ref="B480:C480">_xlfn.XLOOKUP(A480,Sales_Fact!A480:A2464,Sales_Fact!B480:C2464)</f>
        <v>45863</v>
      </c>
      <c r="C480" s="22" t="str">
        <v>CUST1451</v>
      </c>
      <c r="D480" s="22" t="str">
        <f>VLOOKUP('Combine Products &amp; Sales Facts'!C480,'Customer Details'!A:B,2,0)</f>
        <v>Ashley Roberts</v>
      </c>
      <c r="E480" s="22" t="str">
        <f>VLOOKUP(C480,Sales_Fact!C:D,2,0)</f>
        <v>PROD90</v>
      </c>
      <c r="F480" s="22" t="str">
        <f>VLOOKUP(E480,Product_Dim!A:C,3,0)</f>
        <v>Electronics</v>
      </c>
      <c r="G480" s="22" t="str" cm="1">
        <f t="array" ref="G480:L480">_xlfn.XLOOKUP(C480,Sales_Fact!C480:C2464,Sales_Fact!E480:J2464)</f>
        <v>STORE0</v>
      </c>
      <c r="H480" s="22">
        <v>2</v>
      </c>
      <c r="I480" s="22">
        <v>488.02</v>
      </c>
      <c r="J480" s="22">
        <v>0.27</v>
      </c>
      <c r="K480" s="22" t="str">
        <v>PayPal</v>
      </c>
      <c r="L480" s="22">
        <v>712.50919999999996</v>
      </c>
    </row>
    <row r="481" spans="1:12" x14ac:dyDescent="0.3">
      <c r="A481" s="22" t="s">
        <v>2290</v>
      </c>
      <c r="B481" s="34" cm="1">
        <f t="array" ref="B481:C481">_xlfn.XLOOKUP(A481,Sales_Fact!A481:A2465,Sales_Fact!B481:C2465)</f>
        <v>45501</v>
      </c>
      <c r="C481" s="22" t="str">
        <v>CUST1240</v>
      </c>
      <c r="D481" s="22" t="str">
        <f>VLOOKUP('Combine Products &amp; Sales Facts'!C481,'Customer Details'!A:B,2,0)</f>
        <v>William Hull</v>
      </c>
      <c r="E481" s="22" t="str">
        <f>VLOOKUP(C481,Sales_Fact!C:D,2,0)</f>
        <v>PROD92</v>
      </c>
      <c r="F481" s="22" t="str">
        <f>VLOOKUP(E481,Product_Dim!A:C,3,0)</f>
        <v>Home</v>
      </c>
      <c r="G481" s="22" t="str" cm="1">
        <f t="array" ref="G481:L481">_xlfn.XLOOKUP(C481,Sales_Fact!C481:C2465,Sales_Fact!E481:J2465)</f>
        <v>STORE0</v>
      </c>
      <c r="H481" s="22">
        <v>1</v>
      </c>
      <c r="I481" s="22">
        <v>917.17</v>
      </c>
      <c r="J481" s="22">
        <v>0.13</v>
      </c>
      <c r="K481" s="22" t="str">
        <v>COD</v>
      </c>
      <c r="L481" s="22">
        <v>797.93790000000001</v>
      </c>
    </row>
    <row r="482" spans="1:12" x14ac:dyDescent="0.3">
      <c r="A482" s="22" t="s">
        <v>2291</v>
      </c>
      <c r="B482" s="34" cm="1">
        <f t="array" ref="B482:C482">_xlfn.XLOOKUP(A482,Sales_Fact!A482:A2466,Sales_Fact!B482:C2466)</f>
        <v>45568</v>
      </c>
      <c r="C482" s="22" t="str">
        <v>CUST1324</v>
      </c>
      <c r="D482" s="22" t="str">
        <f>VLOOKUP('Combine Products &amp; Sales Facts'!C482,'Customer Details'!A:B,2,0)</f>
        <v>Alex Mann Ii</v>
      </c>
      <c r="E482" s="22" t="str">
        <f>VLOOKUP(C482,Sales_Fact!C:D,2,0)</f>
        <v>PROD20</v>
      </c>
      <c r="F482" s="22" t="str">
        <f>VLOOKUP(E482,Product_Dim!A:C,3,0)</f>
        <v>Sports</v>
      </c>
      <c r="G482" s="22" t="str" cm="1">
        <f t="array" ref="G482:L482">_xlfn.XLOOKUP(C482,Sales_Fact!C482:C2466,Sales_Fact!E482:J2466)</f>
        <v>STORE5</v>
      </c>
      <c r="H482" s="22">
        <v>2</v>
      </c>
      <c r="I482" s="22">
        <v>406.46</v>
      </c>
      <c r="J482" s="22">
        <v>0.3</v>
      </c>
      <c r="K482" s="22" t="str">
        <v>PayPal</v>
      </c>
      <c r="L482" s="22">
        <v>569.04399999999998</v>
      </c>
    </row>
    <row r="483" spans="1:12" x14ac:dyDescent="0.3">
      <c r="A483" s="22" t="s">
        <v>2292</v>
      </c>
      <c r="B483" s="34" cm="1">
        <f t="array" ref="B483:C483">_xlfn.XLOOKUP(A483,Sales_Fact!A483:A2467,Sales_Fact!B483:C2467)</f>
        <v>45238</v>
      </c>
      <c r="C483" s="22" t="str">
        <v>CUST1232</v>
      </c>
      <c r="D483" s="22" t="str">
        <f>VLOOKUP('Combine Products &amp; Sales Facts'!C483,'Customer Details'!A:B,2,0)</f>
        <v>Christy Hill</v>
      </c>
      <c r="E483" s="22" t="str">
        <f>VLOOKUP(C483,Sales_Fact!C:D,2,0)</f>
        <v>PROD95</v>
      </c>
      <c r="F483" s="22" t="str">
        <f>VLOOKUP(E483,Product_Dim!A:C,3,0)</f>
        <v>Sports</v>
      </c>
      <c r="G483" s="22" t="str" cm="1">
        <f t="array" ref="G483:L483">_xlfn.XLOOKUP(C483,Sales_Fact!C483:C2467,Sales_Fact!E483:J2467)</f>
        <v>STORE0</v>
      </c>
      <c r="H483" s="22">
        <v>2</v>
      </c>
      <c r="I483" s="22">
        <v>264.39</v>
      </c>
      <c r="J483" s="22">
        <v>0.11</v>
      </c>
      <c r="K483" s="22" t="str">
        <v>COD</v>
      </c>
      <c r="L483" s="22">
        <v>470.61419999999998</v>
      </c>
    </row>
    <row r="484" spans="1:12" x14ac:dyDescent="0.3">
      <c r="A484" s="22" t="s">
        <v>2293</v>
      </c>
      <c r="B484" s="34" cm="1">
        <f t="array" ref="B484:C484">_xlfn.XLOOKUP(A484,Sales_Fact!A484:A2468,Sales_Fact!B484:C2468)</f>
        <v>45754</v>
      </c>
      <c r="C484" s="22" t="str">
        <v>CUST1191</v>
      </c>
      <c r="D484" s="22" t="str">
        <f>VLOOKUP('Combine Products &amp; Sales Facts'!C484,'Customer Details'!A:B,2,0)</f>
        <v>Todd Poole</v>
      </c>
      <c r="E484" s="22" t="str">
        <f>VLOOKUP(C484,Sales_Fact!C:D,2,0)</f>
        <v>PROD17</v>
      </c>
      <c r="F484" s="22" t="str">
        <f>VLOOKUP(E484,Product_Dim!A:C,3,0)</f>
        <v>Sports</v>
      </c>
      <c r="G484" s="22" t="str" cm="1">
        <f t="array" ref="G484:L484">_xlfn.XLOOKUP(C484,Sales_Fact!C484:C2468,Sales_Fact!E484:J2468)</f>
        <v>STORE16</v>
      </c>
      <c r="H484" s="22">
        <v>1</v>
      </c>
      <c r="I484" s="22">
        <v>414.97</v>
      </c>
      <c r="J484" s="22">
        <v>0.22</v>
      </c>
      <c r="K484" s="22" t="str">
        <v>PayPal</v>
      </c>
      <c r="L484" s="22">
        <v>323.67660000000001</v>
      </c>
    </row>
    <row r="485" spans="1:12" x14ac:dyDescent="0.3">
      <c r="A485" s="22" t="s">
        <v>2294</v>
      </c>
      <c r="B485" s="34" cm="1">
        <f t="array" ref="B485:C485">_xlfn.XLOOKUP(A485,Sales_Fact!A485:A2469,Sales_Fact!B485:C2469)</f>
        <v>45280</v>
      </c>
      <c r="C485" s="22" t="str">
        <v>CUST1146</v>
      </c>
      <c r="D485" s="22" t="str">
        <f>VLOOKUP('Combine Products &amp; Sales Facts'!C485,'Customer Details'!A:B,2,0)</f>
        <v>Edward Rivera</v>
      </c>
      <c r="E485" s="22" t="str">
        <f>VLOOKUP(C485,Sales_Fact!C:D,2,0)</f>
        <v>PROD25</v>
      </c>
      <c r="F485" s="22" t="str">
        <f>VLOOKUP(E485,Product_Dim!A:C,3,0)</f>
        <v>Clothing</v>
      </c>
      <c r="G485" s="22" t="str" cm="1">
        <f t="array" ref="G485:L485">_xlfn.XLOOKUP(C485,Sales_Fact!C485:C2469,Sales_Fact!E485:J2469)</f>
        <v>STORE12</v>
      </c>
      <c r="H485" s="22">
        <v>2</v>
      </c>
      <c r="I485" s="22">
        <v>583.51</v>
      </c>
      <c r="J485" s="22">
        <v>0.2</v>
      </c>
      <c r="K485" s="22" t="str">
        <v>COD</v>
      </c>
      <c r="L485" s="22">
        <v>933.61599999999999</v>
      </c>
    </row>
    <row r="486" spans="1:12" x14ac:dyDescent="0.3">
      <c r="A486" s="22" t="s">
        <v>2295</v>
      </c>
      <c r="B486" s="34" cm="1">
        <f t="array" ref="B486:C486">_xlfn.XLOOKUP(A486,Sales_Fact!A486:A2470,Sales_Fact!B486:C2470)</f>
        <v>45911</v>
      </c>
      <c r="C486" s="22" t="str">
        <v>CUST1011</v>
      </c>
      <c r="D486" s="22" t="str">
        <f>VLOOKUP('Combine Products &amp; Sales Facts'!C486,'Customer Details'!A:B,2,0)</f>
        <v>Brian Lopez</v>
      </c>
      <c r="E486" s="22" t="str">
        <f>VLOOKUP(C486,Sales_Fact!C:D,2,0)</f>
        <v>PROD31</v>
      </c>
      <c r="F486" s="22" t="str">
        <f>VLOOKUP(E486,Product_Dim!A:C,3,0)</f>
        <v>Sports</v>
      </c>
      <c r="G486" s="22" t="str" cm="1">
        <f t="array" ref="G486:L486">_xlfn.XLOOKUP(C486,Sales_Fact!C486:C2470,Sales_Fact!E486:J2470)</f>
        <v>STORE17</v>
      </c>
      <c r="H486" s="22">
        <v>1</v>
      </c>
      <c r="I486" s="22">
        <v>659.27</v>
      </c>
      <c r="J486" s="22">
        <v>0.15</v>
      </c>
      <c r="K486" s="22" t="str">
        <v>PayPal</v>
      </c>
      <c r="L486" s="22">
        <v>560.37950000000001</v>
      </c>
    </row>
    <row r="487" spans="1:12" x14ac:dyDescent="0.3">
      <c r="A487" s="22" t="s">
        <v>2296</v>
      </c>
      <c r="B487" s="34" cm="1">
        <f t="array" ref="B487:C487">_xlfn.XLOOKUP(A487,Sales_Fact!A487:A2471,Sales_Fact!B487:C2471)</f>
        <v>45627</v>
      </c>
      <c r="C487" s="22" t="str">
        <v>CUST1445</v>
      </c>
      <c r="D487" s="22" t="str">
        <f>VLOOKUP('Combine Products &amp; Sales Facts'!C487,'Customer Details'!A:B,2,0)</f>
        <v>Gene Lee</v>
      </c>
      <c r="E487" s="22" t="str">
        <f>VLOOKUP(C487,Sales_Fact!C:D,2,0)</f>
        <v>PROD2</v>
      </c>
      <c r="F487" s="22" t="str">
        <f>VLOOKUP(E487,Product_Dim!A:C,3,0)</f>
        <v>Clothing</v>
      </c>
      <c r="G487" s="22" t="str" cm="1">
        <f t="array" ref="G487:L487">_xlfn.XLOOKUP(C487,Sales_Fact!C487:C2471,Sales_Fact!E487:J2471)</f>
        <v>STORE4</v>
      </c>
      <c r="H487" s="22">
        <v>4</v>
      </c>
      <c r="I487" s="22">
        <v>106.66</v>
      </c>
      <c r="J487" s="22">
        <v>0.2</v>
      </c>
      <c r="K487" s="22" t="str">
        <v>COD</v>
      </c>
      <c r="L487" s="22">
        <v>341.31200000000001</v>
      </c>
    </row>
    <row r="488" spans="1:12" x14ac:dyDescent="0.3">
      <c r="A488" s="22" t="s">
        <v>2297</v>
      </c>
      <c r="B488" s="34" cm="1">
        <f t="array" ref="B488:C488">_xlfn.XLOOKUP(A488,Sales_Fact!A488:A2472,Sales_Fact!B488:C2472)</f>
        <v>45617</v>
      </c>
      <c r="C488" s="22" t="str">
        <v>CUST1163</v>
      </c>
      <c r="D488" s="22" t="str">
        <f>VLOOKUP('Combine Products &amp; Sales Facts'!C488,'Customer Details'!A:B,2,0)</f>
        <v>Joseph Jones</v>
      </c>
      <c r="E488" s="22" t="str">
        <f>VLOOKUP(C488,Sales_Fact!C:D,2,0)</f>
        <v>PROD97</v>
      </c>
      <c r="F488" s="22" t="str">
        <f>VLOOKUP(E488,Product_Dim!A:C,3,0)</f>
        <v>Sports</v>
      </c>
      <c r="G488" s="22" t="str" cm="1">
        <f t="array" ref="G488:L488">_xlfn.XLOOKUP(C488,Sales_Fact!C488:C2472,Sales_Fact!E488:J2472)</f>
        <v>STORE5</v>
      </c>
      <c r="H488" s="22">
        <v>4</v>
      </c>
      <c r="I488" s="22">
        <v>168.55</v>
      </c>
      <c r="J488" s="22">
        <v>0.15</v>
      </c>
      <c r="K488" s="22" t="str">
        <v>PayPal</v>
      </c>
      <c r="L488" s="22">
        <v>573.07000000000005</v>
      </c>
    </row>
    <row r="489" spans="1:12" x14ac:dyDescent="0.3">
      <c r="A489" s="22" t="s">
        <v>2298</v>
      </c>
      <c r="B489" s="34" cm="1">
        <f t="array" ref="B489:C489">_xlfn.XLOOKUP(A489,Sales_Fact!A489:A2473,Sales_Fact!B489:C2473)</f>
        <v>45899</v>
      </c>
      <c r="C489" s="22" t="str">
        <v>CUST1488</v>
      </c>
      <c r="D489" s="22" t="str">
        <f>VLOOKUP('Combine Products &amp; Sales Facts'!C489,'Customer Details'!A:B,2,0)</f>
        <v>Zachary Andrade</v>
      </c>
      <c r="E489" s="22" t="str">
        <f>VLOOKUP(C489,Sales_Fact!C:D,2,0)</f>
        <v>PROD78</v>
      </c>
      <c r="F489" s="22" t="str">
        <f>VLOOKUP(E489,Product_Dim!A:C,3,0)</f>
        <v>Home</v>
      </c>
      <c r="G489" s="22" t="str" cm="1">
        <f t="array" ref="G489:L489">_xlfn.XLOOKUP(C489,Sales_Fact!C489:C2473,Sales_Fact!E489:J2473)</f>
        <v>STORE2</v>
      </c>
      <c r="H489" s="22">
        <v>1</v>
      </c>
      <c r="I489" s="22">
        <v>230.53</v>
      </c>
      <c r="J489" s="22">
        <v>0.06</v>
      </c>
      <c r="K489" s="22" t="str">
        <v>COD</v>
      </c>
      <c r="L489" s="22">
        <v>216.69820000000001</v>
      </c>
    </row>
    <row r="490" spans="1:12" x14ac:dyDescent="0.3">
      <c r="A490" s="22" t="s">
        <v>2299</v>
      </c>
      <c r="B490" s="34" cm="1">
        <f t="array" ref="B490:C490">_xlfn.XLOOKUP(A490,Sales_Fact!A490:A2474,Sales_Fact!B490:C2474)</f>
        <v>45889</v>
      </c>
      <c r="C490" s="22" t="str">
        <v>CUST1007</v>
      </c>
      <c r="D490" s="22" t="str">
        <f>VLOOKUP('Combine Products &amp; Sales Facts'!C490,'Customer Details'!A:B,2,0)</f>
        <v>Daniel Boyd</v>
      </c>
      <c r="E490" s="22" t="str">
        <f>VLOOKUP(C490,Sales_Fact!C:D,2,0)</f>
        <v>PROD67</v>
      </c>
      <c r="F490" s="22" t="str">
        <f>VLOOKUP(E490,Product_Dim!A:C,3,0)</f>
        <v>Electronics</v>
      </c>
      <c r="G490" s="22" t="str" cm="1">
        <f t="array" ref="G490:L490">_xlfn.XLOOKUP(C490,Sales_Fact!C490:C2474,Sales_Fact!E490:J2474)</f>
        <v>STORE1</v>
      </c>
      <c r="H490" s="22">
        <v>2</v>
      </c>
      <c r="I490" s="22">
        <v>355.41</v>
      </c>
      <c r="J490" s="22">
        <v>0.13</v>
      </c>
      <c r="K490" s="22" t="str">
        <v>COD</v>
      </c>
      <c r="L490" s="22">
        <v>618.41340000000002</v>
      </c>
    </row>
    <row r="491" spans="1:12" x14ac:dyDescent="0.3">
      <c r="A491" s="22" t="s">
        <v>2300</v>
      </c>
      <c r="B491" s="34" cm="1">
        <f t="array" ref="B491:C491">_xlfn.XLOOKUP(A491,Sales_Fact!A491:A2475,Sales_Fact!B491:C2475)</f>
        <v>45943</v>
      </c>
      <c r="C491" s="22" t="str">
        <v>CUST1167</v>
      </c>
      <c r="D491" s="22" t="str">
        <f>VLOOKUP('Combine Products &amp; Sales Facts'!C491,'Customer Details'!A:B,2,0)</f>
        <v>Antonio Wade</v>
      </c>
      <c r="E491" s="22" t="str">
        <f>VLOOKUP(C491,Sales_Fact!C:D,2,0)</f>
        <v>PROD47</v>
      </c>
      <c r="F491" s="22" t="str">
        <f>VLOOKUP(E491,Product_Dim!A:C,3,0)</f>
        <v>Beauty</v>
      </c>
      <c r="G491" s="22" t="str" cm="1">
        <f t="array" ref="G491:L491">_xlfn.XLOOKUP(C491,Sales_Fact!C491:C2475,Sales_Fact!E491:J2475)</f>
        <v>STORE2</v>
      </c>
      <c r="H491" s="22">
        <v>3</v>
      </c>
      <c r="I491" s="22">
        <v>843.44</v>
      </c>
      <c r="J491" s="22">
        <v>0.22</v>
      </c>
      <c r="K491" s="22" t="str">
        <v>Credit Card</v>
      </c>
      <c r="L491" s="22">
        <v>1973.6496</v>
      </c>
    </row>
    <row r="492" spans="1:12" x14ac:dyDescent="0.3">
      <c r="A492" s="22" t="s">
        <v>2301</v>
      </c>
      <c r="B492" s="34" cm="1">
        <f t="array" ref="B492:C492">_xlfn.XLOOKUP(A492,Sales_Fact!A492:A2476,Sales_Fact!B492:C2476)</f>
        <v>45306</v>
      </c>
      <c r="C492" s="22" t="str">
        <v>CUST1163</v>
      </c>
      <c r="D492" s="22" t="str">
        <f>VLOOKUP('Combine Products &amp; Sales Facts'!C492,'Customer Details'!A:B,2,0)</f>
        <v>Joseph Jones</v>
      </c>
      <c r="E492" s="22" t="str">
        <f>VLOOKUP(C492,Sales_Fact!C:D,2,0)</f>
        <v>PROD97</v>
      </c>
      <c r="F492" s="22" t="str">
        <f>VLOOKUP(E492,Product_Dim!A:C,3,0)</f>
        <v>Sports</v>
      </c>
      <c r="G492" s="22" t="str" cm="1">
        <f t="array" ref="G492:L492">_xlfn.XLOOKUP(C492,Sales_Fact!C492:C2476,Sales_Fact!E492:J2476)</f>
        <v>STORE1</v>
      </c>
      <c r="H492" s="22">
        <v>1</v>
      </c>
      <c r="I492" s="22">
        <v>301.60000000000002</v>
      </c>
      <c r="J492" s="22">
        <v>0.27</v>
      </c>
      <c r="K492" s="22" t="str">
        <v>Credit Card</v>
      </c>
      <c r="L492" s="22">
        <v>220.16800000000001</v>
      </c>
    </row>
    <row r="493" spans="1:12" x14ac:dyDescent="0.3">
      <c r="A493" s="22" t="s">
        <v>2302</v>
      </c>
      <c r="B493" s="34" cm="1">
        <f t="array" ref="B493:C493">_xlfn.XLOOKUP(A493,Sales_Fact!A493:A2477,Sales_Fact!B493:C2477)</f>
        <v>45772</v>
      </c>
      <c r="C493" s="22" t="str">
        <v>CUST1042</v>
      </c>
      <c r="D493" s="22" t="str">
        <f>VLOOKUP('Combine Products &amp; Sales Facts'!C493,'Customer Details'!A:B,2,0)</f>
        <v>William Martin</v>
      </c>
      <c r="E493" s="22" t="str">
        <f>VLOOKUP(C493,Sales_Fact!C:D,2,0)</f>
        <v>PROD51</v>
      </c>
      <c r="F493" s="22" t="str">
        <f>VLOOKUP(E493,Product_Dim!A:C,3,0)</f>
        <v>Electronics</v>
      </c>
      <c r="G493" s="22" t="str" cm="1">
        <f t="array" ref="G493:L493">_xlfn.XLOOKUP(C493,Sales_Fact!C493:C2477,Sales_Fact!E493:J2477)</f>
        <v>STORE2</v>
      </c>
      <c r="H493" s="22">
        <v>3</v>
      </c>
      <c r="I493" s="22">
        <v>21.59</v>
      </c>
      <c r="J493" s="22">
        <v>0.16</v>
      </c>
      <c r="K493" s="22" t="str">
        <v>COD</v>
      </c>
      <c r="L493" s="22">
        <v>54.406799999999997</v>
      </c>
    </row>
    <row r="494" spans="1:12" x14ac:dyDescent="0.3">
      <c r="A494" s="22" t="s">
        <v>2303</v>
      </c>
      <c r="B494" s="34" cm="1">
        <f t="array" ref="B494:C494">_xlfn.XLOOKUP(A494,Sales_Fact!A494:A2478,Sales_Fact!B494:C2478)</f>
        <v>45346</v>
      </c>
      <c r="C494" s="22" t="str">
        <v>CUST1212</v>
      </c>
      <c r="D494" s="22" t="str">
        <f>VLOOKUP('Combine Products &amp; Sales Facts'!C494,'Customer Details'!A:B,2,0)</f>
        <v>Blake Harrison</v>
      </c>
      <c r="E494" s="22" t="str">
        <f>VLOOKUP(C494,Sales_Fact!C:D,2,0)</f>
        <v>PROD13</v>
      </c>
      <c r="F494" s="22" t="str">
        <f>VLOOKUP(E494,Product_Dim!A:C,3,0)</f>
        <v>Electronics</v>
      </c>
      <c r="G494" s="22" t="str" cm="1">
        <f t="array" ref="G494:L494">_xlfn.XLOOKUP(C494,Sales_Fact!C494:C2478,Sales_Fact!E494:J2478)</f>
        <v>STORE2</v>
      </c>
      <c r="H494" s="22">
        <v>4</v>
      </c>
      <c r="I494" s="22">
        <v>284.24</v>
      </c>
      <c r="J494" s="22">
        <v>0.09</v>
      </c>
      <c r="K494" s="22" t="str">
        <v>Credit Card</v>
      </c>
      <c r="L494" s="22">
        <v>1034.6335999999999</v>
      </c>
    </row>
    <row r="495" spans="1:12" x14ac:dyDescent="0.3">
      <c r="A495" s="22" t="s">
        <v>2304</v>
      </c>
      <c r="B495" s="34" cm="1">
        <f t="array" ref="B495:C495">_xlfn.XLOOKUP(A495,Sales_Fact!A495:A2479,Sales_Fact!B495:C2479)</f>
        <v>45656</v>
      </c>
      <c r="C495" s="22" t="str">
        <v>CUST1368</v>
      </c>
      <c r="D495" s="22" t="str">
        <f>VLOOKUP('Combine Products &amp; Sales Facts'!C495,'Customer Details'!A:B,2,0)</f>
        <v>Miranda King</v>
      </c>
      <c r="E495" s="22" t="str">
        <f>VLOOKUP(C495,Sales_Fact!C:D,2,0)</f>
        <v>PROD12</v>
      </c>
      <c r="F495" s="22" t="str">
        <f>VLOOKUP(E495,Product_Dim!A:C,3,0)</f>
        <v>Beauty</v>
      </c>
      <c r="G495" s="22" t="str" cm="1">
        <f t="array" ref="G495:L495">_xlfn.XLOOKUP(C495,Sales_Fact!C495:C2479,Sales_Fact!E495:J2479)</f>
        <v>STORE9</v>
      </c>
      <c r="H495" s="22">
        <v>1</v>
      </c>
      <c r="I495" s="22">
        <v>191.6</v>
      </c>
      <c r="J495" s="22">
        <v>0.27</v>
      </c>
      <c r="K495" s="22" t="str">
        <v>PayPal</v>
      </c>
      <c r="L495" s="22">
        <v>139.86799999999999</v>
      </c>
    </row>
    <row r="496" spans="1:12" x14ac:dyDescent="0.3">
      <c r="A496" s="22" t="s">
        <v>2305</v>
      </c>
      <c r="B496" s="34" cm="1">
        <f t="array" ref="B496:C496">_xlfn.XLOOKUP(A496,Sales_Fact!A496:A2480,Sales_Fact!B496:C2480)</f>
        <v>45762</v>
      </c>
      <c r="C496" s="22" t="str">
        <v>CUST1311</v>
      </c>
      <c r="D496" s="22" t="str">
        <f>VLOOKUP('Combine Products &amp; Sales Facts'!C496,'Customer Details'!A:B,2,0)</f>
        <v>Kevin Larson</v>
      </c>
      <c r="E496" s="22" t="str">
        <f>VLOOKUP(C496,Sales_Fact!C:D,2,0)</f>
        <v>PROD78</v>
      </c>
      <c r="F496" s="22" t="str">
        <f>VLOOKUP(E496,Product_Dim!A:C,3,0)</f>
        <v>Home</v>
      </c>
      <c r="G496" s="22" t="str" cm="1">
        <f t="array" ref="G496:L496">_xlfn.XLOOKUP(C496,Sales_Fact!C496:C2480,Sales_Fact!E496:J2480)</f>
        <v>STORE12</v>
      </c>
      <c r="H496" s="22">
        <v>2</v>
      </c>
      <c r="I496" s="22">
        <v>616.97</v>
      </c>
      <c r="J496" s="22">
        <v>0.22</v>
      </c>
      <c r="K496" s="22" t="str">
        <v>Credit Card</v>
      </c>
      <c r="L496" s="22">
        <v>962.47320000000002</v>
      </c>
    </row>
    <row r="497" spans="1:12" x14ac:dyDescent="0.3">
      <c r="A497" s="22" t="s">
        <v>2306</v>
      </c>
      <c r="B497" s="34" cm="1">
        <f t="array" ref="B497:C497">_xlfn.XLOOKUP(A497,Sales_Fact!A497:A2481,Sales_Fact!B497:C2481)</f>
        <v>45580</v>
      </c>
      <c r="C497" s="22" t="str">
        <v>CUST1168</v>
      </c>
      <c r="D497" s="22" t="str">
        <f>VLOOKUP('Combine Products &amp; Sales Facts'!C497,'Customer Details'!A:B,2,0)</f>
        <v>Daniel Contreras</v>
      </c>
      <c r="E497" s="22" t="str">
        <f>VLOOKUP(C497,Sales_Fact!C:D,2,0)</f>
        <v>PROD72</v>
      </c>
      <c r="F497" s="22" t="str">
        <f>VLOOKUP(E497,Product_Dim!A:C,3,0)</f>
        <v>Sports</v>
      </c>
      <c r="G497" s="22" t="str" cm="1">
        <f t="array" ref="G497:L497">_xlfn.XLOOKUP(C497,Sales_Fact!C497:C2481,Sales_Fact!E497:J2481)</f>
        <v>STORE10</v>
      </c>
      <c r="H497" s="22">
        <v>3</v>
      </c>
      <c r="I497" s="22">
        <v>125.68</v>
      </c>
      <c r="J497" s="22">
        <v>0.26</v>
      </c>
      <c r="K497" s="22" t="str">
        <v>COD</v>
      </c>
      <c r="L497" s="22">
        <v>279.00959999999998</v>
      </c>
    </row>
    <row r="498" spans="1:12" x14ac:dyDescent="0.3">
      <c r="A498" s="22" t="s">
        <v>2307</v>
      </c>
      <c r="B498" s="34" cm="1">
        <f t="array" ref="B498:C498">_xlfn.XLOOKUP(A498,Sales_Fact!A498:A2482,Sales_Fact!B498:C2482)</f>
        <v>45676</v>
      </c>
      <c r="C498" s="22" t="str">
        <v>CUST1352</v>
      </c>
      <c r="D498" s="22" t="str">
        <f>VLOOKUP('Combine Products &amp; Sales Facts'!C498,'Customer Details'!A:B,2,0)</f>
        <v>Michael Greene</v>
      </c>
      <c r="E498" s="22" t="str">
        <f>VLOOKUP(C498,Sales_Fact!C:D,2,0)</f>
        <v>PROD43</v>
      </c>
      <c r="F498" s="22" t="str">
        <f>VLOOKUP(E498,Product_Dim!A:C,3,0)</f>
        <v>Electronics</v>
      </c>
      <c r="G498" s="22" t="str" cm="1">
        <f t="array" ref="G498:L498">_xlfn.XLOOKUP(C498,Sales_Fact!C498:C2482,Sales_Fact!E498:J2482)</f>
        <v>STORE4</v>
      </c>
      <c r="H498" s="22">
        <v>3</v>
      </c>
      <c r="I498" s="22">
        <v>307.48</v>
      </c>
      <c r="J498" s="22">
        <v>0.24</v>
      </c>
      <c r="K498" s="22" t="str">
        <v>Credit Card</v>
      </c>
      <c r="L498" s="22">
        <v>701.0544000000001</v>
      </c>
    </row>
    <row r="499" spans="1:12" x14ac:dyDescent="0.3">
      <c r="A499" s="22" t="s">
        <v>2308</v>
      </c>
      <c r="B499" s="34" cm="1">
        <f t="array" ref="B499:C499">_xlfn.XLOOKUP(A499,Sales_Fact!A499:A2483,Sales_Fact!B499:C2483)</f>
        <v>45495</v>
      </c>
      <c r="C499" s="22" t="str">
        <v>CUST1298</v>
      </c>
      <c r="D499" s="22" t="str">
        <f>VLOOKUP('Combine Products &amp; Sales Facts'!C499,'Customer Details'!A:B,2,0)</f>
        <v>Tracy Stephens</v>
      </c>
      <c r="E499" s="22" t="str">
        <f>VLOOKUP(C499,Sales_Fact!C:D,2,0)</f>
        <v>PROD73</v>
      </c>
      <c r="F499" s="22" t="str">
        <f>VLOOKUP(E499,Product_Dim!A:C,3,0)</f>
        <v>Sports</v>
      </c>
      <c r="G499" s="22" t="str" cm="1">
        <f t="array" ref="G499:L499">_xlfn.XLOOKUP(C499,Sales_Fact!C499:C2483,Sales_Fact!E499:J2483)</f>
        <v>STORE19</v>
      </c>
      <c r="H499" s="22">
        <v>1</v>
      </c>
      <c r="I499" s="22">
        <v>505.23</v>
      </c>
      <c r="J499" s="22">
        <v>0.11</v>
      </c>
      <c r="K499" s="22" t="str">
        <v>Credit Card</v>
      </c>
      <c r="L499" s="22">
        <v>449.65469999999999</v>
      </c>
    </row>
    <row r="500" spans="1:12" x14ac:dyDescent="0.3">
      <c r="A500" s="22" t="s">
        <v>2309</v>
      </c>
      <c r="B500" s="34" cm="1">
        <f t="array" ref="B500:C500">_xlfn.XLOOKUP(A500,Sales_Fact!A500:A2484,Sales_Fact!B500:C2484)</f>
        <v>45735</v>
      </c>
      <c r="C500" s="22" t="str">
        <v>CUST1365</v>
      </c>
      <c r="D500" s="22" t="str">
        <f>VLOOKUP('Combine Products &amp; Sales Facts'!C500,'Customer Details'!A:B,2,0)</f>
        <v>Brandon Mcbride</v>
      </c>
      <c r="E500" s="22" t="str">
        <f>VLOOKUP(C500,Sales_Fact!C:D,2,0)</f>
        <v>PROD45</v>
      </c>
      <c r="F500" s="22" t="str">
        <f>VLOOKUP(E500,Product_Dim!A:C,3,0)</f>
        <v>Sports</v>
      </c>
      <c r="G500" s="22" t="str" cm="1">
        <f t="array" ref="G500:L500">_xlfn.XLOOKUP(C500,Sales_Fact!C500:C2484,Sales_Fact!E500:J2484)</f>
        <v>STORE16</v>
      </c>
      <c r="H500" s="22">
        <v>1</v>
      </c>
      <c r="I500" s="22">
        <v>853.12</v>
      </c>
      <c r="J500" s="22">
        <v>0.19</v>
      </c>
      <c r="K500" s="22" t="str">
        <v>COD</v>
      </c>
      <c r="L500" s="22">
        <v>691.02719999999999</v>
      </c>
    </row>
    <row r="501" spans="1:12" x14ac:dyDescent="0.3">
      <c r="A501" s="22" t="s">
        <v>2310</v>
      </c>
      <c r="B501" s="34" cm="1">
        <f t="array" ref="B501:C501">_xlfn.XLOOKUP(A501,Sales_Fact!A501:A2485,Sales_Fact!B501:C2485)</f>
        <v>45312</v>
      </c>
      <c r="C501" s="22" t="str">
        <v>CUST1129</v>
      </c>
      <c r="D501" s="22" t="str">
        <f>VLOOKUP('Combine Products &amp; Sales Facts'!C501,'Customer Details'!A:B,2,0)</f>
        <v>Jessica Mitchell</v>
      </c>
      <c r="E501" s="22" t="str">
        <f>VLOOKUP(C501,Sales_Fact!C:D,2,0)</f>
        <v>PROD91</v>
      </c>
      <c r="F501" s="22" t="str">
        <f>VLOOKUP(E501,Product_Dim!A:C,3,0)</f>
        <v>Clothing</v>
      </c>
      <c r="G501" s="22" t="str" cm="1">
        <f t="array" ref="G501:L501">_xlfn.XLOOKUP(C501,Sales_Fact!C501:C2485,Sales_Fact!E501:J2485)</f>
        <v>STORE7</v>
      </c>
      <c r="H501" s="22">
        <v>4</v>
      </c>
      <c r="I501" s="22">
        <v>191.65</v>
      </c>
      <c r="J501" s="22">
        <v>0.19</v>
      </c>
      <c r="K501" s="22" t="str">
        <v>PayPal</v>
      </c>
      <c r="L501" s="22">
        <v>620.94600000000003</v>
      </c>
    </row>
    <row r="502" spans="1:12" x14ac:dyDescent="0.3">
      <c r="A502" s="22" t="s">
        <v>2311</v>
      </c>
      <c r="B502" s="34" cm="1">
        <f t="array" ref="B502:C502">_xlfn.XLOOKUP(A502,Sales_Fact!A502:A2486,Sales_Fact!B502:C2486)</f>
        <v>45286</v>
      </c>
      <c r="C502" s="22" t="str">
        <v>CUST1160</v>
      </c>
      <c r="D502" s="22" t="str">
        <f>VLOOKUP('Combine Products &amp; Sales Facts'!C502,'Customer Details'!A:B,2,0)</f>
        <v>John Lawson</v>
      </c>
      <c r="E502" s="22" t="str">
        <f>VLOOKUP(C502,Sales_Fact!C:D,2,0)</f>
        <v>PROD47</v>
      </c>
      <c r="F502" s="22" t="str">
        <f>VLOOKUP(E502,Product_Dim!A:C,3,0)</f>
        <v>Beauty</v>
      </c>
      <c r="G502" s="22" t="str" cm="1">
        <f t="array" ref="G502:L502">_xlfn.XLOOKUP(C502,Sales_Fact!C502:C2486,Sales_Fact!E502:J2486)</f>
        <v>STORE3</v>
      </c>
      <c r="H502" s="22">
        <v>1</v>
      </c>
      <c r="I502" s="22">
        <v>169.69</v>
      </c>
      <c r="J502" s="22">
        <v>0.22</v>
      </c>
      <c r="K502" s="22" t="str">
        <v>Credit Card</v>
      </c>
      <c r="L502" s="22">
        <v>132.35820000000001</v>
      </c>
    </row>
    <row r="503" spans="1:12" x14ac:dyDescent="0.3">
      <c r="A503" s="22" t="s">
        <v>2312</v>
      </c>
      <c r="B503" s="34" cm="1">
        <f t="array" ref="B503:C503">_xlfn.XLOOKUP(A503,Sales_Fact!A503:A2487,Sales_Fact!B503:C2487)</f>
        <v>45372</v>
      </c>
      <c r="C503" s="22" t="str">
        <v>CUST1175</v>
      </c>
      <c r="D503" s="22" t="str">
        <f>VLOOKUP('Combine Products &amp; Sales Facts'!C503,'Customer Details'!A:B,2,0)</f>
        <v>Michelle Rogers</v>
      </c>
      <c r="E503" s="22" t="str">
        <f>VLOOKUP(C503,Sales_Fact!C:D,2,0)</f>
        <v>PROD49</v>
      </c>
      <c r="F503" s="22" t="str">
        <f>VLOOKUP(E503,Product_Dim!A:C,3,0)</f>
        <v>Beauty</v>
      </c>
      <c r="G503" s="22" t="str" cm="1">
        <f t="array" ref="G503:L503">_xlfn.XLOOKUP(C503,Sales_Fact!C503:C2487,Sales_Fact!E503:J2487)</f>
        <v>STORE14</v>
      </c>
      <c r="H503" s="22">
        <v>1</v>
      </c>
      <c r="I503" s="22">
        <v>145.43</v>
      </c>
      <c r="J503" s="22">
        <v>0.08</v>
      </c>
      <c r="K503" s="22" t="str">
        <v>Credit Card</v>
      </c>
      <c r="L503" s="22">
        <v>133.79560000000001</v>
      </c>
    </row>
    <row r="504" spans="1:12" x14ac:dyDescent="0.3">
      <c r="A504" s="22" t="s">
        <v>2313</v>
      </c>
      <c r="B504" s="34" cm="1">
        <f t="array" ref="B504:C504">_xlfn.XLOOKUP(A504,Sales_Fact!A504:A2488,Sales_Fact!B504:C2488)</f>
        <v>45633</v>
      </c>
      <c r="C504" s="22" t="str">
        <v>CUST1084</v>
      </c>
      <c r="D504" s="22" t="str">
        <f>VLOOKUP('Combine Products &amp; Sales Facts'!C504,'Customer Details'!A:B,2,0)</f>
        <v>Christy Hoffman</v>
      </c>
      <c r="E504" s="22" t="str">
        <f>VLOOKUP(C504,Sales_Fact!C:D,2,0)</f>
        <v>PROD25</v>
      </c>
      <c r="F504" s="22" t="str">
        <f>VLOOKUP(E504,Product_Dim!A:C,3,0)</f>
        <v>Clothing</v>
      </c>
      <c r="G504" s="22" t="str" cm="1">
        <f t="array" ref="G504:L504">_xlfn.XLOOKUP(C504,Sales_Fact!C504:C2488,Sales_Fact!E504:J2488)</f>
        <v>STORE12</v>
      </c>
      <c r="H504" s="22">
        <v>4</v>
      </c>
      <c r="I504" s="22">
        <v>828.35</v>
      </c>
      <c r="J504" s="22">
        <v>0.17</v>
      </c>
      <c r="K504" s="22" t="str">
        <v>Credit Card</v>
      </c>
      <c r="L504" s="22">
        <v>2750.1219999999998</v>
      </c>
    </row>
    <row r="505" spans="1:12" x14ac:dyDescent="0.3">
      <c r="A505" s="22" t="s">
        <v>2314</v>
      </c>
      <c r="B505" s="34" cm="1">
        <f t="array" ref="B505:C505">_xlfn.XLOOKUP(A505,Sales_Fact!A505:A2489,Sales_Fact!B505:C2489)</f>
        <v>45598</v>
      </c>
      <c r="C505" s="22" t="str">
        <v>CUST1362</v>
      </c>
      <c r="D505" s="22" t="str">
        <f>VLOOKUP('Combine Products &amp; Sales Facts'!C505,'Customer Details'!A:B,2,0)</f>
        <v>Joshua Smith Dvm</v>
      </c>
      <c r="E505" s="22" t="str">
        <f>VLOOKUP(C505,Sales_Fact!C:D,2,0)</f>
        <v>PROD95</v>
      </c>
      <c r="F505" s="22" t="str">
        <f>VLOOKUP(E505,Product_Dim!A:C,3,0)</f>
        <v>Sports</v>
      </c>
      <c r="G505" s="22" t="str" cm="1">
        <f t="array" ref="G505:L505">_xlfn.XLOOKUP(C505,Sales_Fact!C505:C2489,Sales_Fact!E505:J2489)</f>
        <v>STORE7</v>
      </c>
      <c r="H505" s="22">
        <v>3</v>
      </c>
      <c r="I505" s="22">
        <v>268.76</v>
      </c>
      <c r="J505" s="22">
        <v>0.01</v>
      </c>
      <c r="K505" s="22" t="str">
        <v>PayPal</v>
      </c>
      <c r="L505" s="22">
        <v>798.21719999999993</v>
      </c>
    </row>
    <row r="506" spans="1:12" x14ac:dyDescent="0.3">
      <c r="A506" s="22" t="s">
        <v>2315</v>
      </c>
      <c r="B506" s="34" cm="1">
        <f t="array" ref="B506:C506">_xlfn.XLOOKUP(A506,Sales_Fact!A506:A2490,Sales_Fact!B506:C2490)</f>
        <v>45495</v>
      </c>
      <c r="C506" s="22" t="str">
        <v>CUST1233</v>
      </c>
      <c r="D506" s="22" t="str">
        <f>VLOOKUP('Combine Products &amp; Sales Facts'!C506,'Customer Details'!A:B,2,0)</f>
        <v>Michelle Gonzalez</v>
      </c>
      <c r="E506" s="22" t="str">
        <f>VLOOKUP(C506,Sales_Fact!C:D,2,0)</f>
        <v>PROD88</v>
      </c>
      <c r="F506" s="22" t="str">
        <f>VLOOKUP(E506,Product_Dim!A:C,3,0)</f>
        <v>Sports</v>
      </c>
      <c r="G506" s="22" t="str" cm="1">
        <f t="array" ref="G506:L506">_xlfn.XLOOKUP(C506,Sales_Fact!C506:C2490,Sales_Fact!E506:J2490)</f>
        <v>STORE0</v>
      </c>
      <c r="H506" s="22">
        <v>4</v>
      </c>
      <c r="I506" s="22">
        <v>370.09</v>
      </c>
      <c r="J506" s="22">
        <v>0.22</v>
      </c>
      <c r="K506" s="22" t="str">
        <v>COD</v>
      </c>
      <c r="L506" s="22">
        <v>1154.6808000000001</v>
      </c>
    </row>
    <row r="507" spans="1:12" x14ac:dyDescent="0.3">
      <c r="A507" s="22" t="s">
        <v>2316</v>
      </c>
      <c r="B507" s="34" cm="1">
        <f t="array" ref="B507:C507">_xlfn.XLOOKUP(A507,Sales_Fact!A507:A2491,Sales_Fact!B507:C2491)</f>
        <v>45229</v>
      </c>
      <c r="C507" s="22" t="str">
        <v>CUST1253</v>
      </c>
      <c r="D507" s="22" t="str">
        <f>VLOOKUP('Combine Products &amp; Sales Facts'!C507,'Customer Details'!A:B,2,0)</f>
        <v>Dr. Ashley Yates Md</v>
      </c>
      <c r="E507" s="22" t="str">
        <f>VLOOKUP(C507,Sales_Fact!C:D,2,0)</f>
        <v>PROD71</v>
      </c>
      <c r="F507" s="22" t="str">
        <f>VLOOKUP(E507,Product_Dim!A:C,3,0)</f>
        <v>Beauty</v>
      </c>
      <c r="G507" s="22" t="str" cm="1">
        <f t="array" ref="G507:L507">_xlfn.XLOOKUP(C507,Sales_Fact!C507:C2491,Sales_Fact!E507:J2491)</f>
        <v>STORE6</v>
      </c>
      <c r="H507" s="22">
        <v>3</v>
      </c>
      <c r="I507" s="22">
        <v>679.22</v>
      </c>
      <c r="J507" s="22">
        <v>0.11</v>
      </c>
      <c r="K507" s="22" t="str">
        <v>PayPal</v>
      </c>
      <c r="L507" s="22">
        <v>1813.5174</v>
      </c>
    </row>
    <row r="508" spans="1:12" x14ac:dyDescent="0.3">
      <c r="A508" s="22" t="s">
        <v>2317</v>
      </c>
      <c r="B508" s="34" cm="1">
        <f t="array" ref="B508:C508">_xlfn.XLOOKUP(A508,Sales_Fact!A508:A2492,Sales_Fact!B508:C2492)</f>
        <v>45433</v>
      </c>
      <c r="C508" s="22" t="str">
        <v>CUST1373</v>
      </c>
      <c r="D508" s="22" t="str">
        <f>VLOOKUP('Combine Products &amp; Sales Facts'!C508,'Customer Details'!A:B,2,0)</f>
        <v>James Orozco</v>
      </c>
      <c r="E508" s="22" t="str">
        <f>VLOOKUP(C508,Sales_Fact!C:D,2,0)</f>
        <v>PROD72</v>
      </c>
      <c r="F508" s="22" t="str">
        <f>VLOOKUP(E508,Product_Dim!A:C,3,0)</f>
        <v>Sports</v>
      </c>
      <c r="G508" s="22" t="str" cm="1">
        <f t="array" ref="G508:L508">_xlfn.XLOOKUP(C508,Sales_Fact!C508:C2492,Sales_Fact!E508:J2492)</f>
        <v>STORE0</v>
      </c>
      <c r="H508" s="22">
        <v>3</v>
      </c>
      <c r="I508" s="22">
        <v>780.69</v>
      </c>
      <c r="J508" s="22">
        <v>0.1</v>
      </c>
      <c r="K508" s="22" t="str">
        <v>COD</v>
      </c>
      <c r="L508" s="22">
        <v>2107.8629999999998</v>
      </c>
    </row>
    <row r="509" spans="1:12" x14ac:dyDescent="0.3">
      <c r="A509" s="22" t="s">
        <v>2318</v>
      </c>
      <c r="B509" s="34" cm="1">
        <f t="array" ref="B509:C509">_xlfn.XLOOKUP(A509,Sales_Fact!A509:A2493,Sales_Fact!B509:C2493)</f>
        <v>45766</v>
      </c>
      <c r="C509" s="22" t="str">
        <v>CUST1261</v>
      </c>
      <c r="D509" s="22" t="str">
        <f>VLOOKUP('Combine Products &amp; Sales Facts'!C509,'Customer Details'!A:B,2,0)</f>
        <v>Carol Bishop</v>
      </c>
      <c r="E509" s="22" t="str">
        <f>VLOOKUP(C509,Sales_Fact!C:D,2,0)</f>
        <v>PROD42</v>
      </c>
      <c r="F509" s="22" t="str">
        <f>VLOOKUP(E509,Product_Dim!A:C,3,0)</f>
        <v>Electronics</v>
      </c>
      <c r="G509" s="22" t="str" cm="1">
        <f t="array" ref="G509:L509">_xlfn.XLOOKUP(C509,Sales_Fact!C509:C2493,Sales_Fact!E509:J2493)</f>
        <v>STORE2</v>
      </c>
      <c r="H509" s="22">
        <v>2</v>
      </c>
      <c r="I509" s="22">
        <v>42.97</v>
      </c>
      <c r="J509" s="22">
        <v>0.18</v>
      </c>
      <c r="K509" s="22" t="str">
        <v>PayPal</v>
      </c>
      <c r="L509" s="22">
        <v>70.470799999999997</v>
      </c>
    </row>
    <row r="510" spans="1:12" x14ac:dyDescent="0.3">
      <c r="A510" s="22" t="s">
        <v>2319</v>
      </c>
      <c r="B510" s="34" cm="1">
        <f t="array" ref="B510:C510">_xlfn.XLOOKUP(A510,Sales_Fact!A510:A2494,Sales_Fact!B510:C2494)</f>
        <v>45639</v>
      </c>
      <c r="C510" s="22" t="str">
        <v>CUST1286</v>
      </c>
      <c r="D510" s="22" t="str">
        <f>VLOOKUP('Combine Products &amp; Sales Facts'!C510,'Customer Details'!A:B,2,0)</f>
        <v>Tommy Roberts</v>
      </c>
      <c r="E510" s="22" t="str">
        <f>VLOOKUP(C510,Sales_Fact!C:D,2,0)</f>
        <v>PROD82</v>
      </c>
      <c r="F510" s="22" t="str">
        <f>VLOOKUP(E510,Product_Dim!A:C,3,0)</f>
        <v>Sports</v>
      </c>
      <c r="G510" s="22" t="str" cm="1">
        <f t="array" ref="G510:L510">_xlfn.XLOOKUP(C510,Sales_Fact!C510:C2494,Sales_Fact!E510:J2494)</f>
        <v>STORE0</v>
      </c>
      <c r="H510" s="22">
        <v>4</v>
      </c>
      <c r="I510" s="22">
        <v>854.37</v>
      </c>
      <c r="J510" s="22">
        <v>7.0000000000000007E-2</v>
      </c>
      <c r="K510" s="22" t="str">
        <v>PayPal</v>
      </c>
      <c r="L510" s="22">
        <v>3178.2564000000002</v>
      </c>
    </row>
    <row r="511" spans="1:12" x14ac:dyDescent="0.3">
      <c r="A511" s="22" t="s">
        <v>2320</v>
      </c>
      <c r="B511" s="34" cm="1">
        <f t="array" ref="B511:C511">_xlfn.XLOOKUP(A511,Sales_Fact!A511:A2495,Sales_Fact!B511:C2495)</f>
        <v>45774</v>
      </c>
      <c r="C511" s="22" t="str">
        <v>CUST1100</v>
      </c>
      <c r="D511" s="22" t="str">
        <f>VLOOKUP('Combine Products &amp; Sales Facts'!C511,'Customer Details'!A:B,2,0)</f>
        <v>Diane Watson</v>
      </c>
      <c r="E511" s="22" t="str">
        <f>VLOOKUP(C511,Sales_Fact!C:D,2,0)</f>
        <v>PROD24</v>
      </c>
      <c r="F511" s="22" t="str">
        <f>VLOOKUP(E511,Product_Dim!A:C,3,0)</f>
        <v>Sports</v>
      </c>
      <c r="G511" s="22" t="str" cm="1">
        <f t="array" ref="G511:L511">_xlfn.XLOOKUP(C511,Sales_Fact!C511:C2495,Sales_Fact!E511:J2495)</f>
        <v>STORE16</v>
      </c>
      <c r="H511" s="22">
        <v>2</v>
      </c>
      <c r="I511" s="22">
        <v>409.52</v>
      </c>
      <c r="J511" s="22">
        <v>0.06</v>
      </c>
      <c r="K511" s="22" t="str">
        <v>COD</v>
      </c>
      <c r="L511" s="22">
        <v>769.8975999999999</v>
      </c>
    </row>
    <row r="512" spans="1:12" x14ac:dyDescent="0.3">
      <c r="A512" s="22" t="s">
        <v>2321</v>
      </c>
      <c r="B512" s="34" cm="1">
        <f t="array" ref="B512:C512">_xlfn.XLOOKUP(A512,Sales_Fact!A512:A2496,Sales_Fact!B512:C2496)</f>
        <v>45569</v>
      </c>
      <c r="C512" s="22" t="str">
        <v>CUST1164</v>
      </c>
      <c r="D512" s="22" t="str">
        <f>VLOOKUP('Combine Products &amp; Sales Facts'!C512,'Customer Details'!A:B,2,0)</f>
        <v>Daniel Rivas</v>
      </c>
      <c r="E512" s="22" t="str">
        <f>VLOOKUP(C512,Sales_Fact!C:D,2,0)</f>
        <v>PROD48</v>
      </c>
      <c r="F512" s="22" t="str">
        <f>VLOOKUP(E512,Product_Dim!A:C,3,0)</f>
        <v>Electronics</v>
      </c>
      <c r="G512" s="22" t="str" cm="1">
        <f t="array" ref="G512:L512">_xlfn.XLOOKUP(C512,Sales_Fact!C512:C2496,Sales_Fact!E512:J2496)</f>
        <v>STORE10</v>
      </c>
      <c r="H512" s="22">
        <v>2</v>
      </c>
      <c r="I512" s="22">
        <v>407.46</v>
      </c>
      <c r="J512" s="22">
        <v>0.21</v>
      </c>
      <c r="K512" s="22" t="str">
        <v>Credit Card</v>
      </c>
      <c r="L512" s="22">
        <v>643.78679999999997</v>
      </c>
    </row>
    <row r="513" spans="1:12" x14ac:dyDescent="0.3">
      <c r="A513" s="22" t="s">
        <v>2322</v>
      </c>
      <c r="B513" s="34" cm="1">
        <f t="array" ref="B513:C513">_xlfn.XLOOKUP(A513,Sales_Fact!A513:A2497,Sales_Fact!B513:C2497)</f>
        <v>45856</v>
      </c>
      <c r="C513" s="22" t="str">
        <v>CUST1228</v>
      </c>
      <c r="D513" s="22" t="str">
        <f>VLOOKUP('Combine Products &amp; Sales Facts'!C513,'Customer Details'!A:B,2,0)</f>
        <v>Casey Flores</v>
      </c>
      <c r="E513" s="22" t="str">
        <f>VLOOKUP(C513,Sales_Fact!C:D,2,0)</f>
        <v>PROD4</v>
      </c>
      <c r="F513" s="22" t="str">
        <f>VLOOKUP(E513,Product_Dim!A:C,3,0)</f>
        <v>Clothing</v>
      </c>
      <c r="G513" s="22" t="str" cm="1">
        <f t="array" ref="G513:L513">_xlfn.XLOOKUP(C513,Sales_Fact!C513:C2497,Sales_Fact!E513:J2497)</f>
        <v>STORE8</v>
      </c>
      <c r="H513" s="22">
        <v>1</v>
      </c>
      <c r="I513" s="22">
        <v>728.84</v>
      </c>
      <c r="J513" s="22">
        <v>0.28000000000000003</v>
      </c>
      <c r="K513" s="22" t="str">
        <v>PayPal</v>
      </c>
      <c r="L513" s="22">
        <v>524.76480000000004</v>
      </c>
    </row>
    <row r="514" spans="1:12" x14ac:dyDescent="0.3">
      <c r="A514" s="22" t="s">
        <v>2323</v>
      </c>
      <c r="B514" s="34" cm="1">
        <f t="array" ref="B514:C514">_xlfn.XLOOKUP(A514,Sales_Fact!A514:A2498,Sales_Fact!B514:C2498)</f>
        <v>45362</v>
      </c>
      <c r="C514" s="22" t="str">
        <v>CUST1453</v>
      </c>
      <c r="D514" s="22" t="str">
        <f>VLOOKUP('Combine Products &amp; Sales Facts'!C514,'Customer Details'!A:B,2,0)</f>
        <v>April Phillips</v>
      </c>
      <c r="E514" s="22" t="str">
        <f>VLOOKUP(C514,Sales_Fact!C:D,2,0)</f>
        <v>PROD12</v>
      </c>
      <c r="F514" s="22" t="str">
        <f>VLOOKUP(E514,Product_Dim!A:C,3,0)</f>
        <v>Beauty</v>
      </c>
      <c r="G514" s="22" t="str" cm="1">
        <f t="array" ref="G514:L514">_xlfn.XLOOKUP(C514,Sales_Fact!C514:C2498,Sales_Fact!E514:J2498)</f>
        <v>STORE6</v>
      </c>
      <c r="H514" s="22">
        <v>4</v>
      </c>
      <c r="I514" s="22">
        <v>467.24</v>
      </c>
      <c r="J514" s="22">
        <v>0.08</v>
      </c>
      <c r="K514" s="22" t="str">
        <v>PayPal</v>
      </c>
      <c r="L514" s="22">
        <v>1719.4431999999999</v>
      </c>
    </row>
    <row r="515" spans="1:12" x14ac:dyDescent="0.3">
      <c r="A515" s="22" t="s">
        <v>2324</v>
      </c>
      <c r="B515" s="34" cm="1">
        <f t="array" ref="B515:C515">_xlfn.XLOOKUP(A515,Sales_Fact!A515:A2499,Sales_Fact!B515:C2499)</f>
        <v>45457</v>
      </c>
      <c r="C515" s="22" t="str">
        <v>CUST1092</v>
      </c>
      <c r="D515" s="22" t="str">
        <f>VLOOKUP('Combine Products &amp; Sales Facts'!C515,'Customer Details'!A:B,2,0)</f>
        <v>Robert Jackson</v>
      </c>
      <c r="E515" s="22" t="str">
        <f>VLOOKUP(C515,Sales_Fact!C:D,2,0)</f>
        <v>PROD10</v>
      </c>
      <c r="F515" s="22" t="str">
        <f>VLOOKUP(E515,Product_Dim!A:C,3,0)</f>
        <v>Home</v>
      </c>
      <c r="G515" s="22" t="str" cm="1">
        <f t="array" ref="G515:L515">_xlfn.XLOOKUP(C515,Sales_Fact!C515:C2499,Sales_Fact!E515:J2499)</f>
        <v>STORE11</v>
      </c>
      <c r="H515" s="22">
        <v>1</v>
      </c>
      <c r="I515" s="22">
        <v>57.94</v>
      </c>
      <c r="J515" s="22">
        <v>0.13</v>
      </c>
      <c r="K515" s="22" t="str">
        <v>PayPal</v>
      </c>
      <c r="L515" s="22">
        <v>50.407799999999988</v>
      </c>
    </row>
    <row r="516" spans="1:12" x14ac:dyDescent="0.3">
      <c r="A516" s="22" t="s">
        <v>2325</v>
      </c>
      <c r="B516" s="34" cm="1">
        <f t="array" ref="B516:C516">_xlfn.XLOOKUP(A516,Sales_Fact!A516:A2500,Sales_Fact!B516:C2500)</f>
        <v>45338</v>
      </c>
      <c r="C516" s="22" t="str">
        <v>CUST1344</v>
      </c>
      <c r="D516" s="22" t="str">
        <f>VLOOKUP('Combine Products &amp; Sales Facts'!C516,'Customer Details'!A:B,2,0)</f>
        <v>Evelyn Brown</v>
      </c>
      <c r="E516" s="22" t="str">
        <f>VLOOKUP(C516,Sales_Fact!C:D,2,0)</f>
        <v>PROD89</v>
      </c>
      <c r="F516" s="22" t="str">
        <f>VLOOKUP(E516,Product_Dim!A:C,3,0)</f>
        <v>Beauty</v>
      </c>
      <c r="G516" s="22" t="str" cm="1">
        <f t="array" ref="G516:L516">_xlfn.XLOOKUP(C516,Sales_Fact!C516:C2500,Sales_Fact!E516:J2500)</f>
        <v>STORE17</v>
      </c>
      <c r="H516" s="22">
        <v>1</v>
      </c>
      <c r="I516" s="22">
        <v>540.1</v>
      </c>
      <c r="J516" s="22">
        <v>0.22</v>
      </c>
      <c r="K516" s="22" t="str">
        <v>Credit Card</v>
      </c>
      <c r="L516" s="22">
        <v>421.27800000000002</v>
      </c>
    </row>
    <row r="517" spans="1:12" x14ac:dyDescent="0.3">
      <c r="A517" s="22" t="s">
        <v>2326</v>
      </c>
      <c r="B517" s="34" cm="1">
        <f t="array" ref="B517:C517">_xlfn.XLOOKUP(A517,Sales_Fact!A517:A2501,Sales_Fact!B517:C2501)</f>
        <v>45552</v>
      </c>
      <c r="C517" s="22" t="str">
        <v>CUST1077</v>
      </c>
      <c r="D517" s="22" t="str">
        <f>VLOOKUP('Combine Products &amp; Sales Facts'!C517,'Customer Details'!A:B,2,0)</f>
        <v>Katherine Young</v>
      </c>
      <c r="E517" s="22" t="str">
        <f>VLOOKUP(C517,Sales_Fact!C:D,2,0)</f>
        <v>PROD21</v>
      </c>
      <c r="F517" s="22" t="str">
        <f>VLOOKUP(E517,Product_Dim!A:C,3,0)</f>
        <v>Home</v>
      </c>
      <c r="G517" s="22" t="str" cm="1">
        <f t="array" ref="G517:L517">_xlfn.XLOOKUP(C517,Sales_Fact!C517:C2501,Sales_Fact!E517:J2501)</f>
        <v>STORE19</v>
      </c>
      <c r="H517" s="22">
        <v>4</v>
      </c>
      <c r="I517" s="22">
        <v>816.28</v>
      </c>
      <c r="J517" s="22">
        <v>0.15</v>
      </c>
      <c r="K517" s="22" t="str">
        <v>COD</v>
      </c>
      <c r="L517" s="22">
        <v>2775.3519999999999</v>
      </c>
    </row>
    <row r="518" spans="1:12" x14ac:dyDescent="0.3">
      <c r="A518" s="22" t="s">
        <v>2327</v>
      </c>
      <c r="B518" s="34" cm="1">
        <f t="array" ref="B518:C518">_xlfn.XLOOKUP(A518,Sales_Fact!A518:A2502,Sales_Fact!B518:C2502)</f>
        <v>45895</v>
      </c>
      <c r="C518" s="22" t="str">
        <v>CUST1178</v>
      </c>
      <c r="D518" s="22" t="str">
        <f>VLOOKUP('Combine Products &amp; Sales Facts'!C518,'Customer Details'!A:B,2,0)</f>
        <v>Michelle Myers</v>
      </c>
      <c r="E518" s="22" t="str">
        <f>VLOOKUP(C518,Sales_Fact!C:D,2,0)</f>
        <v>PROD97</v>
      </c>
      <c r="F518" s="22" t="str">
        <f>VLOOKUP(E518,Product_Dim!A:C,3,0)</f>
        <v>Sports</v>
      </c>
      <c r="G518" s="22" t="str" cm="1">
        <f t="array" ref="G518:L518">_xlfn.XLOOKUP(C518,Sales_Fact!C518:C2502,Sales_Fact!E518:J2502)</f>
        <v>STORE8</v>
      </c>
      <c r="H518" s="22">
        <v>4</v>
      </c>
      <c r="I518" s="22">
        <v>727.49</v>
      </c>
      <c r="J518" s="22">
        <v>0.11</v>
      </c>
      <c r="K518" s="22" t="str">
        <v>Credit Card</v>
      </c>
      <c r="L518" s="22">
        <v>2589.8643999999999</v>
      </c>
    </row>
    <row r="519" spans="1:12" x14ac:dyDescent="0.3">
      <c r="A519" s="22" t="s">
        <v>2328</v>
      </c>
      <c r="B519" s="34" cm="1">
        <f t="array" ref="B519:C519">_xlfn.XLOOKUP(A519,Sales_Fact!A519:A2503,Sales_Fact!B519:C2503)</f>
        <v>45447</v>
      </c>
      <c r="C519" s="22" t="str">
        <v>CUST1171</v>
      </c>
      <c r="D519" s="22" t="str">
        <f>VLOOKUP('Combine Products &amp; Sales Facts'!C519,'Customer Details'!A:B,2,0)</f>
        <v>Amy Wilson</v>
      </c>
      <c r="E519" s="22" t="str">
        <f>VLOOKUP(C519,Sales_Fact!C:D,2,0)</f>
        <v>PROD90</v>
      </c>
      <c r="F519" s="22" t="str">
        <f>VLOOKUP(E519,Product_Dim!A:C,3,0)</f>
        <v>Electronics</v>
      </c>
      <c r="G519" s="22" t="str" cm="1">
        <f t="array" ref="G519:L519">_xlfn.XLOOKUP(C519,Sales_Fact!C519:C2503,Sales_Fact!E519:J2503)</f>
        <v>STORE13</v>
      </c>
      <c r="H519" s="22">
        <v>4</v>
      </c>
      <c r="I519" s="22">
        <v>817.92</v>
      </c>
      <c r="J519" s="22">
        <v>0.21</v>
      </c>
      <c r="K519" s="22" t="str">
        <v>Credit Card</v>
      </c>
      <c r="L519" s="22">
        <v>2584.6271999999999</v>
      </c>
    </row>
    <row r="520" spans="1:12" x14ac:dyDescent="0.3">
      <c r="A520" s="22" t="s">
        <v>2329</v>
      </c>
      <c r="B520" s="34" cm="1">
        <f t="array" ref="B520:C520">_xlfn.XLOOKUP(A520,Sales_Fact!A520:A2504,Sales_Fact!B520:C2504)</f>
        <v>45578</v>
      </c>
      <c r="C520" s="22" t="str">
        <v>CUST1325</v>
      </c>
      <c r="D520" s="22" t="str">
        <f>VLOOKUP('Combine Products &amp; Sales Facts'!C520,'Customer Details'!A:B,2,0)</f>
        <v>Andrew Smith</v>
      </c>
      <c r="E520" s="22" t="str">
        <f>VLOOKUP(C520,Sales_Fact!C:D,2,0)</f>
        <v>PROD54</v>
      </c>
      <c r="F520" s="22" t="str">
        <f>VLOOKUP(E520,Product_Dim!A:C,3,0)</f>
        <v>Sports</v>
      </c>
      <c r="G520" s="22" t="str" cm="1">
        <f t="array" ref="G520:L520">_xlfn.XLOOKUP(C520,Sales_Fact!C520:C2504,Sales_Fact!E520:J2504)</f>
        <v>STORE7</v>
      </c>
      <c r="H520" s="22">
        <v>2</v>
      </c>
      <c r="I520" s="22">
        <v>358.45</v>
      </c>
      <c r="J520" s="22">
        <v>7.0000000000000007E-2</v>
      </c>
      <c r="K520" s="22" t="str">
        <v>COD</v>
      </c>
      <c r="L520" s="22">
        <v>666.71699999999998</v>
      </c>
    </row>
    <row r="521" spans="1:12" x14ac:dyDescent="0.3">
      <c r="A521" s="22" t="s">
        <v>2330</v>
      </c>
      <c r="B521" s="34" cm="1">
        <f t="array" ref="B521:C521">_xlfn.XLOOKUP(A521,Sales_Fact!A521:A2505,Sales_Fact!B521:C2505)</f>
        <v>45697</v>
      </c>
      <c r="C521" s="22" t="str">
        <v>CUST1201</v>
      </c>
      <c r="D521" s="22" t="str">
        <f>VLOOKUP('Combine Products &amp; Sales Facts'!C521,'Customer Details'!A:B,2,0)</f>
        <v>Mary Boyd</v>
      </c>
      <c r="E521" s="22" t="str">
        <f>VLOOKUP(C521,Sales_Fact!C:D,2,0)</f>
        <v>PROD87</v>
      </c>
      <c r="F521" s="22" t="str">
        <f>VLOOKUP(E521,Product_Dim!A:C,3,0)</f>
        <v>Home</v>
      </c>
      <c r="G521" s="22" t="str" cm="1">
        <f t="array" ref="G521:L521">_xlfn.XLOOKUP(C521,Sales_Fact!C521:C2505,Sales_Fact!E521:J2505)</f>
        <v>STORE9</v>
      </c>
      <c r="H521" s="22">
        <v>1</v>
      </c>
      <c r="I521" s="22">
        <v>972.06</v>
      </c>
      <c r="J521" s="22">
        <v>0.3</v>
      </c>
      <c r="K521" s="22" t="str">
        <v>COD</v>
      </c>
      <c r="L521" s="22">
        <v>680.44199999999989</v>
      </c>
    </row>
    <row r="522" spans="1:12" x14ac:dyDescent="0.3">
      <c r="A522" s="22" t="s">
        <v>2331</v>
      </c>
      <c r="B522" s="34" cm="1">
        <f t="array" ref="B522:C522">_xlfn.XLOOKUP(A522,Sales_Fact!A522:A2506,Sales_Fact!B522:C2506)</f>
        <v>45281</v>
      </c>
      <c r="C522" s="22" t="str">
        <v>CUST1032</v>
      </c>
      <c r="D522" s="22" t="str">
        <f>VLOOKUP('Combine Products &amp; Sales Facts'!C522,'Customer Details'!A:B,2,0)</f>
        <v>Mike Jennings</v>
      </c>
      <c r="E522" s="22" t="str">
        <f>VLOOKUP(C522,Sales_Fact!C:D,2,0)</f>
        <v>PROD16</v>
      </c>
      <c r="F522" s="22" t="str">
        <f>VLOOKUP(E522,Product_Dim!A:C,3,0)</f>
        <v>Beauty</v>
      </c>
      <c r="G522" s="22" t="str" cm="1">
        <f t="array" ref="G522:L522">_xlfn.XLOOKUP(C522,Sales_Fact!C522:C2506,Sales_Fact!E522:J2506)</f>
        <v>STORE0</v>
      </c>
      <c r="H522" s="22">
        <v>1</v>
      </c>
      <c r="I522" s="22">
        <v>791.36</v>
      </c>
      <c r="J522" s="22">
        <v>0.06</v>
      </c>
      <c r="K522" s="22" t="str">
        <v>PayPal</v>
      </c>
      <c r="L522" s="22">
        <v>743.87839999999994</v>
      </c>
    </row>
    <row r="523" spans="1:12" x14ac:dyDescent="0.3">
      <c r="A523" s="22" t="s">
        <v>2332</v>
      </c>
      <c r="B523" s="34" cm="1">
        <f t="array" ref="B523:C523">_xlfn.XLOOKUP(A523,Sales_Fact!A523:A2507,Sales_Fact!B523:C2507)</f>
        <v>45855</v>
      </c>
      <c r="C523" s="22" t="str">
        <v>CUST1314</v>
      </c>
      <c r="D523" s="22" t="str">
        <f>VLOOKUP('Combine Products &amp; Sales Facts'!C523,'Customer Details'!A:B,2,0)</f>
        <v>Elizabeth Johnson</v>
      </c>
      <c r="E523" s="22" t="str">
        <f>VLOOKUP(C523,Sales_Fact!C:D,2,0)</f>
        <v>PROD11</v>
      </c>
      <c r="F523" s="22" t="str">
        <f>VLOOKUP(E523,Product_Dim!A:C,3,0)</f>
        <v>Electronics</v>
      </c>
      <c r="G523" s="22" t="str" cm="1">
        <f t="array" ref="G523:L523">_xlfn.XLOOKUP(C523,Sales_Fact!C523:C2507,Sales_Fact!E523:J2507)</f>
        <v>STORE5</v>
      </c>
      <c r="H523" s="22">
        <v>4</v>
      </c>
      <c r="I523" s="22">
        <v>839.65</v>
      </c>
      <c r="J523" s="22">
        <v>0.26</v>
      </c>
      <c r="K523" s="22" t="str">
        <v>COD</v>
      </c>
      <c r="L523" s="22">
        <v>2485.364</v>
      </c>
    </row>
    <row r="524" spans="1:12" x14ac:dyDescent="0.3">
      <c r="A524" s="22" t="s">
        <v>2333</v>
      </c>
      <c r="B524" s="34" cm="1">
        <f t="array" ref="B524:C524">_xlfn.XLOOKUP(A524,Sales_Fact!A524:A2508,Sales_Fact!B524:C2508)</f>
        <v>45793</v>
      </c>
      <c r="C524" s="22" t="str">
        <v>CUST1255</v>
      </c>
      <c r="D524" s="22" t="str">
        <f>VLOOKUP('Combine Products &amp; Sales Facts'!C524,'Customer Details'!A:B,2,0)</f>
        <v>Damon Perez</v>
      </c>
      <c r="E524" s="22" t="str">
        <f>VLOOKUP(C524,Sales_Fact!C:D,2,0)</f>
        <v>PROD72</v>
      </c>
      <c r="F524" s="22" t="str">
        <f>VLOOKUP(E524,Product_Dim!A:C,3,0)</f>
        <v>Sports</v>
      </c>
      <c r="G524" s="22" t="str" cm="1">
        <f t="array" ref="G524:L524">_xlfn.XLOOKUP(C524,Sales_Fact!C524:C2508,Sales_Fact!E524:J2508)</f>
        <v>STORE2</v>
      </c>
      <c r="H524" s="22">
        <v>2</v>
      </c>
      <c r="I524" s="22">
        <v>245.52</v>
      </c>
      <c r="J524" s="22">
        <v>0.11</v>
      </c>
      <c r="K524" s="22" t="str">
        <v>COD</v>
      </c>
      <c r="L524" s="22">
        <v>437.0256</v>
      </c>
    </row>
    <row r="525" spans="1:12" x14ac:dyDescent="0.3">
      <c r="A525" s="22" t="s">
        <v>2334</v>
      </c>
      <c r="B525" s="34" cm="1">
        <f t="array" ref="B525:C525">_xlfn.XLOOKUP(A525,Sales_Fact!A525:A2509,Sales_Fact!B525:C2509)</f>
        <v>45881</v>
      </c>
      <c r="C525" s="22" t="str">
        <v>CUST1388</v>
      </c>
      <c r="D525" s="22" t="str">
        <f>VLOOKUP('Combine Products &amp; Sales Facts'!C525,'Customer Details'!A:B,2,0)</f>
        <v>Timothy Valenzuela</v>
      </c>
      <c r="E525" s="22" t="str">
        <f>VLOOKUP(C525,Sales_Fact!C:D,2,0)</f>
        <v>PROD82</v>
      </c>
      <c r="F525" s="22" t="str">
        <f>VLOOKUP(E525,Product_Dim!A:C,3,0)</f>
        <v>Sports</v>
      </c>
      <c r="G525" s="22" t="str" cm="1">
        <f t="array" ref="G525:L525">_xlfn.XLOOKUP(C525,Sales_Fact!C525:C2509,Sales_Fact!E525:J2509)</f>
        <v>STORE8</v>
      </c>
      <c r="H525" s="22">
        <v>3</v>
      </c>
      <c r="I525" s="22">
        <v>787.91</v>
      </c>
      <c r="J525" s="22">
        <v>0.06</v>
      </c>
      <c r="K525" s="22" t="str">
        <v>PayPal</v>
      </c>
      <c r="L525" s="22">
        <v>2221.9061999999999</v>
      </c>
    </row>
    <row r="526" spans="1:12" x14ac:dyDescent="0.3">
      <c r="A526" s="22" t="s">
        <v>2335</v>
      </c>
      <c r="B526" s="34" cm="1">
        <f t="array" ref="B526:C526">_xlfn.XLOOKUP(A526,Sales_Fact!A526:A2510,Sales_Fact!B526:C2510)</f>
        <v>45890</v>
      </c>
      <c r="C526" s="22" t="str">
        <v>CUST1053</v>
      </c>
      <c r="D526" s="22" t="str">
        <f>VLOOKUP('Combine Products &amp; Sales Facts'!C526,'Customer Details'!A:B,2,0)</f>
        <v>Sharon Brown</v>
      </c>
      <c r="E526" s="22" t="str">
        <f>VLOOKUP(C526,Sales_Fact!C:D,2,0)</f>
        <v>PROD37</v>
      </c>
      <c r="F526" s="22" t="str">
        <f>VLOOKUP(E526,Product_Dim!A:C,3,0)</f>
        <v>Clothing</v>
      </c>
      <c r="G526" s="22" t="str" cm="1">
        <f t="array" ref="G526:L526">_xlfn.XLOOKUP(C526,Sales_Fact!C526:C2510,Sales_Fact!E526:J2510)</f>
        <v>STORE4</v>
      </c>
      <c r="H526" s="22">
        <v>2</v>
      </c>
      <c r="I526" s="22">
        <v>709.17</v>
      </c>
      <c r="J526" s="22">
        <v>0.22</v>
      </c>
      <c r="K526" s="22" t="str">
        <v>Credit Card</v>
      </c>
      <c r="L526" s="22">
        <v>1106.3052</v>
      </c>
    </row>
    <row r="527" spans="1:12" x14ac:dyDescent="0.3">
      <c r="A527" s="22" t="s">
        <v>2336</v>
      </c>
      <c r="B527" s="34" cm="1">
        <f t="array" ref="B527:C527">_xlfn.XLOOKUP(A527,Sales_Fact!A527:A2511,Sales_Fact!B527:C2511)</f>
        <v>45251</v>
      </c>
      <c r="C527" s="22" t="str">
        <v>CUST1235</v>
      </c>
      <c r="D527" s="22" t="str">
        <f>VLOOKUP('Combine Products &amp; Sales Facts'!C527,'Customer Details'!A:B,2,0)</f>
        <v>Jon Ortiz</v>
      </c>
      <c r="E527" s="22" t="str">
        <f>VLOOKUP(C527,Sales_Fact!C:D,2,0)</f>
        <v>PROD91</v>
      </c>
      <c r="F527" s="22" t="str">
        <f>VLOOKUP(E527,Product_Dim!A:C,3,0)</f>
        <v>Clothing</v>
      </c>
      <c r="G527" s="22" t="str" cm="1">
        <f t="array" ref="G527:L527">_xlfn.XLOOKUP(C527,Sales_Fact!C527:C2511,Sales_Fact!E527:J2511)</f>
        <v>STORE7</v>
      </c>
      <c r="H527" s="22">
        <v>2</v>
      </c>
      <c r="I527" s="22">
        <v>533.91999999999996</v>
      </c>
      <c r="J527" s="22">
        <v>0.13</v>
      </c>
      <c r="K527" s="22" t="str">
        <v>Credit Card</v>
      </c>
      <c r="L527" s="22">
        <v>929.02079999999989</v>
      </c>
    </row>
    <row r="528" spans="1:12" x14ac:dyDescent="0.3">
      <c r="A528" s="22" t="s">
        <v>2337</v>
      </c>
      <c r="B528" s="34" cm="1">
        <f t="array" ref="B528:C528">_xlfn.XLOOKUP(A528,Sales_Fact!A528:A2512,Sales_Fact!B528:C2512)</f>
        <v>45695</v>
      </c>
      <c r="C528" s="22" t="str">
        <v>CUST1492</v>
      </c>
      <c r="D528" s="22" t="str">
        <f>VLOOKUP('Combine Products &amp; Sales Facts'!C528,'Customer Details'!A:B,2,0)</f>
        <v>Darrell Miller</v>
      </c>
      <c r="E528" s="22" t="str">
        <f>VLOOKUP(C528,Sales_Fact!C:D,2,0)</f>
        <v>PROD10</v>
      </c>
      <c r="F528" s="22" t="str">
        <f>VLOOKUP(E528,Product_Dim!A:C,3,0)</f>
        <v>Home</v>
      </c>
      <c r="G528" s="22" t="str" cm="1">
        <f t="array" ref="G528:L528">_xlfn.XLOOKUP(C528,Sales_Fact!C528:C2512,Sales_Fact!E528:J2512)</f>
        <v>STORE0</v>
      </c>
      <c r="H528" s="22">
        <v>1</v>
      </c>
      <c r="I528" s="22">
        <v>878.84</v>
      </c>
      <c r="J528" s="22">
        <v>0.28000000000000003</v>
      </c>
      <c r="K528" s="22" t="str">
        <v>COD</v>
      </c>
      <c r="L528" s="22">
        <v>632.76480000000004</v>
      </c>
    </row>
    <row r="529" spans="1:12" x14ac:dyDescent="0.3">
      <c r="A529" s="22" t="s">
        <v>2338</v>
      </c>
      <c r="B529" s="34" cm="1">
        <f t="array" ref="B529:C529">_xlfn.XLOOKUP(A529,Sales_Fact!A529:A2513,Sales_Fact!B529:C2513)</f>
        <v>45287</v>
      </c>
      <c r="C529" s="22" t="str">
        <v>CUST1204</v>
      </c>
      <c r="D529" s="22" t="str">
        <f>VLOOKUP('Combine Products &amp; Sales Facts'!C529,'Customer Details'!A:B,2,0)</f>
        <v>Tiffany Herrera</v>
      </c>
      <c r="E529" s="22" t="str">
        <f>VLOOKUP(C529,Sales_Fact!C:D,2,0)</f>
        <v>PROD44</v>
      </c>
      <c r="F529" s="22" t="str">
        <f>VLOOKUP(E529,Product_Dim!A:C,3,0)</f>
        <v>Sports</v>
      </c>
      <c r="G529" s="22" t="str" cm="1">
        <f t="array" ref="G529:L529">_xlfn.XLOOKUP(C529,Sales_Fact!C529:C2513,Sales_Fact!E529:J2513)</f>
        <v>STORE16</v>
      </c>
      <c r="H529" s="22">
        <v>1</v>
      </c>
      <c r="I529" s="22">
        <v>442.36</v>
      </c>
      <c r="J529" s="22">
        <v>0.14000000000000001</v>
      </c>
      <c r="K529" s="22" t="str">
        <v>Credit Card</v>
      </c>
      <c r="L529" s="22">
        <v>380.42959999999999</v>
      </c>
    </row>
    <row r="530" spans="1:12" x14ac:dyDescent="0.3">
      <c r="A530" s="22" t="s">
        <v>2339</v>
      </c>
      <c r="B530" s="34" cm="1">
        <f t="array" ref="B530:C530">_xlfn.XLOOKUP(A530,Sales_Fact!A530:A2514,Sales_Fact!B530:C2514)</f>
        <v>45711</v>
      </c>
      <c r="C530" s="22" t="str">
        <v>CUST1333</v>
      </c>
      <c r="D530" s="22" t="str">
        <f>VLOOKUP('Combine Products &amp; Sales Facts'!C530,'Customer Details'!A:B,2,0)</f>
        <v>Teresa Johnson</v>
      </c>
      <c r="E530" s="22" t="str">
        <f>VLOOKUP(C530,Sales_Fact!C:D,2,0)</f>
        <v>PROD0</v>
      </c>
      <c r="F530" s="22" t="str">
        <f>VLOOKUP(E530,Product_Dim!A:C,3,0)</f>
        <v>Electronics</v>
      </c>
      <c r="G530" s="22" t="str" cm="1">
        <f t="array" ref="G530:L530">_xlfn.XLOOKUP(C530,Sales_Fact!C530:C2514,Sales_Fact!E530:J2514)</f>
        <v>STORE6</v>
      </c>
      <c r="H530" s="22">
        <v>1</v>
      </c>
      <c r="I530" s="22">
        <v>763.34</v>
      </c>
      <c r="J530" s="22">
        <v>0.11</v>
      </c>
      <c r="K530" s="22" t="str">
        <v>COD</v>
      </c>
      <c r="L530" s="22">
        <v>679.37260000000003</v>
      </c>
    </row>
    <row r="531" spans="1:12" x14ac:dyDescent="0.3">
      <c r="A531" s="22" t="s">
        <v>2340</v>
      </c>
      <c r="B531" s="34" cm="1">
        <f t="array" ref="B531:C531">_xlfn.XLOOKUP(A531,Sales_Fact!A531:A2515,Sales_Fact!B531:C2515)</f>
        <v>45842</v>
      </c>
      <c r="C531" s="22" t="str">
        <v>CUST1166</v>
      </c>
      <c r="D531" s="22" t="str">
        <f>VLOOKUP('Combine Products &amp; Sales Facts'!C531,'Customer Details'!A:B,2,0)</f>
        <v>Patricia Gardner</v>
      </c>
      <c r="E531" s="22" t="str">
        <f>VLOOKUP(C531,Sales_Fact!C:D,2,0)</f>
        <v>PROD81</v>
      </c>
      <c r="F531" s="22" t="str">
        <f>VLOOKUP(E531,Product_Dim!A:C,3,0)</f>
        <v>Sports</v>
      </c>
      <c r="G531" s="22" t="str" cm="1">
        <f t="array" ref="G531:L531">_xlfn.XLOOKUP(C531,Sales_Fact!C531:C2515,Sales_Fact!E531:J2515)</f>
        <v>STORE18</v>
      </c>
      <c r="H531" s="22">
        <v>3</v>
      </c>
      <c r="I531" s="22">
        <v>178.22</v>
      </c>
      <c r="J531" s="22">
        <v>0.15</v>
      </c>
      <c r="K531" s="22" t="str">
        <v>COD</v>
      </c>
      <c r="L531" s="22">
        <v>454.46100000000001</v>
      </c>
    </row>
    <row r="532" spans="1:12" x14ac:dyDescent="0.3">
      <c r="A532" s="22" t="s">
        <v>2341</v>
      </c>
      <c r="B532" s="34" cm="1">
        <f t="array" ref="B532:C532">_xlfn.XLOOKUP(A532,Sales_Fact!A532:A2516,Sales_Fact!B532:C2516)</f>
        <v>45255</v>
      </c>
      <c r="C532" s="22" t="str">
        <v>CUST1103</v>
      </c>
      <c r="D532" s="22" t="str">
        <f>VLOOKUP('Combine Products &amp; Sales Facts'!C532,'Customer Details'!A:B,2,0)</f>
        <v>Steven Stein</v>
      </c>
      <c r="E532" s="22" t="str">
        <f>VLOOKUP(C532,Sales_Fact!C:D,2,0)</f>
        <v>PROD89</v>
      </c>
      <c r="F532" s="22" t="str">
        <f>VLOOKUP(E532,Product_Dim!A:C,3,0)</f>
        <v>Beauty</v>
      </c>
      <c r="G532" s="22" t="str" cm="1">
        <f t="array" ref="G532:L532">_xlfn.XLOOKUP(C532,Sales_Fact!C532:C2516,Sales_Fact!E532:J2516)</f>
        <v>STORE1</v>
      </c>
      <c r="H532" s="22">
        <v>4</v>
      </c>
      <c r="I532" s="22">
        <v>90.32</v>
      </c>
      <c r="J532" s="22">
        <v>0.08</v>
      </c>
      <c r="K532" s="22" t="str">
        <v>PayPal</v>
      </c>
      <c r="L532" s="22">
        <v>332.37759999999997</v>
      </c>
    </row>
    <row r="533" spans="1:12" x14ac:dyDescent="0.3">
      <c r="A533" s="22" t="s">
        <v>2342</v>
      </c>
      <c r="B533" s="34" cm="1">
        <f t="array" ref="B533:C533">_xlfn.XLOOKUP(A533,Sales_Fact!A533:A2517,Sales_Fact!B533:C2517)</f>
        <v>45695</v>
      </c>
      <c r="C533" s="22" t="str">
        <v>CUST1378</v>
      </c>
      <c r="D533" s="22" t="str">
        <f>VLOOKUP('Combine Products &amp; Sales Facts'!C533,'Customer Details'!A:B,2,0)</f>
        <v>Frank Stewart</v>
      </c>
      <c r="E533" s="22" t="str">
        <f>VLOOKUP(C533,Sales_Fact!C:D,2,0)</f>
        <v>PROD91</v>
      </c>
      <c r="F533" s="22" t="str">
        <f>VLOOKUP(E533,Product_Dim!A:C,3,0)</f>
        <v>Clothing</v>
      </c>
      <c r="G533" s="22" t="str" cm="1">
        <f t="array" ref="G533:L533">_xlfn.XLOOKUP(C533,Sales_Fact!C533:C2517,Sales_Fact!E533:J2517)</f>
        <v>STORE6</v>
      </c>
      <c r="H533" s="22">
        <v>3</v>
      </c>
      <c r="I533" s="22">
        <v>370.93</v>
      </c>
      <c r="J533" s="22">
        <v>0</v>
      </c>
      <c r="K533" s="22" t="str">
        <v>Credit Card</v>
      </c>
      <c r="L533" s="22">
        <v>1112.79</v>
      </c>
    </row>
    <row r="534" spans="1:12" x14ac:dyDescent="0.3">
      <c r="A534" s="22" t="s">
        <v>2343</v>
      </c>
      <c r="B534" s="34" cm="1">
        <f t="array" ref="B534:C534">_xlfn.XLOOKUP(A534,Sales_Fact!A534:A2518,Sales_Fact!B534:C2518)</f>
        <v>45281</v>
      </c>
      <c r="C534" s="22" t="str">
        <v>CUST1046</v>
      </c>
      <c r="D534" s="22" t="str">
        <f>VLOOKUP('Combine Products &amp; Sales Facts'!C534,'Customer Details'!A:B,2,0)</f>
        <v>Michelle Garcia Dds</v>
      </c>
      <c r="E534" s="22" t="str">
        <f>VLOOKUP(C534,Sales_Fact!C:D,2,0)</f>
        <v>PROD23</v>
      </c>
      <c r="F534" s="22" t="str">
        <f>VLOOKUP(E534,Product_Dim!A:C,3,0)</f>
        <v>Clothing</v>
      </c>
      <c r="G534" s="22" t="str" cm="1">
        <f t="array" ref="G534:L534">_xlfn.XLOOKUP(C534,Sales_Fact!C534:C2518,Sales_Fact!E534:J2518)</f>
        <v>STORE15</v>
      </c>
      <c r="H534" s="22">
        <v>1</v>
      </c>
      <c r="I534" s="22">
        <v>352.43</v>
      </c>
      <c r="J534" s="22">
        <v>0.14000000000000001</v>
      </c>
      <c r="K534" s="22" t="str">
        <v>PayPal</v>
      </c>
      <c r="L534" s="22">
        <v>303.08980000000003</v>
      </c>
    </row>
    <row r="535" spans="1:12" x14ac:dyDescent="0.3">
      <c r="A535" s="22" t="s">
        <v>2344</v>
      </c>
      <c r="B535" s="34" cm="1">
        <f t="array" ref="B535:C535">_xlfn.XLOOKUP(A535,Sales_Fact!A535:A2519,Sales_Fact!B535:C2519)</f>
        <v>45295</v>
      </c>
      <c r="C535" s="22" t="str">
        <v>CUST1123</v>
      </c>
      <c r="D535" s="22" t="str">
        <f>VLOOKUP('Combine Products &amp; Sales Facts'!C535,'Customer Details'!A:B,2,0)</f>
        <v>Erin Hopkins</v>
      </c>
      <c r="E535" s="22" t="str">
        <f>VLOOKUP(C535,Sales_Fact!C:D,2,0)</f>
        <v>PROD12</v>
      </c>
      <c r="F535" s="22" t="str">
        <f>VLOOKUP(E535,Product_Dim!A:C,3,0)</f>
        <v>Beauty</v>
      </c>
      <c r="G535" s="22" t="str" cm="1">
        <f t="array" ref="G535:L535">_xlfn.XLOOKUP(C535,Sales_Fact!C535:C2519,Sales_Fact!E535:J2519)</f>
        <v>STORE15</v>
      </c>
      <c r="H535" s="22">
        <v>2</v>
      </c>
      <c r="I535" s="22">
        <v>562.97</v>
      </c>
      <c r="J535" s="22">
        <v>0.2</v>
      </c>
      <c r="K535" s="22" t="str">
        <v>Credit Card</v>
      </c>
      <c r="L535" s="22">
        <v>900.75200000000007</v>
      </c>
    </row>
    <row r="536" spans="1:12" x14ac:dyDescent="0.3">
      <c r="A536" s="22" t="s">
        <v>2345</v>
      </c>
      <c r="B536" s="34" cm="1">
        <f t="array" ref="B536:C536">_xlfn.XLOOKUP(A536,Sales_Fact!A536:A2520,Sales_Fact!B536:C2520)</f>
        <v>45260</v>
      </c>
      <c r="C536" s="22" t="str">
        <v>CUST1157</v>
      </c>
      <c r="D536" s="22" t="str">
        <f>VLOOKUP('Combine Products &amp; Sales Facts'!C536,'Customer Details'!A:B,2,0)</f>
        <v>Paul Zamora</v>
      </c>
      <c r="E536" s="22" t="str">
        <f>VLOOKUP(C536,Sales_Fact!C:D,2,0)</f>
        <v>PROD55</v>
      </c>
      <c r="F536" s="22" t="str">
        <f>VLOOKUP(E536,Product_Dim!A:C,3,0)</f>
        <v>Home</v>
      </c>
      <c r="G536" s="22" t="str" cm="1">
        <f t="array" ref="G536:L536">_xlfn.XLOOKUP(C536,Sales_Fact!C536:C2520,Sales_Fact!E536:J2520)</f>
        <v>STORE7</v>
      </c>
      <c r="H536" s="22">
        <v>1</v>
      </c>
      <c r="I536" s="22">
        <v>522.85</v>
      </c>
      <c r="J536" s="22">
        <v>0.12</v>
      </c>
      <c r="K536" s="22" t="str">
        <v>PayPal</v>
      </c>
      <c r="L536" s="22">
        <v>460.108</v>
      </c>
    </row>
    <row r="537" spans="1:12" x14ac:dyDescent="0.3">
      <c r="A537" s="22" t="s">
        <v>2346</v>
      </c>
      <c r="B537" s="34" cm="1">
        <f t="array" ref="B537:C537">_xlfn.XLOOKUP(A537,Sales_Fact!A537:A2521,Sales_Fact!B537:C2521)</f>
        <v>45851</v>
      </c>
      <c r="C537" s="22" t="str">
        <v>CUST1349</v>
      </c>
      <c r="D537" s="22" t="str">
        <f>VLOOKUP('Combine Products &amp; Sales Facts'!C537,'Customer Details'!A:B,2,0)</f>
        <v>Heather Valenzuela</v>
      </c>
      <c r="E537" s="22" t="str">
        <f>VLOOKUP(C537,Sales_Fact!C:D,2,0)</f>
        <v>PROD71</v>
      </c>
      <c r="F537" s="22" t="str">
        <f>VLOOKUP(E537,Product_Dim!A:C,3,0)</f>
        <v>Beauty</v>
      </c>
      <c r="G537" s="22" t="str" cm="1">
        <f t="array" ref="G537:L537">_xlfn.XLOOKUP(C537,Sales_Fact!C537:C2521,Sales_Fact!E537:J2521)</f>
        <v>STORE16</v>
      </c>
      <c r="H537" s="22">
        <v>4</v>
      </c>
      <c r="I537" s="22">
        <v>714.89</v>
      </c>
      <c r="J537" s="22">
        <v>0.15</v>
      </c>
      <c r="K537" s="22" t="str">
        <v>Credit Card</v>
      </c>
      <c r="L537" s="22">
        <v>2430.6260000000002</v>
      </c>
    </row>
    <row r="538" spans="1:12" x14ac:dyDescent="0.3">
      <c r="A538" s="22" t="s">
        <v>2347</v>
      </c>
      <c r="B538" s="34" cm="1">
        <f t="array" ref="B538:C538">_xlfn.XLOOKUP(A538,Sales_Fact!A538:A2522,Sales_Fact!B538:C2522)</f>
        <v>45222</v>
      </c>
      <c r="C538" s="22" t="str">
        <v>CUST1187</v>
      </c>
      <c r="D538" s="22" t="str">
        <f>VLOOKUP('Combine Products &amp; Sales Facts'!C538,'Customer Details'!A:B,2,0)</f>
        <v>Dr. Suzanne Bullock</v>
      </c>
      <c r="E538" s="22" t="str">
        <f>VLOOKUP(C538,Sales_Fact!C:D,2,0)</f>
        <v>PROD13</v>
      </c>
      <c r="F538" s="22" t="str">
        <f>VLOOKUP(E538,Product_Dim!A:C,3,0)</f>
        <v>Electronics</v>
      </c>
      <c r="G538" s="22" t="str" cm="1">
        <f t="array" ref="G538:L538">_xlfn.XLOOKUP(C538,Sales_Fact!C538:C2522,Sales_Fact!E538:J2522)</f>
        <v>STORE2</v>
      </c>
      <c r="H538" s="22">
        <v>3</v>
      </c>
      <c r="I538" s="22">
        <v>137.77000000000001</v>
      </c>
      <c r="J538" s="22">
        <v>0.26</v>
      </c>
      <c r="K538" s="22" t="str">
        <v>PayPal</v>
      </c>
      <c r="L538" s="22">
        <v>305.84940000000012</v>
      </c>
    </row>
    <row r="539" spans="1:12" x14ac:dyDescent="0.3">
      <c r="A539" s="22" t="s">
        <v>2348</v>
      </c>
      <c r="B539" s="34" cm="1">
        <f t="array" ref="B539:C539">_xlfn.XLOOKUP(A539,Sales_Fact!A539:A2523,Sales_Fact!B539:C2523)</f>
        <v>45940</v>
      </c>
      <c r="C539" s="22" t="str">
        <v>CUST1027</v>
      </c>
      <c r="D539" s="22" t="str">
        <f>VLOOKUP('Combine Products &amp; Sales Facts'!C539,'Customer Details'!A:B,2,0)</f>
        <v>Leslie Johnson</v>
      </c>
      <c r="E539" s="22" t="str">
        <f>VLOOKUP(C539,Sales_Fact!C:D,2,0)</f>
        <v>PROD24</v>
      </c>
      <c r="F539" s="22" t="str">
        <f>VLOOKUP(E539,Product_Dim!A:C,3,0)</f>
        <v>Sports</v>
      </c>
      <c r="G539" s="22" t="str" cm="1">
        <f t="array" ref="G539:L539">_xlfn.XLOOKUP(C539,Sales_Fact!C539:C2523,Sales_Fact!E539:J2523)</f>
        <v>STORE11</v>
      </c>
      <c r="H539" s="22">
        <v>3</v>
      </c>
      <c r="I539" s="22">
        <v>862.18</v>
      </c>
      <c r="J539" s="22">
        <v>0.22</v>
      </c>
      <c r="K539" s="22" t="str">
        <v>PayPal</v>
      </c>
      <c r="L539" s="22">
        <v>2017.5011999999999</v>
      </c>
    </row>
    <row r="540" spans="1:12" x14ac:dyDescent="0.3">
      <c r="A540" s="22" t="s">
        <v>2349</v>
      </c>
      <c r="B540" s="34" cm="1">
        <f t="array" ref="B540:C540">_xlfn.XLOOKUP(A540,Sales_Fact!A540:A2524,Sales_Fact!B540:C2524)</f>
        <v>45822</v>
      </c>
      <c r="C540" s="22" t="str">
        <v>CUST1057</v>
      </c>
      <c r="D540" s="22" t="str">
        <f>VLOOKUP('Combine Products &amp; Sales Facts'!C540,'Customer Details'!A:B,2,0)</f>
        <v>Jay Patel</v>
      </c>
      <c r="E540" s="22" t="str">
        <f>VLOOKUP(C540,Sales_Fact!C:D,2,0)</f>
        <v>PROD38</v>
      </c>
      <c r="F540" s="22" t="str">
        <f>VLOOKUP(E540,Product_Dim!A:C,3,0)</f>
        <v>Sports</v>
      </c>
      <c r="G540" s="22" t="str" cm="1">
        <f t="array" ref="G540:L540">_xlfn.XLOOKUP(C540,Sales_Fact!C540:C2524,Sales_Fact!E540:J2524)</f>
        <v>STORE14</v>
      </c>
      <c r="H540" s="22">
        <v>2</v>
      </c>
      <c r="I540" s="22">
        <v>833.64</v>
      </c>
      <c r="J540" s="22">
        <v>0.24</v>
      </c>
      <c r="K540" s="22" t="str">
        <v>PayPal</v>
      </c>
      <c r="L540" s="22">
        <v>1267.1328000000001</v>
      </c>
    </row>
    <row r="541" spans="1:12" x14ac:dyDescent="0.3">
      <c r="A541" s="22" t="s">
        <v>2350</v>
      </c>
      <c r="B541" s="34" cm="1">
        <f t="array" ref="B541:C541">_xlfn.XLOOKUP(A541,Sales_Fact!A541:A2525,Sales_Fact!B541:C2525)</f>
        <v>45752</v>
      </c>
      <c r="C541" s="22" t="str">
        <v>CUST1270</v>
      </c>
      <c r="D541" s="22" t="str">
        <f>VLOOKUP('Combine Products &amp; Sales Facts'!C541,'Customer Details'!A:B,2,0)</f>
        <v>Brian Garcia</v>
      </c>
      <c r="E541" s="22" t="str">
        <f>VLOOKUP(C541,Sales_Fact!C:D,2,0)</f>
        <v>PROD19</v>
      </c>
      <c r="F541" s="22" t="str">
        <f>VLOOKUP(E541,Product_Dim!A:C,3,0)</f>
        <v>Sports</v>
      </c>
      <c r="G541" s="22" t="str" cm="1">
        <f t="array" ref="G541:L541">_xlfn.XLOOKUP(C541,Sales_Fact!C541:C2525,Sales_Fact!E541:J2525)</f>
        <v>STORE15</v>
      </c>
      <c r="H541" s="22">
        <v>3</v>
      </c>
      <c r="I541" s="22">
        <v>543.22</v>
      </c>
      <c r="J541" s="22">
        <v>0.05</v>
      </c>
      <c r="K541" s="22" t="str">
        <v>COD</v>
      </c>
      <c r="L541" s="22">
        <v>1548.1769999999999</v>
      </c>
    </row>
    <row r="542" spans="1:12" x14ac:dyDescent="0.3">
      <c r="A542" s="22" t="s">
        <v>2351</v>
      </c>
      <c r="B542" s="34" cm="1">
        <f t="array" ref="B542:C542">_xlfn.XLOOKUP(A542,Sales_Fact!A542:A2526,Sales_Fact!B542:C2526)</f>
        <v>45677</v>
      </c>
      <c r="C542" s="22" t="str">
        <v>CUST1278</v>
      </c>
      <c r="D542" s="22" t="str">
        <f>VLOOKUP('Combine Products &amp; Sales Facts'!C542,'Customer Details'!A:B,2,0)</f>
        <v>Stephen Fowler</v>
      </c>
      <c r="E542" s="22" t="str">
        <f>VLOOKUP(C542,Sales_Fact!C:D,2,0)</f>
        <v>PROD88</v>
      </c>
      <c r="F542" s="22" t="str">
        <f>VLOOKUP(E542,Product_Dim!A:C,3,0)</f>
        <v>Sports</v>
      </c>
      <c r="G542" s="22" t="str" cm="1">
        <f t="array" ref="G542:L542">_xlfn.XLOOKUP(C542,Sales_Fact!C542:C2526,Sales_Fact!E542:J2526)</f>
        <v>STORE2</v>
      </c>
      <c r="H542" s="22">
        <v>3</v>
      </c>
      <c r="I542" s="22">
        <v>691.02</v>
      </c>
      <c r="J542" s="22">
        <v>0.12</v>
      </c>
      <c r="K542" s="22" t="str">
        <v>COD</v>
      </c>
      <c r="L542" s="22">
        <v>1824.2927999999999</v>
      </c>
    </row>
    <row r="543" spans="1:12" x14ac:dyDescent="0.3">
      <c r="A543" s="22" t="s">
        <v>2352</v>
      </c>
      <c r="B543" s="34" cm="1">
        <f t="array" ref="B543:C543">_xlfn.XLOOKUP(A543,Sales_Fact!A543:A2527,Sales_Fact!B543:C2527)</f>
        <v>45253</v>
      </c>
      <c r="C543" s="22" t="str">
        <v>CUST1087</v>
      </c>
      <c r="D543" s="22" t="str">
        <f>VLOOKUP('Combine Products &amp; Sales Facts'!C543,'Customer Details'!A:B,2,0)</f>
        <v>Melissa Duffy Md</v>
      </c>
      <c r="E543" s="22" t="str">
        <f>VLOOKUP(C543,Sales_Fact!C:D,2,0)</f>
        <v>PROD76</v>
      </c>
      <c r="F543" s="22" t="str">
        <f>VLOOKUP(E543,Product_Dim!A:C,3,0)</f>
        <v>Electronics</v>
      </c>
      <c r="G543" s="22" t="str" cm="1">
        <f t="array" ref="G543:L543">_xlfn.XLOOKUP(C543,Sales_Fact!C543:C2527,Sales_Fact!E543:J2527)</f>
        <v>STORE17</v>
      </c>
      <c r="H543" s="22">
        <v>4</v>
      </c>
      <c r="I543" s="22">
        <v>338.73</v>
      </c>
      <c r="J543" s="22">
        <v>0.18</v>
      </c>
      <c r="K543" s="22" t="str">
        <v>Credit Card</v>
      </c>
      <c r="L543" s="22">
        <v>1111.0344</v>
      </c>
    </row>
    <row r="544" spans="1:12" x14ac:dyDescent="0.3">
      <c r="A544" s="22" t="s">
        <v>2353</v>
      </c>
      <c r="B544" s="34" cm="1">
        <f t="array" ref="B544:C544">_xlfn.XLOOKUP(A544,Sales_Fact!A544:A2528,Sales_Fact!B544:C2528)</f>
        <v>45389</v>
      </c>
      <c r="C544" s="22" t="str">
        <v>CUST1062</v>
      </c>
      <c r="D544" s="22" t="str">
        <f>VLOOKUP('Combine Products &amp; Sales Facts'!C544,'Customer Details'!A:B,2,0)</f>
        <v>James Bean</v>
      </c>
      <c r="E544" s="22" t="str">
        <f>VLOOKUP(C544,Sales_Fact!C:D,2,0)</f>
        <v>PROD84</v>
      </c>
      <c r="F544" s="22" t="str">
        <f>VLOOKUP(E544,Product_Dim!A:C,3,0)</f>
        <v>Home</v>
      </c>
      <c r="G544" s="22" t="str" cm="1">
        <f t="array" ref="G544:L544">_xlfn.XLOOKUP(C544,Sales_Fact!C544:C2528,Sales_Fact!E544:J2528)</f>
        <v>STORE16</v>
      </c>
      <c r="H544" s="22">
        <v>3</v>
      </c>
      <c r="I544" s="22">
        <v>366.08</v>
      </c>
      <c r="J544" s="22">
        <v>0.05</v>
      </c>
      <c r="K544" s="22" t="str">
        <v>Credit Card</v>
      </c>
      <c r="L544" s="22">
        <v>1043.328</v>
      </c>
    </row>
    <row r="545" spans="1:12" x14ac:dyDescent="0.3">
      <c r="A545" s="22" t="s">
        <v>2354</v>
      </c>
      <c r="B545" s="34" cm="1">
        <f t="array" ref="B545:C545">_xlfn.XLOOKUP(A545,Sales_Fact!A545:A2529,Sales_Fact!B545:C2529)</f>
        <v>45840</v>
      </c>
      <c r="C545" s="22" t="str">
        <v>CUST1105</v>
      </c>
      <c r="D545" s="22" t="str">
        <f>VLOOKUP('Combine Products &amp; Sales Facts'!C545,'Customer Details'!A:B,2,0)</f>
        <v>Lance Baker</v>
      </c>
      <c r="E545" s="22" t="str">
        <f>VLOOKUP(C545,Sales_Fact!C:D,2,0)</f>
        <v>PROD39</v>
      </c>
      <c r="F545" s="22" t="str">
        <f>VLOOKUP(E545,Product_Dim!A:C,3,0)</f>
        <v>Electronics</v>
      </c>
      <c r="G545" s="22" t="str" cm="1">
        <f t="array" ref="G545:L545">_xlfn.XLOOKUP(C545,Sales_Fact!C545:C2529,Sales_Fact!E545:J2529)</f>
        <v>STORE13</v>
      </c>
      <c r="H545" s="22">
        <v>4</v>
      </c>
      <c r="I545" s="22">
        <v>539.48</v>
      </c>
      <c r="J545" s="22">
        <v>0.28000000000000003</v>
      </c>
      <c r="K545" s="22" t="str">
        <v>COD</v>
      </c>
      <c r="L545" s="22">
        <v>1553.7023999999999</v>
      </c>
    </row>
    <row r="546" spans="1:12" x14ac:dyDescent="0.3">
      <c r="A546" s="22" t="s">
        <v>2355</v>
      </c>
      <c r="B546" s="34" cm="1">
        <f t="array" ref="B546:C546">_xlfn.XLOOKUP(A546,Sales_Fact!A546:A2530,Sales_Fact!B546:C2530)</f>
        <v>45256</v>
      </c>
      <c r="C546" s="22" t="str">
        <v>CUST1389</v>
      </c>
      <c r="D546" s="22" t="str">
        <f>VLOOKUP('Combine Products &amp; Sales Facts'!C546,'Customer Details'!A:B,2,0)</f>
        <v>Cynthia Lopez</v>
      </c>
      <c r="E546" s="22" t="str">
        <f>VLOOKUP(C546,Sales_Fact!C:D,2,0)</f>
        <v>PROD91</v>
      </c>
      <c r="F546" s="22" t="str">
        <f>VLOOKUP(E546,Product_Dim!A:C,3,0)</f>
        <v>Clothing</v>
      </c>
      <c r="G546" s="22" t="str" cm="1">
        <f t="array" ref="G546:L546">_xlfn.XLOOKUP(C546,Sales_Fact!C546:C2530,Sales_Fact!E546:J2530)</f>
        <v>STORE16</v>
      </c>
      <c r="H546" s="22">
        <v>1</v>
      </c>
      <c r="I546" s="22">
        <v>499.59</v>
      </c>
      <c r="J546" s="22">
        <v>0.03</v>
      </c>
      <c r="K546" s="22" t="str">
        <v>COD</v>
      </c>
      <c r="L546" s="22">
        <v>484.60230000000001</v>
      </c>
    </row>
    <row r="547" spans="1:12" x14ac:dyDescent="0.3">
      <c r="A547" s="22" t="s">
        <v>2356</v>
      </c>
      <c r="B547" s="34" cm="1">
        <f t="array" ref="B547:C547">_xlfn.XLOOKUP(A547,Sales_Fact!A547:A2531,Sales_Fact!B547:C2531)</f>
        <v>45326</v>
      </c>
      <c r="C547" s="22" t="str">
        <v>CUST1188</v>
      </c>
      <c r="D547" s="22" t="str">
        <f>VLOOKUP('Combine Products &amp; Sales Facts'!C547,'Customer Details'!A:B,2,0)</f>
        <v>Kimberly Brooks</v>
      </c>
      <c r="E547" s="22" t="str">
        <f>VLOOKUP(C547,Sales_Fact!C:D,2,0)</f>
        <v>PROD30</v>
      </c>
      <c r="F547" s="22" t="str">
        <f>VLOOKUP(E547,Product_Dim!A:C,3,0)</f>
        <v>Home</v>
      </c>
      <c r="G547" s="22" t="str" cm="1">
        <f t="array" ref="G547:L547">_xlfn.XLOOKUP(C547,Sales_Fact!C547:C2531,Sales_Fact!E547:J2531)</f>
        <v>STORE8</v>
      </c>
      <c r="H547" s="22">
        <v>3</v>
      </c>
      <c r="I547" s="22">
        <v>330.04</v>
      </c>
      <c r="J547" s="22">
        <v>0.2</v>
      </c>
      <c r="K547" s="22" t="str">
        <v>Credit Card</v>
      </c>
      <c r="L547" s="22">
        <v>792.09600000000012</v>
      </c>
    </row>
    <row r="548" spans="1:12" x14ac:dyDescent="0.3">
      <c r="A548" s="22" t="s">
        <v>2357</v>
      </c>
      <c r="B548" s="34" cm="1">
        <f t="array" ref="B548:C548">_xlfn.XLOOKUP(A548,Sales_Fact!A548:A2532,Sales_Fact!B548:C2532)</f>
        <v>45459</v>
      </c>
      <c r="C548" s="22" t="str">
        <v>CUST1182</v>
      </c>
      <c r="D548" s="22" t="str">
        <f>VLOOKUP('Combine Products &amp; Sales Facts'!C548,'Customer Details'!A:B,2,0)</f>
        <v>Melissa Hamilton</v>
      </c>
      <c r="E548" s="22" t="str">
        <f>VLOOKUP(C548,Sales_Fact!C:D,2,0)</f>
        <v>PROD34</v>
      </c>
      <c r="F548" s="22" t="str">
        <f>VLOOKUP(E548,Product_Dim!A:C,3,0)</f>
        <v>Electronics</v>
      </c>
      <c r="G548" s="22" t="str" cm="1">
        <f t="array" ref="G548:L548">_xlfn.XLOOKUP(C548,Sales_Fact!C548:C2532,Sales_Fact!E548:J2532)</f>
        <v>STORE17</v>
      </c>
      <c r="H548" s="22">
        <v>2</v>
      </c>
      <c r="I548" s="22">
        <v>813.01</v>
      </c>
      <c r="J548" s="22">
        <v>0.06</v>
      </c>
      <c r="K548" s="22" t="str">
        <v>PayPal</v>
      </c>
      <c r="L548" s="22">
        <v>1528.4588000000001</v>
      </c>
    </row>
    <row r="549" spans="1:12" x14ac:dyDescent="0.3">
      <c r="A549" s="22" t="s">
        <v>2358</v>
      </c>
      <c r="B549" s="34" cm="1">
        <f t="array" ref="B549:C549">_xlfn.XLOOKUP(A549,Sales_Fact!A549:A2533,Sales_Fact!B549:C2533)</f>
        <v>45715</v>
      </c>
      <c r="C549" s="22" t="str">
        <v>CUST1026</v>
      </c>
      <c r="D549" s="22" t="str">
        <f>VLOOKUP('Combine Products &amp; Sales Facts'!C549,'Customer Details'!A:B,2,0)</f>
        <v>Amber Carlson</v>
      </c>
      <c r="E549" s="22" t="str">
        <f>VLOOKUP(C549,Sales_Fact!C:D,2,0)</f>
        <v>PROD1</v>
      </c>
      <c r="F549" s="22" t="str">
        <f>VLOOKUP(E549,Product_Dim!A:C,3,0)</f>
        <v>Clothing</v>
      </c>
      <c r="G549" s="22" t="str" cm="1">
        <f t="array" ref="G549:L549">_xlfn.XLOOKUP(C549,Sales_Fact!C549:C2533,Sales_Fact!E549:J2533)</f>
        <v>STORE2</v>
      </c>
      <c r="H549" s="22">
        <v>4</v>
      </c>
      <c r="I549" s="22">
        <v>204.8</v>
      </c>
      <c r="J549" s="22">
        <v>0.03</v>
      </c>
      <c r="K549" s="22" t="str">
        <v>PayPal</v>
      </c>
      <c r="L549" s="22">
        <v>794.62400000000002</v>
      </c>
    </row>
    <row r="550" spans="1:12" x14ac:dyDescent="0.3">
      <c r="A550" s="22" t="s">
        <v>2359</v>
      </c>
      <c r="B550" s="34" cm="1">
        <f t="array" ref="B550:C550">_xlfn.XLOOKUP(A550,Sales_Fact!A550:A2534,Sales_Fact!B550:C2534)</f>
        <v>45223</v>
      </c>
      <c r="C550" s="22" t="str">
        <v>CUST1011</v>
      </c>
      <c r="D550" s="22" t="str">
        <f>VLOOKUP('Combine Products &amp; Sales Facts'!C550,'Customer Details'!A:B,2,0)</f>
        <v>Brian Lopez</v>
      </c>
      <c r="E550" s="22" t="str">
        <f>VLOOKUP(C550,Sales_Fact!C:D,2,0)</f>
        <v>PROD31</v>
      </c>
      <c r="F550" s="22" t="str">
        <f>VLOOKUP(E550,Product_Dim!A:C,3,0)</f>
        <v>Sports</v>
      </c>
      <c r="G550" s="22" t="str" cm="1">
        <f t="array" ref="G550:L550">_xlfn.XLOOKUP(C550,Sales_Fact!C550:C2534,Sales_Fact!E550:J2534)</f>
        <v>STORE3</v>
      </c>
      <c r="H550" s="22">
        <v>3</v>
      </c>
      <c r="I550" s="22">
        <v>728.32</v>
      </c>
      <c r="J550" s="22">
        <v>0.01</v>
      </c>
      <c r="K550" s="22" t="str">
        <v>Credit Card</v>
      </c>
      <c r="L550" s="22">
        <v>2163.1104</v>
      </c>
    </row>
    <row r="551" spans="1:12" x14ac:dyDescent="0.3">
      <c r="A551" s="22" t="s">
        <v>2360</v>
      </c>
      <c r="B551" s="34" cm="1">
        <f t="array" ref="B551:C551">_xlfn.XLOOKUP(A551,Sales_Fact!A551:A2535,Sales_Fact!B551:C2535)</f>
        <v>45507</v>
      </c>
      <c r="C551" s="22" t="str">
        <v>CUST1452</v>
      </c>
      <c r="D551" s="22" t="str">
        <f>VLOOKUP('Combine Products &amp; Sales Facts'!C551,'Customer Details'!A:B,2,0)</f>
        <v>Jeffery Wolf</v>
      </c>
      <c r="E551" s="22" t="str">
        <f>VLOOKUP(C551,Sales_Fact!C:D,2,0)</f>
        <v>PROD59</v>
      </c>
      <c r="F551" s="22" t="str">
        <f>VLOOKUP(E551,Product_Dim!A:C,3,0)</f>
        <v>Beauty</v>
      </c>
      <c r="G551" s="22" t="str" cm="1">
        <f t="array" ref="G551:L551">_xlfn.XLOOKUP(C551,Sales_Fact!C551:C2535,Sales_Fact!E551:J2535)</f>
        <v>STORE7</v>
      </c>
      <c r="H551" s="22">
        <v>3</v>
      </c>
      <c r="I551" s="22">
        <v>836.4</v>
      </c>
      <c r="J551" s="22">
        <v>0</v>
      </c>
      <c r="K551" s="22" t="str">
        <v>Credit Card</v>
      </c>
      <c r="L551" s="22">
        <v>2509.1999999999998</v>
      </c>
    </row>
    <row r="552" spans="1:12" x14ac:dyDescent="0.3">
      <c r="A552" s="22" t="s">
        <v>2361</v>
      </c>
      <c r="B552" s="34" cm="1">
        <f t="array" ref="B552:C552">_xlfn.XLOOKUP(A552,Sales_Fact!A552:A2536,Sales_Fact!B552:C2536)</f>
        <v>45843</v>
      </c>
      <c r="C552" s="22" t="str">
        <v>CUST1149</v>
      </c>
      <c r="D552" s="22" t="str">
        <f>VLOOKUP('Combine Products &amp; Sales Facts'!C552,'Customer Details'!A:B,2,0)</f>
        <v>Denise Griffin</v>
      </c>
      <c r="E552" s="22" t="str">
        <f>VLOOKUP(C552,Sales_Fact!C:D,2,0)</f>
        <v>PROD90</v>
      </c>
      <c r="F552" s="22" t="str">
        <f>VLOOKUP(E552,Product_Dim!A:C,3,0)</f>
        <v>Electronics</v>
      </c>
      <c r="G552" s="22" t="str" cm="1">
        <f t="array" ref="G552:L552">_xlfn.XLOOKUP(C552,Sales_Fact!C552:C2536,Sales_Fact!E552:J2536)</f>
        <v>STORE12</v>
      </c>
      <c r="H552" s="22">
        <v>1</v>
      </c>
      <c r="I552" s="22">
        <v>780.16</v>
      </c>
      <c r="J552" s="22">
        <v>0.02</v>
      </c>
      <c r="K552" s="22" t="str">
        <v>COD</v>
      </c>
      <c r="L552" s="22">
        <v>764.55679999999995</v>
      </c>
    </row>
    <row r="553" spans="1:12" x14ac:dyDescent="0.3">
      <c r="A553" s="22" t="s">
        <v>2362</v>
      </c>
      <c r="B553" s="34" cm="1">
        <f t="array" ref="B553:C553">_xlfn.XLOOKUP(A553,Sales_Fact!A553:A2537,Sales_Fact!B553:C2537)</f>
        <v>45804</v>
      </c>
      <c r="C553" s="22" t="str">
        <v>CUST1470</v>
      </c>
      <c r="D553" s="22" t="str">
        <f>VLOOKUP('Combine Products &amp; Sales Facts'!C553,'Customer Details'!A:B,2,0)</f>
        <v>Manuel Fisher</v>
      </c>
      <c r="E553" s="22" t="str">
        <f>VLOOKUP(C553,Sales_Fact!C:D,2,0)</f>
        <v>PROD59</v>
      </c>
      <c r="F553" s="22" t="str">
        <f>VLOOKUP(E553,Product_Dim!A:C,3,0)</f>
        <v>Beauty</v>
      </c>
      <c r="G553" s="22" t="str" cm="1">
        <f t="array" ref="G553:L553">_xlfn.XLOOKUP(C553,Sales_Fact!C553:C2537,Sales_Fact!E553:J2537)</f>
        <v>STORE13</v>
      </c>
      <c r="H553" s="22">
        <v>4</v>
      </c>
      <c r="I553" s="22">
        <v>354.12</v>
      </c>
      <c r="J553" s="22">
        <v>0.06</v>
      </c>
      <c r="K553" s="22" t="str">
        <v>PayPal</v>
      </c>
      <c r="L553" s="22">
        <v>1331.4911999999999</v>
      </c>
    </row>
    <row r="554" spans="1:12" x14ac:dyDescent="0.3">
      <c r="A554" s="22" t="s">
        <v>2363</v>
      </c>
      <c r="B554" s="34" cm="1">
        <f t="array" ref="B554:C554">_xlfn.XLOOKUP(A554,Sales_Fact!A554:A2538,Sales_Fact!B554:C2538)</f>
        <v>45602</v>
      </c>
      <c r="C554" s="22" t="str">
        <v>CUST1452</v>
      </c>
      <c r="D554" s="22" t="str">
        <f>VLOOKUP('Combine Products &amp; Sales Facts'!C554,'Customer Details'!A:B,2,0)</f>
        <v>Jeffery Wolf</v>
      </c>
      <c r="E554" s="22" t="str">
        <f>VLOOKUP(C554,Sales_Fact!C:D,2,0)</f>
        <v>PROD59</v>
      </c>
      <c r="F554" s="22" t="str">
        <f>VLOOKUP(E554,Product_Dim!A:C,3,0)</f>
        <v>Beauty</v>
      </c>
      <c r="G554" s="22" t="str" cm="1">
        <f t="array" ref="G554:L554">_xlfn.XLOOKUP(C554,Sales_Fact!C554:C2538,Sales_Fact!E554:J2538)</f>
        <v>STORE2</v>
      </c>
      <c r="H554" s="22">
        <v>4</v>
      </c>
      <c r="I554" s="22">
        <v>282.48</v>
      </c>
      <c r="J554" s="22">
        <v>0.11</v>
      </c>
      <c r="K554" s="22" t="str">
        <v>PayPal</v>
      </c>
      <c r="L554" s="22">
        <v>1005.6288</v>
      </c>
    </row>
    <row r="555" spans="1:12" x14ac:dyDescent="0.3">
      <c r="A555" s="22" t="s">
        <v>2364</v>
      </c>
      <c r="B555" s="34" cm="1">
        <f t="array" ref="B555:C555">_xlfn.XLOOKUP(A555,Sales_Fact!A555:A2539,Sales_Fact!B555:C2539)</f>
        <v>45446</v>
      </c>
      <c r="C555" s="22" t="str">
        <v>CUST1328</v>
      </c>
      <c r="D555" s="22" t="str">
        <f>VLOOKUP('Combine Products &amp; Sales Facts'!C555,'Customer Details'!A:B,2,0)</f>
        <v>Mario Harvey Jr.</v>
      </c>
      <c r="E555" s="22" t="str">
        <f>VLOOKUP(C555,Sales_Fact!C:D,2,0)</f>
        <v>PROD20</v>
      </c>
      <c r="F555" s="22" t="str">
        <f>VLOOKUP(E555,Product_Dim!A:C,3,0)</f>
        <v>Sports</v>
      </c>
      <c r="G555" s="22" t="str" cm="1">
        <f t="array" ref="G555:L555">_xlfn.XLOOKUP(C555,Sales_Fact!C555:C2539,Sales_Fact!E555:J2539)</f>
        <v>STORE6</v>
      </c>
      <c r="H555" s="22">
        <v>2</v>
      </c>
      <c r="I555" s="22">
        <v>740.68</v>
      </c>
      <c r="J555" s="22">
        <v>0.02</v>
      </c>
      <c r="K555" s="22" t="str">
        <v>PayPal</v>
      </c>
      <c r="L555" s="22">
        <v>1451.7328</v>
      </c>
    </row>
    <row r="556" spans="1:12" x14ac:dyDescent="0.3">
      <c r="A556" s="22" t="s">
        <v>2365</v>
      </c>
      <c r="B556" s="34" cm="1">
        <f t="array" ref="B556:C556">_xlfn.XLOOKUP(A556,Sales_Fact!A556:A2540,Sales_Fact!B556:C2540)</f>
        <v>45384</v>
      </c>
      <c r="C556" s="22" t="str">
        <v>CUST1105</v>
      </c>
      <c r="D556" s="22" t="str">
        <f>VLOOKUP('Combine Products &amp; Sales Facts'!C556,'Customer Details'!A:B,2,0)</f>
        <v>Lance Baker</v>
      </c>
      <c r="E556" s="22" t="str">
        <f>VLOOKUP(C556,Sales_Fact!C:D,2,0)</f>
        <v>PROD39</v>
      </c>
      <c r="F556" s="22" t="str">
        <f>VLOOKUP(E556,Product_Dim!A:C,3,0)</f>
        <v>Electronics</v>
      </c>
      <c r="G556" s="22" t="str" cm="1">
        <f t="array" ref="G556:L556">_xlfn.XLOOKUP(C556,Sales_Fact!C556:C2540,Sales_Fact!E556:J2540)</f>
        <v>STORE9</v>
      </c>
      <c r="H556" s="22">
        <v>3</v>
      </c>
      <c r="I556" s="22">
        <v>600.58000000000004</v>
      </c>
      <c r="J556" s="22">
        <v>0.28999999999999998</v>
      </c>
      <c r="K556" s="22" t="str">
        <v>COD</v>
      </c>
      <c r="L556" s="22">
        <v>1279.2354</v>
      </c>
    </row>
    <row r="557" spans="1:12" x14ac:dyDescent="0.3">
      <c r="A557" s="22" t="s">
        <v>2366</v>
      </c>
      <c r="B557" s="34" cm="1">
        <f t="array" ref="B557:C557">_xlfn.XLOOKUP(A557,Sales_Fact!A557:A2541,Sales_Fact!B557:C2541)</f>
        <v>45348</v>
      </c>
      <c r="C557" s="22" t="str">
        <v>CUST1461</v>
      </c>
      <c r="D557" s="22" t="str">
        <f>VLOOKUP('Combine Products &amp; Sales Facts'!C557,'Customer Details'!A:B,2,0)</f>
        <v>Paul Cox</v>
      </c>
      <c r="E557" s="22" t="str">
        <f>VLOOKUP(C557,Sales_Fact!C:D,2,0)</f>
        <v>PROD65</v>
      </c>
      <c r="F557" s="22" t="str">
        <f>VLOOKUP(E557,Product_Dim!A:C,3,0)</f>
        <v>Sports</v>
      </c>
      <c r="G557" s="22" t="str" cm="1">
        <f t="array" ref="G557:L557">_xlfn.XLOOKUP(C557,Sales_Fact!C557:C2541,Sales_Fact!E557:J2541)</f>
        <v>STORE3</v>
      </c>
      <c r="H557" s="22">
        <v>3</v>
      </c>
      <c r="I557" s="22">
        <v>345.58</v>
      </c>
      <c r="J557" s="22">
        <v>0.22</v>
      </c>
      <c r="K557" s="22" t="str">
        <v>Credit Card</v>
      </c>
      <c r="L557" s="22">
        <v>808.65719999999999</v>
      </c>
    </row>
    <row r="558" spans="1:12" x14ac:dyDescent="0.3">
      <c r="A558" s="22" t="s">
        <v>2367</v>
      </c>
      <c r="B558" s="34" cm="1">
        <f t="array" ref="B558:C558">_xlfn.XLOOKUP(A558,Sales_Fact!A558:A2542,Sales_Fact!B558:C2542)</f>
        <v>45688</v>
      </c>
      <c r="C558" s="22" t="str">
        <v>CUST1284</v>
      </c>
      <c r="D558" s="22" t="str">
        <f>VLOOKUP('Combine Products &amp; Sales Facts'!C558,'Customer Details'!A:B,2,0)</f>
        <v>Hunter Sutton</v>
      </c>
      <c r="E558" s="22" t="str">
        <f>VLOOKUP(C558,Sales_Fact!C:D,2,0)</f>
        <v>PROD18</v>
      </c>
      <c r="F558" s="22" t="str">
        <f>VLOOKUP(E558,Product_Dim!A:C,3,0)</f>
        <v>Clothing</v>
      </c>
      <c r="G558" s="22" t="str" cm="1">
        <f t="array" ref="G558:L558">_xlfn.XLOOKUP(C558,Sales_Fact!C558:C2542,Sales_Fact!E558:J2542)</f>
        <v>STORE11</v>
      </c>
      <c r="H558" s="22">
        <v>1</v>
      </c>
      <c r="I558" s="22">
        <v>974.52</v>
      </c>
      <c r="J558" s="22">
        <v>0.01</v>
      </c>
      <c r="K558" s="22" t="str">
        <v>PayPal</v>
      </c>
      <c r="L558" s="22">
        <v>964.77480000000003</v>
      </c>
    </row>
    <row r="559" spans="1:12" x14ac:dyDescent="0.3">
      <c r="A559" s="22" t="s">
        <v>2368</v>
      </c>
      <c r="B559" s="34" cm="1">
        <f t="array" ref="B559:C559">_xlfn.XLOOKUP(A559,Sales_Fact!A559:A2543,Sales_Fact!B559:C2543)</f>
        <v>45249</v>
      </c>
      <c r="C559" s="22" t="str">
        <v>CUST1040</v>
      </c>
      <c r="D559" s="22" t="str">
        <f>VLOOKUP('Combine Products &amp; Sales Facts'!C559,'Customer Details'!A:B,2,0)</f>
        <v>Eric Vega</v>
      </c>
      <c r="E559" s="22" t="str">
        <f>VLOOKUP(C559,Sales_Fact!C:D,2,0)</f>
        <v>PROD17</v>
      </c>
      <c r="F559" s="22" t="str">
        <f>VLOOKUP(E559,Product_Dim!A:C,3,0)</f>
        <v>Sports</v>
      </c>
      <c r="G559" s="22" t="str" cm="1">
        <f t="array" ref="G559:L559">_xlfn.XLOOKUP(C559,Sales_Fact!C559:C2543,Sales_Fact!E559:J2543)</f>
        <v>STORE1</v>
      </c>
      <c r="H559" s="22">
        <v>3</v>
      </c>
      <c r="I559" s="22">
        <v>282.33</v>
      </c>
      <c r="J559" s="22">
        <v>7.0000000000000007E-2</v>
      </c>
      <c r="K559" s="22" t="str">
        <v>Credit Card</v>
      </c>
      <c r="L559" s="22">
        <v>787.70069999999998</v>
      </c>
    </row>
    <row r="560" spans="1:12" x14ac:dyDescent="0.3">
      <c r="A560" s="22" t="s">
        <v>2369</v>
      </c>
      <c r="B560" s="34" cm="1">
        <f t="array" ref="B560:C560">_xlfn.XLOOKUP(A560,Sales_Fact!A560:A2544,Sales_Fact!B560:C2544)</f>
        <v>45726</v>
      </c>
      <c r="C560" s="22" t="str">
        <v>CUST1382</v>
      </c>
      <c r="D560" s="22" t="str">
        <f>VLOOKUP('Combine Products &amp; Sales Facts'!C560,'Customer Details'!A:B,2,0)</f>
        <v>Martha Brown</v>
      </c>
      <c r="E560" s="22" t="str">
        <f>VLOOKUP(C560,Sales_Fact!C:D,2,0)</f>
        <v>PROD4</v>
      </c>
      <c r="F560" s="22" t="str">
        <f>VLOOKUP(E560,Product_Dim!A:C,3,0)</f>
        <v>Clothing</v>
      </c>
      <c r="G560" s="22" t="str" cm="1">
        <f t="array" ref="G560:L560">_xlfn.XLOOKUP(C560,Sales_Fact!C560:C2544,Sales_Fact!E560:J2544)</f>
        <v>STORE19</v>
      </c>
      <c r="H560" s="22">
        <v>4</v>
      </c>
      <c r="I560" s="22">
        <v>158.46</v>
      </c>
      <c r="J560" s="22">
        <v>0.09</v>
      </c>
      <c r="K560" s="22" t="str">
        <v>PayPal</v>
      </c>
      <c r="L560" s="22">
        <v>576.7944</v>
      </c>
    </row>
    <row r="561" spans="1:12" x14ac:dyDescent="0.3">
      <c r="A561" s="22" t="s">
        <v>2370</v>
      </c>
      <c r="B561" s="34" cm="1">
        <f t="array" ref="B561:C561">_xlfn.XLOOKUP(A561,Sales_Fact!A561:A2545,Sales_Fact!B561:C2545)</f>
        <v>45283</v>
      </c>
      <c r="C561" s="22" t="str">
        <v>CUST1343</v>
      </c>
      <c r="D561" s="22" t="str">
        <f>VLOOKUP('Combine Products &amp; Sales Facts'!C561,'Customer Details'!A:B,2,0)</f>
        <v>Ryan Moore</v>
      </c>
      <c r="E561" s="22" t="str">
        <f>VLOOKUP(C561,Sales_Fact!C:D,2,0)</f>
        <v>PROD17</v>
      </c>
      <c r="F561" s="22" t="str">
        <f>VLOOKUP(E561,Product_Dim!A:C,3,0)</f>
        <v>Sports</v>
      </c>
      <c r="G561" s="22" t="str" cm="1">
        <f t="array" ref="G561:L561">_xlfn.XLOOKUP(C561,Sales_Fact!C561:C2545,Sales_Fact!E561:J2545)</f>
        <v>STORE7</v>
      </c>
      <c r="H561" s="22">
        <v>2</v>
      </c>
      <c r="I561" s="22">
        <v>778.56</v>
      </c>
      <c r="J561" s="22">
        <v>0.11</v>
      </c>
      <c r="K561" s="22" t="str">
        <v>COD</v>
      </c>
      <c r="L561" s="22">
        <v>1385.8368</v>
      </c>
    </row>
    <row r="562" spans="1:12" x14ac:dyDescent="0.3">
      <c r="A562" s="22" t="s">
        <v>2371</v>
      </c>
      <c r="B562" s="34" cm="1">
        <f t="array" ref="B562:C562">_xlfn.XLOOKUP(A562,Sales_Fact!A562:A2546,Sales_Fact!B562:C2546)</f>
        <v>45353</v>
      </c>
      <c r="C562" s="22" t="str">
        <v>CUST1237</v>
      </c>
      <c r="D562" s="22" t="str">
        <f>VLOOKUP('Combine Products &amp; Sales Facts'!C562,'Customer Details'!A:B,2,0)</f>
        <v>Wesley Short</v>
      </c>
      <c r="E562" s="22" t="str">
        <f>VLOOKUP(C562,Sales_Fact!C:D,2,0)</f>
        <v>PROD88</v>
      </c>
      <c r="F562" s="22" t="str">
        <f>VLOOKUP(E562,Product_Dim!A:C,3,0)</f>
        <v>Sports</v>
      </c>
      <c r="G562" s="22" t="str" cm="1">
        <f t="array" ref="G562:L562">_xlfn.XLOOKUP(C562,Sales_Fact!C562:C2546,Sales_Fact!E562:J2546)</f>
        <v>STORE19</v>
      </c>
      <c r="H562" s="22">
        <v>4</v>
      </c>
      <c r="I562" s="22">
        <v>280.16000000000003</v>
      </c>
      <c r="J562" s="22">
        <v>0.18</v>
      </c>
      <c r="K562" s="22" t="str">
        <v>COD</v>
      </c>
      <c r="L562" s="22">
        <v>918.92480000000012</v>
      </c>
    </row>
    <row r="563" spans="1:12" x14ac:dyDescent="0.3">
      <c r="A563" s="22" t="s">
        <v>2372</v>
      </c>
      <c r="B563" s="34" cm="1">
        <f t="array" ref="B563:C563">_xlfn.XLOOKUP(A563,Sales_Fact!A563:A2547,Sales_Fact!B563:C2547)</f>
        <v>45592</v>
      </c>
      <c r="C563" s="22" t="str">
        <v>CUST1287</v>
      </c>
      <c r="D563" s="22" t="str">
        <f>VLOOKUP('Combine Products &amp; Sales Facts'!C563,'Customer Details'!A:B,2,0)</f>
        <v>Cynthia Roberts</v>
      </c>
      <c r="E563" s="22" t="str">
        <f>VLOOKUP(C563,Sales_Fact!C:D,2,0)</f>
        <v>PROD3</v>
      </c>
      <c r="F563" s="22" t="str">
        <f>VLOOKUP(E563,Product_Dim!A:C,3,0)</f>
        <v>Clothing</v>
      </c>
      <c r="G563" s="22" t="str" cm="1">
        <f t="array" ref="G563:L563">_xlfn.XLOOKUP(C563,Sales_Fact!C563:C2547,Sales_Fact!E563:J2547)</f>
        <v>STORE13</v>
      </c>
      <c r="H563" s="22">
        <v>2</v>
      </c>
      <c r="I563" s="22">
        <v>649.54999999999995</v>
      </c>
      <c r="J563" s="22">
        <v>0.28999999999999998</v>
      </c>
      <c r="K563" s="22" t="str">
        <v>PayPal</v>
      </c>
      <c r="L563" s="22">
        <v>922.36099999999988</v>
      </c>
    </row>
    <row r="564" spans="1:12" x14ac:dyDescent="0.3">
      <c r="A564" s="22" t="s">
        <v>2373</v>
      </c>
      <c r="B564" s="34" cm="1">
        <f t="array" ref="B564:C564">_xlfn.XLOOKUP(A564,Sales_Fact!A564:A2548,Sales_Fact!B564:C2548)</f>
        <v>45360</v>
      </c>
      <c r="C564" s="22" t="str">
        <v>CUST1007</v>
      </c>
      <c r="D564" s="22" t="str">
        <f>VLOOKUP('Combine Products &amp; Sales Facts'!C564,'Customer Details'!A:B,2,0)</f>
        <v>Daniel Boyd</v>
      </c>
      <c r="E564" s="22" t="str">
        <f>VLOOKUP(C564,Sales_Fact!C:D,2,0)</f>
        <v>PROD67</v>
      </c>
      <c r="F564" s="22" t="str">
        <f>VLOOKUP(E564,Product_Dim!A:C,3,0)</f>
        <v>Electronics</v>
      </c>
      <c r="G564" s="22" t="str" cm="1">
        <f t="array" ref="G564:L564">_xlfn.XLOOKUP(C564,Sales_Fact!C564:C2548,Sales_Fact!E564:J2548)</f>
        <v>STORE2</v>
      </c>
      <c r="H564" s="22">
        <v>2</v>
      </c>
      <c r="I564" s="22">
        <v>994.32</v>
      </c>
      <c r="J564" s="22">
        <v>0.27</v>
      </c>
      <c r="K564" s="22" t="str">
        <v>PayPal</v>
      </c>
      <c r="L564" s="22">
        <v>1451.7072000000001</v>
      </c>
    </row>
    <row r="565" spans="1:12" x14ac:dyDescent="0.3">
      <c r="A565" s="22" t="s">
        <v>2374</v>
      </c>
      <c r="B565" s="34" cm="1">
        <f t="array" ref="B565:C565">_xlfn.XLOOKUP(A565,Sales_Fact!A565:A2549,Sales_Fact!B565:C2549)</f>
        <v>45649</v>
      </c>
      <c r="C565" s="22" t="str">
        <v>CUST1223</v>
      </c>
      <c r="D565" s="22" t="str">
        <f>VLOOKUP('Combine Products &amp; Sales Facts'!C565,'Customer Details'!A:B,2,0)</f>
        <v>Robert Harris</v>
      </c>
      <c r="E565" s="22" t="str">
        <f>VLOOKUP(C565,Sales_Fact!C:D,2,0)</f>
        <v>PROD72</v>
      </c>
      <c r="F565" s="22" t="str">
        <f>VLOOKUP(E565,Product_Dim!A:C,3,0)</f>
        <v>Sports</v>
      </c>
      <c r="G565" s="22" t="str" cm="1">
        <f t="array" ref="G565:L565">_xlfn.XLOOKUP(C565,Sales_Fact!C565:C2549,Sales_Fact!E565:J2549)</f>
        <v>STORE12</v>
      </c>
      <c r="H565" s="22">
        <v>1</v>
      </c>
      <c r="I565" s="22">
        <v>64.94</v>
      </c>
      <c r="J565" s="22">
        <v>0.21</v>
      </c>
      <c r="K565" s="22" t="str">
        <v>PayPal</v>
      </c>
      <c r="L565" s="22">
        <v>51.302599999999998</v>
      </c>
    </row>
    <row r="566" spans="1:12" x14ac:dyDescent="0.3">
      <c r="A566" s="22" t="s">
        <v>2375</v>
      </c>
      <c r="B566" s="34" cm="1">
        <f t="array" ref="B566:C566">_xlfn.XLOOKUP(A566,Sales_Fact!A566:A2550,Sales_Fact!B566:C2550)</f>
        <v>45709</v>
      </c>
      <c r="C566" s="22" t="str">
        <v>CUST1136</v>
      </c>
      <c r="D566" s="22" t="str">
        <f>VLOOKUP('Combine Products &amp; Sales Facts'!C566,'Customer Details'!A:B,2,0)</f>
        <v>Patrick Coleman</v>
      </c>
      <c r="E566" s="22" t="str">
        <f>VLOOKUP(C566,Sales_Fact!C:D,2,0)</f>
        <v>PROD35</v>
      </c>
      <c r="F566" s="22" t="str">
        <f>VLOOKUP(E566,Product_Dim!A:C,3,0)</f>
        <v>Home</v>
      </c>
      <c r="G566" s="22" t="str" cm="1">
        <f t="array" ref="G566:L566">_xlfn.XLOOKUP(C566,Sales_Fact!C566:C2550,Sales_Fact!E566:J2550)</f>
        <v>STORE7</v>
      </c>
      <c r="H566" s="22">
        <v>2</v>
      </c>
      <c r="I566" s="22">
        <v>507.66</v>
      </c>
      <c r="J566" s="22">
        <v>0</v>
      </c>
      <c r="K566" s="22" t="str">
        <v>COD</v>
      </c>
      <c r="L566" s="22">
        <v>1015.32</v>
      </c>
    </row>
    <row r="567" spans="1:12" x14ac:dyDescent="0.3">
      <c r="A567" s="22" t="s">
        <v>2376</v>
      </c>
      <c r="B567" s="34" cm="1">
        <f t="array" ref="B567:C567">_xlfn.XLOOKUP(A567,Sales_Fact!A567:A2551,Sales_Fact!B567:C2551)</f>
        <v>45273</v>
      </c>
      <c r="C567" s="22" t="str">
        <v>CUST1242</v>
      </c>
      <c r="D567" s="22" t="str">
        <f>VLOOKUP('Combine Products &amp; Sales Facts'!C567,'Customer Details'!A:B,2,0)</f>
        <v>William Jackson</v>
      </c>
      <c r="E567" s="22" t="str">
        <f>VLOOKUP(C567,Sales_Fact!C:D,2,0)</f>
        <v>PROD81</v>
      </c>
      <c r="F567" s="22" t="str">
        <f>VLOOKUP(E567,Product_Dim!A:C,3,0)</f>
        <v>Sports</v>
      </c>
      <c r="G567" s="22" t="str" cm="1">
        <f t="array" ref="G567:L567">_xlfn.XLOOKUP(C567,Sales_Fact!C567:C2551,Sales_Fact!E567:J2551)</f>
        <v>STORE4</v>
      </c>
      <c r="H567" s="22">
        <v>4</v>
      </c>
      <c r="I567" s="22">
        <v>968.27</v>
      </c>
      <c r="J567" s="22">
        <v>0.03</v>
      </c>
      <c r="K567" s="22" t="str">
        <v>PayPal</v>
      </c>
      <c r="L567" s="22">
        <v>3756.8876</v>
      </c>
    </row>
    <row r="568" spans="1:12" x14ac:dyDescent="0.3">
      <c r="A568" s="22" t="s">
        <v>2377</v>
      </c>
      <c r="B568" s="34" cm="1">
        <f t="array" ref="B568:C568">_xlfn.XLOOKUP(A568,Sales_Fact!A568:A2552,Sales_Fact!B568:C2552)</f>
        <v>45250</v>
      </c>
      <c r="C568" s="22" t="str">
        <v>CUST1017</v>
      </c>
      <c r="D568" s="22" t="str">
        <f>VLOOKUP('Combine Products &amp; Sales Facts'!C568,'Customer Details'!A:B,2,0)</f>
        <v>Adam Cruz</v>
      </c>
      <c r="E568" s="22" t="str">
        <f>VLOOKUP(C568,Sales_Fact!C:D,2,0)</f>
        <v>PROD41</v>
      </c>
      <c r="F568" s="22" t="str">
        <f>VLOOKUP(E568,Product_Dim!A:C,3,0)</f>
        <v>Sports</v>
      </c>
      <c r="G568" s="22" t="str" cm="1">
        <f t="array" ref="G568:L568">_xlfn.XLOOKUP(C568,Sales_Fact!C568:C2552,Sales_Fact!E568:J2552)</f>
        <v>STORE5</v>
      </c>
      <c r="H568" s="22">
        <v>4</v>
      </c>
      <c r="I568" s="22">
        <v>510.33</v>
      </c>
      <c r="J568" s="22">
        <v>0.2</v>
      </c>
      <c r="K568" s="22" t="str">
        <v>PayPal</v>
      </c>
      <c r="L568" s="22">
        <v>1633.056</v>
      </c>
    </row>
    <row r="569" spans="1:12" x14ac:dyDescent="0.3">
      <c r="A569" s="22" t="s">
        <v>2378</v>
      </c>
      <c r="B569" s="34" cm="1">
        <f t="array" ref="B569:C569">_xlfn.XLOOKUP(A569,Sales_Fact!A569:A2553,Sales_Fact!B569:C2553)</f>
        <v>45539</v>
      </c>
      <c r="C569" s="22" t="str">
        <v>CUST1011</v>
      </c>
      <c r="D569" s="22" t="str">
        <f>VLOOKUP('Combine Products &amp; Sales Facts'!C569,'Customer Details'!A:B,2,0)</f>
        <v>Brian Lopez</v>
      </c>
      <c r="E569" s="22" t="str">
        <f>VLOOKUP(C569,Sales_Fact!C:D,2,0)</f>
        <v>PROD31</v>
      </c>
      <c r="F569" s="22" t="str">
        <f>VLOOKUP(E569,Product_Dim!A:C,3,0)</f>
        <v>Sports</v>
      </c>
      <c r="G569" s="22" t="str" cm="1">
        <f t="array" ref="G569:L569">_xlfn.XLOOKUP(C569,Sales_Fact!C569:C2553,Sales_Fact!E569:J2553)</f>
        <v>STORE19</v>
      </c>
      <c r="H569" s="22">
        <v>2</v>
      </c>
      <c r="I569" s="22">
        <v>156.72999999999999</v>
      </c>
      <c r="J569" s="22">
        <v>0.18</v>
      </c>
      <c r="K569" s="22" t="str">
        <v>COD</v>
      </c>
      <c r="L569" s="22">
        <v>257.03719999999998</v>
      </c>
    </row>
    <row r="570" spans="1:12" x14ac:dyDescent="0.3">
      <c r="A570" s="22" t="s">
        <v>2379</v>
      </c>
      <c r="B570" s="34" cm="1">
        <f t="array" ref="B570:C570">_xlfn.XLOOKUP(A570,Sales_Fact!A570:A2554,Sales_Fact!B570:C2554)</f>
        <v>45810</v>
      </c>
      <c r="C570" s="22" t="str">
        <v>CUST1142</v>
      </c>
      <c r="D570" s="22" t="str">
        <f>VLOOKUP('Combine Products &amp; Sales Facts'!C570,'Customer Details'!A:B,2,0)</f>
        <v>Maria Ramirez</v>
      </c>
      <c r="E570" s="22" t="str">
        <f>VLOOKUP(C570,Sales_Fact!C:D,2,0)</f>
        <v>PROD69</v>
      </c>
      <c r="F570" s="22" t="str">
        <f>VLOOKUP(E570,Product_Dim!A:C,3,0)</f>
        <v>Clothing</v>
      </c>
      <c r="G570" s="22" t="str" cm="1">
        <f t="array" ref="G570:L570">_xlfn.XLOOKUP(C570,Sales_Fact!C570:C2554,Sales_Fact!E570:J2554)</f>
        <v>STORE10</v>
      </c>
      <c r="H570" s="22">
        <v>3</v>
      </c>
      <c r="I570" s="22">
        <v>53.83</v>
      </c>
      <c r="J570" s="22">
        <v>0.24</v>
      </c>
      <c r="K570" s="22" t="str">
        <v>Credit Card</v>
      </c>
      <c r="L570" s="22">
        <v>122.7324</v>
      </c>
    </row>
    <row r="571" spans="1:12" x14ac:dyDescent="0.3">
      <c r="A571" s="22" t="s">
        <v>2380</v>
      </c>
      <c r="B571" s="34" cm="1">
        <f t="array" ref="B571:C571">_xlfn.XLOOKUP(A571,Sales_Fact!A571:A2555,Sales_Fact!B571:C2555)</f>
        <v>45350</v>
      </c>
      <c r="C571" s="22" t="str">
        <v>CUST1377</v>
      </c>
      <c r="D571" s="22" t="str">
        <f>VLOOKUP('Combine Products &amp; Sales Facts'!C571,'Customer Details'!A:B,2,0)</f>
        <v>Charles Conley</v>
      </c>
      <c r="E571" s="22" t="str">
        <f>VLOOKUP(C571,Sales_Fact!C:D,2,0)</f>
        <v>PROD92</v>
      </c>
      <c r="F571" s="22" t="str">
        <f>VLOOKUP(E571,Product_Dim!A:C,3,0)</f>
        <v>Home</v>
      </c>
      <c r="G571" s="22" t="str" cm="1">
        <f t="array" ref="G571:L571">_xlfn.XLOOKUP(C571,Sales_Fact!C571:C2555,Sales_Fact!E571:J2555)</f>
        <v>STORE4</v>
      </c>
      <c r="H571" s="22">
        <v>1</v>
      </c>
      <c r="I571" s="22">
        <v>34.71</v>
      </c>
      <c r="J571" s="22">
        <v>0.1</v>
      </c>
      <c r="K571" s="22" t="str">
        <v>COD</v>
      </c>
      <c r="L571" s="22">
        <v>31.239000000000001</v>
      </c>
    </row>
    <row r="572" spans="1:12" x14ac:dyDescent="0.3">
      <c r="A572" s="22" t="s">
        <v>2381</v>
      </c>
      <c r="B572" s="34" cm="1">
        <f t="array" ref="B572:C572">_xlfn.XLOOKUP(A572,Sales_Fact!A572:A2556,Sales_Fact!B572:C2556)</f>
        <v>45633</v>
      </c>
      <c r="C572" s="22" t="str">
        <v>CUST1229</v>
      </c>
      <c r="D572" s="22" t="str">
        <f>VLOOKUP('Combine Products &amp; Sales Facts'!C572,'Customer Details'!A:B,2,0)</f>
        <v>Tanner Thompson</v>
      </c>
      <c r="E572" s="22" t="str">
        <f>VLOOKUP(C572,Sales_Fact!C:D,2,0)</f>
        <v>PROD52</v>
      </c>
      <c r="F572" s="22" t="str">
        <f>VLOOKUP(E572,Product_Dim!A:C,3,0)</f>
        <v>Sports</v>
      </c>
      <c r="G572" s="22" t="str" cm="1">
        <f t="array" ref="G572:L572">_xlfn.XLOOKUP(C572,Sales_Fact!C572:C2556,Sales_Fact!E572:J2556)</f>
        <v>STORE1</v>
      </c>
      <c r="H572" s="22">
        <v>2</v>
      </c>
      <c r="I572" s="22">
        <v>829.15</v>
      </c>
      <c r="J572" s="22">
        <v>0.11</v>
      </c>
      <c r="K572" s="22" t="str">
        <v>PayPal</v>
      </c>
      <c r="L572" s="22">
        <v>1475.8869999999999</v>
      </c>
    </row>
    <row r="573" spans="1:12" x14ac:dyDescent="0.3">
      <c r="A573" s="22" t="s">
        <v>2382</v>
      </c>
      <c r="B573" s="34" cm="1">
        <f t="array" ref="B573:C573">_xlfn.XLOOKUP(A573,Sales_Fact!A573:A2557,Sales_Fact!B573:C2557)</f>
        <v>45798</v>
      </c>
      <c r="C573" s="22" t="str">
        <v>CUST1264</v>
      </c>
      <c r="D573" s="22" t="str">
        <f>VLOOKUP('Combine Products &amp; Sales Facts'!C573,'Customer Details'!A:B,2,0)</f>
        <v>Matthew Payne</v>
      </c>
      <c r="E573" s="22" t="str">
        <f>VLOOKUP(C573,Sales_Fact!C:D,2,0)</f>
        <v>PROD22</v>
      </c>
      <c r="F573" s="22" t="str">
        <f>VLOOKUP(E573,Product_Dim!A:C,3,0)</f>
        <v>Sports</v>
      </c>
      <c r="G573" s="22" t="str" cm="1">
        <f t="array" ref="G573:L573">_xlfn.XLOOKUP(C573,Sales_Fact!C573:C2557,Sales_Fact!E573:J2557)</f>
        <v>STORE3</v>
      </c>
      <c r="H573" s="22">
        <v>2</v>
      </c>
      <c r="I573" s="22">
        <v>481.86</v>
      </c>
      <c r="J573" s="22">
        <v>0.1</v>
      </c>
      <c r="K573" s="22" t="str">
        <v>COD</v>
      </c>
      <c r="L573" s="22">
        <v>867.34800000000007</v>
      </c>
    </row>
    <row r="574" spans="1:12" x14ac:dyDescent="0.3">
      <c r="A574" s="22" t="s">
        <v>2383</v>
      </c>
      <c r="B574" s="34" cm="1">
        <f t="array" ref="B574:C574">_xlfn.XLOOKUP(A574,Sales_Fact!A574:A2558,Sales_Fact!B574:C2558)</f>
        <v>45354</v>
      </c>
      <c r="C574" s="22" t="str">
        <v>CUST1147</v>
      </c>
      <c r="D574" s="22" t="str">
        <f>VLOOKUP('Combine Products &amp; Sales Facts'!C574,'Customer Details'!A:B,2,0)</f>
        <v>Rhonda Young</v>
      </c>
      <c r="E574" s="22" t="str">
        <f>VLOOKUP(C574,Sales_Fact!C:D,2,0)</f>
        <v>PROD52</v>
      </c>
      <c r="F574" s="22" t="str">
        <f>VLOOKUP(E574,Product_Dim!A:C,3,0)</f>
        <v>Sports</v>
      </c>
      <c r="G574" s="22" t="str" cm="1">
        <f t="array" ref="G574:L574">_xlfn.XLOOKUP(C574,Sales_Fact!C574:C2558,Sales_Fact!E574:J2558)</f>
        <v>STORE7</v>
      </c>
      <c r="H574" s="22">
        <v>4</v>
      </c>
      <c r="I574" s="22">
        <v>915.17</v>
      </c>
      <c r="J574" s="22">
        <v>0.19</v>
      </c>
      <c r="K574" s="22" t="str">
        <v>COD</v>
      </c>
      <c r="L574" s="22">
        <v>2965.1507999999999</v>
      </c>
    </row>
    <row r="575" spans="1:12" x14ac:dyDescent="0.3">
      <c r="A575" s="22" t="s">
        <v>2384</v>
      </c>
      <c r="B575" s="34" cm="1">
        <f t="array" ref="B575:C575">_xlfn.XLOOKUP(A575,Sales_Fact!A575:A2559,Sales_Fact!B575:C2559)</f>
        <v>45357</v>
      </c>
      <c r="C575" s="22" t="str">
        <v>CUST1214</v>
      </c>
      <c r="D575" s="22" t="str">
        <f>VLOOKUP('Combine Products &amp; Sales Facts'!C575,'Customer Details'!A:B,2,0)</f>
        <v>Eric Todd</v>
      </c>
      <c r="E575" s="22" t="str">
        <f>VLOOKUP(C575,Sales_Fact!C:D,2,0)</f>
        <v>PROD91</v>
      </c>
      <c r="F575" s="22" t="str">
        <f>VLOOKUP(E575,Product_Dim!A:C,3,0)</f>
        <v>Clothing</v>
      </c>
      <c r="G575" s="22" t="str" cm="1">
        <f t="array" ref="G575:L575">_xlfn.XLOOKUP(C575,Sales_Fact!C575:C2559,Sales_Fact!E575:J2559)</f>
        <v>STORE18</v>
      </c>
      <c r="H575" s="22">
        <v>1</v>
      </c>
      <c r="I575" s="22">
        <v>250.95</v>
      </c>
      <c r="J575" s="22">
        <v>0.03</v>
      </c>
      <c r="K575" s="22" t="str">
        <v>PayPal</v>
      </c>
      <c r="L575" s="22">
        <v>243.42150000000001</v>
      </c>
    </row>
    <row r="576" spans="1:12" x14ac:dyDescent="0.3">
      <c r="A576" s="22" t="s">
        <v>2385</v>
      </c>
      <c r="B576" s="34" cm="1">
        <f t="array" ref="B576:C576">_xlfn.XLOOKUP(A576,Sales_Fact!A576:A2560,Sales_Fact!B576:C2560)</f>
        <v>45257</v>
      </c>
      <c r="C576" s="22" t="str">
        <v>CUST1325</v>
      </c>
      <c r="D576" s="22" t="str">
        <f>VLOOKUP('Combine Products &amp; Sales Facts'!C576,'Customer Details'!A:B,2,0)</f>
        <v>Andrew Smith</v>
      </c>
      <c r="E576" s="22" t="str">
        <f>VLOOKUP(C576,Sales_Fact!C:D,2,0)</f>
        <v>PROD54</v>
      </c>
      <c r="F576" s="22" t="str">
        <f>VLOOKUP(E576,Product_Dim!A:C,3,0)</f>
        <v>Sports</v>
      </c>
      <c r="G576" s="22" t="str" cm="1">
        <f t="array" ref="G576:L576">_xlfn.XLOOKUP(C576,Sales_Fact!C576:C2560,Sales_Fact!E576:J2560)</f>
        <v>STORE5</v>
      </c>
      <c r="H576" s="22">
        <v>3</v>
      </c>
      <c r="I576" s="22">
        <v>882.84</v>
      </c>
      <c r="J576" s="22">
        <v>0.1</v>
      </c>
      <c r="K576" s="22" t="str">
        <v>Credit Card</v>
      </c>
      <c r="L576" s="22">
        <v>2383.6680000000001</v>
      </c>
    </row>
    <row r="577" spans="1:12" x14ac:dyDescent="0.3">
      <c r="A577" s="22" t="s">
        <v>2386</v>
      </c>
      <c r="B577" s="34" cm="1">
        <f t="array" ref="B577:C577">_xlfn.XLOOKUP(A577,Sales_Fact!A577:A2561,Sales_Fact!B577:C2561)</f>
        <v>45702</v>
      </c>
      <c r="C577" s="22" t="str">
        <v>CUST1138</v>
      </c>
      <c r="D577" s="22" t="str">
        <f>VLOOKUP('Combine Products &amp; Sales Facts'!C577,'Customer Details'!A:B,2,0)</f>
        <v>Sean Roth</v>
      </c>
      <c r="E577" s="22" t="str">
        <f>VLOOKUP(C577,Sales_Fact!C:D,2,0)</f>
        <v>PROD46</v>
      </c>
      <c r="F577" s="22" t="str">
        <f>VLOOKUP(E577,Product_Dim!A:C,3,0)</f>
        <v>Clothing</v>
      </c>
      <c r="G577" s="22" t="str" cm="1">
        <f t="array" ref="G577:L577">_xlfn.XLOOKUP(C577,Sales_Fact!C577:C2561,Sales_Fact!E577:J2561)</f>
        <v>STORE18</v>
      </c>
      <c r="H577" s="22">
        <v>4</v>
      </c>
      <c r="I577" s="22">
        <v>573.37</v>
      </c>
      <c r="J577" s="22">
        <v>0.04</v>
      </c>
      <c r="K577" s="22" t="str">
        <v>COD</v>
      </c>
      <c r="L577" s="22">
        <v>2201.7408</v>
      </c>
    </row>
    <row r="578" spans="1:12" x14ac:dyDescent="0.3">
      <c r="A578" s="22" t="s">
        <v>2387</v>
      </c>
      <c r="B578" s="34" cm="1">
        <f t="array" ref="B578:C578">_xlfn.XLOOKUP(A578,Sales_Fact!A578:A2562,Sales_Fact!B578:C2562)</f>
        <v>45318</v>
      </c>
      <c r="C578" s="22" t="str">
        <v>CUST1058</v>
      </c>
      <c r="D578" s="22" t="str">
        <f>VLOOKUP('Combine Products &amp; Sales Facts'!C578,'Customer Details'!A:B,2,0)</f>
        <v>Cheryl Copeland</v>
      </c>
      <c r="E578" s="22" t="str">
        <f>VLOOKUP(C578,Sales_Fact!C:D,2,0)</f>
        <v>PROD70</v>
      </c>
      <c r="F578" s="22" t="str">
        <f>VLOOKUP(E578,Product_Dim!A:C,3,0)</f>
        <v>Home</v>
      </c>
      <c r="G578" s="22" t="str" cm="1">
        <f t="array" ref="G578:L578">_xlfn.XLOOKUP(C578,Sales_Fact!C578:C2562,Sales_Fact!E578:J2562)</f>
        <v>STORE12</v>
      </c>
      <c r="H578" s="22">
        <v>3</v>
      </c>
      <c r="I578" s="22">
        <v>622.72</v>
      </c>
      <c r="J578" s="22">
        <v>0.04</v>
      </c>
      <c r="K578" s="22" t="str">
        <v>Credit Card</v>
      </c>
      <c r="L578" s="22">
        <v>1793.4336000000001</v>
      </c>
    </row>
    <row r="579" spans="1:12" x14ac:dyDescent="0.3">
      <c r="A579" s="22" t="s">
        <v>2388</v>
      </c>
      <c r="B579" s="34" cm="1">
        <f t="array" ref="B579:C579">_xlfn.XLOOKUP(A579,Sales_Fact!A579:A2563,Sales_Fact!B579:C2563)</f>
        <v>45943</v>
      </c>
      <c r="C579" s="22" t="str">
        <v>CUST1388</v>
      </c>
      <c r="D579" s="22" t="str">
        <f>VLOOKUP('Combine Products &amp; Sales Facts'!C579,'Customer Details'!A:B,2,0)</f>
        <v>Timothy Valenzuela</v>
      </c>
      <c r="E579" s="22" t="str">
        <f>VLOOKUP(C579,Sales_Fact!C:D,2,0)</f>
        <v>PROD82</v>
      </c>
      <c r="F579" s="22" t="str">
        <f>VLOOKUP(E579,Product_Dim!A:C,3,0)</f>
        <v>Sports</v>
      </c>
      <c r="G579" s="22" t="str" cm="1">
        <f t="array" ref="G579:L579">_xlfn.XLOOKUP(C579,Sales_Fact!C579:C2563,Sales_Fact!E579:J2563)</f>
        <v>STORE17</v>
      </c>
      <c r="H579" s="22">
        <v>3</v>
      </c>
      <c r="I579" s="22">
        <v>259.74</v>
      </c>
      <c r="J579" s="22">
        <v>0.24</v>
      </c>
      <c r="K579" s="22" t="str">
        <v>Credit Card</v>
      </c>
      <c r="L579" s="22">
        <v>592.20720000000006</v>
      </c>
    </row>
    <row r="580" spans="1:12" x14ac:dyDescent="0.3">
      <c r="A580" s="22" t="s">
        <v>2389</v>
      </c>
      <c r="B580" s="34" cm="1">
        <f t="array" ref="B580:C580">_xlfn.XLOOKUP(A580,Sales_Fact!A580:A2564,Sales_Fact!B580:C2564)</f>
        <v>45769</v>
      </c>
      <c r="C580" s="22" t="str">
        <v>CUST1054</v>
      </c>
      <c r="D580" s="22" t="str">
        <f>VLOOKUP('Combine Products &amp; Sales Facts'!C580,'Customer Details'!A:B,2,0)</f>
        <v>Katherine Dorsey</v>
      </c>
      <c r="E580" s="22" t="str">
        <f>VLOOKUP(C580,Sales_Fact!C:D,2,0)</f>
        <v>PROD88</v>
      </c>
      <c r="F580" s="22" t="str">
        <f>VLOOKUP(E580,Product_Dim!A:C,3,0)</f>
        <v>Sports</v>
      </c>
      <c r="G580" s="22" t="str" cm="1">
        <f t="array" ref="G580:L580">_xlfn.XLOOKUP(C580,Sales_Fact!C580:C2564,Sales_Fact!E580:J2564)</f>
        <v>STORE13</v>
      </c>
      <c r="H580" s="22">
        <v>4</v>
      </c>
      <c r="I580" s="22">
        <v>951.09</v>
      </c>
      <c r="J580" s="22">
        <v>0.14000000000000001</v>
      </c>
      <c r="K580" s="22" t="str">
        <v>COD</v>
      </c>
      <c r="L580" s="22">
        <v>3271.7496000000001</v>
      </c>
    </row>
    <row r="581" spans="1:12" x14ac:dyDescent="0.3">
      <c r="A581" s="22" t="s">
        <v>2390</v>
      </c>
      <c r="B581" s="34" cm="1">
        <f t="array" ref="B581:C581">_xlfn.XLOOKUP(A581,Sales_Fact!A581:A2565,Sales_Fact!B581:C2565)</f>
        <v>45765</v>
      </c>
      <c r="C581" s="22" t="str">
        <v>CUST1199</v>
      </c>
      <c r="D581" s="22" t="str">
        <f>VLOOKUP('Combine Products &amp; Sales Facts'!C581,'Customer Details'!A:B,2,0)</f>
        <v>Carmen Price</v>
      </c>
      <c r="E581" s="22" t="str">
        <f>VLOOKUP(C581,Sales_Fact!C:D,2,0)</f>
        <v>PROD48</v>
      </c>
      <c r="F581" s="22" t="str">
        <f>VLOOKUP(E581,Product_Dim!A:C,3,0)</f>
        <v>Electronics</v>
      </c>
      <c r="G581" s="22" t="str" cm="1">
        <f t="array" ref="G581:L581">_xlfn.XLOOKUP(C581,Sales_Fact!C581:C2565,Sales_Fact!E581:J2565)</f>
        <v>STORE2</v>
      </c>
      <c r="H581" s="22">
        <v>1</v>
      </c>
      <c r="I581" s="22">
        <v>71.709999999999994</v>
      </c>
      <c r="J581" s="22">
        <v>0.23</v>
      </c>
      <c r="K581" s="22" t="str">
        <v>COD</v>
      </c>
      <c r="L581" s="22">
        <v>55.216700000000003</v>
      </c>
    </row>
    <row r="582" spans="1:12" x14ac:dyDescent="0.3">
      <c r="A582" s="22" t="s">
        <v>2391</v>
      </c>
      <c r="B582" s="34" cm="1">
        <f t="array" ref="B582:C582">_xlfn.XLOOKUP(A582,Sales_Fact!A582:A2566,Sales_Fact!B582:C2566)</f>
        <v>45891</v>
      </c>
      <c r="C582" s="22" t="str">
        <v>CUST1173</v>
      </c>
      <c r="D582" s="22" t="str">
        <f>VLOOKUP('Combine Products &amp; Sales Facts'!C582,'Customer Details'!A:B,2,0)</f>
        <v>Teresa Stokes</v>
      </c>
      <c r="E582" s="22" t="str">
        <f>VLOOKUP(C582,Sales_Fact!C:D,2,0)</f>
        <v>PROD20</v>
      </c>
      <c r="F582" s="22" t="str">
        <f>VLOOKUP(E582,Product_Dim!A:C,3,0)</f>
        <v>Sports</v>
      </c>
      <c r="G582" s="22" t="str" cm="1">
        <f t="array" ref="G582:L582">_xlfn.XLOOKUP(C582,Sales_Fact!C582:C2566,Sales_Fact!E582:J2566)</f>
        <v>STORE7</v>
      </c>
      <c r="H582" s="22">
        <v>4</v>
      </c>
      <c r="I582" s="22">
        <v>894.93</v>
      </c>
      <c r="J582" s="22">
        <v>0.05</v>
      </c>
      <c r="K582" s="22" t="str">
        <v>COD</v>
      </c>
      <c r="L582" s="22">
        <v>3400.733999999999</v>
      </c>
    </row>
    <row r="583" spans="1:12" x14ac:dyDescent="0.3">
      <c r="A583" s="22" t="s">
        <v>2392</v>
      </c>
      <c r="B583" s="34" cm="1">
        <f t="array" ref="B583:C583">_xlfn.XLOOKUP(A583,Sales_Fact!A583:A2567,Sales_Fact!B583:C2567)</f>
        <v>45842</v>
      </c>
      <c r="C583" s="22" t="str">
        <v>CUST1202</v>
      </c>
      <c r="D583" s="22" t="str">
        <f>VLOOKUP('Combine Products &amp; Sales Facts'!C583,'Customer Details'!A:B,2,0)</f>
        <v>Christina Garcia</v>
      </c>
      <c r="E583" s="22" t="str">
        <f>VLOOKUP(C583,Sales_Fact!C:D,2,0)</f>
        <v>PROD78</v>
      </c>
      <c r="F583" s="22" t="str">
        <f>VLOOKUP(E583,Product_Dim!A:C,3,0)</f>
        <v>Home</v>
      </c>
      <c r="G583" s="22" t="str" cm="1">
        <f t="array" ref="G583:L583">_xlfn.XLOOKUP(C583,Sales_Fact!C583:C2567,Sales_Fact!E583:J2567)</f>
        <v>STORE8</v>
      </c>
      <c r="H583" s="22">
        <v>4</v>
      </c>
      <c r="I583" s="22">
        <v>870.18</v>
      </c>
      <c r="J583" s="22">
        <v>0.13</v>
      </c>
      <c r="K583" s="22" t="str">
        <v>COD</v>
      </c>
      <c r="L583" s="22">
        <v>3028.2264</v>
      </c>
    </row>
    <row r="584" spans="1:12" x14ac:dyDescent="0.3">
      <c r="A584" s="22" t="s">
        <v>2393</v>
      </c>
      <c r="B584" s="34" cm="1">
        <f t="array" ref="B584:C584">_xlfn.XLOOKUP(A584,Sales_Fact!A584:A2568,Sales_Fact!B584:C2568)</f>
        <v>45382</v>
      </c>
      <c r="C584" s="22" t="str">
        <v>CUST1278</v>
      </c>
      <c r="D584" s="22" t="str">
        <f>VLOOKUP('Combine Products &amp; Sales Facts'!C584,'Customer Details'!A:B,2,0)</f>
        <v>Stephen Fowler</v>
      </c>
      <c r="E584" s="22" t="str">
        <f>VLOOKUP(C584,Sales_Fact!C:D,2,0)</f>
        <v>PROD88</v>
      </c>
      <c r="F584" s="22" t="str">
        <f>VLOOKUP(E584,Product_Dim!A:C,3,0)</f>
        <v>Sports</v>
      </c>
      <c r="G584" s="22" t="str" cm="1">
        <f t="array" ref="G584:L584">_xlfn.XLOOKUP(C584,Sales_Fact!C584:C2568,Sales_Fact!E584:J2568)</f>
        <v>STORE2</v>
      </c>
      <c r="H584" s="22">
        <v>2</v>
      </c>
      <c r="I584" s="22">
        <v>552.72</v>
      </c>
      <c r="J584" s="22">
        <v>0.06</v>
      </c>
      <c r="K584" s="22" t="str">
        <v>PayPal</v>
      </c>
      <c r="L584" s="22">
        <v>1039.1135999999999</v>
      </c>
    </row>
    <row r="585" spans="1:12" x14ac:dyDescent="0.3">
      <c r="A585" s="22" t="s">
        <v>2394</v>
      </c>
      <c r="B585" s="34" cm="1">
        <f t="array" ref="B585:C585">_xlfn.XLOOKUP(A585,Sales_Fact!A585:A2569,Sales_Fact!B585:C2569)</f>
        <v>45236</v>
      </c>
      <c r="C585" s="22" t="str">
        <v>CUST1246</v>
      </c>
      <c r="D585" s="22" t="str">
        <f>VLOOKUP('Combine Products &amp; Sales Facts'!C585,'Customer Details'!A:B,2,0)</f>
        <v>Mary Russell</v>
      </c>
      <c r="E585" s="22" t="str">
        <f>VLOOKUP(C585,Sales_Fact!C:D,2,0)</f>
        <v>PROD72</v>
      </c>
      <c r="F585" s="22" t="str">
        <f>VLOOKUP(E585,Product_Dim!A:C,3,0)</f>
        <v>Sports</v>
      </c>
      <c r="G585" s="22" t="str" cm="1">
        <f t="array" ref="G585:L585">_xlfn.XLOOKUP(C585,Sales_Fact!C585:C2569,Sales_Fact!E585:J2569)</f>
        <v>STORE8</v>
      </c>
      <c r="H585" s="22">
        <v>3</v>
      </c>
      <c r="I585" s="22">
        <v>700.43</v>
      </c>
      <c r="J585" s="22">
        <v>0.01</v>
      </c>
      <c r="K585" s="22" t="str">
        <v>COD</v>
      </c>
      <c r="L585" s="22">
        <v>2080.2770999999998</v>
      </c>
    </row>
    <row r="586" spans="1:12" x14ac:dyDescent="0.3">
      <c r="A586" s="22" t="s">
        <v>2395</v>
      </c>
      <c r="B586" s="34" cm="1">
        <f t="array" ref="B586:C586">_xlfn.XLOOKUP(A586,Sales_Fact!A586:A2570,Sales_Fact!B586:C2570)</f>
        <v>45806</v>
      </c>
      <c r="C586" s="22" t="str">
        <v>CUST1339</v>
      </c>
      <c r="D586" s="22" t="str">
        <f>VLOOKUP('Combine Products &amp; Sales Facts'!C586,'Customer Details'!A:B,2,0)</f>
        <v>Mrs. Susan Buckley</v>
      </c>
      <c r="E586" s="22" t="str">
        <f>VLOOKUP(C586,Sales_Fact!C:D,2,0)</f>
        <v>PROD9</v>
      </c>
      <c r="F586" s="22" t="str">
        <f>VLOOKUP(E586,Product_Dim!A:C,3,0)</f>
        <v>Sports</v>
      </c>
      <c r="G586" s="22" t="str" cm="1">
        <f t="array" ref="G586:L586">_xlfn.XLOOKUP(C586,Sales_Fact!C586:C2570,Sales_Fact!E586:J2570)</f>
        <v>STORE2</v>
      </c>
      <c r="H586" s="22">
        <v>2</v>
      </c>
      <c r="I586" s="22">
        <v>823.03</v>
      </c>
      <c r="J586" s="22">
        <v>0.18</v>
      </c>
      <c r="K586" s="22" t="str">
        <v>PayPal</v>
      </c>
      <c r="L586" s="22">
        <v>1349.7692</v>
      </c>
    </row>
    <row r="587" spans="1:12" x14ac:dyDescent="0.3">
      <c r="A587" s="22" t="s">
        <v>2396</v>
      </c>
      <c r="B587" s="34" cm="1">
        <f t="array" ref="B587:C587">_xlfn.XLOOKUP(A587,Sales_Fact!A587:A2571,Sales_Fact!B587:C2571)</f>
        <v>45401</v>
      </c>
      <c r="C587" s="22" t="str">
        <v>CUST1255</v>
      </c>
      <c r="D587" s="22" t="str">
        <f>VLOOKUP('Combine Products &amp; Sales Facts'!C587,'Customer Details'!A:B,2,0)</f>
        <v>Damon Perez</v>
      </c>
      <c r="E587" s="22" t="str">
        <f>VLOOKUP(C587,Sales_Fact!C:D,2,0)</f>
        <v>PROD72</v>
      </c>
      <c r="F587" s="22" t="str">
        <f>VLOOKUP(E587,Product_Dim!A:C,3,0)</f>
        <v>Sports</v>
      </c>
      <c r="G587" s="22" t="str" cm="1">
        <f t="array" ref="G587:L587">_xlfn.XLOOKUP(C587,Sales_Fact!C587:C2571,Sales_Fact!E587:J2571)</f>
        <v>STORE6</v>
      </c>
      <c r="H587" s="22">
        <v>1</v>
      </c>
      <c r="I587" s="22">
        <v>117.37</v>
      </c>
      <c r="J587" s="22">
        <v>0.21</v>
      </c>
      <c r="K587" s="22" t="str">
        <v>Credit Card</v>
      </c>
      <c r="L587" s="22">
        <v>92.722300000000004</v>
      </c>
    </row>
    <row r="588" spans="1:12" x14ac:dyDescent="0.3">
      <c r="A588" s="22" t="s">
        <v>2397</v>
      </c>
      <c r="B588" s="34" cm="1">
        <f t="array" ref="B588:C588">_xlfn.XLOOKUP(A588,Sales_Fact!A588:A2572,Sales_Fact!B588:C2572)</f>
        <v>45716</v>
      </c>
      <c r="C588" s="22" t="str">
        <v>CUST1104</v>
      </c>
      <c r="D588" s="22" t="str">
        <f>VLOOKUP('Combine Products &amp; Sales Facts'!C588,'Customer Details'!A:B,2,0)</f>
        <v>Christopher Lester</v>
      </c>
      <c r="E588" s="22" t="str">
        <f>VLOOKUP(C588,Sales_Fact!C:D,2,0)</f>
        <v>PROD25</v>
      </c>
      <c r="F588" s="22" t="str">
        <f>VLOOKUP(E588,Product_Dim!A:C,3,0)</f>
        <v>Clothing</v>
      </c>
      <c r="G588" s="22" t="str" cm="1">
        <f t="array" ref="G588:L588">_xlfn.XLOOKUP(C588,Sales_Fact!C588:C2572,Sales_Fact!E588:J2572)</f>
        <v>STORE1</v>
      </c>
      <c r="H588" s="22">
        <v>4</v>
      </c>
      <c r="I588" s="22">
        <v>165.37</v>
      </c>
      <c r="J588" s="22">
        <v>0.28999999999999998</v>
      </c>
      <c r="K588" s="22" t="str">
        <v>Credit Card</v>
      </c>
      <c r="L588" s="22">
        <v>469.6508</v>
      </c>
    </row>
    <row r="589" spans="1:12" x14ac:dyDescent="0.3">
      <c r="A589" s="22" t="s">
        <v>2398</v>
      </c>
      <c r="B589" s="34" cm="1">
        <f t="array" ref="B589:C589">_xlfn.XLOOKUP(A589,Sales_Fact!A589:A2573,Sales_Fact!B589:C2573)</f>
        <v>45718</v>
      </c>
      <c r="C589" s="22" t="str">
        <v>CUST1378</v>
      </c>
      <c r="D589" s="22" t="str">
        <f>VLOOKUP('Combine Products &amp; Sales Facts'!C589,'Customer Details'!A:B,2,0)</f>
        <v>Frank Stewart</v>
      </c>
      <c r="E589" s="22" t="str">
        <f>VLOOKUP(C589,Sales_Fact!C:D,2,0)</f>
        <v>PROD91</v>
      </c>
      <c r="F589" s="22" t="str">
        <f>VLOOKUP(E589,Product_Dim!A:C,3,0)</f>
        <v>Clothing</v>
      </c>
      <c r="G589" s="22" t="str" cm="1">
        <f t="array" ref="G589:L589">_xlfn.XLOOKUP(C589,Sales_Fact!C589:C2573,Sales_Fact!E589:J2573)</f>
        <v>STORE10</v>
      </c>
      <c r="H589" s="22">
        <v>3</v>
      </c>
      <c r="I589" s="22">
        <v>483.06</v>
      </c>
      <c r="J589" s="22">
        <v>0.05</v>
      </c>
      <c r="K589" s="22" t="str">
        <v>Credit Card</v>
      </c>
      <c r="L589" s="22">
        <v>1376.721</v>
      </c>
    </row>
    <row r="590" spans="1:12" x14ac:dyDescent="0.3">
      <c r="A590" s="22" t="s">
        <v>2399</v>
      </c>
      <c r="B590" s="34" cm="1">
        <f t="array" ref="B590:C590">_xlfn.XLOOKUP(A590,Sales_Fact!A590:A2574,Sales_Fact!B590:C2574)</f>
        <v>45379</v>
      </c>
      <c r="C590" s="22" t="str">
        <v>CUST1293</v>
      </c>
      <c r="D590" s="22" t="str">
        <f>VLOOKUP('Combine Products &amp; Sales Facts'!C590,'Customer Details'!A:B,2,0)</f>
        <v>Gloria Taylor</v>
      </c>
      <c r="E590" s="22" t="str">
        <f>VLOOKUP(C590,Sales_Fact!C:D,2,0)</f>
        <v>PROD20</v>
      </c>
      <c r="F590" s="22" t="str">
        <f>VLOOKUP(E590,Product_Dim!A:C,3,0)</f>
        <v>Sports</v>
      </c>
      <c r="G590" s="22" t="str" cm="1">
        <f t="array" ref="G590:L590">_xlfn.XLOOKUP(C590,Sales_Fact!C590:C2574,Sales_Fact!E590:J2574)</f>
        <v>STORE7</v>
      </c>
      <c r="H590" s="22">
        <v>4</v>
      </c>
      <c r="I590" s="22">
        <v>262.05</v>
      </c>
      <c r="J590" s="22">
        <v>0.24</v>
      </c>
      <c r="K590" s="22" t="str">
        <v>PayPal</v>
      </c>
      <c r="L590" s="22">
        <v>796.63200000000006</v>
      </c>
    </row>
    <row r="591" spans="1:12" x14ac:dyDescent="0.3">
      <c r="A591" s="22" t="s">
        <v>2400</v>
      </c>
      <c r="B591" s="34" cm="1">
        <f t="array" ref="B591:C591">_xlfn.XLOOKUP(A591,Sales_Fact!A591:A2575,Sales_Fact!B591:C2575)</f>
        <v>45635</v>
      </c>
      <c r="C591" s="22" t="str">
        <v>CUST1463</v>
      </c>
      <c r="D591" s="22" t="str">
        <f>VLOOKUP('Combine Products &amp; Sales Facts'!C591,'Customer Details'!A:B,2,0)</f>
        <v>Samantha Lee</v>
      </c>
      <c r="E591" s="22" t="str">
        <f>VLOOKUP(C591,Sales_Fact!C:D,2,0)</f>
        <v>PROD8</v>
      </c>
      <c r="F591" s="22" t="str">
        <f>VLOOKUP(E591,Product_Dim!A:C,3,0)</f>
        <v>Electronics</v>
      </c>
      <c r="G591" s="22" t="str" cm="1">
        <f t="array" ref="G591:L591">_xlfn.XLOOKUP(C591,Sales_Fact!C591:C2575,Sales_Fact!E591:J2575)</f>
        <v>STORE14</v>
      </c>
      <c r="H591" s="22">
        <v>3</v>
      </c>
      <c r="I591" s="22">
        <v>970.89</v>
      </c>
      <c r="J591" s="22">
        <v>0.11</v>
      </c>
      <c r="K591" s="22" t="str">
        <v>COD</v>
      </c>
      <c r="L591" s="22">
        <v>2592.2763</v>
      </c>
    </row>
    <row r="592" spans="1:12" x14ac:dyDescent="0.3">
      <c r="A592" s="22" t="s">
        <v>2401</v>
      </c>
      <c r="B592" s="34" cm="1">
        <f t="array" ref="B592:C592">_xlfn.XLOOKUP(A592,Sales_Fact!A592:A2576,Sales_Fact!B592:C2576)</f>
        <v>45222</v>
      </c>
      <c r="C592" s="22" t="str">
        <v>CUST1216</v>
      </c>
      <c r="D592" s="22" t="str">
        <f>VLOOKUP('Combine Products &amp; Sales Facts'!C592,'Customer Details'!A:B,2,0)</f>
        <v>Kathryn Garcia</v>
      </c>
      <c r="E592" s="22" t="str">
        <f>VLOOKUP(C592,Sales_Fact!C:D,2,0)</f>
        <v>PROD86</v>
      </c>
      <c r="F592" s="22" t="str">
        <f>VLOOKUP(E592,Product_Dim!A:C,3,0)</f>
        <v>Home</v>
      </c>
      <c r="G592" s="22" t="str" cm="1">
        <f t="array" ref="G592:L592">_xlfn.XLOOKUP(C592,Sales_Fact!C592:C2576,Sales_Fact!E592:J2576)</f>
        <v>STORE0</v>
      </c>
      <c r="H592" s="22">
        <v>1</v>
      </c>
      <c r="I592" s="22">
        <v>61.11</v>
      </c>
      <c r="J592" s="22">
        <v>0.1</v>
      </c>
      <c r="K592" s="22" t="str">
        <v>PayPal</v>
      </c>
      <c r="L592" s="22">
        <v>54.999000000000002</v>
      </c>
    </row>
    <row r="593" spans="1:12" x14ac:dyDescent="0.3">
      <c r="A593" s="22" t="s">
        <v>2402</v>
      </c>
      <c r="B593" s="34" cm="1">
        <f t="array" ref="B593:C593">_xlfn.XLOOKUP(A593,Sales_Fact!A593:A2577,Sales_Fact!B593:C2577)</f>
        <v>45555</v>
      </c>
      <c r="C593" s="22" t="str">
        <v>CUST1029</v>
      </c>
      <c r="D593" s="22" t="str">
        <f>VLOOKUP('Combine Products &amp; Sales Facts'!C593,'Customer Details'!A:B,2,0)</f>
        <v>David Arnold</v>
      </c>
      <c r="E593" s="22" t="str">
        <f>VLOOKUP(C593,Sales_Fact!C:D,2,0)</f>
        <v>PROD86</v>
      </c>
      <c r="F593" s="22" t="str">
        <f>VLOOKUP(E593,Product_Dim!A:C,3,0)</f>
        <v>Home</v>
      </c>
      <c r="G593" s="22" t="str" cm="1">
        <f t="array" ref="G593:L593">_xlfn.XLOOKUP(C593,Sales_Fact!C593:C2577,Sales_Fact!E593:J2577)</f>
        <v>STORE8</v>
      </c>
      <c r="H593" s="22">
        <v>3</v>
      </c>
      <c r="I593" s="22">
        <v>827.88</v>
      </c>
      <c r="J593" s="22">
        <v>0.19</v>
      </c>
      <c r="K593" s="22" t="str">
        <v>PayPal</v>
      </c>
      <c r="L593" s="22">
        <v>2011.7483999999999</v>
      </c>
    </row>
    <row r="594" spans="1:12" x14ac:dyDescent="0.3">
      <c r="A594" s="22" t="s">
        <v>2403</v>
      </c>
      <c r="B594" s="34" cm="1">
        <f t="array" ref="B594:C594">_xlfn.XLOOKUP(A594,Sales_Fact!A594:A2578,Sales_Fact!B594:C2578)</f>
        <v>45583</v>
      </c>
      <c r="C594" s="22" t="str">
        <v>CUST1430</v>
      </c>
      <c r="D594" s="22" t="str">
        <f>VLOOKUP('Combine Products &amp; Sales Facts'!C594,'Customer Details'!A:B,2,0)</f>
        <v>Kimberly Roberts</v>
      </c>
      <c r="E594" s="22" t="str">
        <f>VLOOKUP(C594,Sales_Fact!C:D,2,0)</f>
        <v>PROD87</v>
      </c>
      <c r="F594" s="22" t="str">
        <f>VLOOKUP(E594,Product_Dim!A:C,3,0)</f>
        <v>Home</v>
      </c>
      <c r="G594" s="22" t="str" cm="1">
        <f t="array" ref="G594:L594">_xlfn.XLOOKUP(C594,Sales_Fact!C594:C2578,Sales_Fact!E594:J2578)</f>
        <v>STORE13</v>
      </c>
      <c r="H594" s="22">
        <v>3</v>
      </c>
      <c r="I594" s="22">
        <v>926.85</v>
      </c>
      <c r="J594" s="22">
        <v>0.18</v>
      </c>
      <c r="K594" s="22" t="str">
        <v>COD</v>
      </c>
      <c r="L594" s="22">
        <v>2280.0509999999999</v>
      </c>
    </row>
    <row r="595" spans="1:12" x14ac:dyDescent="0.3">
      <c r="A595" s="22" t="s">
        <v>2404</v>
      </c>
      <c r="B595" s="34" cm="1">
        <f t="array" ref="B595:C595">_xlfn.XLOOKUP(A595,Sales_Fact!A595:A2579,Sales_Fact!B595:C2579)</f>
        <v>45662</v>
      </c>
      <c r="C595" s="22" t="str">
        <v>CUST1317</v>
      </c>
      <c r="D595" s="22" t="str">
        <f>VLOOKUP('Combine Products &amp; Sales Facts'!C595,'Customer Details'!A:B,2,0)</f>
        <v>Tiffany Williams</v>
      </c>
      <c r="E595" s="22" t="str">
        <f>VLOOKUP(C595,Sales_Fact!C:D,2,0)</f>
        <v>PROD10</v>
      </c>
      <c r="F595" s="22" t="str">
        <f>VLOOKUP(E595,Product_Dim!A:C,3,0)</f>
        <v>Home</v>
      </c>
      <c r="G595" s="22" t="str" cm="1">
        <f t="array" ref="G595:L595">_xlfn.XLOOKUP(C595,Sales_Fact!C595:C2579,Sales_Fact!E595:J2579)</f>
        <v>STORE14</v>
      </c>
      <c r="H595" s="22">
        <v>1</v>
      </c>
      <c r="I595" s="22">
        <v>874.59</v>
      </c>
      <c r="J595" s="22">
        <v>0.28999999999999998</v>
      </c>
      <c r="K595" s="22" t="str">
        <v>PayPal</v>
      </c>
      <c r="L595" s="22">
        <v>620.95889999999997</v>
      </c>
    </row>
    <row r="596" spans="1:12" x14ac:dyDescent="0.3">
      <c r="A596" s="22" t="s">
        <v>2405</v>
      </c>
      <c r="B596" s="34" cm="1">
        <f t="array" ref="B596:C596">_xlfn.XLOOKUP(A596,Sales_Fact!A596:A2580,Sales_Fact!B596:C2580)</f>
        <v>45921</v>
      </c>
      <c r="C596" s="22" t="str">
        <v>CUST1470</v>
      </c>
      <c r="D596" s="22" t="str">
        <f>VLOOKUP('Combine Products &amp; Sales Facts'!C596,'Customer Details'!A:B,2,0)</f>
        <v>Manuel Fisher</v>
      </c>
      <c r="E596" s="22" t="str">
        <f>VLOOKUP(C596,Sales_Fact!C:D,2,0)</f>
        <v>PROD59</v>
      </c>
      <c r="F596" s="22" t="str">
        <f>VLOOKUP(E596,Product_Dim!A:C,3,0)</f>
        <v>Beauty</v>
      </c>
      <c r="G596" s="22" t="str" cm="1">
        <f t="array" ref="G596:L596">_xlfn.XLOOKUP(C596,Sales_Fact!C596:C2580,Sales_Fact!E596:J2580)</f>
        <v>STORE1</v>
      </c>
      <c r="H596" s="22">
        <v>4</v>
      </c>
      <c r="I596" s="22">
        <v>479.11</v>
      </c>
      <c r="J596" s="22">
        <v>0.24</v>
      </c>
      <c r="K596" s="22" t="str">
        <v>PayPal</v>
      </c>
      <c r="L596" s="22">
        <v>1456.4944</v>
      </c>
    </row>
    <row r="597" spans="1:12" x14ac:dyDescent="0.3">
      <c r="A597" s="22" t="s">
        <v>2406</v>
      </c>
      <c r="B597" s="34" cm="1">
        <f t="array" ref="B597:C597">_xlfn.XLOOKUP(A597,Sales_Fact!A597:A2581,Sales_Fact!B597:C2581)</f>
        <v>45490</v>
      </c>
      <c r="C597" s="22" t="str">
        <v>CUST1213</v>
      </c>
      <c r="D597" s="22" t="str">
        <f>VLOOKUP('Combine Products &amp; Sales Facts'!C597,'Customer Details'!A:B,2,0)</f>
        <v>Stuart Johnson</v>
      </c>
      <c r="E597" s="22" t="str">
        <f>VLOOKUP(C597,Sales_Fact!C:D,2,0)</f>
        <v>PROD21</v>
      </c>
      <c r="F597" s="22" t="str">
        <f>VLOOKUP(E597,Product_Dim!A:C,3,0)</f>
        <v>Home</v>
      </c>
      <c r="G597" s="22" t="str" cm="1">
        <f t="array" ref="G597:L597">_xlfn.XLOOKUP(C597,Sales_Fact!C597:C2581,Sales_Fact!E597:J2581)</f>
        <v>STORE17</v>
      </c>
      <c r="H597" s="22">
        <v>3</v>
      </c>
      <c r="I597" s="22">
        <v>182.91</v>
      </c>
      <c r="J597" s="22">
        <v>0.28999999999999998</v>
      </c>
      <c r="K597" s="22" t="str">
        <v>Credit Card</v>
      </c>
      <c r="L597" s="22">
        <v>389.59829999999999</v>
      </c>
    </row>
    <row r="598" spans="1:12" x14ac:dyDescent="0.3">
      <c r="A598" s="22" t="s">
        <v>2407</v>
      </c>
      <c r="B598" s="34" cm="1">
        <f t="array" ref="B598:C598">_xlfn.XLOOKUP(A598,Sales_Fact!A598:A2582,Sales_Fact!B598:C2582)</f>
        <v>45652</v>
      </c>
      <c r="C598" s="22" t="str">
        <v>CUST1272</v>
      </c>
      <c r="D598" s="22" t="str">
        <f>VLOOKUP('Combine Products &amp; Sales Facts'!C598,'Customer Details'!A:B,2,0)</f>
        <v>Adam Rowland</v>
      </c>
      <c r="E598" s="22" t="str">
        <f>VLOOKUP(C598,Sales_Fact!C:D,2,0)</f>
        <v>PROD81</v>
      </c>
      <c r="F598" s="22" t="str">
        <f>VLOOKUP(E598,Product_Dim!A:C,3,0)</f>
        <v>Sports</v>
      </c>
      <c r="G598" s="22" t="str" cm="1">
        <f t="array" ref="G598:L598">_xlfn.XLOOKUP(C598,Sales_Fact!C598:C2582,Sales_Fact!E598:J2582)</f>
        <v>STORE5</v>
      </c>
      <c r="H598" s="22">
        <v>4</v>
      </c>
      <c r="I598" s="22">
        <v>745.51</v>
      </c>
      <c r="J598" s="22">
        <v>0.05</v>
      </c>
      <c r="K598" s="22" t="str">
        <v>Credit Card</v>
      </c>
      <c r="L598" s="22">
        <v>2832.9380000000001</v>
      </c>
    </row>
    <row r="599" spans="1:12" x14ac:dyDescent="0.3">
      <c r="A599" s="22" t="s">
        <v>2408</v>
      </c>
      <c r="B599" s="34" cm="1">
        <f t="array" ref="B599:C599">_xlfn.XLOOKUP(A599,Sales_Fact!A599:A2583,Sales_Fact!B599:C2583)</f>
        <v>45598</v>
      </c>
      <c r="C599" s="22" t="str">
        <v>CUST1481</v>
      </c>
      <c r="D599" s="22" t="str">
        <f>VLOOKUP('Combine Products &amp; Sales Facts'!C599,'Customer Details'!A:B,2,0)</f>
        <v>Bryan Tran</v>
      </c>
      <c r="E599" s="22" t="str">
        <f>VLOOKUP(C599,Sales_Fact!C:D,2,0)</f>
        <v>PROD62</v>
      </c>
      <c r="F599" s="22" t="str">
        <f>VLOOKUP(E599,Product_Dim!A:C,3,0)</f>
        <v>Electronics</v>
      </c>
      <c r="G599" s="22" t="str" cm="1">
        <f t="array" ref="G599:L599">_xlfn.XLOOKUP(C599,Sales_Fact!C599:C2583,Sales_Fact!E599:J2583)</f>
        <v>STORE15</v>
      </c>
      <c r="H599" s="22">
        <v>3</v>
      </c>
      <c r="I599" s="22">
        <v>920.61</v>
      </c>
      <c r="J599" s="22">
        <v>0.04</v>
      </c>
      <c r="K599" s="22" t="str">
        <v>Credit Card</v>
      </c>
      <c r="L599" s="22">
        <v>2651.3568</v>
      </c>
    </row>
    <row r="600" spans="1:12" x14ac:dyDescent="0.3">
      <c r="A600" s="22" t="s">
        <v>2409</v>
      </c>
      <c r="B600" s="34" cm="1">
        <f t="array" ref="B600:C600">_xlfn.XLOOKUP(A600,Sales_Fact!A600:A2584,Sales_Fact!B600:C2584)</f>
        <v>45772</v>
      </c>
      <c r="C600" s="22" t="str">
        <v>CUST1425</v>
      </c>
      <c r="D600" s="22" t="str">
        <f>VLOOKUP('Combine Products &amp; Sales Facts'!C600,'Customer Details'!A:B,2,0)</f>
        <v>Bryce Hawkins</v>
      </c>
      <c r="E600" s="22" t="str">
        <f>VLOOKUP(C600,Sales_Fact!C:D,2,0)</f>
        <v>PROD75</v>
      </c>
      <c r="F600" s="22" t="str">
        <f>VLOOKUP(E600,Product_Dim!A:C,3,0)</f>
        <v>Clothing</v>
      </c>
      <c r="G600" s="22" t="str" cm="1">
        <f t="array" ref="G600:L600">_xlfn.XLOOKUP(C600,Sales_Fact!C600:C2584,Sales_Fact!E600:J2584)</f>
        <v>STORE10</v>
      </c>
      <c r="H600" s="22">
        <v>4</v>
      </c>
      <c r="I600" s="22">
        <v>659.03</v>
      </c>
      <c r="J600" s="22">
        <v>0.15</v>
      </c>
      <c r="K600" s="22" t="str">
        <v>Credit Card</v>
      </c>
      <c r="L600" s="22">
        <v>2240.7020000000002</v>
      </c>
    </row>
    <row r="601" spans="1:12" x14ac:dyDescent="0.3">
      <c r="A601" s="22" t="s">
        <v>2410</v>
      </c>
      <c r="B601" s="34" cm="1">
        <f t="array" ref="B601:C601">_xlfn.XLOOKUP(A601,Sales_Fact!A601:A2585,Sales_Fact!B601:C2585)</f>
        <v>45338</v>
      </c>
      <c r="C601" s="22" t="str">
        <v>CUST1491</v>
      </c>
      <c r="D601" s="22" t="str">
        <f>VLOOKUP('Combine Products &amp; Sales Facts'!C601,'Customer Details'!A:B,2,0)</f>
        <v>Kaitlin Brown</v>
      </c>
      <c r="E601" s="22" t="str">
        <f>VLOOKUP(C601,Sales_Fact!C:D,2,0)</f>
        <v>PROD9</v>
      </c>
      <c r="F601" s="22" t="str">
        <f>VLOOKUP(E601,Product_Dim!A:C,3,0)</f>
        <v>Sports</v>
      </c>
      <c r="G601" s="22" t="str" cm="1">
        <f t="array" ref="G601:L601">_xlfn.XLOOKUP(C601,Sales_Fact!C601:C2585,Sales_Fact!E601:J2585)</f>
        <v>STORE2</v>
      </c>
      <c r="H601" s="22">
        <v>1</v>
      </c>
      <c r="I601" s="22">
        <v>312.91000000000003</v>
      </c>
      <c r="J601" s="22">
        <v>0.12</v>
      </c>
      <c r="K601" s="22" t="str">
        <v>PayPal</v>
      </c>
      <c r="L601" s="22">
        <v>275.36079999999998</v>
      </c>
    </row>
    <row r="602" spans="1:12" x14ac:dyDescent="0.3">
      <c r="A602" s="22" t="s">
        <v>2411</v>
      </c>
      <c r="B602" s="34" cm="1">
        <f t="array" ref="B602:C602">_xlfn.XLOOKUP(A602,Sales_Fact!A602:A2586,Sales_Fact!B602:C2586)</f>
        <v>45524</v>
      </c>
      <c r="C602" s="22" t="str">
        <v>CUST1228</v>
      </c>
      <c r="D602" s="22" t="str">
        <f>VLOOKUP('Combine Products &amp; Sales Facts'!C602,'Customer Details'!A:B,2,0)</f>
        <v>Casey Flores</v>
      </c>
      <c r="E602" s="22" t="str">
        <f>VLOOKUP(C602,Sales_Fact!C:D,2,0)</f>
        <v>PROD4</v>
      </c>
      <c r="F602" s="22" t="str">
        <f>VLOOKUP(E602,Product_Dim!A:C,3,0)</f>
        <v>Clothing</v>
      </c>
      <c r="G602" s="22" t="str" cm="1">
        <f t="array" ref="G602:L602">_xlfn.XLOOKUP(C602,Sales_Fact!C602:C2586,Sales_Fact!E602:J2586)</f>
        <v>STORE18</v>
      </c>
      <c r="H602" s="22">
        <v>4</v>
      </c>
      <c r="I602" s="22">
        <v>705.64</v>
      </c>
      <c r="J602" s="22">
        <v>0.11</v>
      </c>
      <c r="K602" s="22" t="str">
        <v>PayPal</v>
      </c>
      <c r="L602" s="22">
        <v>2512.0783999999999</v>
      </c>
    </row>
    <row r="603" spans="1:12" x14ac:dyDescent="0.3">
      <c r="A603" s="22" t="s">
        <v>2412</v>
      </c>
      <c r="B603" s="34" cm="1">
        <f t="array" ref="B603:C603">_xlfn.XLOOKUP(A603,Sales_Fact!A603:A2587,Sales_Fact!B603:C2587)</f>
        <v>45497</v>
      </c>
      <c r="C603" s="22" t="str">
        <v>CUST1144</v>
      </c>
      <c r="D603" s="22" t="str">
        <f>VLOOKUP('Combine Products &amp; Sales Facts'!C603,'Customer Details'!A:B,2,0)</f>
        <v>Justin Cross</v>
      </c>
      <c r="E603" s="22" t="str">
        <f>VLOOKUP(C603,Sales_Fact!C:D,2,0)</f>
        <v>PROD72</v>
      </c>
      <c r="F603" s="22" t="str">
        <f>VLOOKUP(E603,Product_Dim!A:C,3,0)</f>
        <v>Sports</v>
      </c>
      <c r="G603" s="22" t="str" cm="1">
        <f t="array" ref="G603:L603">_xlfn.XLOOKUP(C603,Sales_Fact!C603:C2587,Sales_Fact!E603:J2587)</f>
        <v>STORE10</v>
      </c>
      <c r="H603" s="22">
        <v>4</v>
      </c>
      <c r="I603" s="22">
        <v>386.41</v>
      </c>
      <c r="J603" s="22">
        <v>0.13</v>
      </c>
      <c r="K603" s="22" t="str">
        <v>COD</v>
      </c>
      <c r="L603" s="22">
        <v>1344.7067999999999</v>
      </c>
    </row>
    <row r="604" spans="1:12" x14ac:dyDescent="0.3">
      <c r="A604" s="22" t="s">
        <v>2413</v>
      </c>
      <c r="B604" s="34" cm="1">
        <f t="array" ref="B604:C604">_xlfn.XLOOKUP(A604,Sales_Fact!A604:A2588,Sales_Fact!B604:C2588)</f>
        <v>45534</v>
      </c>
      <c r="C604" s="22" t="str">
        <v>CUST1029</v>
      </c>
      <c r="D604" s="22" t="str">
        <f>VLOOKUP('Combine Products &amp; Sales Facts'!C604,'Customer Details'!A:B,2,0)</f>
        <v>David Arnold</v>
      </c>
      <c r="E604" s="22" t="str">
        <f>VLOOKUP(C604,Sales_Fact!C:D,2,0)</f>
        <v>PROD86</v>
      </c>
      <c r="F604" s="22" t="str">
        <f>VLOOKUP(E604,Product_Dim!A:C,3,0)</f>
        <v>Home</v>
      </c>
      <c r="G604" s="22" t="str" cm="1">
        <f t="array" ref="G604:L604">_xlfn.XLOOKUP(C604,Sales_Fact!C604:C2588,Sales_Fact!E604:J2588)</f>
        <v>STORE11</v>
      </c>
      <c r="H604" s="22">
        <v>3</v>
      </c>
      <c r="I604" s="22">
        <v>265.89</v>
      </c>
      <c r="J604" s="22">
        <v>0.08</v>
      </c>
      <c r="K604" s="22" t="str">
        <v>COD</v>
      </c>
      <c r="L604" s="22">
        <v>733.85640000000001</v>
      </c>
    </row>
    <row r="605" spans="1:12" x14ac:dyDescent="0.3">
      <c r="A605" s="22" t="s">
        <v>2414</v>
      </c>
      <c r="B605" s="34" cm="1">
        <f t="array" ref="B605:C605">_xlfn.XLOOKUP(A605,Sales_Fact!A605:A2589,Sales_Fact!B605:C2589)</f>
        <v>45925</v>
      </c>
      <c r="C605" s="22" t="str">
        <v>CUST1075</v>
      </c>
      <c r="D605" s="22" t="str">
        <f>VLOOKUP('Combine Products &amp; Sales Facts'!C605,'Customer Details'!A:B,2,0)</f>
        <v>Rhonda Morales</v>
      </c>
      <c r="E605" s="22" t="str">
        <f>VLOOKUP(C605,Sales_Fact!C:D,2,0)</f>
        <v>PROD16</v>
      </c>
      <c r="F605" s="22" t="str">
        <f>VLOOKUP(E605,Product_Dim!A:C,3,0)</f>
        <v>Beauty</v>
      </c>
      <c r="G605" s="22" t="str" cm="1">
        <f t="array" ref="G605:L605">_xlfn.XLOOKUP(C605,Sales_Fact!C605:C2589,Sales_Fact!E605:J2589)</f>
        <v>STORE16</v>
      </c>
      <c r="H605" s="22">
        <v>1</v>
      </c>
      <c r="I605" s="22">
        <v>703.16</v>
      </c>
      <c r="J605" s="22">
        <v>0.28999999999999998</v>
      </c>
      <c r="K605" s="22" t="str">
        <v>Credit Card</v>
      </c>
      <c r="L605" s="22">
        <v>499.24360000000001</v>
      </c>
    </row>
    <row r="606" spans="1:12" x14ac:dyDescent="0.3">
      <c r="A606" s="22" t="s">
        <v>2415</v>
      </c>
      <c r="B606" s="34" cm="1">
        <f t="array" ref="B606:C606">_xlfn.XLOOKUP(A606,Sales_Fact!A606:A2590,Sales_Fact!B606:C2590)</f>
        <v>45765</v>
      </c>
      <c r="C606" s="22" t="str">
        <v>CUST1471</v>
      </c>
      <c r="D606" s="22" t="str">
        <f>VLOOKUP('Combine Products &amp; Sales Facts'!C606,'Customer Details'!A:B,2,0)</f>
        <v>Debra Mccullough</v>
      </c>
      <c r="E606" s="22" t="str">
        <f>VLOOKUP(C606,Sales_Fact!C:D,2,0)</f>
        <v>PROD17</v>
      </c>
      <c r="F606" s="22" t="str">
        <f>VLOOKUP(E606,Product_Dim!A:C,3,0)</f>
        <v>Sports</v>
      </c>
      <c r="G606" s="22" t="str" cm="1">
        <f t="array" ref="G606:L606">_xlfn.XLOOKUP(C606,Sales_Fact!C606:C2590,Sales_Fact!E606:J2590)</f>
        <v>STORE13</v>
      </c>
      <c r="H606" s="22">
        <v>2</v>
      </c>
      <c r="I606" s="22">
        <v>394.5</v>
      </c>
      <c r="J606" s="22">
        <v>0.28999999999999998</v>
      </c>
      <c r="K606" s="22" t="str">
        <v>COD</v>
      </c>
      <c r="L606" s="22">
        <v>560.18999999999994</v>
      </c>
    </row>
    <row r="607" spans="1:12" x14ac:dyDescent="0.3">
      <c r="A607" s="22" t="s">
        <v>2416</v>
      </c>
      <c r="B607" s="34" cm="1">
        <f t="array" ref="B607:C607">_xlfn.XLOOKUP(A607,Sales_Fact!A607:A2591,Sales_Fact!B607:C2591)</f>
        <v>45882</v>
      </c>
      <c r="C607" s="22" t="str">
        <v>CUST1117</v>
      </c>
      <c r="D607" s="22" t="str">
        <f>VLOOKUP('Combine Products &amp; Sales Facts'!C607,'Customer Details'!A:B,2,0)</f>
        <v>Colleen Mccarthy</v>
      </c>
      <c r="E607" s="22" t="str">
        <f>VLOOKUP(C607,Sales_Fact!C:D,2,0)</f>
        <v>PROD97</v>
      </c>
      <c r="F607" s="22" t="str">
        <f>VLOOKUP(E607,Product_Dim!A:C,3,0)</f>
        <v>Sports</v>
      </c>
      <c r="G607" s="22" t="str" cm="1">
        <f t="array" ref="G607:L607">_xlfn.XLOOKUP(C607,Sales_Fact!C607:C2591,Sales_Fact!E607:J2591)</f>
        <v>STORE7</v>
      </c>
      <c r="H607" s="22">
        <v>3</v>
      </c>
      <c r="I607" s="22">
        <v>411.25</v>
      </c>
      <c r="J607" s="22">
        <v>0.05</v>
      </c>
      <c r="K607" s="22" t="str">
        <v>Credit Card</v>
      </c>
      <c r="L607" s="22">
        <v>1172.0625</v>
      </c>
    </row>
    <row r="608" spans="1:12" x14ac:dyDescent="0.3">
      <c r="A608" s="22" t="s">
        <v>2417</v>
      </c>
      <c r="B608" s="34" cm="1">
        <f t="array" ref="B608:C608">_xlfn.XLOOKUP(A608,Sales_Fact!A608:A2592,Sales_Fact!B608:C2592)</f>
        <v>45923</v>
      </c>
      <c r="C608" s="22" t="str">
        <v>CUST1353</v>
      </c>
      <c r="D608" s="22" t="str">
        <f>VLOOKUP('Combine Products &amp; Sales Facts'!C608,'Customer Details'!A:B,2,0)</f>
        <v>Laura Green</v>
      </c>
      <c r="E608" s="22" t="str">
        <f>VLOOKUP(C608,Sales_Fact!C:D,2,0)</f>
        <v>PROD48</v>
      </c>
      <c r="F608" s="22" t="str">
        <f>VLOOKUP(E608,Product_Dim!A:C,3,0)</f>
        <v>Electronics</v>
      </c>
      <c r="G608" s="22" t="str" cm="1">
        <f t="array" ref="G608:L608">_xlfn.XLOOKUP(C608,Sales_Fact!C608:C2592,Sales_Fact!E608:J2592)</f>
        <v>STORE2</v>
      </c>
      <c r="H608" s="22">
        <v>4</v>
      </c>
      <c r="I608" s="22">
        <v>395.45</v>
      </c>
      <c r="J608" s="22">
        <v>0.01</v>
      </c>
      <c r="K608" s="22" t="str">
        <v>Credit Card</v>
      </c>
      <c r="L608" s="22">
        <v>1565.982</v>
      </c>
    </row>
    <row r="609" spans="1:12" x14ac:dyDescent="0.3">
      <c r="A609" s="22" t="s">
        <v>2418</v>
      </c>
      <c r="B609" s="34" cm="1">
        <f t="array" ref="B609:C609">_xlfn.XLOOKUP(A609,Sales_Fact!A609:A2593,Sales_Fact!B609:C2593)</f>
        <v>45421</v>
      </c>
      <c r="C609" s="22" t="str">
        <v>CUST1036</v>
      </c>
      <c r="D609" s="22" t="str">
        <f>VLOOKUP('Combine Products &amp; Sales Facts'!C609,'Customer Details'!A:B,2,0)</f>
        <v>Thomas Phillips</v>
      </c>
      <c r="E609" s="22" t="str">
        <f>VLOOKUP(C609,Sales_Fact!C:D,2,0)</f>
        <v>PROD90</v>
      </c>
      <c r="F609" s="22" t="str">
        <f>VLOOKUP(E609,Product_Dim!A:C,3,0)</f>
        <v>Electronics</v>
      </c>
      <c r="G609" s="22" t="str" cm="1">
        <f t="array" ref="G609:L609">_xlfn.XLOOKUP(C609,Sales_Fact!C609:C2593,Sales_Fact!E609:J2593)</f>
        <v>STORE5</v>
      </c>
      <c r="H609" s="22">
        <v>2</v>
      </c>
      <c r="I609" s="22">
        <v>678.98</v>
      </c>
      <c r="J609" s="22">
        <v>0.23</v>
      </c>
      <c r="K609" s="22" t="str">
        <v>Credit Card</v>
      </c>
      <c r="L609" s="22">
        <v>1045.6292000000001</v>
      </c>
    </row>
    <row r="610" spans="1:12" x14ac:dyDescent="0.3">
      <c r="A610" s="22" t="s">
        <v>2419</v>
      </c>
      <c r="B610" s="34" cm="1">
        <f t="array" ref="B610:C610">_xlfn.XLOOKUP(A610,Sales_Fact!A610:A2594,Sales_Fact!B610:C2594)</f>
        <v>45608</v>
      </c>
      <c r="C610" s="22" t="str">
        <v>CUST1072</v>
      </c>
      <c r="D610" s="22" t="str">
        <f>VLOOKUP('Combine Products &amp; Sales Facts'!C610,'Customer Details'!A:B,2,0)</f>
        <v>Tonya Burch</v>
      </c>
      <c r="E610" s="22" t="str">
        <f>VLOOKUP(C610,Sales_Fact!C:D,2,0)</f>
        <v>PROD26</v>
      </c>
      <c r="F610" s="22" t="str">
        <f>VLOOKUP(E610,Product_Dim!A:C,3,0)</f>
        <v>Electronics</v>
      </c>
      <c r="G610" s="22" t="str" cm="1">
        <f t="array" ref="G610:L610">_xlfn.XLOOKUP(C610,Sales_Fact!C610:C2594,Sales_Fact!E610:J2594)</f>
        <v>STORE14</v>
      </c>
      <c r="H610" s="22">
        <v>4</v>
      </c>
      <c r="I610" s="22">
        <v>757.71</v>
      </c>
      <c r="J610" s="22">
        <v>0.26</v>
      </c>
      <c r="K610" s="22" t="str">
        <v>COD</v>
      </c>
      <c r="L610" s="22">
        <v>2242.8216000000002</v>
      </c>
    </row>
    <row r="611" spans="1:12" x14ac:dyDescent="0.3">
      <c r="A611" s="22" t="s">
        <v>2420</v>
      </c>
      <c r="B611" s="34" cm="1">
        <f t="array" ref="B611:C611">_xlfn.XLOOKUP(A611,Sales_Fact!A611:A2595,Sales_Fact!B611:C2595)</f>
        <v>45644</v>
      </c>
      <c r="C611" s="22" t="str">
        <v>CUST1059</v>
      </c>
      <c r="D611" s="22" t="str">
        <f>VLOOKUP('Combine Products &amp; Sales Facts'!C611,'Customer Details'!A:B,2,0)</f>
        <v>Alyssa Vargas</v>
      </c>
      <c r="E611" s="22" t="str">
        <f>VLOOKUP(C611,Sales_Fact!C:D,2,0)</f>
        <v>PROD94</v>
      </c>
      <c r="F611" s="22" t="str">
        <f>VLOOKUP(E611,Product_Dim!A:C,3,0)</f>
        <v>Beauty</v>
      </c>
      <c r="G611" s="22" t="str" cm="1">
        <f t="array" ref="G611:L611">_xlfn.XLOOKUP(C611,Sales_Fact!C611:C2595,Sales_Fact!E611:J2595)</f>
        <v>STORE4</v>
      </c>
      <c r="H611" s="22">
        <v>1</v>
      </c>
      <c r="I611" s="22">
        <v>647.86</v>
      </c>
      <c r="J611" s="22">
        <v>0.05</v>
      </c>
      <c r="K611" s="22" t="str">
        <v>COD</v>
      </c>
      <c r="L611" s="22">
        <v>615.46699999999998</v>
      </c>
    </row>
    <row r="612" spans="1:12" x14ac:dyDescent="0.3">
      <c r="A612" s="22" t="s">
        <v>2421</v>
      </c>
      <c r="B612" s="34" cm="1">
        <f t="array" ref="B612:C612">_xlfn.XLOOKUP(A612,Sales_Fact!A612:A2596,Sales_Fact!B612:C2596)</f>
        <v>45517</v>
      </c>
      <c r="C612" s="22" t="str">
        <v>CUST1135</v>
      </c>
      <c r="D612" s="22" t="str">
        <f>VLOOKUP('Combine Products &amp; Sales Facts'!C612,'Customer Details'!A:B,2,0)</f>
        <v>Matthew Hanna</v>
      </c>
      <c r="E612" s="22" t="str">
        <f>VLOOKUP(C612,Sales_Fact!C:D,2,0)</f>
        <v>PROD44</v>
      </c>
      <c r="F612" s="22" t="str">
        <f>VLOOKUP(E612,Product_Dim!A:C,3,0)</f>
        <v>Sports</v>
      </c>
      <c r="G612" s="22" t="str" cm="1">
        <f t="array" ref="G612:L612">_xlfn.XLOOKUP(C612,Sales_Fact!C612:C2596,Sales_Fact!E612:J2596)</f>
        <v>STORE6</v>
      </c>
      <c r="H612" s="22">
        <v>2</v>
      </c>
      <c r="I612" s="22">
        <v>179.64</v>
      </c>
      <c r="J612" s="22">
        <v>0.1</v>
      </c>
      <c r="K612" s="22" t="str">
        <v>PayPal</v>
      </c>
      <c r="L612" s="22">
        <v>323.35199999999998</v>
      </c>
    </row>
    <row r="613" spans="1:12" x14ac:dyDescent="0.3">
      <c r="A613" s="22" t="s">
        <v>2422</v>
      </c>
      <c r="B613" s="34" cm="1">
        <f t="array" ref="B613:C613">_xlfn.XLOOKUP(A613,Sales_Fact!A613:A2597,Sales_Fact!B613:C2597)</f>
        <v>45545</v>
      </c>
      <c r="C613" s="22" t="str">
        <v>CUST1396</v>
      </c>
      <c r="D613" s="22" t="str">
        <f>VLOOKUP('Combine Products &amp; Sales Facts'!C613,'Customer Details'!A:B,2,0)</f>
        <v>Alexander Byrd</v>
      </c>
      <c r="E613" s="22" t="str">
        <f>VLOOKUP(C613,Sales_Fact!C:D,2,0)</f>
        <v>PROD43</v>
      </c>
      <c r="F613" s="22" t="str">
        <f>VLOOKUP(E613,Product_Dim!A:C,3,0)</f>
        <v>Electronics</v>
      </c>
      <c r="G613" s="22" t="str" cm="1">
        <f t="array" ref="G613:L613">_xlfn.XLOOKUP(C613,Sales_Fact!C613:C2597,Sales_Fact!E613:J2597)</f>
        <v>STORE4</v>
      </c>
      <c r="H613" s="22">
        <v>3</v>
      </c>
      <c r="I613" s="22">
        <v>392.65</v>
      </c>
      <c r="J613" s="22">
        <v>0.17</v>
      </c>
      <c r="K613" s="22" t="str">
        <v>PayPal</v>
      </c>
      <c r="L613" s="22">
        <v>977.69849999999985</v>
      </c>
    </row>
    <row r="614" spans="1:12" x14ac:dyDescent="0.3">
      <c r="A614" s="22" t="s">
        <v>2423</v>
      </c>
      <c r="B614" s="34" cm="1">
        <f t="array" ref="B614:C614">_xlfn.XLOOKUP(A614,Sales_Fact!A614:A2598,Sales_Fact!B614:C2598)</f>
        <v>45547</v>
      </c>
      <c r="C614" s="22" t="str">
        <v>CUST1176</v>
      </c>
      <c r="D614" s="22" t="str">
        <f>VLOOKUP('Combine Products &amp; Sales Facts'!C614,'Customer Details'!A:B,2,0)</f>
        <v>John Bradford</v>
      </c>
      <c r="E614" s="22" t="str">
        <f>VLOOKUP(C614,Sales_Fact!C:D,2,0)</f>
        <v>PROD52</v>
      </c>
      <c r="F614" s="22" t="str">
        <f>VLOOKUP(E614,Product_Dim!A:C,3,0)</f>
        <v>Sports</v>
      </c>
      <c r="G614" s="22" t="str" cm="1">
        <f t="array" ref="G614:L614">_xlfn.XLOOKUP(C614,Sales_Fact!C614:C2598,Sales_Fact!E614:J2598)</f>
        <v>STORE16</v>
      </c>
      <c r="H614" s="22">
        <v>4</v>
      </c>
      <c r="I614" s="22">
        <v>969.55</v>
      </c>
      <c r="J614" s="22">
        <v>0.09</v>
      </c>
      <c r="K614" s="22" t="str">
        <v>COD</v>
      </c>
      <c r="L614" s="22">
        <v>3529.1619999999998</v>
      </c>
    </row>
    <row r="615" spans="1:12" x14ac:dyDescent="0.3">
      <c r="A615" s="22" t="s">
        <v>2424</v>
      </c>
      <c r="B615" s="34" cm="1">
        <f t="array" ref="B615:C615">_xlfn.XLOOKUP(A615,Sales_Fact!A615:A2599,Sales_Fact!B615:C2599)</f>
        <v>45433</v>
      </c>
      <c r="C615" s="22" t="str">
        <v>CUST1462</v>
      </c>
      <c r="D615" s="22" t="str">
        <f>VLOOKUP('Combine Products &amp; Sales Facts'!C615,'Customer Details'!A:B,2,0)</f>
        <v>Beth Martin</v>
      </c>
      <c r="E615" s="22" t="str">
        <f>VLOOKUP(C615,Sales_Fact!C:D,2,0)</f>
        <v>PROD33</v>
      </c>
      <c r="F615" s="22" t="str">
        <f>VLOOKUP(E615,Product_Dim!A:C,3,0)</f>
        <v>Home</v>
      </c>
      <c r="G615" s="22" t="str" cm="1">
        <f t="array" ref="G615:L615">_xlfn.XLOOKUP(C615,Sales_Fact!C615:C2599,Sales_Fact!E615:J2599)</f>
        <v>STORE12</v>
      </c>
      <c r="H615" s="22">
        <v>3</v>
      </c>
      <c r="I615" s="22">
        <v>322.94</v>
      </c>
      <c r="J615" s="22">
        <v>0.01</v>
      </c>
      <c r="K615" s="22" t="str">
        <v>Credit Card</v>
      </c>
      <c r="L615" s="22">
        <v>959.13179999999988</v>
      </c>
    </row>
    <row r="616" spans="1:12" x14ac:dyDescent="0.3">
      <c r="A616" s="22" t="s">
        <v>2425</v>
      </c>
      <c r="B616" s="34" cm="1">
        <f t="array" ref="B616:C616">_xlfn.XLOOKUP(A616,Sales_Fact!A616:A2600,Sales_Fact!B616:C2600)</f>
        <v>45792</v>
      </c>
      <c r="C616" s="22" t="str">
        <v>CUST1362</v>
      </c>
      <c r="D616" s="22" t="str">
        <f>VLOOKUP('Combine Products &amp; Sales Facts'!C616,'Customer Details'!A:B,2,0)</f>
        <v>Joshua Smith Dvm</v>
      </c>
      <c r="E616" s="22" t="str">
        <f>VLOOKUP(C616,Sales_Fact!C:D,2,0)</f>
        <v>PROD95</v>
      </c>
      <c r="F616" s="22" t="str">
        <f>VLOOKUP(E616,Product_Dim!A:C,3,0)</f>
        <v>Sports</v>
      </c>
      <c r="G616" s="22" t="str" cm="1">
        <f t="array" ref="G616:L616">_xlfn.XLOOKUP(C616,Sales_Fact!C616:C2600,Sales_Fact!E616:J2600)</f>
        <v>STORE0</v>
      </c>
      <c r="H616" s="22">
        <v>1</v>
      </c>
      <c r="I616" s="22">
        <v>92.83</v>
      </c>
      <c r="J616" s="22">
        <v>0.26</v>
      </c>
      <c r="K616" s="22" t="str">
        <v>PayPal</v>
      </c>
      <c r="L616" s="22">
        <v>68.694199999999995</v>
      </c>
    </row>
    <row r="617" spans="1:12" x14ac:dyDescent="0.3">
      <c r="A617" s="22" t="s">
        <v>2426</v>
      </c>
      <c r="B617" s="34" cm="1">
        <f t="array" ref="B617:C617">_xlfn.XLOOKUP(A617,Sales_Fact!A617:A2601,Sales_Fact!B617:C2601)</f>
        <v>45804</v>
      </c>
      <c r="C617" s="22" t="str">
        <v>CUST1420</v>
      </c>
      <c r="D617" s="22" t="str">
        <f>VLOOKUP('Combine Products &amp; Sales Facts'!C617,'Customer Details'!A:B,2,0)</f>
        <v>Dr. Tamara White Md</v>
      </c>
      <c r="E617" s="22" t="str">
        <f>VLOOKUP(C617,Sales_Fact!C:D,2,0)</f>
        <v>PROD21</v>
      </c>
      <c r="F617" s="22" t="str">
        <f>VLOOKUP(E617,Product_Dim!A:C,3,0)</f>
        <v>Home</v>
      </c>
      <c r="G617" s="22" t="str" cm="1">
        <f t="array" ref="G617:L617">_xlfn.XLOOKUP(C617,Sales_Fact!C617:C2601,Sales_Fact!E617:J2601)</f>
        <v>STORE3</v>
      </c>
      <c r="H617" s="22">
        <v>4</v>
      </c>
      <c r="I617" s="22">
        <v>432.29</v>
      </c>
      <c r="J617" s="22">
        <v>0.16</v>
      </c>
      <c r="K617" s="22" t="str">
        <v>COD</v>
      </c>
      <c r="L617" s="22">
        <v>1452.4944</v>
      </c>
    </row>
    <row r="618" spans="1:12" x14ac:dyDescent="0.3">
      <c r="A618" s="22" t="s">
        <v>2427</v>
      </c>
      <c r="B618" s="34" cm="1">
        <f t="array" ref="B618:C618">_xlfn.XLOOKUP(A618,Sales_Fact!A618:A2602,Sales_Fact!B618:C2602)</f>
        <v>45311</v>
      </c>
      <c r="C618" s="22" t="str">
        <v>CUST1080</v>
      </c>
      <c r="D618" s="22" t="str">
        <f>VLOOKUP('Combine Products &amp; Sales Facts'!C618,'Customer Details'!A:B,2,0)</f>
        <v>Jennifer Garcia</v>
      </c>
      <c r="E618" s="22" t="str">
        <f>VLOOKUP(C618,Sales_Fact!C:D,2,0)</f>
        <v>PROD34</v>
      </c>
      <c r="F618" s="22" t="str">
        <f>VLOOKUP(E618,Product_Dim!A:C,3,0)</f>
        <v>Electronics</v>
      </c>
      <c r="G618" s="22" t="str" cm="1">
        <f t="array" ref="G618:L618">_xlfn.XLOOKUP(C618,Sales_Fact!C618:C2602,Sales_Fact!E618:J2602)</f>
        <v>STORE13</v>
      </c>
      <c r="H618" s="22">
        <v>2</v>
      </c>
      <c r="I618" s="22">
        <v>925.78</v>
      </c>
      <c r="J618" s="22">
        <v>0.14000000000000001</v>
      </c>
      <c r="K618" s="22" t="str">
        <v>COD</v>
      </c>
      <c r="L618" s="22">
        <v>1592.3416</v>
      </c>
    </row>
    <row r="619" spans="1:12" x14ac:dyDescent="0.3">
      <c r="A619" s="22" t="s">
        <v>2428</v>
      </c>
      <c r="B619" s="34" cm="1">
        <f t="array" ref="B619:C619">_xlfn.XLOOKUP(A619,Sales_Fact!A619:A2603,Sales_Fact!B619:C2603)</f>
        <v>45605</v>
      </c>
      <c r="C619" s="22" t="str">
        <v>CUST1477</v>
      </c>
      <c r="D619" s="22" t="str">
        <f>VLOOKUP('Combine Products &amp; Sales Facts'!C619,'Customer Details'!A:B,2,0)</f>
        <v>Andrea Harris</v>
      </c>
      <c r="E619" s="22" t="str">
        <f>VLOOKUP(C619,Sales_Fact!C:D,2,0)</f>
        <v>PROD76</v>
      </c>
      <c r="F619" s="22" t="str">
        <f>VLOOKUP(E619,Product_Dim!A:C,3,0)</f>
        <v>Electronics</v>
      </c>
      <c r="G619" s="22" t="str" cm="1">
        <f t="array" ref="G619:L619">_xlfn.XLOOKUP(C619,Sales_Fact!C619:C2603,Sales_Fact!E619:J2603)</f>
        <v>STORE11</v>
      </c>
      <c r="H619" s="22">
        <v>2</v>
      </c>
      <c r="I619" s="22">
        <v>151.47</v>
      </c>
      <c r="J619" s="22">
        <v>0.21</v>
      </c>
      <c r="K619" s="22" t="str">
        <v>PayPal</v>
      </c>
      <c r="L619" s="22">
        <v>239.32259999999999</v>
      </c>
    </row>
    <row r="620" spans="1:12" x14ac:dyDescent="0.3">
      <c r="A620" s="22" t="s">
        <v>2429</v>
      </c>
      <c r="B620" s="34" cm="1">
        <f t="array" ref="B620:C620">_xlfn.XLOOKUP(A620,Sales_Fact!A620:A2604,Sales_Fact!B620:C2604)</f>
        <v>45338</v>
      </c>
      <c r="C620" s="22" t="str">
        <v>CUST1449</v>
      </c>
      <c r="D620" s="22" t="str">
        <f>VLOOKUP('Combine Products &amp; Sales Facts'!C620,'Customer Details'!A:B,2,0)</f>
        <v>William Cortez</v>
      </c>
      <c r="E620" s="22" t="str">
        <f>VLOOKUP(C620,Sales_Fact!C:D,2,0)</f>
        <v>PROD98</v>
      </c>
      <c r="F620" s="22" t="str">
        <f>VLOOKUP(E620,Product_Dim!A:C,3,0)</f>
        <v>Electronics</v>
      </c>
      <c r="G620" s="22" t="str" cm="1">
        <f t="array" ref="G620:L620">_xlfn.XLOOKUP(C620,Sales_Fact!C620:C2604,Sales_Fact!E620:J2604)</f>
        <v>STORE10</v>
      </c>
      <c r="H620" s="22">
        <v>1</v>
      </c>
      <c r="I620" s="22">
        <v>343.05</v>
      </c>
      <c r="J620" s="22">
        <v>0.28000000000000003</v>
      </c>
      <c r="K620" s="22" t="str">
        <v>PayPal</v>
      </c>
      <c r="L620" s="22">
        <v>246.99600000000001</v>
      </c>
    </row>
    <row r="621" spans="1:12" x14ac:dyDescent="0.3">
      <c r="A621" s="22" t="s">
        <v>2430</v>
      </c>
      <c r="B621" s="34" cm="1">
        <f t="array" ref="B621:C621">_xlfn.XLOOKUP(A621,Sales_Fact!A621:A2605,Sales_Fact!B621:C2605)</f>
        <v>45642</v>
      </c>
      <c r="C621" s="22" t="str">
        <v>CUST1066</v>
      </c>
      <c r="D621" s="22" t="str">
        <f>VLOOKUP('Combine Products &amp; Sales Facts'!C621,'Customer Details'!A:B,2,0)</f>
        <v>Cody Diaz</v>
      </c>
      <c r="E621" s="22" t="str">
        <f>VLOOKUP(C621,Sales_Fact!C:D,2,0)</f>
        <v>PROD94</v>
      </c>
      <c r="F621" s="22" t="str">
        <f>VLOOKUP(E621,Product_Dim!A:C,3,0)</f>
        <v>Beauty</v>
      </c>
      <c r="G621" s="22" t="str" cm="1">
        <f t="array" ref="G621:L621">_xlfn.XLOOKUP(C621,Sales_Fact!C621:C2605,Sales_Fact!E621:J2605)</f>
        <v>STORE4</v>
      </c>
      <c r="H621" s="22">
        <v>1</v>
      </c>
      <c r="I621" s="22">
        <v>373.06</v>
      </c>
      <c r="J621" s="22">
        <v>0.11</v>
      </c>
      <c r="K621" s="22" t="str">
        <v>PayPal</v>
      </c>
      <c r="L621" s="22">
        <v>332.02339999999998</v>
      </c>
    </row>
    <row r="622" spans="1:12" x14ac:dyDescent="0.3">
      <c r="A622" s="22" t="s">
        <v>2431</v>
      </c>
      <c r="B622" s="34" cm="1">
        <f t="array" ref="B622:C622">_xlfn.XLOOKUP(A622,Sales_Fact!A622:A2606,Sales_Fact!B622:C2606)</f>
        <v>45693</v>
      </c>
      <c r="C622" s="22" t="str">
        <v>CUST1411</v>
      </c>
      <c r="D622" s="22" t="str">
        <f>VLOOKUP('Combine Products &amp; Sales Facts'!C622,'Customer Details'!A:B,2,0)</f>
        <v>Katrina Perez</v>
      </c>
      <c r="E622" s="22" t="str">
        <f>VLOOKUP(C622,Sales_Fact!C:D,2,0)</f>
        <v>PROD18</v>
      </c>
      <c r="F622" s="22" t="str">
        <f>VLOOKUP(E622,Product_Dim!A:C,3,0)</f>
        <v>Clothing</v>
      </c>
      <c r="G622" s="22" t="str" cm="1">
        <f t="array" ref="G622:L622">_xlfn.XLOOKUP(C622,Sales_Fact!C622:C2606,Sales_Fact!E622:J2606)</f>
        <v>STORE15</v>
      </c>
      <c r="H622" s="22">
        <v>1</v>
      </c>
      <c r="I622" s="22">
        <v>124.98</v>
      </c>
      <c r="J622" s="22">
        <v>7.0000000000000007E-2</v>
      </c>
      <c r="K622" s="22" t="str">
        <v>COD</v>
      </c>
      <c r="L622" s="22">
        <v>116.23139999999999</v>
      </c>
    </row>
    <row r="623" spans="1:12" x14ac:dyDescent="0.3">
      <c r="A623" s="22" t="s">
        <v>2432</v>
      </c>
      <c r="B623" s="34" cm="1">
        <f t="array" ref="B623:C623">_xlfn.XLOOKUP(A623,Sales_Fact!A623:A2607,Sales_Fact!B623:C2607)</f>
        <v>45763</v>
      </c>
      <c r="C623" s="22" t="str">
        <v>CUST1272</v>
      </c>
      <c r="D623" s="22" t="str">
        <f>VLOOKUP('Combine Products &amp; Sales Facts'!C623,'Customer Details'!A:B,2,0)</f>
        <v>Adam Rowland</v>
      </c>
      <c r="E623" s="22" t="str">
        <f>VLOOKUP(C623,Sales_Fact!C:D,2,0)</f>
        <v>PROD81</v>
      </c>
      <c r="F623" s="22" t="str">
        <f>VLOOKUP(E623,Product_Dim!A:C,3,0)</f>
        <v>Sports</v>
      </c>
      <c r="G623" s="22" t="str" cm="1">
        <f t="array" ref="G623:L623">_xlfn.XLOOKUP(C623,Sales_Fact!C623:C2607,Sales_Fact!E623:J2607)</f>
        <v>STORE19</v>
      </c>
      <c r="H623" s="22">
        <v>4</v>
      </c>
      <c r="I623" s="22">
        <v>221.49</v>
      </c>
      <c r="J623" s="22">
        <v>0.26</v>
      </c>
      <c r="K623" s="22" t="str">
        <v>PayPal</v>
      </c>
      <c r="L623" s="22">
        <v>655.61040000000003</v>
      </c>
    </row>
    <row r="624" spans="1:12" x14ac:dyDescent="0.3">
      <c r="A624" s="22" t="s">
        <v>2433</v>
      </c>
      <c r="B624" s="34" cm="1">
        <f t="array" ref="B624:C624">_xlfn.XLOOKUP(A624,Sales_Fact!A624:A2608,Sales_Fact!B624:C2608)</f>
        <v>45572</v>
      </c>
      <c r="C624" s="22" t="str">
        <v>CUST1170</v>
      </c>
      <c r="D624" s="22" t="str">
        <f>VLOOKUP('Combine Products &amp; Sales Facts'!C624,'Customer Details'!A:B,2,0)</f>
        <v>Christopher Garcia Dds</v>
      </c>
      <c r="E624" s="22" t="str">
        <f>VLOOKUP(C624,Sales_Fact!C:D,2,0)</f>
        <v>PROD83</v>
      </c>
      <c r="F624" s="22" t="str">
        <f>VLOOKUP(E624,Product_Dim!A:C,3,0)</f>
        <v>Beauty</v>
      </c>
      <c r="G624" s="22" t="str" cm="1">
        <f t="array" ref="G624:L624">_xlfn.XLOOKUP(C624,Sales_Fact!C624:C2608,Sales_Fact!E624:J2608)</f>
        <v>STORE15</v>
      </c>
      <c r="H624" s="22">
        <v>1</v>
      </c>
      <c r="I624" s="22">
        <v>563.32000000000005</v>
      </c>
      <c r="J624" s="22">
        <v>0.01</v>
      </c>
      <c r="K624" s="22" t="str">
        <v>PayPal</v>
      </c>
      <c r="L624" s="22">
        <v>557.68680000000006</v>
      </c>
    </row>
    <row r="625" spans="1:12" x14ac:dyDescent="0.3">
      <c r="A625" s="22" t="s">
        <v>2434</v>
      </c>
      <c r="B625" s="34" cm="1">
        <f t="array" ref="B625:C625">_xlfn.XLOOKUP(A625,Sales_Fact!A625:A2609,Sales_Fact!B625:C2609)</f>
        <v>45338</v>
      </c>
      <c r="C625" s="22" t="str">
        <v>CUST1390</v>
      </c>
      <c r="D625" s="22" t="str">
        <f>VLOOKUP('Combine Products &amp; Sales Facts'!C625,'Customer Details'!A:B,2,0)</f>
        <v>Daniel Bell</v>
      </c>
      <c r="E625" s="22" t="str">
        <f>VLOOKUP(C625,Sales_Fact!C:D,2,0)</f>
        <v>PROD11</v>
      </c>
      <c r="F625" s="22" t="str">
        <f>VLOOKUP(E625,Product_Dim!A:C,3,0)</f>
        <v>Electronics</v>
      </c>
      <c r="G625" s="22" t="str" cm="1">
        <f t="array" ref="G625:L625">_xlfn.XLOOKUP(C625,Sales_Fact!C625:C2609,Sales_Fact!E625:J2609)</f>
        <v>STORE0</v>
      </c>
      <c r="H625" s="22">
        <v>1</v>
      </c>
      <c r="I625" s="22">
        <v>362.93</v>
      </c>
      <c r="J625" s="22">
        <v>0.27</v>
      </c>
      <c r="K625" s="22" t="str">
        <v>Credit Card</v>
      </c>
      <c r="L625" s="22">
        <v>264.93889999999999</v>
      </c>
    </row>
    <row r="626" spans="1:12" x14ac:dyDescent="0.3">
      <c r="A626" s="22" t="s">
        <v>2435</v>
      </c>
      <c r="B626" s="34" cm="1">
        <f t="array" ref="B626:C626">_xlfn.XLOOKUP(A626,Sales_Fact!A626:A2610,Sales_Fact!B626:C2610)</f>
        <v>45373</v>
      </c>
      <c r="C626" s="22" t="str">
        <v>CUST1336</v>
      </c>
      <c r="D626" s="22" t="str">
        <f>VLOOKUP('Combine Products &amp; Sales Facts'!C626,'Customer Details'!A:B,2,0)</f>
        <v>John Jones</v>
      </c>
      <c r="E626" s="22" t="str">
        <f>VLOOKUP(C626,Sales_Fact!C:D,2,0)</f>
        <v>PROD11</v>
      </c>
      <c r="F626" s="22" t="str">
        <f>VLOOKUP(E626,Product_Dim!A:C,3,0)</f>
        <v>Electronics</v>
      </c>
      <c r="G626" s="22" t="str" cm="1">
        <f t="array" ref="G626:L626">_xlfn.XLOOKUP(C626,Sales_Fact!C626:C2610,Sales_Fact!E626:J2610)</f>
        <v>STORE15</v>
      </c>
      <c r="H626" s="22">
        <v>4</v>
      </c>
      <c r="I626" s="22">
        <v>369.22</v>
      </c>
      <c r="J626" s="22">
        <v>0.18</v>
      </c>
      <c r="K626" s="22" t="str">
        <v>COD</v>
      </c>
      <c r="L626" s="22">
        <v>1211.0416</v>
      </c>
    </row>
    <row r="627" spans="1:12" x14ac:dyDescent="0.3">
      <c r="A627" s="22" t="s">
        <v>2436</v>
      </c>
      <c r="B627" s="34" cm="1">
        <f t="array" ref="B627:C627">_xlfn.XLOOKUP(A627,Sales_Fact!A627:A2611,Sales_Fact!B627:C2611)</f>
        <v>45590</v>
      </c>
      <c r="C627" s="22" t="str">
        <v>CUST1410</v>
      </c>
      <c r="D627" s="22" t="str">
        <f>VLOOKUP('Combine Products &amp; Sales Facts'!C627,'Customer Details'!A:B,2,0)</f>
        <v>Jackie Thompson</v>
      </c>
      <c r="E627" s="22" t="str">
        <f>VLOOKUP(C627,Sales_Fact!C:D,2,0)</f>
        <v>PROD96</v>
      </c>
      <c r="F627" s="22" t="str">
        <f>VLOOKUP(E627,Product_Dim!A:C,3,0)</f>
        <v>Clothing</v>
      </c>
      <c r="G627" s="22" t="str" cm="1">
        <f t="array" ref="G627:L627">_xlfn.XLOOKUP(C627,Sales_Fact!C627:C2611,Sales_Fact!E627:J2611)</f>
        <v>STORE14</v>
      </c>
      <c r="H627" s="22">
        <v>3</v>
      </c>
      <c r="I627" s="22">
        <v>950.83</v>
      </c>
      <c r="J627" s="22">
        <v>0.06</v>
      </c>
      <c r="K627" s="22" t="str">
        <v>PayPal</v>
      </c>
      <c r="L627" s="22">
        <v>2681.3406</v>
      </c>
    </row>
    <row r="628" spans="1:12" x14ac:dyDescent="0.3">
      <c r="A628" s="22" t="s">
        <v>2437</v>
      </c>
      <c r="B628" s="34" cm="1">
        <f t="array" ref="B628:C628">_xlfn.XLOOKUP(A628,Sales_Fact!A628:A2612,Sales_Fact!B628:C2612)</f>
        <v>45365</v>
      </c>
      <c r="C628" s="22" t="str">
        <v>CUST1143</v>
      </c>
      <c r="D628" s="22" t="str">
        <f>VLOOKUP('Combine Products &amp; Sales Facts'!C628,'Customer Details'!A:B,2,0)</f>
        <v>Carlos Skinner</v>
      </c>
      <c r="E628" s="22" t="str">
        <f>VLOOKUP(C628,Sales_Fact!C:D,2,0)</f>
        <v>PROD17</v>
      </c>
      <c r="F628" s="22" t="str">
        <f>VLOOKUP(E628,Product_Dim!A:C,3,0)</f>
        <v>Sports</v>
      </c>
      <c r="G628" s="22" t="str" cm="1">
        <f t="array" ref="G628:L628">_xlfn.XLOOKUP(C628,Sales_Fact!C628:C2612,Sales_Fact!E628:J2612)</f>
        <v>STORE13</v>
      </c>
      <c r="H628" s="22">
        <v>3</v>
      </c>
      <c r="I628" s="22">
        <v>338.79</v>
      </c>
      <c r="J628" s="22">
        <v>0.01</v>
      </c>
      <c r="K628" s="22" t="str">
        <v>Credit Card</v>
      </c>
      <c r="L628" s="22">
        <v>1006.2063000000001</v>
      </c>
    </row>
    <row r="629" spans="1:12" x14ac:dyDescent="0.3">
      <c r="A629" s="22" t="s">
        <v>2438</v>
      </c>
      <c r="B629" s="34" cm="1">
        <f t="array" ref="B629:C629">_xlfn.XLOOKUP(A629,Sales_Fact!A629:A2613,Sales_Fact!B629:C2613)</f>
        <v>45711</v>
      </c>
      <c r="C629" s="22" t="str">
        <v>CUST1146</v>
      </c>
      <c r="D629" s="22" t="str">
        <f>VLOOKUP('Combine Products &amp; Sales Facts'!C629,'Customer Details'!A:B,2,0)</f>
        <v>Edward Rivera</v>
      </c>
      <c r="E629" s="22" t="str">
        <f>VLOOKUP(C629,Sales_Fact!C:D,2,0)</f>
        <v>PROD25</v>
      </c>
      <c r="F629" s="22" t="str">
        <f>VLOOKUP(E629,Product_Dim!A:C,3,0)</f>
        <v>Clothing</v>
      </c>
      <c r="G629" s="22" t="str" cm="1">
        <f t="array" ref="G629:L629">_xlfn.XLOOKUP(C629,Sales_Fact!C629:C2613,Sales_Fact!E629:J2613)</f>
        <v>STORE1</v>
      </c>
      <c r="H629" s="22">
        <v>3</v>
      </c>
      <c r="I629" s="22">
        <v>853.32</v>
      </c>
      <c r="J629" s="22">
        <v>7.0000000000000007E-2</v>
      </c>
      <c r="K629" s="22" t="str">
        <v>COD</v>
      </c>
      <c r="L629" s="22">
        <v>2380.7628</v>
      </c>
    </row>
    <row r="630" spans="1:12" x14ac:dyDescent="0.3">
      <c r="A630" s="22" t="s">
        <v>2439</v>
      </c>
      <c r="B630" s="34" cm="1">
        <f t="array" ref="B630:C630">_xlfn.XLOOKUP(A630,Sales_Fact!A630:A2614,Sales_Fact!B630:C2614)</f>
        <v>45586</v>
      </c>
      <c r="C630" s="22" t="str">
        <v>CUST1149</v>
      </c>
      <c r="D630" s="22" t="str">
        <f>VLOOKUP('Combine Products &amp; Sales Facts'!C630,'Customer Details'!A:B,2,0)</f>
        <v>Denise Griffin</v>
      </c>
      <c r="E630" s="22" t="str">
        <f>VLOOKUP(C630,Sales_Fact!C:D,2,0)</f>
        <v>PROD90</v>
      </c>
      <c r="F630" s="22" t="str">
        <f>VLOOKUP(E630,Product_Dim!A:C,3,0)</f>
        <v>Electronics</v>
      </c>
      <c r="G630" s="22" t="str" cm="1">
        <f t="array" ref="G630:L630">_xlfn.XLOOKUP(C630,Sales_Fact!C630:C2614,Sales_Fact!E630:J2614)</f>
        <v>STORE6</v>
      </c>
      <c r="H630" s="22">
        <v>3</v>
      </c>
      <c r="I630" s="22">
        <v>89.78</v>
      </c>
      <c r="J630" s="22">
        <v>0.2</v>
      </c>
      <c r="K630" s="22" t="str">
        <v>COD</v>
      </c>
      <c r="L630" s="22">
        <v>215.47200000000001</v>
      </c>
    </row>
    <row r="631" spans="1:12" x14ac:dyDescent="0.3">
      <c r="A631" s="22" t="s">
        <v>2440</v>
      </c>
      <c r="B631" s="34" cm="1">
        <f t="array" ref="B631:C631">_xlfn.XLOOKUP(A631,Sales_Fact!A631:A2615,Sales_Fact!B631:C2615)</f>
        <v>45334</v>
      </c>
      <c r="C631" s="22" t="str">
        <v>CUST1191</v>
      </c>
      <c r="D631" s="22" t="str">
        <f>VLOOKUP('Combine Products &amp; Sales Facts'!C631,'Customer Details'!A:B,2,0)</f>
        <v>Todd Poole</v>
      </c>
      <c r="E631" s="22" t="str">
        <f>VLOOKUP(C631,Sales_Fact!C:D,2,0)</f>
        <v>PROD17</v>
      </c>
      <c r="F631" s="22" t="str">
        <f>VLOOKUP(E631,Product_Dim!A:C,3,0)</f>
        <v>Sports</v>
      </c>
      <c r="G631" s="22" t="str" cm="1">
        <f t="array" ref="G631:L631">_xlfn.XLOOKUP(C631,Sales_Fact!C631:C2615,Sales_Fact!E631:J2615)</f>
        <v>STORE1</v>
      </c>
      <c r="H631" s="22">
        <v>1</v>
      </c>
      <c r="I631" s="22">
        <v>172.04</v>
      </c>
      <c r="J631" s="22">
        <v>0.04</v>
      </c>
      <c r="K631" s="22" t="str">
        <v>PayPal</v>
      </c>
      <c r="L631" s="22">
        <v>165.1584</v>
      </c>
    </row>
    <row r="632" spans="1:12" x14ac:dyDescent="0.3">
      <c r="A632" s="22" t="s">
        <v>2441</v>
      </c>
      <c r="B632" s="34" cm="1">
        <f t="array" ref="B632:C632">_xlfn.XLOOKUP(A632,Sales_Fact!A632:A2616,Sales_Fact!B632:C2616)</f>
        <v>45333</v>
      </c>
      <c r="C632" s="22" t="str">
        <v>CUST1467</v>
      </c>
      <c r="D632" s="22" t="str">
        <f>VLOOKUP('Combine Products &amp; Sales Facts'!C632,'Customer Details'!A:B,2,0)</f>
        <v>Michael Foley</v>
      </c>
      <c r="E632" s="22" t="str">
        <f>VLOOKUP(C632,Sales_Fact!C:D,2,0)</f>
        <v>PROD74</v>
      </c>
      <c r="F632" s="22" t="str">
        <f>VLOOKUP(E632,Product_Dim!A:C,3,0)</f>
        <v>Electronics</v>
      </c>
      <c r="G632" s="22" t="str" cm="1">
        <f t="array" ref="G632:L632">_xlfn.XLOOKUP(C632,Sales_Fact!C632:C2616,Sales_Fact!E632:J2616)</f>
        <v>STORE1</v>
      </c>
      <c r="H632" s="22">
        <v>1</v>
      </c>
      <c r="I632" s="22">
        <v>389.2</v>
      </c>
      <c r="J632" s="22">
        <v>0.05</v>
      </c>
      <c r="K632" s="22" t="str">
        <v>Credit Card</v>
      </c>
      <c r="L632" s="22">
        <v>369.74</v>
      </c>
    </row>
    <row r="633" spans="1:12" x14ac:dyDescent="0.3">
      <c r="A633" s="22" t="s">
        <v>2442</v>
      </c>
      <c r="B633" s="34" cm="1">
        <f t="array" ref="B633:C633">_xlfn.XLOOKUP(A633,Sales_Fact!A633:A2617,Sales_Fact!B633:C2617)</f>
        <v>45778</v>
      </c>
      <c r="C633" s="22" t="str">
        <v>CUST1461</v>
      </c>
      <c r="D633" s="22" t="str">
        <f>VLOOKUP('Combine Products &amp; Sales Facts'!C633,'Customer Details'!A:B,2,0)</f>
        <v>Paul Cox</v>
      </c>
      <c r="E633" s="22" t="str">
        <f>VLOOKUP(C633,Sales_Fact!C:D,2,0)</f>
        <v>PROD65</v>
      </c>
      <c r="F633" s="22" t="str">
        <f>VLOOKUP(E633,Product_Dim!A:C,3,0)</f>
        <v>Sports</v>
      </c>
      <c r="G633" s="22" t="str" cm="1">
        <f t="array" ref="G633:L633">_xlfn.XLOOKUP(C633,Sales_Fact!C633:C2617,Sales_Fact!E633:J2617)</f>
        <v>STORE13</v>
      </c>
      <c r="H633" s="22">
        <v>3</v>
      </c>
      <c r="I633" s="22">
        <v>865.96</v>
      </c>
      <c r="J633" s="22">
        <v>0.12</v>
      </c>
      <c r="K633" s="22" t="str">
        <v>PayPal</v>
      </c>
      <c r="L633" s="22">
        <v>2286.1343999999999</v>
      </c>
    </row>
    <row r="634" spans="1:12" x14ac:dyDescent="0.3">
      <c r="A634" s="22" t="s">
        <v>2443</v>
      </c>
      <c r="B634" s="34" cm="1">
        <f t="array" ref="B634:C634">_xlfn.XLOOKUP(A634,Sales_Fact!A634:A2618,Sales_Fact!B634:C2618)</f>
        <v>45592</v>
      </c>
      <c r="C634" s="22" t="str">
        <v>CUST1169</v>
      </c>
      <c r="D634" s="22" t="str">
        <f>VLOOKUP('Combine Products &amp; Sales Facts'!C634,'Customer Details'!A:B,2,0)</f>
        <v>Steve Mclaughlin</v>
      </c>
      <c r="E634" s="22" t="str">
        <f>VLOOKUP(C634,Sales_Fact!C:D,2,0)</f>
        <v>PROD17</v>
      </c>
      <c r="F634" s="22" t="str">
        <f>VLOOKUP(E634,Product_Dim!A:C,3,0)</f>
        <v>Sports</v>
      </c>
      <c r="G634" s="22" t="str" cm="1">
        <f t="array" ref="G634:L634">_xlfn.XLOOKUP(C634,Sales_Fact!C634:C2618,Sales_Fact!E634:J2618)</f>
        <v>STORE1</v>
      </c>
      <c r="H634" s="22">
        <v>3</v>
      </c>
      <c r="I634" s="22">
        <v>79.95</v>
      </c>
      <c r="J634" s="22">
        <v>0.2</v>
      </c>
      <c r="K634" s="22" t="str">
        <v>COD</v>
      </c>
      <c r="L634" s="22">
        <v>191.88</v>
      </c>
    </row>
    <row r="635" spans="1:12" x14ac:dyDescent="0.3">
      <c r="A635" s="22" t="s">
        <v>2444</v>
      </c>
      <c r="B635" s="34" cm="1">
        <f t="array" ref="B635:C635">_xlfn.XLOOKUP(A635,Sales_Fact!A635:A2619,Sales_Fact!B635:C2619)</f>
        <v>45259</v>
      </c>
      <c r="C635" s="22" t="str">
        <v>CUST1381</v>
      </c>
      <c r="D635" s="22" t="str">
        <f>VLOOKUP('Combine Products &amp; Sales Facts'!C635,'Customer Details'!A:B,2,0)</f>
        <v>Erika Padilla</v>
      </c>
      <c r="E635" s="22" t="str">
        <f>VLOOKUP(C635,Sales_Fact!C:D,2,0)</f>
        <v>PROD5</v>
      </c>
      <c r="F635" s="22" t="str">
        <f>VLOOKUP(E635,Product_Dim!A:C,3,0)</f>
        <v>Clothing</v>
      </c>
      <c r="G635" s="22" t="str" cm="1">
        <f t="array" ref="G635:L635">_xlfn.XLOOKUP(C635,Sales_Fact!C635:C2619,Sales_Fact!E635:J2619)</f>
        <v>STORE7</v>
      </c>
      <c r="H635" s="22">
        <v>1</v>
      </c>
      <c r="I635" s="22">
        <v>566.5</v>
      </c>
      <c r="J635" s="22">
        <v>0.25</v>
      </c>
      <c r="K635" s="22" t="str">
        <v>COD</v>
      </c>
      <c r="L635" s="22">
        <v>424.875</v>
      </c>
    </row>
    <row r="636" spans="1:12" x14ac:dyDescent="0.3">
      <c r="A636" s="22" t="s">
        <v>2445</v>
      </c>
      <c r="B636" s="34" cm="1">
        <f t="array" ref="B636:C636">_xlfn.XLOOKUP(A636,Sales_Fact!A636:A2620,Sales_Fact!B636:C2620)</f>
        <v>45801</v>
      </c>
      <c r="C636" s="22" t="str">
        <v>CUST1402</v>
      </c>
      <c r="D636" s="22" t="str">
        <f>VLOOKUP('Combine Products &amp; Sales Facts'!C636,'Customer Details'!A:B,2,0)</f>
        <v>Cassandra Perez</v>
      </c>
      <c r="E636" s="22" t="str">
        <f>VLOOKUP(C636,Sales_Fact!C:D,2,0)</f>
        <v>PROD21</v>
      </c>
      <c r="F636" s="22" t="str">
        <f>VLOOKUP(E636,Product_Dim!A:C,3,0)</f>
        <v>Home</v>
      </c>
      <c r="G636" s="22" t="str" cm="1">
        <f t="array" ref="G636:L636">_xlfn.XLOOKUP(C636,Sales_Fact!C636:C2620,Sales_Fact!E636:J2620)</f>
        <v>STORE0</v>
      </c>
      <c r="H636" s="22">
        <v>2</v>
      </c>
      <c r="I636" s="22">
        <v>347.95</v>
      </c>
      <c r="J636" s="22">
        <v>0.13</v>
      </c>
      <c r="K636" s="22" t="str">
        <v>COD</v>
      </c>
      <c r="L636" s="22">
        <v>605.43299999999999</v>
      </c>
    </row>
    <row r="637" spans="1:12" x14ac:dyDescent="0.3">
      <c r="A637" s="22" t="s">
        <v>2446</v>
      </c>
      <c r="B637" s="34" cm="1">
        <f t="array" ref="B637:C637">_xlfn.XLOOKUP(A637,Sales_Fact!A637:A2621,Sales_Fact!B637:C2621)</f>
        <v>45347</v>
      </c>
      <c r="C637" s="22" t="str">
        <v>CUST1209</v>
      </c>
      <c r="D637" s="22" t="str">
        <f>VLOOKUP('Combine Products &amp; Sales Facts'!C637,'Customer Details'!A:B,2,0)</f>
        <v>Joan Johnson</v>
      </c>
      <c r="E637" s="22" t="str">
        <f>VLOOKUP(C637,Sales_Fact!C:D,2,0)</f>
        <v>PROD42</v>
      </c>
      <c r="F637" s="22" t="str">
        <f>VLOOKUP(E637,Product_Dim!A:C,3,0)</f>
        <v>Electronics</v>
      </c>
      <c r="G637" s="22" t="str" cm="1">
        <f t="array" ref="G637:L637">_xlfn.XLOOKUP(C637,Sales_Fact!C637:C2621,Sales_Fact!E637:J2621)</f>
        <v>STORE3</v>
      </c>
      <c r="H637" s="22">
        <v>2</v>
      </c>
      <c r="I637" s="22">
        <v>250.83</v>
      </c>
      <c r="J637" s="22">
        <v>0.15</v>
      </c>
      <c r="K637" s="22" t="str">
        <v>PayPal</v>
      </c>
      <c r="L637" s="22">
        <v>426.411</v>
      </c>
    </row>
    <row r="638" spans="1:12" x14ac:dyDescent="0.3">
      <c r="A638" s="22" t="s">
        <v>2447</v>
      </c>
      <c r="B638" s="34" cm="1">
        <f t="array" ref="B638:C638">_xlfn.XLOOKUP(A638,Sales_Fact!A638:A2622,Sales_Fact!B638:C2622)</f>
        <v>45721</v>
      </c>
      <c r="C638" s="22" t="str">
        <v>CUST1149</v>
      </c>
      <c r="D638" s="22" t="str">
        <f>VLOOKUP('Combine Products &amp; Sales Facts'!C638,'Customer Details'!A:B,2,0)</f>
        <v>Denise Griffin</v>
      </c>
      <c r="E638" s="22" t="str">
        <f>VLOOKUP(C638,Sales_Fact!C:D,2,0)</f>
        <v>PROD90</v>
      </c>
      <c r="F638" s="22" t="str">
        <f>VLOOKUP(E638,Product_Dim!A:C,3,0)</f>
        <v>Electronics</v>
      </c>
      <c r="G638" s="22" t="str" cm="1">
        <f t="array" ref="G638:L638">_xlfn.XLOOKUP(C638,Sales_Fact!C638:C2622,Sales_Fact!E638:J2622)</f>
        <v>STORE1</v>
      </c>
      <c r="H638" s="22">
        <v>1</v>
      </c>
      <c r="I638" s="22">
        <v>888.05</v>
      </c>
      <c r="J638" s="22">
        <v>0.2</v>
      </c>
      <c r="K638" s="22" t="str">
        <v>PayPal</v>
      </c>
      <c r="L638" s="22">
        <v>710.44</v>
      </c>
    </row>
    <row r="639" spans="1:12" x14ac:dyDescent="0.3">
      <c r="A639" s="22" t="s">
        <v>2448</v>
      </c>
      <c r="B639" s="34" cm="1">
        <f t="array" ref="B639:C639">_xlfn.XLOOKUP(A639,Sales_Fact!A639:A2623,Sales_Fact!B639:C2623)</f>
        <v>45531</v>
      </c>
      <c r="C639" s="22" t="str">
        <v>CUST1006</v>
      </c>
      <c r="D639" s="22" t="str">
        <f>VLOOKUP('Combine Products &amp; Sales Facts'!C639,'Customer Details'!A:B,2,0)</f>
        <v>Amber Jackson</v>
      </c>
      <c r="E639" s="22" t="str">
        <f>VLOOKUP(C639,Sales_Fact!C:D,2,0)</f>
        <v>PROD93</v>
      </c>
      <c r="F639" s="22" t="str">
        <f>VLOOKUP(E639,Product_Dim!A:C,3,0)</f>
        <v>Electronics</v>
      </c>
      <c r="G639" s="22" t="str" cm="1">
        <f t="array" ref="G639:L639">_xlfn.XLOOKUP(C639,Sales_Fact!C639:C2623,Sales_Fact!E639:J2623)</f>
        <v>STORE18</v>
      </c>
      <c r="H639" s="22">
        <v>2</v>
      </c>
      <c r="I639" s="22">
        <v>673.02</v>
      </c>
      <c r="J639" s="22">
        <v>0.11</v>
      </c>
      <c r="K639" s="22" t="str">
        <v>PayPal</v>
      </c>
      <c r="L639" s="22">
        <v>1197.9756</v>
      </c>
    </row>
    <row r="640" spans="1:12" x14ac:dyDescent="0.3">
      <c r="A640" s="22" t="s">
        <v>2449</v>
      </c>
      <c r="B640" s="34" cm="1">
        <f t="array" ref="B640:C640">_xlfn.XLOOKUP(A640,Sales_Fact!A640:A2624,Sales_Fact!B640:C2624)</f>
        <v>45332</v>
      </c>
      <c r="C640" s="22" t="str">
        <v>CUST1440</v>
      </c>
      <c r="D640" s="22" t="str">
        <f>VLOOKUP('Combine Products &amp; Sales Facts'!C640,'Customer Details'!A:B,2,0)</f>
        <v>Tammy Trevino</v>
      </c>
      <c r="E640" s="22" t="str">
        <f>VLOOKUP(C640,Sales_Fact!C:D,2,0)</f>
        <v>PROD64</v>
      </c>
      <c r="F640" s="22" t="str">
        <f>VLOOKUP(E640,Product_Dim!A:C,3,0)</f>
        <v>Beauty</v>
      </c>
      <c r="G640" s="22" t="str" cm="1">
        <f t="array" ref="G640:L640">_xlfn.XLOOKUP(C640,Sales_Fact!C640:C2624,Sales_Fact!E640:J2624)</f>
        <v>STORE3</v>
      </c>
      <c r="H640" s="22">
        <v>2</v>
      </c>
      <c r="I640" s="22">
        <v>492.62</v>
      </c>
      <c r="J640" s="22">
        <v>0.26</v>
      </c>
      <c r="K640" s="22" t="str">
        <v>COD</v>
      </c>
      <c r="L640" s="22">
        <v>729.07759999999996</v>
      </c>
    </row>
    <row r="641" spans="1:12" x14ac:dyDescent="0.3">
      <c r="A641" s="22" t="s">
        <v>2450</v>
      </c>
      <c r="B641" s="34" cm="1">
        <f t="array" ref="B641:C641">_xlfn.XLOOKUP(A641,Sales_Fact!A641:A2625,Sales_Fact!B641:C2625)</f>
        <v>45344</v>
      </c>
      <c r="C641" s="22" t="str">
        <v>CUST1376</v>
      </c>
      <c r="D641" s="22" t="str">
        <f>VLOOKUP('Combine Products &amp; Sales Facts'!C641,'Customer Details'!A:B,2,0)</f>
        <v>Michele Burke</v>
      </c>
      <c r="E641" s="22" t="str">
        <f>VLOOKUP(C641,Sales_Fact!C:D,2,0)</f>
        <v>PROD85</v>
      </c>
      <c r="F641" s="22" t="str">
        <f>VLOOKUP(E641,Product_Dim!A:C,3,0)</f>
        <v>Clothing</v>
      </c>
      <c r="G641" s="22" t="str" cm="1">
        <f t="array" ref="G641:L641">_xlfn.XLOOKUP(C641,Sales_Fact!C641:C2625,Sales_Fact!E641:J2625)</f>
        <v>STORE3</v>
      </c>
      <c r="H641" s="22">
        <v>4</v>
      </c>
      <c r="I641" s="22">
        <v>986.93</v>
      </c>
      <c r="J641" s="22">
        <v>0.01</v>
      </c>
      <c r="K641" s="22" t="str">
        <v>Credit Card</v>
      </c>
      <c r="L641" s="22">
        <v>3908.2428</v>
      </c>
    </row>
    <row r="642" spans="1:12" x14ac:dyDescent="0.3">
      <c r="A642" s="22" t="s">
        <v>2451</v>
      </c>
      <c r="B642" s="34" cm="1">
        <f t="array" ref="B642:C642">_xlfn.XLOOKUP(A642,Sales_Fact!A642:A2626,Sales_Fact!B642:C2626)</f>
        <v>45388</v>
      </c>
      <c r="C642" s="22" t="str">
        <v>CUST1479</v>
      </c>
      <c r="D642" s="22" t="str">
        <f>VLOOKUP('Combine Products &amp; Sales Facts'!C642,'Customer Details'!A:B,2,0)</f>
        <v>Dylan Gutierrez</v>
      </c>
      <c r="E642" s="22" t="str">
        <f>VLOOKUP(C642,Sales_Fact!C:D,2,0)</f>
        <v>PROD74</v>
      </c>
      <c r="F642" s="22" t="str">
        <f>VLOOKUP(E642,Product_Dim!A:C,3,0)</f>
        <v>Electronics</v>
      </c>
      <c r="G642" s="22" t="str" cm="1">
        <f t="array" ref="G642:L642">_xlfn.XLOOKUP(C642,Sales_Fact!C642:C2626,Sales_Fact!E642:J2626)</f>
        <v>STORE12</v>
      </c>
      <c r="H642" s="22">
        <v>4</v>
      </c>
      <c r="I642" s="22">
        <v>411.68</v>
      </c>
      <c r="J642" s="22">
        <v>0.06</v>
      </c>
      <c r="K642" s="22" t="str">
        <v>PayPal</v>
      </c>
      <c r="L642" s="22">
        <v>1547.9168</v>
      </c>
    </row>
    <row r="643" spans="1:12" x14ac:dyDescent="0.3">
      <c r="A643" s="22" t="s">
        <v>2452</v>
      </c>
      <c r="B643" s="34" cm="1">
        <f t="array" ref="B643:C643">_xlfn.XLOOKUP(A643,Sales_Fact!A643:A2627,Sales_Fact!B643:C2627)</f>
        <v>45397</v>
      </c>
      <c r="C643" s="22" t="str">
        <v>CUST1219</v>
      </c>
      <c r="D643" s="22" t="str">
        <f>VLOOKUP('Combine Products &amp; Sales Facts'!C643,'Customer Details'!A:B,2,0)</f>
        <v>Jordan Wells</v>
      </c>
      <c r="E643" s="22" t="str">
        <f>VLOOKUP(C643,Sales_Fact!C:D,2,0)</f>
        <v>PROD37</v>
      </c>
      <c r="F643" s="22" t="str">
        <f>VLOOKUP(E643,Product_Dim!A:C,3,0)</f>
        <v>Clothing</v>
      </c>
      <c r="G643" s="22" t="str" cm="1">
        <f t="array" ref="G643:L643">_xlfn.XLOOKUP(C643,Sales_Fact!C643:C2627,Sales_Fact!E643:J2627)</f>
        <v>STORE17</v>
      </c>
      <c r="H643" s="22">
        <v>2</v>
      </c>
      <c r="I643" s="22">
        <v>637.55999999999995</v>
      </c>
      <c r="J643" s="22">
        <v>0.05</v>
      </c>
      <c r="K643" s="22" t="str">
        <v>COD</v>
      </c>
      <c r="L643" s="22">
        <v>1211.364</v>
      </c>
    </row>
    <row r="644" spans="1:12" x14ac:dyDescent="0.3">
      <c r="A644" s="22" t="s">
        <v>2453</v>
      </c>
      <c r="B644" s="34" cm="1">
        <f t="array" ref="B644:C644">_xlfn.XLOOKUP(A644,Sales_Fact!A644:A2628,Sales_Fact!B644:C2628)</f>
        <v>45633</v>
      </c>
      <c r="C644" s="22" t="str">
        <v>CUST1014</v>
      </c>
      <c r="D644" s="22" t="str">
        <f>VLOOKUP('Combine Products &amp; Sales Facts'!C644,'Customer Details'!A:B,2,0)</f>
        <v>Ashley Cohen</v>
      </c>
      <c r="E644" s="22" t="str">
        <f>VLOOKUP(C644,Sales_Fact!C:D,2,0)</f>
        <v>PROD26</v>
      </c>
      <c r="F644" s="22" t="str">
        <f>VLOOKUP(E644,Product_Dim!A:C,3,0)</f>
        <v>Electronics</v>
      </c>
      <c r="G644" s="22" t="str" cm="1">
        <f t="array" ref="G644:L644">_xlfn.XLOOKUP(C644,Sales_Fact!C644:C2628,Sales_Fact!E644:J2628)</f>
        <v>STORE3</v>
      </c>
      <c r="H644" s="22">
        <v>3</v>
      </c>
      <c r="I644" s="22">
        <v>706.87</v>
      </c>
      <c r="J644" s="22">
        <v>0.27</v>
      </c>
      <c r="K644" s="22" t="str">
        <v>Credit Card</v>
      </c>
      <c r="L644" s="22">
        <v>1548.0453</v>
      </c>
    </row>
    <row r="645" spans="1:12" x14ac:dyDescent="0.3">
      <c r="A645" s="22" t="s">
        <v>2454</v>
      </c>
      <c r="B645" s="34" cm="1">
        <f t="array" ref="B645:C645">_xlfn.XLOOKUP(A645,Sales_Fact!A645:A2629,Sales_Fact!B645:C2629)</f>
        <v>45629</v>
      </c>
      <c r="C645" s="22" t="str">
        <v>CUST1055</v>
      </c>
      <c r="D645" s="22" t="str">
        <f>VLOOKUP('Combine Products &amp; Sales Facts'!C645,'Customer Details'!A:B,2,0)</f>
        <v>Wayne Mcpherson</v>
      </c>
      <c r="E645" s="22" t="str">
        <f>VLOOKUP(C645,Sales_Fact!C:D,2,0)</f>
        <v>PROD15</v>
      </c>
      <c r="F645" s="22" t="str">
        <f>VLOOKUP(E645,Product_Dim!A:C,3,0)</f>
        <v>Electronics</v>
      </c>
      <c r="G645" s="22" t="str" cm="1">
        <f t="array" ref="G645:L645">_xlfn.XLOOKUP(C645,Sales_Fact!C645:C2629,Sales_Fact!E645:J2629)</f>
        <v>STORE6</v>
      </c>
      <c r="H645" s="22">
        <v>2</v>
      </c>
      <c r="I645" s="22">
        <v>884.48</v>
      </c>
      <c r="J645" s="22">
        <v>0</v>
      </c>
      <c r="K645" s="22" t="str">
        <v>COD</v>
      </c>
      <c r="L645" s="22">
        <v>1768.96</v>
      </c>
    </row>
    <row r="646" spans="1:12" x14ac:dyDescent="0.3">
      <c r="A646" s="22" t="s">
        <v>2455</v>
      </c>
      <c r="B646" s="34" cm="1">
        <f t="array" ref="B646:C646">_xlfn.XLOOKUP(A646,Sales_Fact!A646:A2630,Sales_Fact!B646:C2630)</f>
        <v>45291</v>
      </c>
      <c r="C646" s="22" t="str">
        <v>CUST1047</v>
      </c>
      <c r="D646" s="22" t="str">
        <f>VLOOKUP('Combine Products &amp; Sales Facts'!C646,'Customer Details'!A:B,2,0)</f>
        <v>Gina Knight</v>
      </c>
      <c r="E646" s="22" t="str">
        <f>VLOOKUP(C646,Sales_Fact!C:D,2,0)</f>
        <v>PROD64</v>
      </c>
      <c r="F646" s="22" t="str">
        <f>VLOOKUP(E646,Product_Dim!A:C,3,0)</f>
        <v>Beauty</v>
      </c>
      <c r="G646" s="22" t="str" cm="1">
        <f t="array" ref="G646:L646">_xlfn.XLOOKUP(C646,Sales_Fact!C646:C2630,Sales_Fact!E646:J2630)</f>
        <v>STORE4</v>
      </c>
      <c r="H646" s="22">
        <v>3</v>
      </c>
      <c r="I646" s="22">
        <v>718.23</v>
      </c>
      <c r="J646" s="22">
        <v>0.19</v>
      </c>
      <c r="K646" s="22" t="str">
        <v>PayPal</v>
      </c>
      <c r="L646" s="22">
        <v>1745.2989</v>
      </c>
    </row>
    <row r="647" spans="1:12" x14ac:dyDescent="0.3">
      <c r="A647" s="22" t="s">
        <v>2456</v>
      </c>
      <c r="B647" s="34" cm="1">
        <f t="array" ref="B647:C647">_xlfn.XLOOKUP(A647,Sales_Fact!A647:A2631,Sales_Fact!B647:C2631)</f>
        <v>45914</v>
      </c>
      <c r="C647" s="22" t="str">
        <v>CUST1180</v>
      </c>
      <c r="D647" s="22" t="str">
        <f>VLOOKUP('Combine Products &amp; Sales Facts'!C647,'Customer Details'!A:B,2,0)</f>
        <v>Wesley Thompson</v>
      </c>
      <c r="E647" s="22" t="str">
        <f>VLOOKUP(C647,Sales_Fact!C:D,2,0)</f>
        <v>PROD90</v>
      </c>
      <c r="F647" s="22" t="str">
        <f>VLOOKUP(E647,Product_Dim!A:C,3,0)</f>
        <v>Electronics</v>
      </c>
      <c r="G647" s="22" t="str" cm="1">
        <f t="array" ref="G647:L647">_xlfn.XLOOKUP(C647,Sales_Fact!C647:C2631,Sales_Fact!E647:J2631)</f>
        <v>STORE18</v>
      </c>
      <c r="H647" s="22">
        <v>3</v>
      </c>
      <c r="I647" s="22">
        <v>107.44</v>
      </c>
      <c r="J647" s="22">
        <v>0.27</v>
      </c>
      <c r="K647" s="22" t="str">
        <v>PayPal</v>
      </c>
      <c r="L647" s="22">
        <v>235.2936</v>
      </c>
    </row>
    <row r="648" spans="1:12" x14ac:dyDescent="0.3">
      <c r="A648" s="22" t="s">
        <v>2457</v>
      </c>
      <c r="B648" s="34" cm="1">
        <f t="array" ref="B648:C648">_xlfn.XLOOKUP(A648,Sales_Fact!A648:A2632,Sales_Fact!B648:C2632)</f>
        <v>45673</v>
      </c>
      <c r="C648" s="22" t="str">
        <v>CUST1056</v>
      </c>
      <c r="D648" s="22" t="str">
        <f>VLOOKUP('Combine Products &amp; Sales Facts'!C648,'Customer Details'!A:B,2,0)</f>
        <v>Christopher Sutton</v>
      </c>
      <c r="E648" s="22" t="str">
        <f>VLOOKUP(C648,Sales_Fact!C:D,2,0)</f>
        <v>PROD49</v>
      </c>
      <c r="F648" s="22" t="str">
        <f>VLOOKUP(E648,Product_Dim!A:C,3,0)</f>
        <v>Beauty</v>
      </c>
      <c r="G648" s="22" t="str" cm="1">
        <f t="array" ref="G648:L648">_xlfn.XLOOKUP(C648,Sales_Fact!C648:C2632,Sales_Fact!E648:J2632)</f>
        <v>STORE3</v>
      </c>
      <c r="H648" s="22">
        <v>4</v>
      </c>
      <c r="I648" s="22">
        <v>608.97</v>
      </c>
      <c r="J648" s="22">
        <v>0.14000000000000001</v>
      </c>
      <c r="K648" s="22" t="str">
        <v>COD</v>
      </c>
      <c r="L648" s="22">
        <v>2094.8568</v>
      </c>
    </row>
    <row r="649" spans="1:12" x14ac:dyDescent="0.3">
      <c r="A649" s="22" t="s">
        <v>2458</v>
      </c>
      <c r="B649" s="34" cm="1">
        <f t="array" ref="B649:C649">_xlfn.XLOOKUP(A649,Sales_Fact!A649:A2633,Sales_Fact!B649:C2633)</f>
        <v>45689</v>
      </c>
      <c r="C649" s="22" t="str">
        <v>CUST1354</v>
      </c>
      <c r="D649" s="22" t="str">
        <f>VLOOKUP('Combine Products &amp; Sales Facts'!C649,'Customer Details'!A:B,2,0)</f>
        <v>Ryan Torres</v>
      </c>
      <c r="E649" s="22" t="str">
        <f>VLOOKUP(C649,Sales_Fact!C:D,2,0)</f>
        <v>PROD61</v>
      </c>
      <c r="F649" s="22" t="str">
        <f>VLOOKUP(E649,Product_Dim!A:C,3,0)</f>
        <v>Sports</v>
      </c>
      <c r="G649" s="22" t="str" cm="1">
        <f t="array" ref="G649:L649">_xlfn.XLOOKUP(C649,Sales_Fact!C649:C2633,Sales_Fact!E649:J2633)</f>
        <v>STORE6</v>
      </c>
      <c r="H649" s="22">
        <v>3</v>
      </c>
      <c r="I649" s="22">
        <v>260.45999999999998</v>
      </c>
      <c r="J649" s="22">
        <v>0.09</v>
      </c>
      <c r="K649" s="22" t="str">
        <v>Credit Card</v>
      </c>
      <c r="L649" s="22">
        <v>711.05579999999986</v>
      </c>
    </row>
    <row r="650" spans="1:12" x14ac:dyDescent="0.3">
      <c r="A650" s="22" t="s">
        <v>2459</v>
      </c>
      <c r="B650" s="34" cm="1">
        <f t="array" ref="B650:C650">_xlfn.XLOOKUP(A650,Sales_Fact!A650:A2634,Sales_Fact!B650:C2634)</f>
        <v>45646</v>
      </c>
      <c r="C650" s="22" t="str">
        <v>CUST1123</v>
      </c>
      <c r="D650" s="22" t="str">
        <f>VLOOKUP('Combine Products &amp; Sales Facts'!C650,'Customer Details'!A:B,2,0)</f>
        <v>Erin Hopkins</v>
      </c>
      <c r="E650" s="22" t="str">
        <f>VLOOKUP(C650,Sales_Fact!C:D,2,0)</f>
        <v>PROD12</v>
      </c>
      <c r="F650" s="22" t="str">
        <f>VLOOKUP(E650,Product_Dim!A:C,3,0)</f>
        <v>Beauty</v>
      </c>
      <c r="G650" s="22" t="str" cm="1">
        <f t="array" ref="G650:L650">_xlfn.XLOOKUP(C650,Sales_Fact!C650:C2634,Sales_Fact!E650:J2634)</f>
        <v>STORE6</v>
      </c>
      <c r="H650" s="22">
        <v>1</v>
      </c>
      <c r="I650" s="22">
        <v>747.03</v>
      </c>
      <c r="J650" s="22">
        <v>0.01</v>
      </c>
      <c r="K650" s="22" t="str">
        <v>Credit Card</v>
      </c>
      <c r="L650" s="22">
        <v>739.55970000000002</v>
      </c>
    </row>
    <row r="651" spans="1:12" x14ac:dyDescent="0.3">
      <c r="A651" s="22" t="s">
        <v>2460</v>
      </c>
      <c r="B651" s="34" cm="1">
        <f t="array" ref="B651:C651">_xlfn.XLOOKUP(A651,Sales_Fact!A651:A2635,Sales_Fact!B651:C2635)</f>
        <v>45475</v>
      </c>
      <c r="C651" s="22" t="str">
        <v>CUST1404</v>
      </c>
      <c r="D651" s="22" t="str">
        <f>VLOOKUP('Combine Products &amp; Sales Facts'!C651,'Customer Details'!A:B,2,0)</f>
        <v>David Ross</v>
      </c>
      <c r="E651" s="22" t="str">
        <f>VLOOKUP(C651,Sales_Fact!C:D,2,0)</f>
        <v>PROD23</v>
      </c>
      <c r="F651" s="22" t="str">
        <f>VLOOKUP(E651,Product_Dim!A:C,3,0)</f>
        <v>Clothing</v>
      </c>
      <c r="G651" s="22" t="str" cm="1">
        <f t="array" ref="G651:L651">_xlfn.XLOOKUP(C651,Sales_Fact!C651:C2635,Sales_Fact!E651:J2635)</f>
        <v>STORE8</v>
      </c>
      <c r="H651" s="22">
        <v>4</v>
      </c>
      <c r="I651" s="22">
        <v>700.88</v>
      </c>
      <c r="J651" s="22">
        <v>0.23</v>
      </c>
      <c r="K651" s="22" t="str">
        <v>PayPal</v>
      </c>
      <c r="L651" s="22">
        <v>2158.7103999999999</v>
      </c>
    </row>
    <row r="652" spans="1:12" x14ac:dyDescent="0.3">
      <c r="A652" s="22" t="s">
        <v>2461</v>
      </c>
      <c r="B652" s="34" cm="1">
        <f t="array" ref="B652:C652">_xlfn.XLOOKUP(A652,Sales_Fact!A652:A2636,Sales_Fact!B652:C2636)</f>
        <v>45781</v>
      </c>
      <c r="C652" s="22" t="str">
        <v>CUST1048</v>
      </c>
      <c r="D652" s="22" t="str">
        <f>VLOOKUP('Combine Products &amp; Sales Facts'!C652,'Customer Details'!A:B,2,0)</f>
        <v>April Mullins</v>
      </c>
      <c r="E652" s="22" t="str">
        <f>VLOOKUP(C652,Sales_Fact!C:D,2,0)</f>
        <v>PROD95</v>
      </c>
      <c r="F652" s="22" t="str">
        <f>VLOOKUP(E652,Product_Dim!A:C,3,0)</f>
        <v>Sports</v>
      </c>
      <c r="G652" s="22" t="str" cm="1">
        <f t="array" ref="G652:L652">_xlfn.XLOOKUP(C652,Sales_Fact!C652:C2636,Sales_Fact!E652:J2636)</f>
        <v>STORE14</v>
      </c>
      <c r="H652" s="22">
        <v>4</v>
      </c>
      <c r="I652" s="22">
        <v>20.09</v>
      </c>
      <c r="J652" s="22">
        <v>0.16</v>
      </c>
      <c r="K652" s="22" t="str">
        <v>PayPal</v>
      </c>
      <c r="L652" s="22">
        <v>67.502399999999994</v>
      </c>
    </row>
    <row r="653" spans="1:12" x14ac:dyDescent="0.3">
      <c r="A653" s="22" t="s">
        <v>2462</v>
      </c>
      <c r="B653" s="34" cm="1">
        <f t="array" ref="B653:C653">_xlfn.XLOOKUP(A653,Sales_Fact!A653:A2637,Sales_Fact!B653:C2637)</f>
        <v>45654</v>
      </c>
      <c r="C653" s="22" t="str">
        <v>CUST1062</v>
      </c>
      <c r="D653" s="22" t="str">
        <f>VLOOKUP('Combine Products &amp; Sales Facts'!C653,'Customer Details'!A:B,2,0)</f>
        <v>James Bean</v>
      </c>
      <c r="E653" s="22" t="str">
        <f>VLOOKUP(C653,Sales_Fact!C:D,2,0)</f>
        <v>PROD84</v>
      </c>
      <c r="F653" s="22" t="str">
        <f>VLOOKUP(E653,Product_Dim!A:C,3,0)</f>
        <v>Home</v>
      </c>
      <c r="G653" s="22" t="str" cm="1">
        <f t="array" ref="G653:L653">_xlfn.XLOOKUP(C653,Sales_Fact!C653:C2637,Sales_Fact!E653:J2637)</f>
        <v>STORE11</v>
      </c>
      <c r="H653" s="22">
        <v>3</v>
      </c>
      <c r="I653" s="22">
        <v>917.64</v>
      </c>
      <c r="J653" s="22">
        <v>0.24</v>
      </c>
      <c r="K653" s="22" t="str">
        <v>PayPal</v>
      </c>
      <c r="L653" s="22">
        <v>2092.2192</v>
      </c>
    </row>
    <row r="654" spans="1:12" x14ac:dyDescent="0.3">
      <c r="A654" s="22" t="s">
        <v>2463</v>
      </c>
      <c r="B654" s="34" cm="1">
        <f t="array" ref="B654:C654">_xlfn.XLOOKUP(A654,Sales_Fact!A654:A2638,Sales_Fact!B654:C2638)</f>
        <v>45594</v>
      </c>
      <c r="C654" s="22" t="str">
        <v>CUST1051</v>
      </c>
      <c r="D654" s="22" t="str">
        <f>VLOOKUP('Combine Products &amp; Sales Facts'!C654,'Customer Details'!A:B,2,0)</f>
        <v>Sarah Rodgers</v>
      </c>
      <c r="E654" s="22" t="str">
        <f>VLOOKUP(C654,Sales_Fact!C:D,2,0)</f>
        <v>PROD21</v>
      </c>
      <c r="F654" s="22" t="str">
        <f>VLOOKUP(E654,Product_Dim!A:C,3,0)</f>
        <v>Home</v>
      </c>
      <c r="G654" s="22" t="str" cm="1">
        <f t="array" ref="G654:L654">_xlfn.XLOOKUP(C654,Sales_Fact!C654:C2638,Sales_Fact!E654:J2638)</f>
        <v>STORE0</v>
      </c>
      <c r="H654" s="22">
        <v>1</v>
      </c>
      <c r="I654" s="22">
        <v>242.08</v>
      </c>
      <c r="J654" s="22">
        <v>0.18</v>
      </c>
      <c r="K654" s="22" t="str">
        <v>PayPal</v>
      </c>
      <c r="L654" s="22">
        <v>198.50559999999999</v>
      </c>
    </row>
    <row r="655" spans="1:12" x14ac:dyDescent="0.3">
      <c r="A655" s="22" t="s">
        <v>2464</v>
      </c>
      <c r="B655" s="34" cm="1">
        <f t="array" ref="B655:C655">_xlfn.XLOOKUP(A655,Sales_Fact!A655:A2639,Sales_Fact!B655:C2639)</f>
        <v>45581</v>
      </c>
      <c r="C655" s="22" t="str">
        <v>CUST1057</v>
      </c>
      <c r="D655" s="22" t="str">
        <f>VLOOKUP('Combine Products &amp; Sales Facts'!C655,'Customer Details'!A:B,2,0)</f>
        <v>Jay Patel</v>
      </c>
      <c r="E655" s="22" t="str">
        <f>VLOOKUP(C655,Sales_Fact!C:D,2,0)</f>
        <v>PROD38</v>
      </c>
      <c r="F655" s="22" t="str">
        <f>VLOOKUP(E655,Product_Dim!A:C,3,0)</f>
        <v>Sports</v>
      </c>
      <c r="G655" s="22" t="str" cm="1">
        <f t="array" ref="G655:L655">_xlfn.XLOOKUP(C655,Sales_Fact!C655:C2639,Sales_Fact!E655:J2639)</f>
        <v>STORE7</v>
      </c>
      <c r="H655" s="22">
        <v>1</v>
      </c>
      <c r="I655" s="22">
        <v>536.67999999999995</v>
      </c>
      <c r="J655" s="22">
        <v>0.27</v>
      </c>
      <c r="K655" s="22" t="str">
        <v>Credit Card</v>
      </c>
      <c r="L655" s="22">
        <v>391.77640000000002</v>
      </c>
    </row>
    <row r="656" spans="1:12" x14ac:dyDescent="0.3">
      <c r="A656" s="22" t="s">
        <v>2465</v>
      </c>
      <c r="B656" s="34" cm="1">
        <f t="array" ref="B656:C656">_xlfn.XLOOKUP(A656,Sales_Fact!A656:A2640,Sales_Fact!B656:C2640)</f>
        <v>45748</v>
      </c>
      <c r="C656" s="22" t="str">
        <v>CUST1094</v>
      </c>
      <c r="D656" s="22" t="str">
        <f>VLOOKUP('Combine Products &amp; Sales Facts'!C656,'Customer Details'!A:B,2,0)</f>
        <v>David Patterson</v>
      </c>
      <c r="E656" s="22" t="str">
        <f>VLOOKUP(C656,Sales_Fact!C:D,2,0)</f>
        <v>PROD39</v>
      </c>
      <c r="F656" s="22" t="str">
        <f>VLOOKUP(E656,Product_Dim!A:C,3,0)</f>
        <v>Electronics</v>
      </c>
      <c r="G656" s="22" t="str" cm="1">
        <f t="array" ref="G656:L656">_xlfn.XLOOKUP(C656,Sales_Fact!C656:C2640,Sales_Fact!E656:J2640)</f>
        <v>STORE4</v>
      </c>
      <c r="H656" s="22">
        <v>2</v>
      </c>
      <c r="I656" s="22">
        <v>145.18</v>
      </c>
      <c r="J656" s="22">
        <v>0.26</v>
      </c>
      <c r="K656" s="22" t="str">
        <v>PayPal</v>
      </c>
      <c r="L656" s="22">
        <v>214.8664</v>
      </c>
    </row>
    <row r="657" spans="1:12" x14ac:dyDescent="0.3">
      <c r="A657" s="22" t="s">
        <v>2466</v>
      </c>
      <c r="B657" s="34" cm="1">
        <f t="array" ref="B657:C657">_xlfn.XLOOKUP(A657,Sales_Fact!A657:A2641,Sales_Fact!B657:C2641)</f>
        <v>45369</v>
      </c>
      <c r="C657" s="22" t="str">
        <v>CUST1221</v>
      </c>
      <c r="D657" s="22" t="str">
        <f>VLOOKUP('Combine Products &amp; Sales Facts'!C657,'Customer Details'!A:B,2,0)</f>
        <v>Lisa Young</v>
      </c>
      <c r="E657" s="22" t="str">
        <f>VLOOKUP(C657,Sales_Fact!C:D,2,0)</f>
        <v>PROD83</v>
      </c>
      <c r="F657" s="22" t="str">
        <f>VLOOKUP(E657,Product_Dim!A:C,3,0)</f>
        <v>Beauty</v>
      </c>
      <c r="G657" s="22" t="str" cm="1">
        <f t="array" ref="G657:L657">_xlfn.XLOOKUP(C657,Sales_Fact!C657:C2641,Sales_Fact!E657:J2641)</f>
        <v>STORE4</v>
      </c>
      <c r="H657" s="22">
        <v>2</v>
      </c>
      <c r="I657" s="22">
        <v>132.77000000000001</v>
      </c>
      <c r="J657" s="22">
        <v>0.13</v>
      </c>
      <c r="K657" s="22" t="str">
        <v>COD</v>
      </c>
      <c r="L657" s="22">
        <v>231.0198</v>
      </c>
    </row>
    <row r="658" spans="1:12" x14ac:dyDescent="0.3">
      <c r="A658" s="22" t="s">
        <v>2467</v>
      </c>
      <c r="B658" s="34" cm="1">
        <f t="array" ref="B658:C658">_xlfn.XLOOKUP(A658,Sales_Fact!A658:A2642,Sales_Fact!B658:C2642)</f>
        <v>45701</v>
      </c>
      <c r="C658" s="22" t="str">
        <v>CUST1013</v>
      </c>
      <c r="D658" s="22" t="str">
        <f>VLOOKUP('Combine Products &amp; Sales Facts'!C658,'Customer Details'!A:B,2,0)</f>
        <v>Nathan Hernandez</v>
      </c>
      <c r="E658" s="22" t="str">
        <f>VLOOKUP(C658,Sales_Fact!C:D,2,0)</f>
        <v>PROD24</v>
      </c>
      <c r="F658" s="22" t="str">
        <f>VLOOKUP(E658,Product_Dim!A:C,3,0)</f>
        <v>Sports</v>
      </c>
      <c r="G658" s="22" t="str" cm="1">
        <f t="array" ref="G658:L658">_xlfn.XLOOKUP(C658,Sales_Fact!C658:C2642,Sales_Fact!E658:J2642)</f>
        <v>STORE9</v>
      </c>
      <c r="H658" s="22">
        <v>4</v>
      </c>
      <c r="I658" s="22">
        <v>682.11</v>
      </c>
      <c r="J658" s="22">
        <v>0.14000000000000001</v>
      </c>
      <c r="K658" s="22" t="str">
        <v>Credit Card</v>
      </c>
      <c r="L658" s="22">
        <v>2346.4584</v>
      </c>
    </row>
    <row r="659" spans="1:12" x14ac:dyDescent="0.3">
      <c r="A659" s="22" t="s">
        <v>2468</v>
      </c>
      <c r="B659" s="34" cm="1">
        <f t="array" ref="B659:C659">_xlfn.XLOOKUP(A659,Sales_Fact!A659:A2643,Sales_Fact!B659:C2643)</f>
        <v>45510</v>
      </c>
      <c r="C659" s="22" t="str">
        <v>CUST1486</v>
      </c>
      <c r="D659" s="22" t="str">
        <f>VLOOKUP('Combine Products &amp; Sales Facts'!C659,'Customer Details'!A:B,2,0)</f>
        <v>Eric Lee</v>
      </c>
      <c r="E659" s="22" t="str">
        <f>VLOOKUP(C659,Sales_Fact!C:D,2,0)</f>
        <v>PROD40</v>
      </c>
      <c r="F659" s="22" t="str">
        <f>VLOOKUP(E659,Product_Dim!A:C,3,0)</f>
        <v>Electronics</v>
      </c>
      <c r="G659" s="22" t="str" cm="1">
        <f t="array" ref="G659:L659">_xlfn.XLOOKUP(C659,Sales_Fact!C659:C2643,Sales_Fact!E659:J2643)</f>
        <v>STORE17</v>
      </c>
      <c r="H659" s="22">
        <v>4</v>
      </c>
      <c r="I659" s="22">
        <v>502.95</v>
      </c>
      <c r="J659" s="22">
        <v>0.14000000000000001</v>
      </c>
      <c r="K659" s="22" t="str">
        <v>COD</v>
      </c>
      <c r="L659" s="22">
        <v>1730.1479999999999</v>
      </c>
    </row>
    <row r="660" spans="1:12" x14ac:dyDescent="0.3">
      <c r="A660" s="22" t="s">
        <v>2469</v>
      </c>
      <c r="B660" s="34" cm="1">
        <f t="array" ref="B660:C660">_xlfn.XLOOKUP(A660,Sales_Fact!A660:A2644,Sales_Fact!B660:C2644)</f>
        <v>45538</v>
      </c>
      <c r="C660" s="22" t="str">
        <v>CUST1234</v>
      </c>
      <c r="D660" s="22" t="str">
        <f>VLOOKUP('Combine Products &amp; Sales Facts'!C660,'Customer Details'!A:B,2,0)</f>
        <v>Nathaniel Hill</v>
      </c>
      <c r="E660" s="22" t="str">
        <f>VLOOKUP(C660,Sales_Fact!C:D,2,0)</f>
        <v>PROD98</v>
      </c>
      <c r="F660" s="22" t="str">
        <f>VLOOKUP(E660,Product_Dim!A:C,3,0)</f>
        <v>Electronics</v>
      </c>
      <c r="G660" s="22" t="str" cm="1">
        <f t="array" ref="G660:L660">_xlfn.XLOOKUP(C660,Sales_Fact!C660:C2644,Sales_Fact!E660:J2644)</f>
        <v>STORE16</v>
      </c>
      <c r="H660" s="22">
        <v>2</v>
      </c>
      <c r="I660" s="22">
        <v>472.08</v>
      </c>
      <c r="J660" s="22">
        <v>7.0000000000000007E-2</v>
      </c>
      <c r="K660" s="22" t="str">
        <v>Credit Card</v>
      </c>
      <c r="L660" s="22">
        <v>878.0687999999999</v>
      </c>
    </row>
    <row r="661" spans="1:12" x14ac:dyDescent="0.3">
      <c r="A661" s="22" t="s">
        <v>2470</v>
      </c>
      <c r="B661" s="34" cm="1">
        <f t="array" ref="B661:C661">_xlfn.XLOOKUP(A661,Sales_Fact!A661:A2645,Sales_Fact!B661:C2645)</f>
        <v>45665</v>
      </c>
      <c r="C661" s="22" t="str">
        <v>CUST1473</v>
      </c>
      <c r="D661" s="22" t="str">
        <f>VLOOKUP('Combine Products &amp; Sales Facts'!C661,'Customer Details'!A:B,2,0)</f>
        <v>Laura Mathews</v>
      </c>
      <c r="E661" s="22" t="str">
        <f>VLOOKUP(C661,Sales_Fact!C:D,2,0)</f>
        <v>PROD50</v>
      </c>
      <c r="F661" s="22" t="str">
        <f>VLOOKUP(E661,Product_Dim!A:C,3,0)</f>
        <v>Sports</v>
      </c>
      <c r="G661" s="22" t="str" cm="1">
        <f t="array" ref="G661:L661">_xlfn.XLOOKUP(C661,Sales_Fact!C661:C2645,Sales_Fact!E661:J2645)</f>
        <v>STORE17</v>
      </c>
      <c r="H661" s="22">
        <v>2</v>
      </c>
      <c r="I661" s="22">
        <v>218.11</v>
      </c>
      <c r="J661" s="22">
        <v>0.02</v>
      </c>
      <c r="K661" s="22" t="str">
        <v>COD</v>
      </c>
      <c r="L661" s="22">
        <v>427.49560000000002</v>
      </c>
    </row>
    <row r="662" spans="1:12" x14ac:dyDescent="0.3">
      <c r="A662" s="22" t="s">
        <v>2471</v>
      </c>
      <c r="B662" s="34" cm="1">
        <f t="array" ref="B662:C662">_xlfn.XLOOKUP(A662,Sales_Fact!A662:A2646,Sales_Fact!B662:C2646)</f>
        <v>45859</v>
      </c>
      <c r="C662" s="22" t="str">
        <v>CUST1057</v>
      </c>
      <c r="D662" s="22" t="str">
        <f>VLOOKUP('Combine Products &amp; Sales Facts'!C662,'Customer Details'!A:B,2,0)</f>
        <v>Jay Patel</v>
      </c>
      <c r="E662" s="22" t="str">
        <f>VLOOKUP(C662,Sales_Fact!C:D,2,0)</f>
        <v>PROD38</v>
      </c>
      <c r="F662" s="22" t="str">
        <f>VLOOKUP(E662,Product_Dim!A:C,3,0)</f>
        <v>Sports</v>
      </c>
      <c r="G662" s="22" t="str" cm="1">
        <f t="array" ref="G662:L662">_xlfn.XLOOKUP(C662,Sales_Fact!C662:C2646,Sales_Fact!E662:J2646)</f>
        <v>STORE6</v>
      </c>
      <c r="H662" s="22">
        <v>4</v>
      </c>
      <c r="I662" s="22">
        <v>845.58</v>
      </c>
      <c r="J662" s="22">
        <v>0.06</v>
      </c>
      <c r="K662" s="22" t="str">
        <v>PayPal</v>
      </c>
      <c r="L662" s="22">
        <v>3179.3807999999999</v>
      </c>
    </row>
    <row r="663" spans="1:12" x14ac:dyDescent="0.3">
      <c r="A663" s="22" t="s">
        <v>2472</v>
      </c>
      <c r="B663" s="34" cm="1">
        <f t="array" ref="B663:C663">_xlfn.XLOOKUP(A663,Sales_Fact!A663:A2647,Sales_Fact!B663:C2647)</f>
        <v>45255</v>
      </c>
      <c r="C663" s="22" t="str">
        <v>CUST1128</v>
      </c>
      <c r="D663" s="22" t="str">
        <f>VLOOKUP('Combine Products &amp; Sales Facts'!C663,'Customer Details'!A:B,2,0)</f>
        <v>Susan Mcdonald</v>
      </c>
      <c r="E663" s="22" t="str">
        <f>VLOOKUP(C663,Sales_Fact!C:D,2,0)</f>
        <v>PROD25</v>
      </c>
      <c r="F663" s="22" t="str">
        <f>VLOOKUP(E663,Product_Dim!A:C,3,0)</f>
        <v>Clothing</v>
      </c>
      <c r="G663" s="22" t="str" cm="1">
        <f t="array" ref="G663:L663">_xlfn.XLOOKUP(C663,Sales_Fact!C663:C2647,Sales_Fact!E663:J2647)</f>
        <v>STORE2</v>
      </c>
      <c r="H663" s="22">
        <v>2</v>
      </c>
      <c r="I663" s="22">
        <v>111.28</v>
      </c>
      <c r="J663" s="22">
        <v>0.14000000000000001</v>
      </c>
      <c r="K663" s="22" t="str">
        <v>Credit Card</v>
      </c>
      <c r="L663" s="22">
        <v>191.4016</v>
      </c>
    </row>
    <row r="664" spans="1:12" x14ac:dyDescent="0.3">
      <c r="A664" s="22" t="s">
        <v>2473</v>
      </c>
      <c r="B664" s="34" cm="1">
        <f t="array" ref="B664:C664">_xlfn.XLOOKUP(A664,Sales_Fact!A664:A2648,Sales_Fact!B664:C2648)</f>
        <v>45842</v>
      </c>
      <c r="C664" s="22" t="str">
        <v>CUST1177</v>
      </c>
      <c r="D664" s="22" t="str">
        <f>VLOOKUP('Combine Products &amp; Sales Facts'!C664,'Customer Details'!A:B,2,0)</f>
        <v>Curtis Lam</v>
      </c>
      <c r="E664" s="22" t="str">
        <f>VLOOKUP(C664,Sales_Fact!C:D,2,0)</f>
        <v>PROD59</v>
      </c>
      <c r="F664" s="22" t="str">
        <f>VLOOKUP(E664,Product_Dim!A:C,3,0)</f>
        <v>Beauty</v>
      </c>
      <c r="G664" s="22" t="str" cm="1">
        <f t="array" ref="G664:L664">_xlfn.XLOOKUP(C664,Sales_Fact!C664:C2648,Sales_Fact!E664:J2648)</f>
        <v>STORE14</v>
      </c>
      <c r="H664" s="22">
        <v>2</v>
      </c>
      <c r="I664" s="22">
        <v>37.21</v>
      </c>
      <c r="J664" s="22">
        <v>0.19</v>
      </c>
      <c r="K664" s="22" t="str">
        <v>Credit Card</v>
      </c>
      <c r="L664" s="22">
        <v>60.280200000000008</v>
      </c>
    </row>
    <row r="665" spans="1:12" x14ac:dyDescent="0.3">
      <c r="A665" s="22" t="s">
        <v>2474</v>
      </c>
      <c r="B665" s="34" cm="1">
        <f t="array" ref="B665:C665">_xlfn.XLOOKUP(A665,Sales_Fact!A665:A2649,Sales_Fact!B665:C2649)</f>
        <v>45220</v>
      </c>
      <c r="C665" s="22" t="str">
        <v>CUST1417</v>
      </c>
      <c r="D665" s="22" t="str">
        <f>VLOOKUP('Combine Products &amp; Sales Facts'!C665,'Customer Details'!A:B,2,0)</f>
        <v>Karen King</v>
      </c>
      <c r="E665" s="22" t="str">
        <f>VLOOKUP(C665,Sales_Fact!C:D,2,0)</f>
        <v>PROD97</v>
      </c>
      <c r="F665" s="22" t="str">
        <f>VLOOKUP(E665,Product_Dim!A:C,3,0)</f>
        <v>Sports</v>
      </c>
      <c r="G665" s="22" t="str" cm="1">
        <f t="array" ref="G665:L665">_xlfn.XLOOKUP(C665,Sales_Fact!C665:C2649,Sales_Fact!E665:J2649)</f>
        <v>STORE13</v>
      </c>
      <c r="H665" s="22">
        <v>1</v>
      </c>
      <c r="I665" s="22">
        <v>331.73</v>
      </c>
      <c r="J665" s="22">
        <v>0.04</v>
      </c>
      <c r="K665" s="22" t="str">
        <v>Credit Card</v>
      </c>
      <c r="L665" s="22">
        <v>318.46080000000001</v>
      </c>
    </row>
    <row r="666" spans="1:12" x14ac:dyDescent="0.3">
      <c r="A666" s="22" t="s">
        <v>2475</v>
      </c>
      <c r="B666" s="34" cm="1">
        <f t="array" ref="B666:C666">_xlfn.XLOOKUP(A666,Sales_Fact!A666:A2650,Sales_Fact!B666:C2650)</f>
        <v>45273</v>
      </c>
      <c r="C666" s="22" t="str">
        <v>CUST1364</v>
      </c>
      <c r="D666" s="22" t="str">
        <f>VLOOKUP('Combine Products &amp; Sales Facts'!C666,'Customer Details'!A:B,2,0)</f>
        <v>Chloe Aguilar</v>
      </c>
      <c r="E666" s="22" t="str">
        <f>VLOOKUP(C666,Sales_Fact!C:D,2,0)</f>
        <v>PROD65</v>
      </c>
      <c r="F666" s="22" t="str">
        <f>VLOOKUP(E666,Product_Dim!A:C,3,0)</f>
        <v>Sports</v>
      </c>
      <c r="G666" s="22" t="str" cm="1">
        <f t="array" ref="G666:L666">_xlfn.XLOOKUP(C666,Sales_Fact!C666:C2650,Sales_Fact!E666:J2650)</f>
        <v>STORE12</v>
      </c>
      <c r="H666" s="22">
        <v>3</v>
      </c>
      <c r="I666" s="22">
        <v>306.70999999999998</v>
      </c>
      <c r="J666" s="22">
        <v>0.09</v>
      </c>
      <c r="K666" s="22" t="str">
        <v>PayPal</v>
      </c>
      <c r="L666" s="22">
        <v>837.31829999999991</v>
      </c>
    </row>
    <row r="667" spans="1:12" x14ac:dyDescent="0.3">
      <c r="A667" s="22" t="s">
        <v>2476</v>
      </c>
      <c r="B667" s="34" cm="1">
        <f t="array" ref="B667:C667">_xlfn.XLOOKUP(A667,Sales_Fact!A667:A2651,Sales_Fact!B667:C2651)</f>
        <v>45456</v>
      </c>
      <c r="C667" s="22" t="str">
        <v>CUST1270</v>
      </c>
      <c r="D667" s="22" t="str">
        <f>VLOOKUP('Combine Products &amp; Sales Facts'!C667,'Customer Details'!A:B,2,0)</f>
        <v>Brian Garcia</v>
      </c>
      <c r="E667" s="22" t="str">
        <f>VLOOKUP(C667,Sales_Fact!C:D,2,0)</f>
        <v>PROD19</v>
      </c>
      <c r="F667" s="22" t="str">
        <f>VLOOKUP(E667,Product_Dim!A:C,3,0)</f>
        <v>Sports</v>
      </c>
      <c r="G667" s="22" t="str" cm="1">
        <f t="array" ref="G667:L667">_xlfn.XLOOKUP(C667,Sales_Fact!C667:C2651,Sales_Fact!E667:J2651)</f>
        <v>STORE6</v>
      </c>
      <c r="H667" s="22">
        <v>4</v>
      </c>
      <c r="I667" s="22">
        <v>484.92</v>
      </c>
      <c r="J667" s="22">
        <v>0.28000000000000003</v>
      </c>
      <c r="K667" s="22" t="str">
        <v>PayPal</v>
      </c>
      <c r="L667" s="22">
        <v>1396.5696</v>
      </c>
    </row>
    <row r="668" spans="1:12" x14ac:dyDescent="0.3">
      <c r="A668" s="22" t="s">
        <v>2477</v>
      </c>
      <c r="B668" s="34" cm="1">
        <f t="array" ref="B668:C668">_xlfn.XLOOKUP(A668,Sales_Fact!A668:A2652,Sales_Fact!B668:C2652)</f>
        <v>45292</v>
      </c>
      <c r="C668" s="22" t="str">
        <v>CUST1043</v>
      </c>
      <c r="D668" s="22" t="str">
        <f>VLOOKUP('Combine Products &amp; Sales Facts'!C668,'Customer Details'!A:B,2,0)</f>
        <v>Joseph Snow</v>
      </c>
      <c r="E668" s="22" t="str">
        <f>VLOOKUP(C668,Sales_Fact!C:D,2,0)</f>
        <v>PROD39</v>
      </c>
      <c r="F668" s="22" t="str">
        <f>VLOOKUP(E668,Product_Dim!A:C,3,0)</f>
        <v>Electronics</v>
      </c>
      <c r="G668" s="22" t="str" cm="1">
        <f t="array" ref="G668:L668">_xlfn.XLOOKUP(C668,Sales_Fact!C668:C2652,Sales_Fact!E668:J2652)</f>
        <v>STORE5</v>
      </c>
      <c r="H668" s="22">
        <v>2</v>
      </c>
      <c r="I668" s="22">
        <v>42.04</v>
      </c>
      <c r="J668" s="22">
        <v>7.0000000000000007E-2</v>
      </c>
      <c r="K668" s="22" t="str">
        <v>Credit Card</v>
      </c>
      <c r="L668" s="22">
        <v>78.194399999999987</v>
      </c>
    </row>
    <row r="669" spans="1:12" x14ac:dyDescent="0.3">
      <c r="A669" s="22" t="s">
        <v>2478</v>
      </c>
      <c r="B669" s="34" cm="1">
        <f t="array" ref="B669:C669">_xlfn.XLOOKUP(A669,Sales_Fact!A669:A2653,Sales_Fact!B669:C2653)</f>
        <v>45278</v>
      </c>
      <c r="C669" s="22" t="str">
        <v>CUST1281</v>
      </c>
      <c r="D669" s="22" t="str">
        <f>VLOOKUP('Combine Products &amp; Sales Facts'!C669,'Customer Details'!A:B,2,0)</f>
        <v>Brittany Watson</v>
      </c>
      <c r="E669" s="22" t="str">
        <f>VLOOKUP(C669,Sales_Fact!C:D,2,0)</f>
        <v>PROD55</v>
      </c>
      <c r="F669" s="22" t="str">
        <f>VLOOKUP(E669,Product_Dim!A:C,3,0)</f>
        <v>Home</v>
      </c>
      <c r="G669" s="22" t="str" cm="1">
        <f t="array" ref="G669:L669">_xlfn.XLOOKUP(C669,Sales_Fact!C669:C2653,Sales_Fact!E669:J2653)</f>
        <v>STORE6</v>
      </c>
      <c r="H669" s="22">
        <v>3</v>
      </c>
      <c r="I669" s="22">
        <v>599.48</v>
      </c>
      <c r="J669" s="22">
        <v>0.22</v>
      </c>
      <c r="K669" s="22" t="str">
        <v>PayPal</v>
      </c>
      <c r="L669" s="22">
        <v>1402.7832000000001</v>
      </c>
    </row>
    <row r="670" spans="1:12" x14ac:dyDescent="0.3">
      <c r="A670" s="22" t="s">
        <v>2479</v>
      </c>
      <c r="B670" s="34" cm="1">
        <f t="array" ref="B670:C670">_xlfn.XLOOKUP(A670,Sales_Fact!A670:A2654,Sales_Fact!B670:C2654)</f>
        <v>45232</v>
      </c>
      <c r="C670" s="22" t="str">
        <v>CUST1357</v>
      </c>
      <c r="D670" s="22" t="str">
        <f>VLOOKUP('Combine Products &amp; Sales Facts'!C670,'Customer Details'!A:B,2,0)</f>
        <v>Manuel Castillo</v>
      </c>
      <c r="E670" s="22" t="str">
        <f>VLOOKUP(C670,Sales_Fact!C:D,2,0)</f>
        <v>PROD17</v>
      </c>
      <c r="F670" s="22" t="str">
        <f>VLOOKUP(E670,Product_Dim!A:C,3,0)</f>
        <v>Sports</v>
      </c>
      <c r="G670" s="22" t="str" cm="1">
        <f t="array" ref="G670:L670">_xlfn.XLOOKUP(C670,Sales_Fact!C670:C2654,Sales_Fact!E670:J2654)</f>
        <v>STORE1</v>
      </c>
      <c r="H670" s="22">
        <v>3</v>
      </c>
      <c r="I670" s="22">
        <v>401.42</v>
      </c>
      <c r="J670" s="22">
        <v>0.01</v>
      </c>
      <c r="K670" s="22" t="str">
        <v>COD</v>
      </c>
      <c r="L670" s="22">
        <v>1192.2174</v>
      </c>
    </row>
    <row r="671" spans="1:12" x14ac:dyDescent="0.3">
      <c r="A671" s="22" t="s">
        <v>2480</v>
      </c>
      <c r="B671" s="34" cm="1">
        <f t="array" ref="B671:C671">_xlfn.XLOOKUP(A671,Sales_Fact!A671:A2655,Sales_Fact!B671:C2655)</f>
        <v>45907</v>
      </c>
      <c r="C671" s="22" t="str">
        <v>CUST1192</v>
      </c>
      <c r="D671" s="22" t="str">
        <f>VLOOKUP('Combine Products &amp; Sales Facts'!C671,'Customer Details'!A:B,2,0)</f>
        <v>Jacob Wood</v>
      </c>
      <c r="E671" s="22" t="str">
        <f>VLOOKUP(C671,Sales_Fact!C:D,2,0)</f>
        <v>PROD46</v>
      </c>
      <c r="F671" s="22" t="str">
        <f>VLOOKUP(E671,Product_Dim!A:C,3,0)</f>
        <v>Clothing</v>
      </c>
      <c r="G671" s="22" t="str" cm="1">
        <f t="array" ref="G671:L671">_xlfn.XLOOKUP(C671,Sales_Fact!C671:C2655,Sales_Fact!E671:J2655)</f>
        <v>STORE8</v>
      </c>
      <c r="H671" s="22">
        <v>4</v>
      </c>
      <c r="I671" s="22">
        <v>442.54</v>
      </c>
      <c r="J671" s="22">
        <v>0.06</v>
      </c>
      <c r="K671" s="22" t="str">
        <v>Credit Card</v>
      </c>
      <c r="L671" s="22">
        <v>1663.9503999999999</v>
      </c>
    </row>
    <row r="672" spans="1:12" x14ac:dyDescent="0.3">
      <c r="A672" s="22" t="s">
        <v>2481</v>
      </c>
      <c r="B672" s="34" cm="1">
        <f t="array" ref="B672:C672">_xlfn.XLOOKUP(A672,Sales_Fact!A672:A2656,Sales_Fact!B672:C2656)</f>
        <v>45270</v>
      </c>
      <c r="C672" s="22" t="str">
        <v>CUST1456</v>
      </c>
      <c r="D672" s="22" t="str">
        <f>VLOOKUP('Combine Products &amp; Sales Facts'!C672,'Customer Details'!A:B,2,0)</f>
        <v>Julie Powell</v>
      </c>
      <c r="E672" s="22" t="str">
        <f>VLOOKUP(C672,Sales_Fact!C:D,2,0)</f>
        <v>PROD88</v>
      </c>
      <c r="F672" s="22" t="str">
        <f>VLOOKUP(E672,Product_Dim!A:C,3,0)</f>
        <v>Sports</v>
      </c>
      <c r="G672" s="22" t="str" cm="1">
        <f t="array" ref="G672:L672">_xlfn.XLOOKUP(C672,Sales_Fact!C672:C2656,Sales_Fact!E672:J2656)</f>
        <v>STORE13</v>
      </c>
      <c r="H672" s="22">
        <v>4</v>
      </c>
      <c r="I672" s="22">
        <v>451.41</v>
      </c>
      <c r="J672" s="22">
        <v>0.06</v>
      </c>
      <c r="K672" s="22" t="str">
        <v>PayPal</v>
      </c>
      <c r="L672" s="22">
        <v>1697.3016</v>
      </c>
    </row>
    <row r="673" spans="1:12" x14ac:dyDescent="0.3">
      <c r="A673" s="22" t="s">
        <v>2482</v>
      </c>
      <c r="B673" s="34" cm="1">
        <f t="array" ref="B673:C673">_xlfn.XLOOKUP(A673,Sales_Fact!A673:A2657,Sales_Fact!B673:C2657)</f>
        <v>45942</v>
      </c>
      <c r="C673" s="22" t="str">
        <v>CUST1265</v>
      </c>
      <c r="D673" s="22" t="str">
        <f>VLOOKUP('Combine Products &amp; Sales Facts'!C673,'Customer Details'!A:B,2,0)</f>
        <v>Tracy Kelly</v>
      </c>
      <c r="E673" s="22" t="str">
        <f>VLOOKUP(C673,Sales_Fact!C:D,2,0)</f>
        <v>PROD87</v>
      </c>
      <c r="F673" s="22" t="str">
        <f>VLOOKUP(E673,Product_Dim!A:C,3,0)</f>
        <v>Home</v>
      </c>
      <c r="G673" s="22" t="str" cm="1">
        <f t="array" ref="G673:L673">_xlfn.XLOOKUP(C673,Sales_Fact!C673:C2657,Sales_Fact!E673:J2657)</f>
        <v>STORE9</v>
      </c>
      <c r="H673" s="22">
        <v>4</v>
      </c>
      <c r="I673" s="22">
        <v>547.21</v>
      </c>
      <c r="J673" s="22">
        <v>0.25</v>
      </c>
      <c r="K673" s="22" t="str">
        <v>Credit Card</v>
      </c>
      <c r="L673" s="22">
        <v>1641.63</v>
      </c>
    </row>
    <row r="674" spans="1:12" x14ac:dyDescent="0.3">
      <c r="A674" s="22" t="s">
        <v>2483</v>
      </c>
      <c r="B674" s="34" cm="1">
        <f t="array" ref="B674:C674">_xlfn.XLOOKUP(A674,Sales_Fact!A674:A2658,Sales_Fact!B674:C2658)</f>
        <v>45750</v>
      </c>
      <c r="C674" s="22" t="str">
        <v>CUST1203</v>
      </c>
      <c r="D674" s="22" t="str">
        <f>VLOOKUP('Combine Products &amp; Sales Facts'!C674,'Customer Details'!A:B,2,0)</f>
        <v>Sarah Brady</v>
      </c>
      <c r="E674" s="22" t="str">
        <f>VLOOKUP(C674,Sales_Fact!C:D,2,0)</f>
        <v>PROD43</v>
      </c>
      <c r="F674" s="22" t="str">
        <f>VLOOKUP(E674,Product_Dim!A:C,3,0)</f>
        <v>Electronics</v>
      </c>
      <c r="G674" s="22" t="str" cm="1">
        <f t="array" ref="G674:L674">_xlfn.XLOOKUP(C674,Sales_Fact!C674:C2658,Sales_Fact!E674:J2658)</f>
        <v>STORE4</v>
      </c>
      <c r="H674" s="22">
        <v>1</v>
      </c>
      <c r="I674" s="22">
        <v>979.28</v>
      </c>
      <c r="J674" s="22">
        <v>0.2</v>
      </c>
      <c r="K674" s="22" t="str">
        <v>PayPal</v>
      </c>
      <c r="L674" s="22">
        <v>783.42399999999998</v>
      </c>
    </row>
    <row r="675" spans="1:12" x14ac:dyDescent="0.3">
      <c r="A675" s="22" t="s">
        <v>2484</v>
      </c>
      <c r="B675" s="34" cm="1">
        <f t="array" ref="B675:C675">_xlfn.XLOOKUP(A675,Sales_Fact!A675:A2659,Sales_Fact!B675:C2659)</f>
        <v>45300</v>
      </c>
      <c r="C675" s="22" t="str">
        <v>CUST1464</v>
      </c>
      <c r="D675" s="22" t="str">
        <f>VLOOKUP('Combine Products &amp; Sales Facts'!C675,'Customer Details'!A:B,2,0)</f>
        <v>David Pierce</v>
      </c>
      <c r="E675" s="22" t="str">
        <f>VLOOKUP(C675,Sales_Fact!C:D,2,0)</f>
        <v>PROD33</v>
      </c>
      <c r="F675" s="22" t="str">
        <f>VLOOKUP(E675,Product_Dim!A:C,3,0)</f>
        <v>Home</v>
      </c>
      <c r="G675" s="22" t="str" cm="1">
        <f t="array" ref="G675:L675">_xlfn.XLOOKUP(C675,Sales_Fact!C675:C2659,Sales_Fact!E675:J2659)</f>
        <v>STORE7</v>
      </c>
      <c r="H675" s="22">
        <v>4</v>
      </c>
      <c r="I675" s="22">
        <v>263.58999999999997</v>
      </c>
      <c r="J675" s="22">
        <v>0.04</v>
      </c>
      <c r="K675" s="22" t="str">
        <v>Credit Card</v>
      </c>
      <c r="L675" s="22">
        <v>1012.1856</v>
      </c>
    </row>
    <row r="676" spans="1:12" x14ac:dyDescent="0.3">
      <c r="A676" s="22" t="s">
        <v>2485</v>
      </c>
      <c r="B676" s="34" cm="1">
        <f t="array" ref="B676:C676">_xlfn.XLOOKUP(A676,Sales_Fact!A676:A2660,Sales_Fact!B676:C2660)</f>
        <v>45876</v>
      </c>
      <c r="C676" s="22" t="str">
        <v>CUST1002</v>
      </c>
      <c r="D676" s="22" t="str">
        <f>VLOOKUP('Combine Products &amp; Sales Facts'!C676,'Customer Details'!A:B,2,0)</f>
        <v>Dr. Benjamin Price</v>
      </c>
      <c r="E676" s="22" t="str">
        <f>VLOOKUP(C676,Sales_Fact!C:D,2,0)</f>
        <v>PROD79</v>
      </c>
      <c r="F676" s="22" t="str">
        <f>VLOOKUP(E676,Product_Dim!A:C,3,0)</f>
        <v>Home</v>
      </c>
      <c r="G676" s="22" t="str" cm="1">
        <f t="array" ref="G676:L676">_xlfn.XLOOKUP(C676,Sales_Fact!C676:C2660,Sales_Fact!E676:J2660)</f>
        <v>STORE5</v>
      </c>
      <c r="H676" s="22">
        <v>1</v>
      </c>
      <c r="I676" s="22">
        <v>692.75</v>
      </c>
      <c r="J676" s="22">
        <v>0.11</v>
      </c>
      <c r="K676" s="22" t="str">
        <v>COD</v>
      </c>
      <c r="L676" s="22">
        <v>616.54750000000001</v>
      </c>
    </row>
    <row r="677" spans="1:12" x14ac:dyDescent="0.3">
      <c r="A677" s="22" t="s">
        <v>2486</v>
      </c>
      <c r="B677" s="34" cm="1">
        <f t="array" ref="B677:C677">_xlfn.XLOOKUP(A677,Sales_Fact!A677:A2661,Sales_Fact!B677:C2661)</f>
        <v>45301</v>
      </c>
      <c r="C677" s="22" t="str">
        <v>CUST1163</v>
      </c>
      <c r="D677" s="22" t="str">
        <f>VLOOKUP('Combine Products &amp; Sales Facts'!C677,'Customer Details'!A:B,2,0)</f>
        <v>Joseph Jones</v>
      </c>
      <c r="E677" s="22" t="str">
        <f>VLOOKUP(C677,Sales_Fact!C:D,2,0)</f>
        <v>PROD97</v>
      </c>
      <c r="F677" s="22" t="str">
        <f>VLOOKUP(E677,Product_Dim!A:C,3,0)</f>
        <v>Sports</v>
      </c>
      <c r="G677" s="22" t="str" cm="1">
        <f t="array" ref="G677:L677">_xlfn.XLOOKUP(C677,Sales_Fact!C677:C2661,Sales_Fact!E677:J2661)</f>
        <v>STORE3</v>
      </c>
      <c r="H677" s="22">
        <v>3</v>
      </c>
      <c r="I677" s="22">
        <v>142.83000000000001</v>
      </c>
      <c r="J677" s="22">
        <v>0.01</v>
      </c>
      <c r="K677" s="22" t="str">
        <v>Credit Card</v>
      </c>
      <c r="L677" s="22">
        <v>424.20510000000002</v>
      </c>
    </row>
    <row r="678" spans="1:12" x14ac:dyDescent="0.3">
      <c r="A678" s="22" t="s">
        <v>2487</v>
      </c>
      <c r="B678" s="34" cm="1">
        <f t="array" ref="B678:C678">_xlfn.XLOOKUP(A678,Sales_Fact!A678:A2662,Sales_Fact!B678:C2662)</f>
        <v>45857</v>
      </c>
      <c r="C678" s="22" t="str">
        <v>CUST1124</v>
      </c>
      <c r="D678" s="22" t="str">
        <f>VLOOKUP('Combine Products &amp; Sales Facts'!C678,'Customer Details'!A:B,2,0)</f>
        <v>Donald Lee</v>
      </c>
      <c r="E678" s="22" t="str">
        <f>VLOOKUP(C678,Sales_Fact!C:D,2,0)</f>
        <v>PROD22</v>
      </c>
      <c r="F678" s="22" t="str">
        <f>VLOOKUP(E678,Product_Dim!A:C,3,0)</f>
        <v>Sports</v>
      </c>
      <c r="G678" s="22" t="str" cm="1">
        <f t="array" ref="G678:L678">_xlfn.XLOOKUP(C678,Sales_Fact!C678:C2662,Sales_Fact!E678:J2662)</f>
        <v>STORE2</v>
      </c>
      <c r="H678" s="22">
        <v>2</v>
      </c>
      <c r="I678" s="22">
        <v>419.25</v>
      </c>
      <c r="J678" s="22">
        <v>0.17</v>
      </c>
      <c r="K678" s="22" t="str">
        <v>PayPal</v>
      </c>
      <c r="L678" s="22">
        <v>695.95499999999993</v>
      </c>
    </row>
    <row r="679" spans="1:12" x14ac:dyDescent="0.3">
      <c r="A679" s="22" t="s">
        <v>2488</v>
      </c>
      <c r="B679" s="34" cm="1">
        <f t="array" ref="B679:C679">_xlfn.XLOOKUP(A679,Sales_Fact!A679:A2663,Sales_Fact!B679:C2663)</f>
        <v>45650</v>
      </c>
      <c r="C679" s="22" t="str">
        <v>CUST1240</v>
      </c>
      <c r="D679" s="22" t="str">
        <f>VLOOKUP('Combine Products &amp; Sales Facts'!C679,'Customer Details'!A:B,2,0)</f>
        <v>William Hull</v>
      </c>
      <c r="E679" s="22" t="str">
        <f>VLOOKUP(C679,Sales_Fact!C:D,2,0)</f>
        <v>PROD92</v>
      </c>
      <c r="F679" s="22" t="str">
        <f>VLOOKUP(E679,Product_Dim!A:C,3,0)</f>
        <v>Home</v>
      </c>
      <c r="G679" s="22" t="str" cm="1">
        <f t="array" ref="G679:L679">_xlfn.XLOOKUP(C679,Sales_Fact!C679:C2663,Sales_Fact!E679:J2663)</f>
        <v>STORE19</v>
      </c>
      <c r="H679" s="22">
        <v>2</v>
      </c>
      <c r="I679" s="22">
        <v>800.84</v>
      </c>
      <c r="J679" s="22">
        <v>0.27</v>
      </c>
      <c r="K679" s="22" t="str">
        <v>COD</v>
      </c>
      <c r="L679" s="22">
        <v>1169.2264</v>
      </c>
    </row>
    <row r="680" spans="1:12" x14ac:dyDescent="0.3">
      <c r="A680" s="22" t="s">
        <v>2489</v>
      </c>
      <c r="B680" s="34" cm="1">
        <f t="array" ref="B680:C680">_xlfn.XLOOKUP(A680,Sales_Fact!A680:A2664,Sales_Fact!B680:C2664)</f>
        <v>45520</v>
      </c>
      <c r="C680" s="22" t="str">
        <v>CUST1001</v>
      </c>
      <c r="D680" s="22" t="str">
        <f>VLOOKUP('Combine Products &amp; Sales Facts'!C680,'Customer Details'!A:B,2,0)</f>
        <v>Eugene Nelson</v>
      </c>
      <c r="E680" s="22" t="str">
        <f>VLOOKUP(C680,Sales_Fact!C:D,2,0)</f>
        <v>PROD51</v>
      </c>
      <c r="F680" s="22" t="str">
        <f>VLOOKUP(E680,Product_Dim!A:C,3,0)</f>
        <v>Electronics</v>
      </c>
      <c r="G680" s="22" t="str" cm="1">
        <f t="array" ref="G680:L680">_xlfn.XLOOKUP(C680,Sales_Fact!C680:C2664,Sales_Fact!E680:J2664)</f>
        <v>STORE2</v>
      </c>
      <c r="H680" s="22">
        <v>1</v>
      </c>
      <c r="I680" s="22">
        <v>301.24</v>
      </c>
      <c r="J680" s="22">
        <v>0.11</v>
      </c>
      <c r="K680" s="22" t="str">
        <v>PayPal</v>
      </c>
      <c r="L680" s="22">
        <v>268.10359999999997</v>
      </c>
    </row>
    <row r="681" spans="1:12" x14ac:dyDescent="0.3">
      <c r="A681" s="22" t="s">
        <v>2490</v>
      </c>
      <c r="B681" s="34" cm="1">
        <f t="array" ref="B681:C681">_xlfn.XLOOKUP(A681,Sales_Fact!A681:A2665,Sales_Fact!B681:C2665)</f>
        <v>45497</v>
      </c>
      <c r="C681" s="22" t="str">
        <v>CUST1288</v>
      </c>
      <c r="D681" s="22" t="str">
        <f>VLOOKUP('Combine Products &amp; Sales Facts'!C681,'Customer Details'!A:B,2,0)</f>
        <v>Misty Ferguson</v>
      </c>
      <c r="E681" s="22" t="str">
        <f>VLOOKUP(C681,Sales_Fact!C:D,2,0)</f>
        <v>PROD3</v>
      </c>
      <c r="F681" s="22" t="str">
        <f>VLOOKUP(E681,Product_Dim!A:C,3,0)</f>
        <v>Clothing</v>
      </c>
      <c r="G681" s="22" t="str" cm="1">
        <f t="array" ref="G681:L681">_xlfn.XLOOKUP(C681,Sales_Fact!C681:C2665,Sales_Fact!E681:J2665)</f>
        <v>STORE5</v>
      </c>
      <c r="H681" s="22">
        <v>2</v>
      </c>
      <c r="I681" s="22">
        <v>701.49</v>
      </c>
      <c r="J681" s="22">
        <v>0.09</v>
      </c>
      <c r="K681" s="22" t="str">
        <v>PayPal</v>
      </c>
      <c r="L681" s="22">
        <v>1276.7118</v>
      </c>
    </row>
    <row r="682" spans="1:12" x14ac:dyDescent="0.3">
      <c r="A682" s="22" t="s">
        <v>2491</v>
      </c>
      <c r="B682" s="34" cm="1">
        <f t="array" ref="B682:C682">_xlfn.XLOOKUP(A682,Sales_Fact!A682:A2666,Sales_Fact!B682:C2666)</f>
        <v>45615</v>
      </c>
      <c r="C682" s="22" t="str">
        <v>CUST1351</v>
      </c>
      <c r="D682" s="22" t="str">
        <f>VLOOKUP('Combine Products &amp; Sales Facts'!C682,'Customer Details'!A:B,2,0)</f>
        <v>Jeffrey Mccarthy</v>
      </c>
      <c r="E682" s="22" t="str">
        <f>VLOOKUP(C682,Sales_Fact!C:D,2,0)</f>
        <v>PROD26</v>
      </c>
      <c r="F682" s="22" t="str">
        <f>VLOOKUP(E682,Product_Dim!A:C,3,0)</f>
        <v>Electronics</v>
      </c>
      <c r="G682" s="22" t="str" cm="1">
        <f t="array" ref="G682:L682">_xlfn.XLOOKUP(C682,Sales_Fact!C682:C2666,Sales_Fact!E682:J2666)</f>
        <v>STORE10</v>
      </c>
      <c r="H682" s="22">
        <v>4</v>
      </c>
      <c r="I682" s="22">
        <v>413.48</v>
      </c>
      <c r="J682" s="22">
        <v>0.02</v>
      </c>
      <c r="K682" s="22" t="str">
        <v>PayPal</v>
      </c>
      <c r="L682" s="22">
        <v>1620.8416</v>
      </c>
    </row>
    <row r="683" spans="1:12" x14ac:dyDescent="0.3">
      <c r="A683" s="22" t="s">
        <v>2492</v>
      </c>
      <c r="B683" s="34" cm="1">
        <f t="array" ref="B683:C683">_xlfn.XLOOKUP(A683,Sales_Fact!A683:A2667,Sales_Fact!B683:C2667)</f>
        <v>45365</v>
      </c>
      <c r="C683" s="22" t="str">
        <v>CUST1197</v>
      </c>
      <c r="D683" s="22" t="str">
        <f>VLOOKUP('Combine Products &amp; Sales Facts'!C683,'Customer Details'!A:B,2,0)</f>
        <v>Andrea Jacobs</v>
      </c>
      <c r="E683" s="22" t="str">
        <f>VLOOKUP(C683,Sales_Fact!C:D,2,0)</f>
        <v>PROD37</v>
      </c>
      <c r="F683" s="22" t="str">
        <f>VLOOKUP(E683,Product_Dim!A:C,3,0)</f>
        <v>Clothing</v>
      </c>
      <c r="G683" s="22" t="str" cm="1">
        <f t="array" ref="G683:L683">_xlfn.XLOOKUP(C683,Sales_Fact!C683:C2667,Sales_Fact!E683:J2667)</f>
        <v>STORE1</v>
      </c>
      <c r="H683" s="22">
        <v>4</v>
      </c>
      <c r="I683" s="22">
        <v>167.83</v>
      </c>
      <c r="J683" s="22">
        <v>0.15</v>
      </c>
      <c r="K683" s="22" t="str">
        <v>Credit Card</v>
      </c>
      <c r="L683" s="22">
        <v>570.62200000000007</v>
      </c>
    </row>
    <row r="684" spans="1:12" x14ac:dyDescent="0.3">
      <c r="A684" s="22" t="s">
        <v>2493</v>
      </c>
      <c r="B684" s="34" cm="1">
        <f t="array" ref="B684:C684">_xlfn.XLOOKUP(A684,Sales_Fact!A684:A2668,Sales_Fact!B684:C2668)</f>
        <v>45832</v>
      </c>
      <c r="C684" s="22" t="str">
        <v>CUST1139</v>
      </c>
      <c r="D684" s="22" t="str">
        <f>VLOOKUP('Combine Products &amp; Sales Facts'!C684,'Customer Details'!A:B,2,0)</f>
        <v>Brian Holder</v>
      </c>
      <c r="E684" s="22" t="str">
        <f>VLOOKUP(C684,Sales_Fact!C:D,2,0)</f>
        <v>PROD15</v>
      </c>
      <c r="F684" s="22" t="str">
        <f>VLOOKUP(E684,Product_Dim!A:C,3,0)</f>
        <v>Electronics</v>
      </c>
      <c r="G684" s="22" t="str" cm="1">
        <f t="array" ref="G684:L684">_xlfn.XLOOKUP(C684,Sales_Fact!C684:C2668,Sales_Fact!E684:J2668)</f>
        <v>STORE18</v>
      </c>
      <c r="H684" s="22">
        <v>2</v>
      </c>
      <c r="I684" s="22">
        <v>669.12</v>
      </c>
      <c r="J684" s="22">
        <v>0.22</v>
      </c>
      <c r="K684" s="22" t="str">
        <v>Credit Card</v>
      </c>
      <c r="L684" s="22">
        <v>1043.8271999999999</v>
      </c>
    </row>
    <row r="685" spans="1:12" x14ac:dyDescent="0.3">
      <c r="A685" s="22" t="s">
        <v>2494</v>
      </c>
      <c r="B685" s="34" cm="1">
        <f t="array" ref="B685:C685">_xlfn.XLOOKUP(A685,Sales_Fact!A685:A2669,Sales_Fact!B685:C2669)</f>
        <v>45530</v>
      </c>
      <c r="C685" s="22" t="str">
        <v>CUST1039</v>
      </c>
      <c r="D685" s="22" t="str">
        <f>VLOOKUP('Combine Products &amp; Sales Facts'!C685,'Customer Details'!A:B,2,0)</f>
        <v>Tonya Reynolds</v>
      </c>
      <c r="E685" s="22" t="str">
        <f>VLOOKUP(C685,Sales_Fact!C:D,2,0)</f>
        <v>PROD74</v>
      </c>
      <c r="F685" s="22" t="str">
        <f>VLOOKUP(E685,Product_Dim!A:C,3,0)</f>
        <v>Electronics</v>
      </c>
      <c r="G685" s="22" t="str" cm="1">
        <f t="array" ref="G685:L685">_xlfn.XLOOKUP(C685,Sales_Fact!C685:C2669,Sales_Fact!E685:J2669)</f>
        <v>STORE7</v>
      </c>
      <c r="H685" s="22">
        <v>3</v>
      </c>
      <c r="I685" s="22">
        <v>346.77</v>
      </c>
      <c r="J685" s="22">
        <v>0.18</v>
      </c>
      <c r="K685" s="22" t="str">
        <v>PayPal</v>
      </c>
      <c r="L685" s="22">
        <v>853.05420000000004</v>
      </c>
    </row>
    <row r="686" spans="1:12" x14ac:dyDescent="0.3">
      <c r="A686" s="22" t="s">
        <v>2495</v>
      </c>
      <c r="B686" s="34" cm="1">
        <f t="array" ref="B686:C686">_xlfn.XLOOKUP(A686,Sales_Fact!A686:A2670,Sales_Fact!B686:C2670)</f>
        <v>45939</v>
      </c>
      <c r="C686" s="22" t="str">
        <v>CUST1059</v>
      </c>
      <c r="D686" s="22" t="str">
        <f>VLOOKUP('Combine Products &amp; Sales Facts'!C686,'Customer Details'!A:B,2,0)</f>
        <v>Alyssa Vargas</v>
      </c>
      <c r="E686" s="22" t="str">
        <f>VLOOKUP(C686,Sales_Fact!C:D,2,0)</f>
        <v>PROD94</v>
      </c>
      <c r="F686" s="22" t="str">
        <f>VLOOKUP(E686,Product_Dim!A:C,3,0)</f>
        <v>Beauty</v>
      </c>
      <c r="G686" s="22" t="str" cm="1">
        <f t="array" ref="G686:L686">_xlfn.XLOOKUP(C686,Sales_Fact!C686:C2670,Sales_Fact!E686:J2670)</f>
        <v>STORE19</v>
      </c>
      <c r="H686" s="22">
        <v>3</v>
      </c>
      <c r="I686" s="22">
        <v>648.33000000000004</v>
      </c>
      <c r="J686" s="22">
        <v>0.2</v>
      </c>
      <c r="K686" s="22" t="str">
        <v>COD</v>
      </c>
      <c r="L686" s="22">
        <v>1555.992</v>
      </c>
    </row>
    <row r="687" spans="1:12" x14ac:dyDescent="0.3">
      <c r="A687" s="22" t="s">
        <v>2496</v>
      </c>
      <c r="B687" s="34" cm="1">
        <f t="array" ref="B687:C687">_xlfn.XLOOKUP(A687,Sales_Fact!A687:A2671,Sales_Fact!B687:C2671)</f>
        <v>45401</v>
      </c>
      <c r="C687" s="22" t="str">
        <v>CUST1285</v>
      </c>
      <c r="D687" s="22" t="str">
        <f>VLOOKUP('Combine Products &amp; Sales Facts'!C687,'Customer Details'!A:B,2,0)</f>
        <v>Donna Guerra</v>
      </c>
      <c r="E687" s="22" t="str">
        <f>VLOOKUP(C687,Sales_Fact!C:D,2,0)</f>
        <v>PROD6</v>
      </c>
      <c r="F687" s="22" t="str">
        <f>VLOOKUP(E687,Product_Dim!A:C,3,0)</f>
        <v>Beauty</v>
      </c>
      <c r="G687" s="22" t="str" cm="1">
        <f t="array" ref="G687:L687">_xlfn.XLOOKUP(C687,Sales_Fact!C687:C2671,Sales_Fact!E687:J2671)</f>
        <v>STORE2</v>
      </c>
      <c r="H687" s="22">
        <v>4</v>
      </c>
      <c r="I687" s="22">
        <v>254.94</v>
      </c>
      <c r="J687" s="22">
        <v>0.06</v>
      </c>
      <c r="K687" s="22" t="str">
        <v>PayPal</v>
      </c>
      <c r="L687" s="22">
        <v>958.57439999999997</v>
      </c>
    </row>
    <row r="688" spans="1:12" x14ac:dyDescent="0.3">
      <c r="A688" s="22" t="s">
        <v>2497</v>
      </c>
      <c r="B688" s="34" cm="1">
        <f t="array" ref="B688:C688">_xlfn.XLOOKUP(A688,Sales_Fact!A688:A2672,Sales_Fact!B688:C2672)</f>
        <v>45420</v>
      </c>
      <c r="C688" s="22" t="str">
        <v>CUST1338</v>
      </c>
      <c r="D688" s="22" t="str">
        <f>VLOOKUP('Combine Products &amp; Sales Facts'!C688,'Customer Details'!A:B,2,0)</f>
        <v>Jasmine Snyder</v>
      </c>
      <c r="E688" s="22" t="str">
        <f>VLOOKUP(C688,Sales_Fact!C:D,2,0)</f>
        <v>PROD86</v>
      </c>
      <c r="F688" s="22" t="str">
        <f>VLOOKUP(E688,Product_Dim!A:C,3,0)</f>
        <v>Home</v>
      </c>
      <c r="G688" s="22" t="str" cm="1">
        <f t="array" ref="G688:L688">_xlfn.XLOOKUP(C688,Sales_Fact!C688:C2672,Sales_Fact!E688:J2672)</f>
        <v>STORE4</v>
      </c>
      <c r="H688" s="22">
        <v>1</v>
      </c>
      <c r="I688" s="22">
        <v>445.5</v>
      </c>
      <c r="J688" s="22">
        <v>0.28000000000000003</v>
      </c>
      <c r="K688" s="22" t="str">
        <v>Credit Card</v>
      </c>
      <c r="L688" s="22">
        <v>320.76</v>
      </c>
    </row>
    <row r="689" spans="1:12" x14ac:dyDescent="0.3">
      <c r="A689" s="22" t="s">
        <v>2498</v>
      </c>
      <c r="B689" s="34" cm="1">
        <f t="array" ref="B689:C689">_xlfn.XLOOKUP(A689,Sales_Fact!A689:A2673,Sales_Fact!B689:C2673)</f>
        <v>45459</v>
      </c>
      <c r="C689" s="22" t="str">
        <v>CUST1221</v>
      </c>
      <c r="D689" s="22" t="str">
        <f>VLOOKUP('Combine Products &amp; Sales Facts'!C689,'Customer Details'!A:B,2,0)</f>
        <v>Lisa Young</v>
      </c>
      <c r="E689" s="22" t="str">
        <f>VLOOKUP(C689,Sales_Fact!C:D,2,0)</f>
        <v>PROD83</v>
      </c>
      <c r="F689" s="22" t="str">
        <f>VLOOKUP(E689,Product_Dim!A:C,3,0)</f>
        <v>Beauty</v>
      </c>
      <c r="G689" s="22" t="str" cm="1">
        <f t="array" ref="G689:L689">_xlfn.XLOOKUP(C689,Sales_Fact!C689:C2673,Sales_Fact!E689:J2673)</f>
        <v>STORE4</v>
      </c>
      <c r="H689" s="22">
        <v>1</v>
      </c>
      <c r="I689" s="22">
        <v>900.94</v>
      </c>
      <c r="J689" s="22">
        <v>0.1</v>
      </c>
      <c r="K689" s="22" t="str">
        <v>Credit Card</v>
      </c>
      <c r="L689" s="22">
        <v>810.84600000000012</v>
      </c>
    </row>
    <row r="690" spans="1:12" x14ac:dyDescent="0.3">
      <c r="A690" s="22" t="s">
        <v>2499</v>
      </c>
      <c r="B690" s="34" cm="1">
        <f t="array" ref="B690:C690">_xlfn.XLOOKUP(A690,Sales_Fact!A690:A2674,Sales_Fact!B690:C2674)</f>
        <v>45429</v>
      </c>
      <c r="C690" s="22" t="str">
        <v>CUST1196</v>
      </c>
      <c r="D690" s="22" t="str">
        <f>VLOOKUP('Combine Products &amp; Sales Facts'!C690,'Customer Details'!A:B,2,0)</f>
        <v>Megan Greer</v>
      </c>
      <c r="E690" s="22" t="str">
        <f>VLOOKUP(C690,Sales_Fact!C:D,2,0)</f>
        <v>PROD15</v>
      </c>
      <c r="F690" s="22" t="str">
        <f>VLOOKUP(E690,Product_Dim!A:C,3,0)</f>
        <v>Electronics</v>
      </c>
      <c r="G690" s="22" t="str" cm="1">
        <f t="array" ref="G690:L690">_xlfn.XLOOKUP(C690,Sales_Fact!C690:C2674,Sales_Fact!E690:J2674)</f>
        <v>STORE16</v>
      </c>
      <c r="H690" s="22">
        <v>3</v>
      </c>
      <c r="I690" s="22">
        <v>262.69</v>
      </c>
      <c r="J690" s="22">
        <v>0.04</v>
      </c>
      <c r="K690" s="22" t="str">
        <v>PayPal</v>
      </c>
      <c r="L690" s="22">
        <v>756.54719999999986</v>
      </c>
    </row>
    <row r="691" spans="1:12" x14ac:dyDescent="0.3">
      <c r="A691" s="22" t="s">
        <v>2500</v>
      </c>
      <c r="B691" s="34" cm="1">
        <f t="array" ref="B691:C691">_xlfn.XLOOKUP(A691,Sales_Fact!A691:A2675,Sales_Fact!B691:C2675)</f>
        <v>45386</v>
      </c>
      <c r="C691" s="22" t="str">
        <v>CUST1482</v>
      </c>
      <c r="D691" s="22" t="str">
        <f>VLOOKUP('Combine Products &amp; Sales Facts'!C691,'Customer Details'!A:B,2,0)</f>
        <v>Sheri Joyce</v>
      </c>
      <c r="E691" s="22" t="str">
        <f>VLOOKUP(C691,Sales_Fact!C:D,2,0)</f>
        <v>PROD68</v>
      </c>
      <c r="F691" s="22" t="str">
        <f>VLOOKUP(E691,Product_Dim!A:C,3,0)</f>
        <v>Home</v>
      </c>
      <c r="G691" s="22" t="str" cm="1">
        <f t="array" ref="G691:L691">_xlfn.XLOOKUP(C691,Sales_Fact!C691:C2675,Sales_Fact!E691:J2675)</f>
        <v>STORE2</v>
      </c>
      <c r="H691" s="22">
        <v>3</v>
      </c>
      <c r="I691" s="22">
        <v>212.72</v>
      </c>
      <c r="J691" s="22">
        <v>0.22</v>
      </c>
      <c r="K691" s="22" t="str">
        <v>PayPal</v>
      </c>
      <c r="L691" s="22">
        <v>497.76479999999998</v>
      </c>
    </row>
    <row r="692" spans="1:12" x14ac:dyDescent="0.3">
      <c r="A692" s="22" t="s">
        <v>2501</v>
      </c>
      <c r="B692" s="34" cm="1">
        <f t="array" ref="B692:C692">_xlfn.XLOOKUP(A692,Sales_Fact!A692:A2676,Sales_Fact!B692:C2676)</f>
        <v>45803</v>
      </c>
      <c r="C692" s="22" t="str">
        <v>CUST1151</v>
      </c>
      <c r="D692" s="22" t="str">
        <f>VLOOKUP('Combine Products &amp; Sales Facts'!C692,'Customer Details'!A:B,2,0)</f>
        <v>Michael Davies</v>
      </c>
      <c r="E692" s="22" t="str">
        <f>VLOOKUP(C692,Sales_Fact!C:D,2,0)</f>
        <v>PROD24</v>
      </c>
      <c r="F692" s="22" t="str">
        <f>VLOOKUP(E692,Product_Dim!A:C,3,0)</f>
        <v>Sports</v>
      </c>
      <c r="G692" s="22" t="str" cm="1">
        <f t="array" ref="G692:L692">_xlfn.XLOOKUP(C692,Sales_Fact!C692:C2676,Sales_Fact!E692:J2676)</f>
        <v>STORE18</v>
      </c>
      <c r="H692" s="22">
        <v>4</v>
      </c>
      <c r="I692" s="22">
        <v>757.9</v>
      </c>
      <c r="J692" s="22">
        <v>0.22</v>
      </c>
      <c r="K692" s="22" t="str">
        <v>PayPal</v>
      </c>
      <c r="L692" s="22">
        <v>2364.6480000000001</v>
      </c>
    </row>
    <row r="693" spans="1:12" x14ac:dyDescent="0.3">
      <c r="A693" s="22" t="s">
        <v>2502</v>
      </c>
      <c r="B693" s="34" cm="1">
        <f t="array" ref="B693:C693">_xlfn.XLOOKUP(A693,Sales_Fact!A693:A2677,Sales_Fact!B693:C2677)</f>
        <v>45346</v>
      </c>
      <c r="C693" s="22" t="str">
        <v>CUST1017</v>
      </c>
      <c r="D693" s="22" t="str">
        <f>VLOOKUP('Combine Products &amp; Sales Facts'!C693,'Customer Details'!A:B,2,0)</f>
        <v>Adam Cruz</v>
      </c>
      <c r="E693" s="22" t="str">
        <f>VLOOKUP(C693,Sales_Fact!C:D,2,0)</f>
        <v>PROD41</v>
      </c>
      <c r="F693" s="22" t="str">
        <f>VLOOKUP(E693,Product_Dim!A:C,3,0)</f>
        <v>Sports</v>
      </c>
      <c r="G693" s="22" t="str" cm="1">
        <f t="array" ref="G693:L693">_xlfn.XLOOKUP(C693,Sales_Fact!C693:C2677,Sales_Fact!E693:J2677)</f>
        <v>STORE17</v>
      </c>
      <c r="H693" s="22">
        <v>1</v>
      </c>
      <c r="I693" s="22">
        <v>846.04</v>
      </c>
      <c r="J693" s="22">
        <v>0.08</v>
      </c>
      <c r="K693" s="22" t="str">
        <v>PayPal</v>
      </c>
      <c r="L693" s="22">
        <v>778.35680000000002</v>
      </c>
    </row>
    <row r="694" spans="1:12" x14ac:dyDescent="0.3">
      <c r="A694" s="22" t="s">
        <v>2503</v>
      </c>
      <c r="B694" s="34" cm="1">
        <f t="array" ref="B694:C694">_xlfn.XLOOKUP(A694,Sales_Fact!A694:A2678,Sales_Fact!B694:C2678)</f>
        <v>45267</v>
      </c>
      <c r="C694" s="22" t="str">
        <v>CUST1159</v>
      </c>
      <c r="D694" s="22" t="str">
        <f>VLOOKUP('Combine Products &amp; Sales Facts'!C694,'Customer Details'!A:B,2,0)</f>
        <v>Brian Choi</v>
      </c>
      <c r="E694" s="22" t="str">
        <f>VLOOKUP(C694,Sales_Fact!C:D,2,0)</f>
        <v>PROD69</v>
      </c>
      <c r="F694" s="22" t="str">
        <f>VLOOKUP(E694,Product_Dim!A:C,3,0)</f>
        <v>Clothing</v>
      </c>
      <c r="G694" s="22" t="str" cm="1">
        <f t="array" ref="G694:L694">_xlfn.XLOOKUP(C694,Sales_Fact!C694:C2678,Sales_Fact!E694:J2678)</f>
        <v>STORE7</v>
      </c>
      <c r="H694" s="22">
        <v>3</v>
      </c>
      <c r="I694" s="22">
        <v>179.7</v>
      </c>
      <c r="J694" s="22">
        <v>0.17</v>
      </c>
      <c r="K694" s="22" t="str">
        <v>COD</v>
      </c>
      <c r="L694" s="22">
        <v>447.45299999999992</v>
      </c>
    </row>
    <row r="695" spans="1:12" x14ac:dyDescent="0.3">
      <c r="A695" s="22" t="s">
        <v>2504</v>
      </c>
      <c r="B695" s="34" cm="1">
        <f t="array" ref="B695:C695">_xlfn.XLOOKUP(A695,Sales_Fact!A695:A2679,Sales_Fact!B695:C2679)</f>
        <v>45572</v>
      </c>
      <c r="C695" s="22" t="str">
        <v>CUST1446</v>
      </c>
      <c r="D695" s="22" t="str">
        <f>VLOOKUP('Combine Products &amp; Sales Facts'!C695,'Customer Details'!A:B,2,0)</f>
        <v>Shannon Turner</v>
      </c>
      <c r="E695" s="22" t="str">
        <f>VLOOKUP(C695,Sales_Fact!C:D,2,0)</f>
        <v>PROD31</v>
      </c>
      <c r="F695" s="22" t="str">
        <f>VLOOKUP(E695,Product_Dim!A:C,3,0)</f>
        <v>Sports</v>
      </c>
      <c r="G695" s="22" t="str" cm="1">
        <f t="array" ref="G695:L695">_xlfn.XLOOKUP(C695,Sales_Fact!C695:C2679,Sales_Fact!E695:J2679)</f>
        <v>STORE4</v>
      </c>
      <c r="H695" s="22">
        <v>4</v>
      </c>
      <c r="I695" s="22">
        <v>681.08</v>
      </c>
      <c r="J695" s="22">
        <v>0</v>
      </c>
      <c r="K695" s="22" t="str">
        <v>PayPal</v>
      </c>
      <c r="L695" s="22">
        <v>2724.32</v>
      </c>
    </row>
    <row r="696" spans="1:12" x14ac:dyDescent="0.3">
      <c r="A696" s="22" t="s">
        <v>2505</v>
      </c>
      <c r="B696" s="34" cm="1">
        <f t="array" ref="B696:C696">_xlfn.XLOOKUP(A696,Sales_Fact!A696:A2680,Sales_Fact!B696:C2680)</f>
        <v>45252</v>
      </c>
      <c r="C696" s="22" t="str">
        <v>CUST1403</v>
      </c>
      <c r="D696" s="22" t="str">
        <f>VLOOKUP('Combine Products &amp; Sales Facts'!C696,'Customer Details'!A:B,2,0)</f>
        <v>Justin Ingram</v>
      </c>
      <c r="E696" s="22" t="str">
        <f>VLOOKUP(C696,Sales_Fact!C:D,2,0)</f>
        <v>PROD17</v>
      </c>
      <c r="F696" s="22" t="str">
        <f>VLOOKUP(E696,Product_Dim!A:C,3,0)</f>
        <v>Sports</v>
      </c>
      <c r="G696" s="22" t="str" cm="1">
        <f t="array" ref="G696:L696">_xlfn.XLOOKUP(C696,Sales_Fact!C696:C2680,Sales_Fact!E696:J2680)</f>
        <v>STORE7</v>
      </c>
      <c r="H696" s="22">
        <v>4</v>
      </c>
      <c r="I696" s="22">
        <v>723.44</v>
      </c>
      <c r="J696" s="22">
        <v>0.14000000000000001</v>
      </c>
      <c r="K696" s="22" t="str">
        <v>PayPal</v>
      </c>
      <c r="L696" s="22">
        <v>2488.6336000000001</v>
      </c>
    </row>
    <row r="697" spans="1:12" x14ac:dyDescent="0.3">
      <c r="A697" s="22" t="s">
        <v>2506</v>
      </c>
      <c r="B697" s="34" cm="1">
        <f t="array" ref="B697:C697">_xlfn.XLOOKUP(A697,Sales_Fact!A697:A2681,Sales_Fact!B697:C2681)</f>
        <v>45939</v>
      </c>
      <c r="C697" s="22" t="str">
        <v>CUST1126</v>
      </c>
      <c r="D697" s="22" t="str">
        <f>VLOOKUP('Combine Products &amp; Sales Facts'!C697,'Customer Details'!A:B,2,0)</f>
        <v>James Wolfe</v>
      </c>
      <c r="E697" s="22" t="str">
        <f>VLOOKUP(C697,Sales_Fact!C:D,2,0)</f>
        <v>PROD89</v>
      </c>
      <c r="F697" s="22" t="str">
        <f>VLOOKUP(E697,Product_Dim!A:C,3,0)</f>
        <v>Beauty</v>
      </c>
      <c r="G697" s="22" t="str" cm="1">
        <f t="array" ref="G697:L697">_xlfn.XLOOKUP(C697,Sales_Fact!C697:C2681,Sales_Fact!E697:J2681)</f>
        <v>STORE14</v>
      </c>
      <c r="H697" s="22">
        <v>4</v>
      </c>
      <c r="I697" s="22">
        <v>471.89</v>
      </c>
      <c r="J697" s="22">
        <v>0.12</v>
      </c>
      <c r="K697" s="22" t="str">
        <v>COD</v>
      </c>
      <c r="L697" s="22">
        <v>1661.0527999999999</v>
      </c>
    </row>
    <row r="698" spans="1:12" x14ac:dyDescent="0.3">
      <c r="A698" s="22" t="s">
        <v>2507</v>
      </c>
      <c r="B698" s="34" cm="1">
        <f t="array" ref="B698:C698">_xlfn.XLOOKUP(A698,Sales_Fact!A698:A2682,Sales_Fact!B698:C2682)</f>
        <v>45559</v>
      </c>
      <c r="C698" s="22" t="str">
        <v>CUST1366</v>
      </c>
      <c r="D698" s="22" t="str">
        <f>VLOOKUP('Combine Products &amp; Sales Facts'!C698,'Customer Details'!A:B,2,0)</f>
        <v>Mallory Allen</v>
      </c>
      <c r="E698" s="22" t="str">
        <f>VLOOKUP(C698,Sales_Fact!C:D,2,0)</f>
        <v>PROD73</v>
      </c>
      <c r="F698" s="22" t="str">
        <f>VLOOKUP(E698,Product_Dim!A:C,3,0)</f>
        <v>Sports</v>
      </c>
      <c r="G698" s="22" t="str" cm="1">
        <f t="array" ref="G698:L698">_xlfn.XLOOKUP(C698,Sales_Fact!C698:C2682,Sales_Fact!E698:J2682)</f>
        <v>STORE17</v>
      </c>
      <c r="H698" s="22">
        <v>1</v>
      </c>
      <c r="I698" s="22">
        <v>613.17999999999995</v>
      </c>
      <c r="J698" s="22">
        <v>0.14000000000000001</v>
      </c>
      <c r="K698" s="22" t="str">
        <v>COD</v>
      </c>
      <c r="L698" s="22">
        <v>527.33479999999997</v>
      </c>
    </row>
    <row r="699" spans="1:12" x14ac:dyDescent="0.3">
      <c r="A699" s="22" t="s">
        <v>2508</v>
      </c>
      <c r="B699" s="34" cm="1">
        <f t="array" ref="B699:C699">_xlfn.XLOOKUP(A699,Sales_Fact!A699:A2683,Sales_Fact!B699:C2683)</f>
        <v>45229</v>
      </c>
      <c r="C699" s="22" t="str">
        <v>CUST1051</v>
      </c>
      <c r="D699" s="22" t="str">
        <f>VLOOKUP('Combine Products &amp; Sales Facts'!C699,'Customer Details'!A:B,2,0)</f>
        <v>Sarah Rodgers</v>
      </c>
      <c r="E699" s="22" t="str">
        <f>VLOOKUP(C699,Sales_Fact!C:D,2,0)</f>
        <v>PROD21</v>
      </c>
      <c r="F699" s="22" t="str">
        <f>VLOOKUP(E699,Product_Dim!A:C,3,0)</f>
        <v>Home</v>
      </c>
      <c r="G699" s="22" t="str" cm="1">
        <f t="array" ref="G699:L699">_xlfn.XLOOKUP(C699,Sales_Fact!C699:C2683,Sales_Fact!E699:J2683)</f>
        <v>STORE4</v>
      </c>
      <c r="H699" s="22">
        <v>1</v>
      </c>
      <c r="I699" s="22">
        <v>651.30999999999995</v>
      </c>
      <c r="J699" s="22">
        <v>0.24</v>
      </c>
      <c r="K699" s="22" t="str">
        <v>PayPal</v>
      </c>
      <c r="L699" s="22">
        <v>494.99560000000002</v>
      </c>
    </row>
    <row r="700" spans="1:12" x14ac:dyDescent="0.3">
      <c r="A700" s="22" t="s">
        <v>2509</v>
      </c>
      <c r="B700" s="34" cm="1">
        <f t="array" ref="B700:C700">_xlfn.XLOOKUP(A700,Sales_Fact!A700:A2684,Sales_Fact!B700:C2684)</f>
        <v>45333</v>
      </c>
      <c r="C700" s="22" t="str">
        <v>CUST1024</v>
      </c>
      <c r="D700" s="22" t="str">
        <f>VLOOKUP('Combine Products &amp; Sales Facts'!C700,'Customer Details'!A:B,2,0)</f>
        <v>Heather Collins</v>
      </c>
      <c r="E700" s="22" t="str">
        <f>VLOOKUP(C700,Sales_Fact!C:D,2,0)</f>
        <v>PROD3</v>
      </c>
      <c r="F700" s="22" t="str">
        <f>VLOOKUP(E700,Product_Dim!A:C,3,0)</f>
        <v>Clothing</v>
      </c>
      <c r="G700" s="22" t="str" cm="1">
        <f t="array" ref="G700:L700">_xlfn.XLOOKUP(C700,Sales_Fact!C700:C2684,Sales_Fact!E700:J2684)</f>
        <v>STORE6</v>
      </c>
      <c r="H700" s="22">
        <v>2</v>
      </c>
      <c r="I700" s="22">
        <v>635.14</v>
      </c>
      <c r="J700" s="22">
        <v>0.1</v>
      </c>
      <c r="K700" s="22" t="str">
        <v>COD</v>
      </c>
      <c r="L700" s="22">
        <v>1143.252</v>
      </c>
    </row>
    <row r="701" spans="1:12" x14ac:dyDescent="0.3">
      <c r="A701" s="22" t="s">
        <v>2510</v>
      </c>
      <c r="B701" s="34" cm="1">
        <f t="array" ref="B701:C701">_xlfn.XLOOKUP(A701,Sales_Fact!A701:A2685,Sales_Fact!B701:C2685)</f>
        <v>45752</v>
      </c>
      <c r="C701" s="22" t="str">
        <v>CUST1380</v>
      </c>
      <c r="D701" s="22" t="str">
        <f>VLOOKUP('Combine Products &amp; Sales Facts'!C701,'Customer Details'!A:B,2,0)</f>
        <v>Shelley Ponce</v>
      </c>
      <c r="E701" s="22" t="str">
        <f>VLOOKUP(C701,Sales_Fact!C:D,2,0)</f>
        <v>PROD98</v>
      </c>
      <c r="F701" s="22" t="str">
        <f>VLOOKUP(E701,Product_Dim!A:C,3,0)</f>
        <v>Electronics</v>
      </c>
      <c r="G701" s="22" t="str" cm="1">
        <f t="array" ref="G701:L701">_xlfn.XLOOKUP(C701,Sales_Fact!C701:C2685,Sales_Fact!E701:J2685)</f>
        <v>STORE14</v>
      </c>
      <c r="H701" s="22">
        <v>4</v>
      </c>
      <c r="I701" s="22">
        <v>912.61</v>
      </c>
      <c r="J701" s="22">
        <v>0.14000000000000001</v>
      </c>
      <c r="K701" s="22" t="str">
        <v>Credit Card</v>
      </c>
      <c r="L701" s="22">
        <v>3139.3784000000001</v>
      </c>
    </row>
    <row r="702" spans="1:12" x14ac:dyDescent="0.3">
      <c r="A702" s="22" t="s">
        <v>2511</v>
      </c>
      <c r="B702" s="34" cm="1">
        <f t="array" ref="B702:C702">_xlfn.XLOOKUP(A702,Sales_Fact!A702:A2686,Sales_Fact!B702:C2686)</f>
        <v>45795</v>
      </c>
      <c r="C702" s="22" t="str">
        <v>CUST1274</v>
      </c>
      <c r="D702" s="22" t="str">
        <f>VLOOKUP('Combine Products &amp; Sales Facts'!C702,'Customer Details'!A:B,2,0)</f>
        <v>Sarah Lane</v>
      </c>
      <c r="E702" s="22" t="str">
        <f>VLOOKUP(C702,Sales_Fact!C:D,2,0)</f>
        <v>PROD47</v>
      </c>
      <c r="F702" s="22" t="str">
        <f>VLOOKUP(E702,Product_Dim!A:C,3,0)</f>
        <v>Beauty</v>
      </c>
      <c r="G702" s="22" t="str" cm="1">
        <f t="array" ref="G702:L702">_xlfn.XLOOKUP(C702,Sales_Fact!C702:C2686,Sales_Fact!E702:J2686)</f>
        <v>STORE7</v>
      </c>
      <c r="H702" s="22">
        <v>3</v>
      </c>
      <c r="I702" s="22">
        <v>79.77</v>
      </c>
      <c r="J702" s="22">
        <v>0.09</v>
      </c>
      <c r="K702" s="22" t="str">
        <v>Credit Card</v>
      </c>
      <c r="L702" s="22">
        <v>217.77209999999999</v>
      </c>
    </row>
    <row r="703" spans="1:12" x14ac:dyDescent="0.3">
      <c r="A703" s="22" t="s">
        <v>2512</v>
      </c>
      <c r="B703" s="34" cm="1">
        <f t="array" ref="B703:C703">_xlfn.XLOOKUP(A703,Sales_Fact!A703:A2687,Sales_Fact!B703:C2687)</f>
        <v>45755</v>
      </c>
      <c r="C703" s="22" t="str">
        <v>CUST1277</v>
      </c>
      <c r="D703" s="22" t="str">
        <f>VLOOKUP('Combine Products &amp; Sales Facts'!C703,'Customer Details'!A:B,2,0)</f>
        <v>Jeffrey Gomez</v>
      </c>
      <c r="E703" s="22" t="str">
        <f>VLOOKUP(C703,Sales_Fact!C:D,2,0)</f>
        <v>PROD93</v>
      </c>
      <c r="F703" s="22" t="str">
        <f>VLOOKUP(E703,Product_Dim!A:C,3,0)</f>
        <v>Electronics</v>
      </c>
      <c r="G703" s="22" t="str" cm="1">
        <f t="array" ref="G703:L703">_xlfn.XLOOKUP(C703,Sales_Fact!C703:C2687,Sales_Fact!E703:J2687)</f>
        <v>STORE15</v>
      </c>
      <c r="H703" s="22">
        <v>4</v>
      </c>
      <c r="I703" s="22">
        <v>603.52</v>
      </c>
      <c r="J703" s="22">
        <v>0.25</v>
      </c>
      <c r="K703" s="22" t="str">
        <v>Credit Card</v>
      </c>
      <c r="L703" s="22">
        <v>1810.56</v>
      </c>
    </row>
    <row r="704" spans="1:12" x14ac:dyDescent="0.3">
      <c r="A704" s="22" t="s">
        <v>2513</v>
      </c>
      <c r="B704" s="34" cm="1">
        <f t="array" ref="B704:C704">_xlfn.XLOOKUP(A704,Sales_Fact!A704:A2688,Sales_Fact!B704:C2688)</f>
        <v>45625</v>
      </c>
      <c r="C704" s="22" t="str">
        <v>CUST1077</v>
      </c>
      <c r="D704" s="22" t="str">
        <f>VLOOKUP('Combine Products &amp; Sales Facts'!C704,'Customer Details'!A:B,2,0)</f>
        <v>Katherine Young</v>
      </c>
      <c r="E704" s="22" t="str">
        <f>VLOOKUP(C704,Sales_Fact!C:D,2,0)</f>
        <v>PROD21</v>
      </c>
      <c r="F704" s="22" t="str">
        <f>VLOOKUP(E704,Product_Dim!A:C,3,0)</f>
        <v>Home</v>
      </c>
      <c r="G704" s="22" t="str" cm="1">
        <f t="array" ref="G704:L704">_xlfn.XLOOKUP(C704,Sales_Fact!C704:C2688,Sales_Fact!E704:J2688)</f>
        <v>STORE12</v>
      </c>
      <c r="H704" s="22">
        <v>4</v>
      </c>
      <c r="I704" s="22">
        <v>453.12</v>
      </c>
      <c r="J704" s="22">
        <v>0.23</v>
      </c>
      <c r="K704" s="22" t="str">
        <v>COD</v>
      </c>
      <c r="L704" s="22">
        <v>1395.6096</v>
      </c>
    </row>
    <row r="705" spans="1:12" x14ac:dyDescent="0.3">
      <c r="A705" s="22" t="s">
        <v>2514</v>
      </c>
      <c r="B705" s="34" cm="1">
        <f t="array" ref="B705:C705">_xlfn.XLOOKUP(A705,Sales_Fact!A705:A2689,Sales_Fact!B705:C2689)</f>
        <v>45656</v>
      </c>
      <c r="C705" s="22" t="str">
        <v>CUST1497</v>
      </c>
      <c r="D705" s="22" t="str">
        <f>VLOOKUP('Combine Products &amp; Sales Facts'!C705,'Customer Details'!A:B,2,0)</f>
        <v>Sarah Marsh</v>
      </c>
      <c r="E705" s="22" t="str">
        <f>VLOOKUP(C705,Sales_Fact!C:D,2,0)</f>
        <v>PROD33</v>
      </c>
      <c r="F705" s="22" t="str">
        <f>VLOOKUP(E705,Product_Dim!A:C,3,0)</f>
        <v>Home</v>
      </c>
      <c r="G705" s="22" t="str" cm="1">
        <f t="array" ref="G705:L705">_xlfn.XLOOKUP(C705,Sales_Fact!C705:C2689,Sales_Fact!E705:J2689)</f>
        <v>STORE9</v>
      </c>
      <c r="H705" s="22">
        <v>2</v>
      </c>
      <c r="I705" s="22">
        <v>974.35</v>
      </c>
      <c r="J705" s="22">
        <v>0.15</v>
      </c>
      <c r="K705" s="22" t="str">
        <v>Credit Card</v>
      </c>
      <c r="L705" s="22">
        <v>1656.395</v>
      </c>
    </row>
    <row r="706" spans="1:12" x14ac:dyDescent="0.3">
      <c r="A706" s="22" t="s">
        <v>2515</v>
      </c>
      <c r="B706" s="34" cm="1">
        <f t="array" ref="B706:C706">_xlfn.XLOOKUP(A706,Sales_Fact!A706:A2690,Sales_Fact!B706:C2690)</f>
        <v>45824</v>
      </c>
      <c r="C706" s="22" t="str">
        <v>CUST1476</v>
      </c>
      <c r="D706" s="22" t="str">
        <f>VLOOKUP('Combine Products &amp; Sales Facts'!C706,'Customer Details'!A:B,2,0)</f>
        <v>Elizabeth Foster</v>
      </c>
      <c r="E706" s="22" t="str">
        <f>VLOOKUP(C706,Sales_Fact!C:D,2,0)</f>
        <v>PROD69</v>
      </c>
      <c r="F706" s="22" t="str">
        <f>VLOOKUP(E706,Product_Dim!A:C,3,0)</f>
        <v>Clothing</v>
      </c>
      <c r="G706" s="22" t="str" cm="1">
        <f t="array" ref="G706:L706">_xlfn.XLOOKUP(C706,Sales_Fact!C706:C2690,Sales_Fact!E706:J2690)</f>
        <v>STORE17</v>
      </c>
      <c r="H706" s="22">
        <v>4</v>
      </c>
      <c r="I706" s="22">
        <v>52.35</v>
      </c>
      <c r="J706" s="22">
        <v>0.23</v>
      </c>
      <c r="K706" s="22" t="str">
        <v>COD</v>
      </c>
      <c r="L706" s="22">
        <v>161.238</v>
      </c>
    </row>
    <row r="707" spans="1:12" x14ac:dyDescent="0.3">
      <c r="A707" s="22" t="s">
        <v>2516</v>
      </c>
      <c r="B707" s="34" cm="1">
        <f t="array" ref="B707:C707">_xlfn.XLOOKUP(A707,Sales_Fact!A707:A2691,Sales_Fact!B707:C2691)</f>
        <v>45824</v>
      </c>
      <c r="C707" s="22" t="str">
        <v>CUST1370</v>
      </c>
      <c r="D707" s="22" t="str">
        <f>VLOOKUP('Combine Products &amp; Sales Facts'!C707,'Customer Details'!A:B,2,0)</f>
        <v>James Holloway Jr.</v>
      </c>
      <c r="E707" s="22" t="str">
        <f>VLOOKUP(C707,Sales_Fact!C:D,2,0)</f>
        <v>PROD37</v>
      </c>
      <c r="F707" s="22" t="str">
        <f>VLOOKUP(E707,Product_Dim!A:C,3,0)</f>
        <v>Clothing</v>
      </c>
      <c r="G707" s="22" t="str" cm="1">
        <f t="array" ref="G707:L707">_xlfn.XLOOKUP(C707,Sales_Fact!C707:C2691,Sales_Fact!E707:J2691)</f>
        <v>STORE17</v>
      </c>
      <c r="H707" s="22">
        <v>3</v>
      </c>
      <c r="I707" s="22">
        <v>681.58</v>
      </c>
      <c r="J707" s="22">
        <v>0.23</v>
      </c>
      <c r="K707" s="22" t="str">
        <v>Credit Card</v>
      </c>
      <c r="L707" s="22">
        <v>1574.4498000000001</v>
      </c>
    </row>
    <row r="708" spans="1:12" x14ac:dyDescent="0.3">
      <c r="A708" s="22" t="s">
        <v>2517</v>
      </c>
      <c r="B708" s="34" cm="1">
        <f t="array" ref="B708:C708">_xlfn.XLOOKUP(A708,Sales_Fact!A708:A2692,Sales_Fact!B708:C2692)</f>
        <v>45384</v>
      </c>
      <c r="C708" s="22" t="str">
        <v>CUST1177</v>
      </c>
      <c r="D708" s="22" t="str">
        <f>VLOOKUP('Combine Products &amp; Sales Facts'!C708,'Customer Details'!A:B,2,0)</f>
        <v>Curtis Lam</v>
      </c>
      <c r="E708" s="22" t="str">
        <f>VLOOKUP(C708,Sales_Fact!C:D,2,0)</f>
        <v>PROD59</v>
      </c>
      <c r="F708" s="22" t="str">
        <f>VLOOKUP(E708,Product_Dim!A:C,3,0)</f>
        <v>Beauty</v>
      </c>
      <c r="G708" s="22" t="str" cm="1">
        <f t="array" ref="G708:L708">_xlfn.XLOOKUP(C708,Sales_Fact!C708:C2692,Sales_Fact!E708:J2692)</f>
        <v>STORE15</v>
      </c>
      <c r="H708" s="22">
        <v>3</v>
      </c>
      <c r="I708" s="22">
        <v>71.23</v>
      </c>
      <c r="J708" s="22">
        <v>0.03</v>
      </c>
      <c r="K708" s="22" t="str">
        <v>Credit Card</v>
      </c>
      <c r="L708" s="22">
        <v>207.27930000000001</v>
      </c>
    </row>
    <row r="709" spans="1:12" x14ac:dyDescent="0.3">
      <c r="A709" s="22" t="s">
        <v>2518</v>
      </c>
      <c r="B709" s="34" cm="1">
        <f t="array" ref="B709:C709">_xlfn.XLOOKUP(A709,Sales_Fact!A709:A2693,Sales_Fact!B709:C2693)</f>
        <v>45379</v>
      </c>
      <c r="C709" s="22" t="str">
        <v>CUST1241</v>
      </c>
      <c r="D709" s="22" t="str">
        <f>VLOOKUP('Combine Products &amp; Sales Facts'!C709,'Customer Details'!A:B,2,0)</f>
        <v>Mr. William Horton</v>
      </c>
      <c r="E709" s="22" t="str">
        <f>VLOOKUP(C709,Sales_Fact!C:D,2,0)</f>
        <v>PROD15</v>
      </c>
      <c r="F709" s="22" t="str">
        <f>VLOOKUP(E709,Product_Dim!A:C,3,0)</f>
        <v>Electronics</v>
      </c>
      <c r="G709" s="22" t="str" cm="1">
        <f t="array" ref="G709:L709">_xlfn.XLOOKUP(C709,Sales_Fact!C709:C2693,Sales_Fact!E709:J2693)</f>
        <v>STORE14</v>
      </c>
      <c r="H709" s="22">
        <v>1</v>
      </c>
      <c r="I709" s="22">
        <v>31.36</v>
      </c>
      <c r="J709" s="22">
        <v>0.21</v>
      </c>
      <c r="K709" s="22" t="str">
        <v>COD</v>
      </c>
      <c r="L709" s="22">
        <v>24.7744</v>
      </c>
    </row>
    <row r="710" spans="1:12" x14ac:dyDescent="0.3">
      <c r="A710" s="22" t="s">
        <v>2519</v>
      </c>
      <c r="B710" s="34" cm="1">
        <f t="array" ref="B710:C710">_xlfn.XLOOKUP(A710,Sales_Fact!A710:A2694,Sales_Fact!B710:C2694)</f>
        <v>45674</v>
      </c>
      <c r="C710" s="22" t="str">
        <v>CUST1341</v>
      </c>
      <c r="D710" s="22" t="str">
        <f>VLOOKUP('Combine Products &amp; Sales Facts'!C710,'Customer Details'!A:B,2,0)</f>
        <v>Angela Williams</v>
      </c>
      <c r="E710" s="22" t="str">
        <f>VLOOKUP(C710,Sales_Fact!C:D,2,0)</f>
        <v>PROD41</v>
      </c>
      <c r="F710" s="22" t="str">
        <f>VLOOKUP(E710,Product_Dim!A:C,3,0)</f>
        <v>Sports</v>
      </c>
      <c r="G710" s="22" t="str" cm="1">
        <f t="array" ref="G710:L710">_xlfn.XLOOKUP(C710,Sales_Fact!C710:C2694,Sales_Fact!E710:J2694)</f>
        <v>STORE13</v>
      </c>
      <c r="H710" s="22">
        <v>2</v>
      </c>
      <c r="I710" s="22">
        <v>555.54999999999995</v>
      </c>
      <c r="J710" s="22">
        <v>0.14000000000000001</v>
      </c>
      <c r="K710" s="22" t="str">
        <v>Credit Card</v>
      </c>
      <c r="L710" s="22">
        <v>955.54599999999994</v>
      </c>
    </row>
    <row r="711" spans="1:12" x14ac:dyDescent="0.3">
      <c r="A711" s="22" t="s">
        <v>2520</v>
      </c>
      <c r="B711" s="34" cm="1">
        <f t="array" ref="B711:C711">_xlfn.XLOOKUP(A711,Sales_Fact!A711:A2695,Sales_Fact!B711:C2695)</f>
        <v>45760</v>
      </c>
      <c r="C711" s="22" t="str">
        <v>CUST1251</v>
      </c>
      <c r="D711" s="22" t="str">
        <f>VLOOKUP('Combine Products &amp; Sales Facts'!C711,'Customer Details'!A:B,2,0)</f>
        <v>Tyler Garner</v>
      </c>
      <c r="E711" s="22" t="str">
        <f>VLOOKUP(C711,Sales_Fact!C:D,2,0)</f>
        <v>PROD9</v>
      </c>
      <c r="F711" s="22" t="str">
        <f>VLOOKUP(E711,Product_Dim!A:C,3,0)</f>
        <v>Sports</v>
      </c>
      <c r="G711" s="22" t="str" cm="1">
        <f t="array" ref="G711:L711">_xlfn.XLOOKUP(C711,Sales_Fact!C711:C2695,Sales_Fact!E711:J2695)</f>
        <v>STORE16</v>
      </c>
      <c r="H711" s="22">
        <v>4</v>
      </c>
      <c r="I711" s="22">
        <v>805.99</v>
      </c>
      <c r="J711" s="22">
        <v>0.06</v>
      </c>
      <c r="K711" s="22" t="str">
        <v>Credit Card</v>
      </c>
      <c r="L711" s="22">
        <v>3030.5223999999998</v>
      </c>
    </row>
    <row r="712" spans="1:12" x14ac:dyDescent="0.3">
      <c r="A712" s="22" t="s">
        <v>2521</v>
      </c>
      <c r="B712" s="34" cm="1">
        <f t="array" ref="B712:C712">_xlfn.XLOOKUP(A712,Sales_Fact!A712:A2696,Sales_Fact!B712:C2696)</f>
        <v>45474</v>
      </c>
      <c r="C712" s="22" t="str">
        <v>CUST1388</v>
      </c>
      <c r="D712" s="22" t="str">
        <f>VLOOKUP('Combine Products &amp; Sales Facts'!C712,'Customer Details'!A:B,2,0)</f>
        <v>Timothy Valenzuela</v>
      </c>
      <c r="E712" s="22" t="str">
        <f>VLOOKUP(C712,Sales_Fact!C:D,2,0)</f>
        <v>PROD82</v>
      </c>
      <c r="F712" s="22" t="str">
        <f>VLOOKUP(E712,Product_Dim!A:C,3,0)</f>
        <v>Sports</v>
      </c>
      <c r="G712" s="22" t="str" cm="1">
        <f t="array" ref="G712:L712">_xlfn.XLOOKUP(C712,Sales_Fact!C712:C2696,Sales_Fact!E712:J2696)</f>
        <v>STORE1</v>
      </c>
      <c r="H712" s="22">
        <v>1</v>
      </c>
      <c r="I712" s="22">
        <v>506.55</v>
      </c>
      <c r="J712" s="22">
        <v>0.28000000000000003</v>
      </c>
      <c r="K712" s="22" t="str">
        <v>Credit Card</v>
      </c>
      <c r="L712" s="22">
        <v>364.71600000000001</v>
      </c>
    </row>
    <row r="713" spans="1:12" x14ac:dyDescent="0.3">
      <c r="A713" s="22" t="s">
        <v>2522</v>
      </c>
      <c r="B713" s="34" cm="1">
        <f t="array" ref="B713:C713">_xlfn.XLOOKUP(A713,Sales_Fact!A713:A2697,Sales_Fact!B713:C2697)</f>
        <v>45640</v>
      </c>
      <c r="C713" s="22" t="str">
        <v>CUST1130</v>
      </c>
      <c r="D713" s="22" t="str">
        <f>VLOOKUP('Combine Products &amp; Sales Facts'!C713,'Customer Details'!A:B,2,0)</f>
        <v>Jamie Reyes</v>
      </c>
      <c r="E713" s="22" t="str">
        <f>VLOOKUP(C713,Sales_Fact!C:D,2,0)</f>
        <v>PROD41</v>
      </c>
      <c r="F713" s="22" t="str">
        <f>VLOOKUP(E713,Product_Dim!A:C,3,0)</f>
        <v>Sports</v>
      </c>
      <c r="G713" s="22" t="str" cm="1">
        <f t="array" ref="G713:L713">_xlfn.XLOOKUP(C713,Sales_Fact!C713:C2697,Sales_Fact!E713:J2697)</f>
        <v>STORE11</v>
      </c>
      <c r="H713" s="22">
        <v>3</v>
      </c>
      <c r="I713" s="22">
        <v>28.69</v>
      </c>
      <c r="J713" s="22">
        <v>0.02</v>
      </c>
      <c r="K713" s="22" t="str">
        <v>Credit Card</v>
      </c>
      <c r="L713" s="22">
        <v>84.348600000000005</v>
      </c>
    </row>
    <row r="714" spans="1:12" x14ac:dyDescent="0.3">
      <c r="A714" s="22" t="s">
        <v>2523</v>
      </c>
      <c r="B714" s="34" cm="1">
        <f t="array" ref="B714:C714">_xlfn.XLOOKUP(A714,Sales_Fact!A714:A2698,Sales_Fact!B714:C2698)</f>
        <v>45253</v>
      </c>
      <c r="C714" s="22" t="str">
        <v>CUST1387</v>
      </c>
      <c r="D714" s="22" t="str">
        <f>VLOOKUP('Combine Products &amp; Sales Facts'!C714,'Customer Details'!A:B,2,0)</f>
        <v>Timothy Gardner</v>
      </c>
      <c r="E714" s="22" t="str">
        <f>VLOOKUP(C714,Sales_Fact!C:D,2,0)</f>
        <v>PROD76</v>
      </c>
      <c r="F714" s="22" t="str">
        <f>VLOOKUP(E714,Product_Dim!A:C,3,0)</f>
        <v>Electronics</v>
      </c>
      <c r="G714" s="22" t="str" cm="1">
        <f t="array" ref="G714:L714">_xlfn.XLOOKUP(C714,Sales_Fact!C714:C2698,Sales_Fact!E714:J2698)</f>
        <v>STORE4</v>
      </c>
      <c r="H714" s="22">
        <v>1</v>
      </c>
      <c r="I714" s="22">
        <v>106.07</v>
      </c>
      <c r="J714" s="22">
        <v>0.23</v>
      </c>
      <c r="K714" s="22" t="str">
        <v>COD</v>
      </c>
      <c r="L714" s="22">
        <v>81.673900000000003</v>
      </c>
    </row>
    <row r="715" spans="1:12" x14ac:dyDescent="0.3">
      <c r="A715" s="22" t="s">
        <v>2524</v>
      </c>
      <c r="B715" s="34" cm="1">
        <f t="array" ref="B715:C715">_xlfn.XLOOKUP(A715,Sales_Fact!A715:A2699,Sales_Fact!B715:C2699)</f>
        <v>45225</v>
      </c>
      <c r="C715" s="22" t="str">
        <v>CUST1260</v>
      </c>
      <c r="D715" s="22" t="str">
        <f>VLOOKUP('Combine Products &amp; Sales Facts'!C715,'Customer Details'!A:B,2,0)</f>
        <v>Russell Lamb</v>
      </c>
      <c r="E715" s="22" t="str">
        <f>VLOOKUP(C715,Sales_Fact!C:D,2,0)</f>
        <v>PROD84</v>
      </c>
      <c r="F715" s="22" t="str">
        <f>VLOOKUP(E715,Product_Dim!A:C,3,0)</f>
        <v>Home</v>
      </c>
      <c r="G715" s="22" t="str" cm="1">
        <f t="array" ref="G715:L715">_xlfn.XLOOKUP(C715,Sales_Fact!C715:C2699,Sales_Fact!E715:J2699)</f>
        <v>STORE0</v>
      </c>
      <c r="H715" s="22">
        <v>4</v>
      </c>
      <c r="I715" s="22">
        <v>289.77</v>
      </c>
      <c r="J715" s="22">
        <v>0.06</v>
      </c>
      <c r="K715" s="22" t="str">
        <v>PayPal</v>
      </c>
      <c r="L715" s="22">
        <v>1089.5352</v>
      </c>
    </row>
    <row r="716" spans="1:12" x14ac:dyDescent="0.3">
      <c r="A716" s="22" t="s">
        <v>2525</v>
      </c>
      <c r="B716" s="34" cm="1">
        <f t="array" ref="B716:C716">_xlfn.XLOOKUP(A716,Sales_Fact!A716:A2700,Sales_Fact!B716:C2700)</f>
        <v>45263</v>
      </c>
      <c r="C716" s="22" t="str">
        <v>CUST1156</v>
      </c>
      <c r="D716" s="22" t="str">
        <f>VLOOKUP('Combine Products &amp; Sales Facts'!C716,'Customer Details'!A:B,2,0)</f>
        <v>Maria Sanchez</v>
      </c>
      <c r="E716" s="22" t="str">
        <f>VLOOKUP(C716,Sales_Fact!C:D,2,0)</f>
        <v>PROD49</v>
      </c>
      <c r="F716" s="22" t="str">
        <f>VLOOKUP(E716,Product_Dim!A:C,3,0)</f>
        <v>Beauty</v>
      </c>
      <c r="G716" s="22" t="str" cm="1">
        <f t="array" ref="G716:L716">_xlfn.XLOOKUP(C716,Sales_Fact!C716:C2700,Sales_Fact!E716:J2700)</f>
        <v>STORE18</v>
      </c>
      <c r="H716" s="22">
        <v>2</v>
      </c>
      <c r="I716" s="22">
        <v>354.26</v>
      </c>
      <c r="J716" s="22">
        <v>0.01</v>
      </c>
      <c r="K716" s="22" t="str">
        <v>COD</v>
      </c>
      <c r="L716" s="22">
        <v>701.4348</v>
      </c>
    </row>
    <row r="717" spans="1:12" x14ac:dyDescent="0.3">
      <c r="A717" s="22" t="s">
        <v>2526</v>
      </c>
      <c r="B717" s="34" cm="1">
        <f t="array" ref="B717:C717">_xlfn.XLOOKUP(A717,Sales_Fact!A717:A2701,Sales_Fact!B717:C2701)</f>
        <v>45554</v>
      </c>
      <c r="C717" s="22" t="str">
        <v>CUST1385</v>
      </c>
      <c r="D717" s="22" t="str">
        <f>VLOOKUP('Combine Products &amp; Sales Facts'!C717,'Customer Details'!A:B,2,0)</f>
        <v>Tammy Brennan</v>
      </c>
      <c r="E717" s="22" t="str">
        <f>VLOOKUP(C717,Sales_Fact!C:D,2,0)</f>
        <v>PROD68</v>
      </c>
      <c r="F717" s="22" t="str">
        <f>VLOOKUP(E717,Product_Dim!A:C,3,0)</f>
        <v>Home</v>
      </c>
      <c r="G717" s="22" t="str" cm="1">
        <f t="array" ref="G717:L717">_xlfn.XLOOKUP(C717,Sales_Fact!C717:C2701,Sales_Fact!E717:J2701)</f>
        <v>STORE14</v>
      </c>
      <c r="H717" s="22">
        <v>1</v>
      </c>
      <c r="I717" s="22">
        <v>522.72</v>
      </c>
      <c r="J717" s="22">
        <v>0.25</v>
      </c>
      <c r="K717" s="22" t="str">
        <v>PayPal</v>
      </c>
      <c r="L717" s="22">
        <v>392.04</v>
      </c>
    </row>
    <row r="718" spans="1:12" x14ac:dyDescent="0.3">
      <c r="A718" s="22" t="s">
        <v>2527</v>
      </c>
      <c r="B718" s="34" cm="1">
        <f t="array" ref="B718:C718">_xlfn.XLOOKUP(A718,Sales_Fact!A718:A2702,Sales_Fact!B718:C2702)</f>
        <v>45569</v>
      </c>
      <c r="C718" s="22" t="str">
        <v>CUST1057</v>
      </c>
      <c r="D718" s="22" t="str">
        <f>VLOOKUP('Combine Products &amp; Sales Facts'!C718,'Customer Details'!A:B,2,0)</f>
        <v>Jay Patel</v>
      </c>
      <c r="E718" s="22" t="str">
        <f>VLOOKUP(C718,Sales_Fact!C:D,2,0)</f>
        <v>PROD38</v>
      </c>
      <c r="F718" s="22" t="str">
        <f>VLOOKUP(E718,Product_Dim!A:C,3,0)</f>
        <v>Sports</v>
      </c>
      <c r="G718" s="22" t="str" cm="1">
        <f t="array" ref="G718:L718">_xlfn.XLOOKUP(C718,Sales_Fact!C718:C2702,Sales_Fact!E718:J2702)</f>
        <v>STORE9</v>
      </c>
      <c r="H718" s="22">
        <v>3</v>
      </c>
      <c r="I718" s="22">
        <v>966.02</v>
      </c>
      <c r="J718" s="22">
        <v>0.03</v>
      </c>
      <c r="K718" s="22" t="str">
        <v>COD</v>
      </c>
      <c r="L718" s="22">
        <v>2811.1181999999999</v>
      </c>
    </row>
    <row r="719" spans="1:12" x14ac:dyDescent="0.3">
      <c r="A719" s="22" t="s">
        <v>2528</v>
      </c>
      <c r="B719" s="34" cm="1">
        <f t="array" ref="B719:C719">_xlfn.XLOOKUP(A719,Sales_Fact!A719:A2703,Sales_Fact!B719:C2703)</f>
        <v>45217</v>
      </c>
      <c r="C719" s="22" t="str">
        <v>CUST1224</v>
      </c>
      <c r="D719" s="22" t="str">
        <f>VLOOKUP('Combine Products &amp; Sales Facts'!C719,'Customer Details'!A:B,2,0)</f>
        <v>Anthony Morgan</v>
      </c>
      <c r="E719" s="22" t="str">
        <f>VLOOKUP(C719,Sales_Fact!C:D,2,0)</f>
        <v>PROD39</v>
      </c>
      <c r="F719" s="22" t="str">
        <f>VLOOKUP(E719,Product_Dim!A:C,3,0)</f>
        <v>Electronics</v>
      </c>
      <c r="G719" s="22" t="str" cm="1">
        <f t="array" ref="G719:L719">_xlfn.XLOOKUP(C719,Sales_Fact!C719:C2703,Sales_Fact!E719:J2703)</f>
        <v>STORE17</v>
      </c>
      <c r="H719" s="22">
        <v>1</v>
      </c>
      <c r="I719" s="22">
        <v>498.61</v>
      </c>
      <c r="J719" s="22">
        <v>0.04</v>
      </c>
      <c r="K719" s="22" t="str">
        <v>PayPal</v>
      </c>
      <c r="L719" s="22">
        <v>478.66559999999998</v>
      </c>
    </row>
    <row r="720" spans="1:12" x14ac:dyDescent="0.3">
      <c r="A720" s="22" t="s">
        <v>2529</v>
      </c>
      <c r="B720" s="34" cm="1">
        <f t="array" ref="B720:C720">_xlfn.XLOOKUP(A720,Sales_Fact!A720:A2704,Sales_Fact!B720:C2704)</f>
        <v>45783</v>
      </c>
      <c r="C720" s="22" t="str">
        <v>CUST1330</v>
      </c>
      <c r="D720" s="22" t="str">
        <f>VLOOKUP('Combine Products &amp; Sales Facts'!C720,'Customer Details'!A:B,2,0)</f>
        <v>Pamela Mcguire</v>
      </c>
      <c r="E720" s="22" t="str">
        <f>VLOOKUP(C720,Sales_Fact!C:D,2,0)</f>
        <v>PROD42</v>
      </c>
      <c r="F720" s="22" t="str">
        <f>VLOOKUP(E720,Product_Dim!A:C,3,0)</f>
        <v>Electronics</v>
      </c>
      <c r="G720" s="22" t="str" cm="1">
        <f t="array" ref="G720:L720">_xlfn.XLOOKUP(C720,Sales_Fact!C720:C2704,Sales_Fact!E720:J2704)</f>
        <v>STORE6</v>
      </c>
      <c r="H720" s="22">
        <v>4</v>
      </c>
      <c r="I720" s="22">
        <v>758.27</v>
      </c>
      <c r="J720" s="22">
        <v>0.05</v>
      </c>
      <c r="K720" s="22" t="str">
        <v>PayPal</v>
      </c>
      <c r="L720" s="22">
        <v>2881.4259999999999</v>
      </c>
    </row>
    <row r="721" spans="1:12" x14ac:dyDescent="0.3">
      <c r="A721" s="22" t="s">
        <v>2530</v>
      </c>
      <c r="B721" s="34" cm="1">
        <f t="array" ref="B721:C721">_xlfn.XLOOKUP(A721,Sales_Fact!A721:A2705,Sales_Fact!B721:C2705)</f>
        <v>45371</v>
      </c>
      <c r="C721" s="22" t="str">
        <v>CUST1198</v>
      </c>
      <c r="D721" s="22" t="str">
        <f>VLOOKUP('Combine Products &amp; Sales Facts'!C721,'Customer Details'!A:B,2,0)</f>
        <v>Wanda Snyder</v>
      </c>
      <c r="E721" s="22" t="str">
        <f>VLOOKUP(C721,Sales_Fact!C:D,2,0)</f>
        <v>PROD12</v>
      </c>
      <c r="F721" s="22" t="str">
        <f>VLOOKUP(E721,Product_Dim!A:C,3,0)</f>
        <v>Beauty</v>
      </c>
      <c r="G721" s="22" t="str" cm="1">
        <f t="array" ref="G721:L721">_xlfn.XLOOKUP(C721,Sales_Fact!C721:C2705,Sales_Fact!E721:J2705)</f>
        <v>STORE2</v>
      </c>
      <c r="H721" s="22">
        <v>2</v>
      </c>
      <c r="I721" s="22">
        <v>371.03</v>
      </c>
      <c r="J721" s="22">
        <v>0.23</v>
      </c>
      <c r="K721" s="22" t="str">
        <v>PayPal</v>
      </c>
      <c r="L721" s="22">
        <v>571.38619999999992</v>
      </c>
    </row>
    <row r="722" spans="1:12" x14ac:dyDescent="0.3">
      <c r="A722" s="22" t="s">
        <v>2531</v>
      </c>
      <c r="B722" s="34" cm="1">
        <f t="array" ref="B722:C722">_xlfn.XLOOKUP(A722,Sales_Fact!A722:A2706,Sales_Fact!B722:C2706)</f>
        <v>45453</v>
      </c>
      <c r="C722" s="22" t="str">
        <v>CUST1355</v>
      </c>
      <c r="D722" s="22" t="str">
        <f>VLOOKUP('Combine Products &amp; Sales Facts'!C722,'Customer Details'!A:B,2,0)</f>
        <v>Carlos Flores</v>
      </c>
      <c r="E722" s="22" t="str">
        <f>VLOOKUP(C722,Sales_Fact!C:D,2,0)</f>
        <v>PROD91</v>
      </c>
      <c r="F722" s="22" t="str">
        <f>VLOOKUP(E722,Product_Dim!A:C,3,0)</f>
        <v>Clothing</v>
      </c>
      <c r="G722" s="22" t="str" cm="1">
        <f t="array" ref="G722:L722">_xlfn.XLOOKUP(C722,Sales_Fact!C722:C2706,Sales_Fact!E722:J2706)</f>
        <v>STORE17</v>
      </c>
      <c r="H722" s="22">
        <v>1</v>
      </c>
      <c r="I722" s="22">
        <v>230.32</v>
      </c>
      <c r="J722" s="22">
        <v>0.05</v>
      </c>
      <c r="K722" s="22" t="str">
        <v>COD</v>
      </c>
      <c r="L722" s="22">
        <v>218.804</v>
      </c>
    </row>
    <row r="723" spans="1:12" x14ac:dyDescent="0.3">
      <c r="A723" s="22" t="s">
        <v>2532</v>
      </c>
      <c r="B723" s="34" cm="1">
        <f t="array" ref="B723:C723">_xlfn.XLOOKUP(A723,Sales_Fact!A723:A2707,Sales_Fact!B723:C2707)</f>
        <v>45526</v>
      </c>
      <c r="C723" s="22" t="str">
        <v>CUST1342</v>
      </c>
      <c r="D723" s="22" t="str">
        <f>VLOOKUP('Combine Products &amp; Sales Facts'!C723,'Customer Details'!A:B,2,0)</f>
        <v>Michelle Cunningham</v>
      </c>
      <c r="E723" s="22" t="str">
        <f>VLOOKUP(C723,Sales_Fact!C:D,2,0)</f>
        <v>PROD61</v>
      </c>
      <c r="F723" s="22" t="str">
        <f>VLOOKUP(E723,Product_Dim!A:C,3,0)</f>
        <v>Sports</v>
      </c>
      <c r="G723" s="22" t="str" cm="1">
        <f t="array" ref="G723:L723">_xlfn.XLOOKUP(C723,Sales_Fact!C723:C2707,Sales_Fact!E723:J2707)</f>
        <v>STORE6</v>
      </c>
      <c r="H723" s="22">
        <v>2</v>
      </c>
      <c r="I723" s="22">
        <v>985.43</v>
      </c>
      <c r="J723" s="22">
        <v>0.28000000000000003</v>
      </c>
      <c r="K723" s="22" t="str">
        <v>COD</v>
      </c>
      <c r="L723" s="22">
        <v>1419.0192</v>
      </c>
    </row>
    <row r="724" spans="1:12" x14ac:dyDescent="0.3">
      <c r="A724" s="22" t="s">
        <v>2533</v>
      </c>
      <c r="B724" s="34" cm="1">
        <f t="array" ref="B724:C724">_xlfn.XLOOKUP(A724,Sales_Fact!A724:A2708,Sales_Fact!B724:C2708)</f>
        <v>45756</v>
      </c>
      <c r="C724" s="22" t="str">
        <v>CUST1422</v>
      </c>
      <c r="D724" s="22" t="str">
        <f>VLOOKUP('Combine Products &amp; Sales Facts'!C724,'Customer Details'!A:B,2,0)</f>
        <v>Brittany Edwards Dds</v>
      </c>
      <c r="E724" s="22" t="str">
        <f>VLOOKUP(C724,Sales_Fact!C:D,2,0)</f>
        <v>PROD49</v>
      </c>
      <c r="F724" s="22" t="str">
        <f>VLOOKUP(E724,Product_Dim!A:C,3,0)</f>
        <v>Beauty</v>
      </c>
      <c r="G724" s="22" t="str" cm="1">
        <f t="array" ref="G724:L724">_xlfn.XLOOKUP(C724,Sales_Fact!C724:C2708,Sales_Fact!E724:J2708)</f>
        <v>STORE4</v>
      </c>
      <c r="H724" s="22">
        <v>2</v>
      </c>
      <c r="I724" s="22">
        <v>492.5</v>
      </c>
      <c r="J724" s="22">
        <v>0.3</v>
      </c>
      <c r="K724" s="22" t="str">
        <v>PayPal</v>
      </c>
      <c r="L724" s="22">
        <v>689.5</v>
      </c>
    </row>
    <row r="725" spans="1:12" x14ac:dyDescent="0.3">
      <c r="A725" s="22" t="s">
        <v>2534</v>
      </c>
      <c r="B725" s="34" cm="1">
        <f t="array" ref="B725:C725">_xlfn.XLOOKUP(A725,Sales_Fact!A725:A2709,Sales_Fact!B725:C2709)</f>
        <v>45657</v>
      </c>
      <c r="C725" s="22" t="str">
        <v>CUST1364</v>
      </c>
      <c r="D725" s="22" t="str">
        <f>VLOOKUP('Combine Products &amp; Sales Facts'!C725,'Customer Details'!A:B,2,0)</f>
        <v>Chloe Aguilar</v>
      </c>
      <c r="E725" s="22" t="str">
        <f>VLOOKUP(C725,Sales_Fact!C:D,2,0)</f>
        <v>PROD65</v>
      </c>
      <c r="F725" s="22" t="str">
        <f>VLOOKUP(E725,Product_Dim!A:C,3,0)</f>
        <v>Sports</v>
      </c>
      <c r="G725" s="22" t="str" cm="1">
        <f t="array" ref="G725:L725">_xlfn.XLOOKUP(C725,Sales_Fact!C725:C2709,Sales_Fact!E725:J2709)</f>
        <v>STORE11</v>
      </c>
      <c r="H725" s="22">
        <v>2</v>
      </c>
      <c r="I725" s="22">
        <v>213.69</v>
      </c>
      <c r="J725" s="22">
        <v>0.28000000000000003</v>
      </c>
      <c r="K725" s="22" t="str">
        <v>PayPal</v>
      </c>
      <c r="L725" s="22">
        <v>307.71359999999999</v>
      </c>
    </row>
    <row r="726" spans="1:12" x14ac:dyDescent="0.3">
      <c r="A726" s="22" t="s">
        <v>2535</v>
      </c>
      <c r="B726" s="34" cm="1">
        <f t="array" ref="B726:C726">_xlfn.XLOOKUP(A726,Sales_Fact!A726:A2710,Sales_Fact!B726:C2710)</f>
        <v>45716</v>
      </c>
      <c r="C726" s="22" t="str">
        <v>CUST1065</v>
      </c>
      <c r="D726" s="22" t="str">
        <f>VLOOKUP('Combine Products &amp; Sales Facts'!C726,'Customer Details'!A:B,2,0)</f>
        <v>Michael Thomas</v>
      </c>
      <c r="E726" s="22" t="str">
        <f>VLOOKUP(C726,Sales_Fact!C:D,2,0)</f>
        <v>PROD24</v>
      </c>
      <c r="F726" s="22" t="str">
        <f>VLOOKUP(E726,Product_Dim!A:C,3,0)</f>
        <v>Sports</v>
      </c>
      <c r="G726" s="22" t="str" cm="1">
        <f t="array" ref="G726:L726">_xlfn.XLOOKUP(C726,Sales_Fact!C726:C2710,Sales_Fact!E726:J2710)</f>
        <v>STORE8</v>
      </c>
      <c r="H726" s="22">
        <v>4</v>
      </c>
      <c r="I726" s="22">
        <v>618.83000000000004</v>
      </c>
      <c r="J726" s="22">
        <v>0.08</v>
      </c>
      <c r="K726" s="22" t="str">
        <v>PayPal</v>
      </c>
      <c r="L726" s="22">
        <v>2277.2944000000002</v>
      </c>
    </row>
    <row r="727" spans="1:12" x14ac:dyDescent="0.3">
      <c r="A727" s="22" t="s">
        <v>2536</v>
      </c>
      <c r="B727" s="34" cm="1">
        <f t="array" ref="B727:C727">_xlfn.XLOOKUP(A727,Sales_Fact!A727:A2711,Sales_Fact!B727:C2711)</f>
        <v>45313</v>
      </c>
      <c r="C727" s="22" t="str">
        <v>CUST1093</v>
      </c>
      <c r="D727" s="22" t="str">
        <f>VLOOKUP('Combine Products &amp; Sales Facts'!C727,'Customer Details'!A:B,2,0)</f>
        <v>Christy Vasquez</v>
      </c>
      <c r="E727" s="22" t="str">
        <f>VLOOKUP(C727,Sales_Fact!C:D,2,0)</f>
        <v>PROD5</v>
      </c>
      <c r="F727" s="22" t="str">
        <f>VLOOKUP(E727,Product_Dim!A:C,3,0)</f>
        <v>Clothing</v>
      </c>
      <c r="G727" s="22" t="str" cm="1">
        <f t="array" ref="G727:L727">_xlfn.XLOOKUP(C727,Sales_Fact!C727:C2711,Sales_Fact!E727:J2711)</f>
        <v>STORE11</v>
      </c>
      <c r="H727" s="22">
        <v>2</v>
      </c>
      <c r="I727" s="22">
        <v>81.16</v>
      </c>
      <c r="J727" s="22">
        <v>0.16</v>
      </c>
      <c r="K727" s="22" t="str">
        <v>PayPal</v>
      </c>
      <c r="L727" s="22">
        <v>136.34880000000001</v>
      </c>
    </row>
    <row r="728" spans="1:12" x14ac:dyDescent="0.3">
      <c r="A728" s="22" t="s">
        <v>2537</v>
      </c>
      <c r="B728" s="34" cm="1">
        <f t="array" ref="B728:C728">_xlfn.XLOOKUP(A728,Sales_Fact!A728:A2712,Sales_Fact!B728:C2712)</f>
        <v>45372</v>
      </c>
      <c r="C728" s="22" t="str">
        <v>CUST1002</v>
      </c>
      <c r="D728" s="22" t="str">
        <f>VLOOKUP('Combine Products &amp; Sales Facts'!C728,'Customer Details'!A:B,2,0)</f>
        <v>Dr. Benjamin Price</v>
      </c>
      <c r="E728" s="22" t="str">
        <f>VLOOKUP(C728,Sales_Fact!C:D,2,0)</f>
        <v>PROD79</v>
      </c>
      <c r="F728" s="22" t="str">
        <f>VLOOKUP(E728,Product_Dim!A:C,3,0)</f>
        <v>Home</v>
      </c>
      <c r="G728" s="22" t="str" cm="1">
        <f t="array" ref="G728:L728">_xlfn.XLOOKUP(C728,Sales_Fact!C728:C2712,Sales_Fact!E728:J2712)</f>
        <v>STORE9</v>
      </c>
      <c r="H728" s="22">
        <v>1</v>
      </c>
      <c r="I728" s="22">
        <v>431.69</v>
      </c>
      <c r="J728" s="22">
        <v>0.09</v>
      </c>
      <c r="K728" s="22" t="str">
        <v>Credit Card</v>
      </c>
      <c r="L728" s="22">
        <v>392.83789999999999</v>
      </c>
    </row>
    <row r="729" spans="1:12" x14ac:dyDescent="0.3">
      <c r="A729" s="22" t="s">
        <v>2538</v>
      </c>
      <c r="B729" s="34" cm="1">
        <f t="array" ref="B729:C729">_xlfn.XLOOKUP(A729,Sales_Fact!A729:A2713,Sales_Fact!B729:C2713)</f>
        <v>45648</v>
      </c>
      <c r="C729" s="22" t="str">
        <v>CUST1405</v>
      </c>
      <c r="D729" s="22" t="str">
        <f>VLOOKUP('Combine Products &amp; Sales Facts'!C729,'Customer Details'!A:B,2,0)</f>
        <v>Eric Wolfe</v>
      </c>
      <c r="E729" s="22" t="str">
        <f>VLOOKUP(C729,Sales_Fact!C:D,2,0)</f>
        <v>PROD48</v>
      </c>
      <c r="F729" s="22" t="str">
        <f>VLOOKUP(E729,Product_Dim!A:C,3,0)</f>
        <v>Electronics</v>
      </c>
      <c r="G729" s="22" t="str" cm="1">
        <f t="array" ref="G729:L729">_xlfn.XLOOKUP(C729,Sales_Fact!C729:C2713,Sales_Fact!E729:J2713)</f>
        <v>STORE5</v>
      </c>
      <c r="H729" s="22">
        <v>3</v>
      </c>
      <c r="I729" s="22">
        <v>438.65</v>
      </c>
      <c r="J729" s="22">
        <v>0.28999999999999998</v>
      </c>
      <c r="K729" s="22" t="str">
        <v>PayPal</v>
      </c>
      <c r="L729" s="22">
        <v>934.32449999999983</v>
      </c>
    </row>
    <row r="730" spans="1:12" x14ac:dyDescent="0.3">
      <c r="A730" s="22" t="s">
        <v>2539</v>
      </c>
      <c r="B730" s="34" cm="1">
        <f t="array" ref="B730:C730">_xlfn.XLOOKUP(A730,Sales_Fact!A730:A2714,Sales_Fact!B730:C2714)</f>
        <v>45384</v>
      </c>
      <c r="C730" s="22" t="str">
        <v>CUST1172</v>
      </c>
      <c r="D730" s="22" t="str">
        <f>VLOOKUP('Combine Products &amp; Sales Facts'!C730,'Customer Details'!A:B,2,0)</f>
        <v>Thomas Rhodes</v>
      </c>
      <c r="E730" s="22" t="str">
        <f>VLOOKUP(C730,Sales_Fact!C:D,2,0)</f>
        <v>PROD79</v>
      </c>
      <c r="F730" s="22" t="str">
        <f>VLOOKUP(E730,Product_Dim!A:C,3,0)</f>
        <v>Home</v>
      </c>
      <c r="G730" s="22" t="str" cm="1">
        <f t="array" ref="G730:L730">_xlfn.XLOOKUP(C730,Sales_Fact!C730:C2714,Sales_Fact!E730:J2714)</f>
        <v>STORE3</v>
      </c>
      <c r="H730" s="22">
        <v>3</v>
      </c>
      <c r="I730" s="22">
        <v>339.41</v>
      </c>
      <c r="J730" s="22">
        <v>0.26</v>
      </c>
      <c r="K730" s="22" t="str">
        <v>Credit Card</v>
      </c>
      <c r="L730" s="22">
        <v>753.49019999999996</v>
      </c>
    </row>
    <row r="731" spans="1:12" x14ac:dyDescent="0.3">
      <c r="A731" s="22" t="s">
        <v>2540</v>
      </c>
      <c r="B731" s="34" cm="1">
        <f t="array" ref="B731:C731">_xlfn.XLOOKUP(A731,Sales_Fact!A731:A2715,Sales_Fact!B731:C2715)</f>
        <v>45687</v>
      </c>
      <c r="C731" s="22" t="str">
        <v>CUST1470</v>
      </c>
      <c r="D731" s="22" t="str">
        <f>VLOOKUP('Combine Products &amp; Sales Facts'!C731,'Customer Details'!A:B,2,0)</f>
        <v>Manuel Fisher</v>
      </c>
      <c r="E731" s="22" t="str">
        <f>VLOOKUP(C731,Sales_Fact!C:D,2,0)</f>
        <v>PROD59</v>
      </c>
      <c r="F731" s="22" t="str">
        <f>VLOOKUP(E731,Product_Dim!A:C,3,0)</f>
        <v>Beauty</v>
      </c>
      <c r="G731" s="22" t="str" cm="1">
        <f t="array" ref="G731:L731">_xlfn.XLOOKUP(C731,Sales_Fact!C731:C2715,Sales_Fact!E731:J2715)</f>
        <v>STORE9</v>
      </c>
      <c r="H731" s="22">
        <v>4</v>
      </c>
      <c r="I731" s="22">
        <v>848.47</v>
      </c>
      <c r="J731" s="22">
        <v>0.21</v>
      </c>
      <c r="K731" s="22" t="str">
        <v>COD</v>
      </c>
      <c r="L731" s="22">
        <v>2681.1651999999999</v>
      </c>
    </row>
    <row r="732" spans="1:12" x14ac:dyDescent="0.3">
      <c r="A732" s="22" t="s">
        <v>2541</v>
      </c>
      <c r="B732" s="34" cm="1">
        <f t="array" ref="B732:C732">_xlfn.XLOOKUP(A732,Sales_Fact!A732:A2716,Sales_Fact!B732:C2716)</f>
        <v>45747</v>
      </c>
      <c r="C732" s="22" t="str">
        <v>CUST1192</v>
      </c>
      <c r="D732" s="22" t="str">
        <f>VLOOKUP('Combine Products &amp; Sales Facts'!C732,'Customer Details'!A:B,2,0)</f>
        <v>Jacob Wood</v>
      </c>
      <c r="E732" s="22" t="str">
        <f>VLOOKUP(C732,Sales_Fact!C:D,2,0)</f>
        <v>PROD46</v>
      </c>
      <c r="F732" s="22" t="str">
        <f>VLOOKUP(E732,Product_Dim!A:C,3,0)</f>
        <v>Clothing</v>
      </c>
      <c r="G732" s="22" t="str" cm="1">
        <f t="array" ref="G732:L732">_xlfn.XLOOKUP(C732,Sales_Fact!C732:C2716,Sales_Fact!E732:J2716)</f>
        <v>STORE8</v>
      </c>
      <c r="H732" s="22">
        <v>1</v>
      </c>
      <c r="I732" s="22">
        <v>664.87</v>
      </c>
      <c r="J732" s="22">
        <v>0.08</v>
      </c>
      <c r="K732" s="22" t="str">
        <v>PayPal</v>
      </c>
      <c r="L732" s="22">
        <v>611.68040000000008</v>
      </c>
    </row>
    <row r="733" spans="1:12" x14ac:dyDescent="0.3">
      <c r="A733" s="22" t="s">
        <v>2542</v>
      </c>
      <c r="B733" s="34" cm="1">
        <f t="array" ref="B733:C733">_xlfn.XLOOKUP(A733,Sales_Fact!A733:A2717,Sales_Fact!B733:C2717)</f>
        <v>45687</v>
      </c>
      <c r="C733" s="22" t="str">
        <v>CUST1099</v>
      </c>
      <c r="D733" s="22" t="str">
        <f>VLOOKUP('Combine Products &amp; Sales Facts'!C733,'Customer Details'!A:B,2,0)</f>
        <v>Sheila Wilson</v>
      </c>
      <c r="E733" s="22" t="str">
        <f>VLOOKUP(C733,Sales_Fact!C:D,2,0)</f>
        <v>PROD26</v>
      </c>
      <c r="F733" s="22" t="str">
        <f>VLOOKUP(E733,Product_Dim!A:C,3,0)</f>
        <v>Electronics</v>
      </c>
      <c r="G733" s="22" t="str" cm="1">
        <f t="array" ref="G733:L733">_xlfn.XLOOKUP(C733,Sales_Fact!C733:C2717,Sales_Fact!E733:J2717)</f>
        <v>STORE7</v>
      </c>
      <c r="H733" s="22">
        <v>1</v>
      </c>
      <c r="I733" s="22">
        <v>412.11</v>
      </c>
      <c r="J733" s="22">
        <v>0.23</v>
      </c>
      <c r="K733" s="22" t="str">
        <v>PayPal</v>
      </c>
      <c r="L733" s="22">
        <v>317.32470000000001</v>
      </c>
    </row>
    <row r="734" spans="1:12" x14ac:dyDescent="0.3">
      <c r="A734" s="22" t="s">
        <v>2543</v>
      </c>
      <c r="B734" s="34" cm="1">
        <f t="array" ref="B734:C734">_xlfn.XLOOKUP(A734,Sales_Fact!A734:A2718,Sales_Fact!B734:C2718)</f>
        <v>45916</v>
      </c>
      <c r="C734" s="22" t="str">
        <v>CUST1122</v>
      </c>
      <c r="D734" s="22" t="str">
        <f>VLOOKUP('Combine Products &amp; Sales Facts'!C734,'Customer Details'!A:B,2,0)</f>
        <v>Michael Chang</v>
      </c>
      <c r="E734" s="22" t="str">
        <f>VLOOKUP(C734,Sales_Fact!C:D,2,0)</f>
        <v>PROD94</v>
      </c>
      <c r="F734" s="22" t="str">
        <f>VLOOKUP(E734,Product_Dim!A:C,3,0)</f>
        <v>Beauty</v>
      </c>
      <c r="G734" s="22" t="str" cm="1">
        <f t="array" ref="G734:L734">_xlfn.XLOOKUP(C734,Sales_Fact!C734:C2718,Sales_Fact!E734:J2718)</f>
        <v>STORE1</v>
      </c>
      <c r="H734" s="22">
        <v>1</v>
      </c>
      <c r="I734" s="22">
        <v>126.09</v>
      </c>
      <c r="J734" s="22">
        <v>0.05</v>
      </c>
      <c r="K734" s="22" t="str">
        <v>COD</v>
      </c>
      <c r="L734" s="22">
        <v>119.7855</v>
      </c>
    </row>
    <row r="735" spans="1:12" x14ac:dyDescent="0.3">
      <c r="A735" s="22" t="s">
        <v>2544</v>
      </c>
      <c r="B735" s="34" cm="1">
        <f t="array" ref="B735:C735">_xlfn.XLOOKUP(A735,Sales_Fact!A735:A2719,Sales_Fact!B735:C2719)</f>
        <v>45917</v>
      </c>
      <c r="C735" s="22" t="str">
        <v>CUST1198</v>
      </c>
      <c r="D735" s="22" t="str">
        <f>VLOOKUP('Combine Products &amp; Sales Facts'!C735,'Customer Details'!A:B,2,0)</f>
        <v>Wanda Snyder</v>
      </c>
      <c r="E735" s="22" t="str">
        <f>VLOOKUP(C735,Sales_Fact!C:D,2,0)</f>
        <v>PROD12</v>
      </c>
      <c r="F735" s="22" t="str">
        <f>VLOOKUP(E735,Product_Dim!A:C,3,0)</f>
        <v>Beauty</v>
      </c>
      <c r="G735" s="22" t="str" cm="1">
        <f t="array" ref="G735:L735">_xlfn.XLOOKUP(C735,Sales_Fact!C735:C2719,Sales_Fact!E735:J2719)</f>
        <v>STORE10</v>
      </c>
      <c r="H735" s="22">
        <v>4</v>
      </c>
      <c r="I735" s="22">
        <v>602.39</v>
      </c>
      <c r="J735" s="22">
        <v>0.19</v>
      </c>
      <c r="K735" s="22" t="str">
        <v>COD</v>
      </c>
      <c r="L735" s="22">
        <v>1951.7436</v>
      </c>
    </row>
    <row r="736" spans="1:12" x14ac:dyDescent="0.3">
      <c r="A736" s="22" t="s">
        <v>2545</v>
      </c>
      <c r="B736" s="34" cm="1">
        <f t="array" ref="B736:C736">_xlfn.XLOOKUP(A736,Sales_Fact!A736:A2720,Sales_Fact!B736:C2720)</f>
        <v>45941</v>
      </c>
      <c r="C736" s="22" t="str">
        <v>CUST1325</v>
      </c>
      <c r="D736" s="22" t="str">
        <f>VLOOKUP('Combine Products &amp; Sales Facts'!C736,'Customer Details'!A:B,2,0)</f>
        <v>Andrew Smith</v>
      </c>
      <c r="E736" s="22" t="str">
        <f>VLOOKUP(C736,Sales_Fact!C:D,2,0)</f>
        <v>PROD54</v>
      </c>
      <c r="F736" s="22" t="str">
        <f>VLOOKUP(E736,Product_Dim!A:C,3,0)</f>
        <v>Sports</v>
      </c>
      <c r="G736" s="22" t="str" cm="1">
        <f t="array" ref="G736:L736">_xlfn.XLOOKUP(C736,Sales_Fact!C736:C2720,Sales_Fact!E736:J2720)</f>
        <v>STORE3</v>
      </c>
      <c r="H736" s="22">
        <v>3</v>
      </c>
      <c r="I736" s="22">
        <v>447.69</v>
      </c>
      <c r="J736" s="22">
        <v>0.02</v>
      </c>
      <c r="K736" s="22" t="str">
        <v>COD</v>
      </c>
      <c r="L736" s="22">
        <v>1316.2085999999999</v>
      </c>
    </row>
    <row r="737" spans="1:12" x14ac:dyDescent="0.3">
      <c r="A737" s="22" t="s">
        <v>2546</v>
      </c>
      <c r="B737" s="34" cm="1">
        <f t="array" ref="B737:C737">_xlfn.XLOOKUP(A737,Sales_Fact!A737:A2721,Sales_Fact!B737:C2721)</f>
        <v>45778</v>
      </c>
      <c r="C737" s="22" t="str">
        <v>CUST1248</v>
      </c>
      <c r="D737" s="22" t="str">
        <f>VLOOKUP('Combine Products &amp; Sales Facts'!C737,'Customer Details'!A:B,2,0)</f>
        <v>Nicholas Webb</v>
      </c>
      <c r="E737" s="22" t="str">
        <f>VLOOKUP(C737,Sales_Fact!C:D,2,0)</f>
        <v>PROD87</v>
      </c>
      <c r="F737" s="22" t="str">
        <f>VLOOKUP(E737,Product_Dim!A:C,3,0)</f>
        <v>Home</v>
      </c>
      <c r="G737" s="22" t="str" cm="1">
        <f t="array" ref="G737:L737">_xlfn.XLOOKUP(C737,Sales_Fact!C737:C2721,Sales_Fact!E737:J2721)</f>
        <v>STORE3</v>
      </c>
      <c r="H737" s="22">
        <v>3</v>
      </c>
      <c r="I737" s="22">
        <v>35.159999999999997</v>
      </c>
      <c r="J737" s="22">
        <v>0.04</v>
      </c>
      <c r="K737" s="22" t="str">
        <v>COD</v>
      </c>
      <c r="L737" s="22">
        <v>101.2608</v>
      </c>
    </row>
    <row r="738" spans="1:12" x14ac:dyDescent="0.3">
      <c r="A738" s="22" t="s">
        <v>2547</v>
      </c>
      <c r="B738" s="34" cm="1">
        <f t="array" ref="B738:C738">_xlfn.XLOOKUP(A738,Sales_Fact!A738:A2722,Sales_Fact!B738:C2722)</f>
        <v>45740</v>
      </c>
      <c r="C738" s="22" t="str">
        <v>CUST1330</v>
      </c>
      <c r="D738" s="22" t="str">
        <f>VLOOKUP('Combine Products &amp; Sales Facts'!C738,'Customer Details'!A:B,2,0)</f>
        <v>Pamela Mcguire</v>
      </c>
      <c r="E738" s="22" t="str">
        <f>VLOOKUP(C738,Sales_Fact!C:D,2,0)</f>
        <v>PROD42</v>
      </c>
      <c r="F738" s="22" t="str">
        <f>VLOOKUP(E738,Product_Dim!A:C,3,0)</f>
        <v>Electronics</v>
      </c>
      <c r="G738" s="22" t="str" cm="1">
        <f t="array" ref="G738:L738">_xlfn.XLOOKUP(C738,Sales_Fact!C738:C2722,Sales_Fact!E738:J2722)</f>
        <v>STORE11</v>
      </c>
      <c r="H738" s="22">
        <v>2</v>
      </c>
      <c r="I738" s="22">
        <v>838.59</v>
      </c>
      <c r="J738" s="22">
        <v>0.18</v>
      </c>
      <c r="K738" s="22" t="str">
        <v>COD</v>
      </c>
      <c r="L738" s="22">
        <v>1375.2876000000001</v>
      </c>
    </row>
    <row r="739" spans="1:12" x14ac:dyDescent="0.3">
      <c r="A739" s="22" t="s">
        <v>2548</v>
      </c>
      <c r="B739" s="34" cm="1">
        <f t="array" ref="B739:C739">_xlfn.XLOOKUP(A739,Sales_Fact!A739:A2723,Sales_Fact!B739:C2723)</f>
        <v>45598</v>
      </c>
      <c r="C739" s="22" t="str">
        <v>CUST1089</v>
      </c>
      <c r="D739" s="22" t="str">
        <f>VLOOKUP('Combine Products &amp; Sales Facts'!C739,'Customer Details'!A:B,2,0)</f>
        <v>Jamie Yoder</v>
      </c>
      <c r="E739" s="22" t="str">
        <f>VLOOKUP(C739,Sales_Fact!C:D,2,0)</f>
        <v>PROD57</v>
      </c>
      <c r="F739" s="22" t="str">
        <f>VLOOKUP(E739,Product_Dim!A:C,3,0)</f>
        <v>Sports</v>
      </c>
      <c r="G739" s="22" t="str" cm="1">
        <f t="array" ref="G739:L739">_xlfn.XLOOKUP(C739,Sales_Fact!C739:C2723,Sales_Fact!E739:J2723)</f>
        <v>STORE6</v>
      </c>
      <c r="H739" s="22">
        <v>4</v>
      </c>
      <c r="I739" s="22">
        <v>867.94</v>
      </c>
      <c r="J739" s="22">
        <v>0.26</v>
      </c>
      <c r="K739" s="22" t="str">
        <v>PayPal</v>
      </c>
      <c r="L739" s="22">
        <v>2569.1024000000002</v>
      </c>
    </row>
    <row r="740" spans="1:12" x14ac:dyDescent="0.3">
      <c r="A740" s="22" t="s">
        <v>2549</v>
      </c>
      <c r="B740" s="34" cm="1">
        <f t="array" ref="B740:C740">_xlfn.XLOOKUP(A740,Sales_Fact!A740:A2724,Sales_Fact!B740:C2724)</f>
        <v>45591</v>
      </c>
      <c r="C740" s="22" t="str">
        <v>CUST1196</v>
      </c>
      <c r="D740" s="22" t="str">
        <f>VLOOKUP('Combine Products &amp; Sales Facts'!C740,'Customer Details'!A:B,2,0)</f>
        <v>Megan Greer</v>
      </c>
      <c r="E740" s="22" t="str">
        <f>VLOOKUP(C740,Sales_Fact!C:D,2,0)</f>
        <v>PROD15</v>
      </c>
      <c r="F740" s="22" t="str">
        <f>VLOOKUP(E740,Product_Dim!A:C,3,0)</f>
        <v>Electronics</v>
      </c>
      <c r="G740" s="22" t="str" cm="1">
        <f t="array" ref="G740:L740">_xlfn.XLOOKUP(C740,Sales_Fact!C740:C2724,Sales_Fact!E740:J2724)</f>
        <v>STORE17</v>
      </c>
      <c r="H740" s="22">
        <v>1</v>
      </c>
      <c r="I740" s="22">
        <v>623.88</v>
      </c>
      <c r="J740" s="22">
        <v>0.25</v>
      </c>
      <c r="K740" s="22" t="str">
        <v>Credit Card</v>
      </c>
      <c r="L740" s="22">
        <v>467.91</v>
      </c>
    </row>
    <row r="741" spans="1:12" x14ac:dyDescent="0.3">
      <c r="A741" s="22" t="s">
        <v>2550</v>
      </c>
      <c r="B741" s="34" cm="1">
        <f t="array" ref="B741:C741">_xlfn.XLOOKUP(A741,Sales_Fact!A741:A2725,Sales_Fact!B741:C2725)</f>
        <v>45546</v>
      </c>
      <c r="C741" s="22" t="str">
        <v>CUST1177</v>
      </c>
      <c r="D741" s="22" t="str">
        <f>VLOOKUP('Combine Products &amp; Sales Facts'!C741,'Customer Details'!A:B,2,0)</f>
        <v>Curtis Lam</v>
      </c>
      <c r="E741" s="22" t="str">
        <f>VLOOKUP(C741,Sales_Fact!C:D,2,0)</f>
        <v>PROD59</v>
      </c>
      <c r="F741" s="22" t="str">
        <f>VLOOKUP(E741,Product_Dim!A:C,3,0)</f>
        <v>Beauty</v>
      </c>
      <c r="G741" s="22" t="str" cm="1">
        <f t="array" ref="G741:L741">_xlfn.XLOOKUP(C741,Sales_Fact!C741:C2725,Sales_Fact!E741:J2725)</f>
        <v>STORE14</v>
      </c>
      <c r="H741" s="22">
        <v>2</v>
      </c>
      <c r="I741" s="22">
        <v>567.95000000000005</v>
      </c>
      <c r="J741" s="22">
        <v>0.12</v>
      </c>
      <c r="K741" s="22" t="str">
        <v>PayPal</v>
      </c>
      <c r="L741" s="22">
        <v>999.5920000000001</v>
      </c>
    </row>
    <row r="742" spans="1:12" x14ac:dyDescent="0.3">
      <c r="A742" s="22" t="s">
        <v>2551</v>
      </c>
      <c r="B742" s="34" cm="1">
        <f t="array" ref="B742:C742">_xlfn.XLOOKUP(A742,Sales_Fact!A742:A2726,Sales_Fact!B742:C2726)</f>
        <v>45483</v>
      </c>
      <c r="C742" s="22" t="str">
        <v>CUST1323</v>
      </c>
      <c r="D742" s="22" t="str">
        <f>VLOOKUP('Combine Products &amp; Sales Facts'!C742,'Customer Details'!A:B,2,0)</f>
        <v>Kristy Dunlap</v>
      </c>
      <c r="E742" s="22" t="str">
        <f>VLOOKUP(C742,Sales_Fact!C:D,2,0)</f>
        <v>PROD49</v>
      </c>
      <c r="F742" s="22" t="str">
        <f>VLOOKUP(E742,Product_Dim!A:C,3,0)</f>
        <v>Beauty</v>
      </c>
      <c r="G742" s="22" t="str" cm="1">
        <f t="array" ref="G742:L742">_xlfn.XLOOKUP(C742,Sales_Fact!C742:C2726,Sales_Fact!E742:J2726)</f>
        <v>STORE18</v>
      </c>
      <c r="H742" s="22">
        <v>2</v>
      </c>
      <c r="I742" s="22">
        <v>671.69</v>
      </c>
      <c r="J742" s="22">
        <v>0.19</v>
      </c>
      <c r="K742" s="22" t="str">
        <v>Credit Card</v>
      </c>
      <c r="L742" s="22">
        <v>1088.1378</v>
      </c>
    </row>
    <row r="743" spans="1:12" x14ac:dyDescent="0.3">
      <c r="A743" s="22" t="s">
        <v>2552</v>
      </c>
      <c r="B743" s="34" cm="1">
        <f t="array" ref="B743:C743">_xlfn.XLOOKUP(A743,Sales_Fact!A743:A2727,Sales_Fact!B743:C2727)</f>
        <v>45786</v>
      </c>
      <c r="C743" s="22" t="str">
        <v>CUST1206</v>
      </c>
      <c r="D743" s="22" t="str">
        <f>VLOOKUP('Combine Products &amp; Sales Facts'!C743,'Customer Details'!A:B,2,0)</f>
        <v>Ronald Jones</v>
      </c>
      <c r="E743" s="22" t="str">
        <f>VLOOKUP(C743,Sales_Fact!C:D,2,0)</f>
        <v>PROD94</v>
      </c>
      <c r="F743" s="22" t="str">
        <f>VLOOKUP(E743,Product_Dim!A:C,3,0)</f>
        <v>Beauty</v>
      </c>
      <c r="G743" s="22" t="str" cm="1">
        <f t="array" ref="G743:L743">_xlfn.XLOOKUP(C743,Sales_Fact!C743:C2727,Sales_Fact!E743:J2727)</f>
        <v>STORE7</v>
      </c>
      <c r="H743" s="22">
        <v>2</v>
      </c>
      <c r="I743" s="22">
        <v>257.95999999999998</v>
      </c>
      <c r="J743" s="22">
        <v>0.21</v>
      </c>
      <c r="K743" s="22" t="str">
        <v>PayPal</v>
      </c>
      <c r="L743" s="22">
        <v>407.57679999999999</v>
      </c>
    </row>
    <row r="744" spans="1:12" x14ac:dyDescent="0.3">
      <c r="A744" s="22" t="s">
        <v>2553</v>
      </c>
      <c r="B744" s="34" cm="1">
        <f t="array" ref="B744:C744">_xlfn.XLOOKUP(A744,Sales_Fact!A744:A2728,Sales_Fact!B744:C2728)</f>
        <v>45475</v>
      </c>
      <c r="C744" s="22" t="str">
        <v>CUST1204</v>
      </c>
      <c r="D744" s="22" t="str">
        <f>VLOOKUP('Combine Products &amp; Sales Facts'!C744,'Customer Details'!A:B,2,0)</f>
        <v>Tiffany Herrera</v>
      </c>
      <c r="E744" s="22" t="str">
        <f>VLOOKUP(C744,Sales_Fact!C:D,2,0)</f>
        <v>PROD44</v>
      </c>
      <c r="F744" s="22" t="str">
        <f>VLOOKUP(E744,Product_Dim!A:C,3,0)</f>
        <v>Sports</v>
      </c>
      <c r="G744" s="22" t="str" cm="1">
        <f t="array" ref="G744:L744">_xlfn.XLOOKUP(C744,Sales_Fact!C744:C2728,Sales_Fact!E744:J2728)</f>
        <v>STORE19</v>
      </c>
      <c r="H744" s="22">
        <v>4</v>
      </c>
      <c r="I744" s="22">
        <v>281.48</v>
      </c>
      <c r="J744" s="22">
        <v>0.27</v>
      </c>
      <c r="K744" s="22" t="str">
        <v>PayPal</v>
      </c>
      <c r="L744" s="22">
        <v>821.92160000000001</v>
      </c>
    </row>
    <row r="745" spans="1:12" x14ac:dyDescent="0.3">
      <c r="A745" s="22" t="s">
        <v>2554</v>
      </c>
      <c r="B745" s="34" cm="1">
        <f t="array" ref="B745:C745">_xlfn.XLOOKUP(A745,Sales_Fact!A745:A2729,Sales_Fact!B745:C2729)</f>
        <v>45470</v>
      </c>
      <c r="C745" s="22" t="str">
        <v>CUST1316</v>
      </c>
      <c r="D745" s="22" t="str">
        <f>VLOOKUP('Combine Products &amp; Sales Facts'!C745,'Customer Details'!A:B,2,0)</f>
        <v>Robert House</v>
      </c>
      <c r="E745" s="22" t="str">
        <f>VLOOKUP(C745,Sales_Fact!C:D,2,0)</f>
        <v>PROD25</v>
      </c>
      <c r="F745" s="22" t="str">
        <f>VLOOKUP(E745,Product_Dim!A:C,3,0)</f>
        <v>Clothing</v>
      </c>
      <c r="G745" s="22" t="str" cm="1">
        <f t="array" ref="G745:L745">_xlfn.XLOOKUP(C745,Sales_Fact!C745:C2729,Sales_Fact!E745:J2729)</f>
        <v>STORE11</v>
      </c>
      <c r="H745" s="22">
        <v>1</v>
      </c>
      <c r="I745" s="22">
        <v>202.13</v>
      </c>
      <c r="J745" s="22">
        <v>0.13</v>
      </c>
      <c r="K745" s="22" t="str">
        <v>COD</v>
      </c>
      <c r="L745" s="22">
        <v>175.85310000000001</v>
      </c>
    </row>
    <row r="746" spans="1:12" x14ac:dyDescent="0.3">
      <c r="A746" s="22" t="s">
        <v>2555</v>
      </c>
      <c r="B746" s="34" cm="1">
        <f t="array" ref="B746:C746">_xlfn.XLOOKUP(A746,Sales_Fact!A746:A2730,Sales_Fact!B746:C2730)</f>
        <v>45243</v>
      </c>
      <c r="C746" s="22" t="str">
        <v>CUST1271</v>
      </c>
      <c r="D746" s="22" t="str">
        <f>VLOOKUP('Combine Products &amp; Sales Facts'!C746,'Customer Details'!A:B,2,0)</f>
        <v>Daisy Johnson Dds</v>
      </c>
      <c r="E746" s="22" t="str">
        <f>VLOOKUP(C746,Sales_Fact!C:D,2,0)</f>
        <v>PROD74</v>
      </c>
      <c r="F746" s="22" t="str">
        <f>VLOOKUP(E746,Product_Dim!A:C,3,0)</f>
        <v>Electronics</v>
      </c>
      <c r="G746" s="22" t="str" cm="1">
        <f t="array" ref="G746:L746">_xlfn.XLOOKUP(C746,Sales_Fact!C746:C2730,Sales_Fact!E746:J2730)</f>
        <v>STORE5</v>
      </c>
      <c r="H746" s="22">
        <v>1</v>
      </c>
      <c r="I746" s="22">
        <v>370.66</v>
      </c>
      <c r="J746" s="22">
        <v>0.01</v>
      </c>
      <c r="K746" s="22" t="str">
        <v>PayPal</v>
      </c>
      <c r="L746" s="22">
        <v>366.95339999999999</v>
      </c>
    </row>
    <row r="747" spans="1:12" x14ac:dyDescent="0.3">
      <c r="A747" s="22" t="s">
        <v>2556</v>
      </c>
      <c r="B747" s="34" cm="1">
        <f t="array" ref="B747:C747">_xlfn.XLOOKUP(A747,Sales_Fact!A747:A2731,Sales_Fact!B747:C2731)</f>
        <v>45341</v>
      </c>
      <c r="C747" s="22" t="str">
        <v>CUST1005</v>
      </c>
      <c r="D747" s="22" t="str">
        <f>VLOOKUP('Combine Products &amp; Sales Facts'!C747,'Customer Details'!A:B,2,0)</f>
        <v>Christine Vaughn</v>
      </c>
      <c r="E747" s="22" t="str">
        <f>VLOOKUP(C747,Sales_Fact!C:D,2,0)</f>
        <v>PROD61</v>
      </c>
      <c r="F747" s="22" t="str">
        <f>VLOOKUP(E747,Product_Dim!A:C,3,0)</f>
        <v>Sports</v>
      </c>
      <c r="G747" s="22" t="str" cm="1">
        <f t="array" ref="G747:L747">_xlfn.XLOOKUP(C747,Sales_Fact!C747:C2731,Sales_Fact!E747:J2731)</f>
        <v>STORE12</v>
      </c>
      <c r="H747" s="22">
        <v>4</v>
      </c>
      <c r="I747" s="22">
        <v>731.53</v>
      </c>
      <c r="J747" s="22">
        <v>0.12</v>
      </c>
      <c r="K747" s="22" t="str">
        <v>Credit Card</v>
      </c>
      <c r="L747" s="22">
        <v>2574.9856</v>
      </c>
    </row>
    <row r="748" spans="1:12" x14ac:dyDescent="0.3">
      <c r="A748" s="22" t="s">
        <v>2557</v>
      </c>
      <c r="B748" s="34" cm="1">
        <f t="array" ref="B748:C748">_xlfn.XLOOKUP(A748,Sales_Fact!A748:A2732,Sales_Fact!B748:C2732)</f>
        <v>45371</v>
      </c>
      <c r="C748" s="22" t="str">
        <v>CUST1165</v>
      </c>
      <c r="D748" s="22" t="str">
        <f>VLOOKUP('Combine Products &amp; Sales Facts'!C748,'Customer Details'!A:B,2,0)</f>
        <v>Jason Wheeler</v>
      </c>
      <c r="E748" s="22" t="str">
        <f>VLOOKUP(C748,Sales_Fact!C:D,2,0)</f>
        <v>PROD27</v>
      </c>
      <c r="F748" s="22" t="str">
        <f>VLOOKUP(E748,Product_Dim!A:C,3,0)</f>
        <v>Home</v>
      </c>
      <c r="G748" s="22" t="str" cm="1">
        <f t="array" ref="G748:L748">_xlfn.XLOOKUP(C748,Sales_Fact!C748:C2732,Sales_Fact!E748:J2732)</f>
        <v>STORE1</v>
      </c>
      <c r="H748" s="22">
        <v>3</v>
      </c>
      <c r="I748" s="22">
        <v>468.25</v>
      </c>
      <c r="J748" s="22">
        <v>7.0000000000000007E-2</v>
      </c>
      <c r="K748" s="22" t="str">
        <v>PayPal</v>
      </c>
      <c r="L748" s="22">
        <v>1306.4175</v>
      </c>
    </row>
    <row r="749" spans="1:12" x14ac:dyDescent="0.3">
      <c r="A749" s="22" t="s">
        <v>2558</v>
      </c>
      <c r="B749" s="34" cm="1">
        <f t="array" ref="B749:C749">_xlfn.XLOOKUP(A749,Sales_Fact!A749:A2733,Sales_Fact!B749:C2733)</f>
        <v>45360</v>
      </c>
      <c r="C749" s="22" t="str">
        <v>CUST1001</v>
      </c>
      <c r="D749" s="22" t="str">
        <f>VLOOKUP('Combine Products &amp; Sales Facts'!C749,'Customer Details'!A:B,2,0)</f>
        <v>Eugene Nelson</v>
      </c>
      <c r="E749" s="22" t="str">
        <f>VLOOKUP(C749,Sales_Fact!C:D,2,0)</f>
        <v>PROD51</v>
      </c>
      <c r="F749" s="22" t="str">
        <f>VLOOKUP(E749,Product_Dim!A:C,3,0)</f>
        <v>Electronics</v>
      </c>
      <c r="G749" s="22" t="str" cm="1">
        <f t="array" ref="G749:L749">_xlfn.XLOOKUP(C749,Sales_Fact!C749:C2733,Sales_Fact!E749:J2733)</f>
        <v>STORE0</v>
      </c>
      <c r="H749" s="22">
        <v>1</v>
      </c>
      <c r="I749" s="22">
        <v>928.72</v>
      </c>
      <c r="J749" s="22">
        <v>0.1</v>
      </c>
      <c r="K749" s="22" t="str">
        <v>COD</v>
      </c>
      <c r="L749" s="22">
        <v>835.84800000000007</v>
      </c>
    </row>
    <row r="750" spans="1:12" x14ac:dyDescent="0.3">
      <c r="A750" s="22" t="s">
        <v>2559</v>
      </c>
      <c r="B750" s="34" cm="1">
        <f t="array" ref="B750:C750">_xlfn.XLOOKUP(A750,Sales_Fact!A750:A2734,Sales_Fact!B750:C2734)</f>
        <v>45499</v>
      </c>
      <c r="C750" s="22" t="str">
        <v>CUST1101</v>
      </c>
      <c r="D750" s="22" t="str">
        <f>VLOOKUP('Combine Products &amp; Sales Facts'!C750,'Customer Details'!A:B,2,0)</f>
        <v>Colleen Maynard</v>
      </c>
      <c r="E750" s="22" t="str">
        <f>VLOOKUP(C750,Sales_Fact!C:D,2,0)</f>
        <v>PROD89</v>
      </c>
      <c r="F750" s="22" t="str">
        <f>VLOOKUP(E750,Product_Dim!A:C,3,0)</f>
        <v>Beauty</v>
      </c>
      <c r="G750" s="22" t="str" cm="1">
        <f t="array" ref="G750:L750">_xlfn.XLOOKUP(C750,Sales_Fact!C750:C2734,Sales_Fact!E750:J2734)</f>
        <v>STORE18</v>
      </c>
      <c r="H750" s="22">
        <v>3</v>
      </c>
      <c r="I750" s="22">
        <v>217.22</v>
      </c>
      <c r="J750" s="22">
        <v>0.06</v>
      </c>
      <c r="K750" s="22" t="str">
        <v>PayPal</v>
      </c>
      <c r="L750" s="22">
        <v>612.56039999999996</v>
      </c>
    </row>
    <row r="751" spans="1:12" x14ac:dyDescent="0.3">
      <c r="A751" s="22" t="s">
        <v>2560</v>
      </c>
      <c r="B751" s="34" cm="1">
        <f t="array" ref="B751:C751">_xlfn.XLOOKUP(A751,Sales_Fact!A751:A2735,Sales_Fact!B751:C2735)</f>
        <v>45745</v>
      </c>
      <c r="C751" s="22" t="str">
        <v>CUST1405</v>
      </c>
      <c r="D751" s="22" t="str">
        <f>VLOOKUP('Combine Products &amp; Sales Facts'!C751,'Customer Details'!A:B,2,0)</f>
        <v>Eric Wolfe</v>
      </c>
      <c r="E751" s="22" t="str">
        <f>VLOOKUP(C751,Sales_Fact!C:D,2,0)</f>
        <v>PROD48</v>
      </c>
      <c r="F751" s="22" t="str">
        <f>VLOOKUP(E751,Product_Dim!A:C,3,0)</f>
        <v>Electronics</v>
      </c>
      <c r="G751" s="22" t="str" cm="1">
        <f t="array" ref="G751:L751">_xlfn.XLOOKUP(C751,Sales_Fact!C751:C2735,Sales_Fact!E751:J2735)</f>
        <v>STORE3</v>
      </c>
      <c r="H751" s="22">
        <v>1</v>
      </c>
      <c r="I751" s="22">
        <v>387.99</v>
      </c>
      <c r="J751" s="22">
        <v>0.3</v>
      </c>
      <c r="K751" s="22" t="str">
        <v>Credit Card</v>
      </c>
      <c r="L751" s="22">
        <v>271.59300000000002</v>
      </c>
    </row>
    <row r="752" spans="1:12" x14ac:dyDescent="0.3">
      <c r="A752" s="22" t="s">
        <v>2561</v>
      </c>
      <c r="B752" s="34" cm="1">
        <f t="array" ref="B752:C752">_xlfn.XLOOKUP(A752,Sales_Fact!A752:A2736,Sales_Fact!B752:C2736)</f>
        <v>45718</v>
      </c>
      <c r="C752" s="22" t="str">
        <v>CUST1476</v>
      </c>
      <c r="D752" s="22" t="str">
        <f>VLOOKUP('Combine Products &amp; Sales Facts'!C752,'Customer Details'!A:B,2,0)</f>
        <v>Elizabeth Foster</v>
      </c>
      <c r="E752" s="22" t="str">
        <f>VLOOKUP(C752,Sales_Fact!C:D,2,0)</f>
        <v>PROD69</v>
      </c>
      <c r="F752" s="22" t="str">
        <f>VLOOKUP(E752,Product_Dim!A:C,3,0)</f>
        <v>Clothing</v>
      </c>
      <c r="G752" s="22" t="str" cm="1">
        <f t="array" ref="G752:L752">_xlfn.XLOOKUP(C752,Sales_Fact!C752:C2736,Sales_Fact!E752:J2736)</f>
        <v>STORE6</v>
      </c>
      <c r="H752" s="22">
        <v>4</v>
      </c>
      <c r="I752" s="22">
        <v>186.24</v>
      </c>
      <c r="J752" s="22">
        <v>0.23</v>
      </c>
      <c r="K752" s="22" t="str">
        <v>Credit Card</v>
      </c>
      <c r="L752" s="22">
        <v>573.61920000000009</v>
      </c>
    </row>
    <row r="753" spans="1:12" x14ac:dyDescent="0.3">
      <c r="A753" s="22" t="s">
        <v>2562</v>
      </c>
      <c r="B753" s="34" cm="1">
        <f t="array" ref="B753:C753">_xlfn.XLOOKUP(A753,Sales_Fact!A753:A2737,Sales_Fact!B753:C2737)</f>
        <v>45454</v>
      </c>
      <c r="C753" s="22" t="str">
        <v>CUST1296</v>
      </c>
      <c r="D753" s="22" t="str">
        <f>VLOOKUP('Combine Products &amp; Sales Facts'!C753,'Customer Details'!A:B,2,0)</f>
        <v>Jared Moran</v>
      </c>
      <c r="E753" s="22" t="str">
        <f>VLOOKUP(C753,Sales_Fact!C:D,2,0)</f>
        <v>PROD14</v>
      </c>
      <c r="F753" s="22" t="str">
        <f>VLOOKUP(E753,Product_Dim!A:C,3,0)</f>
        <v>Home</v>
      </c>
      <c r="G753" s="22" t="str" cm="1">
        <f t="array" ref="G753:L753">_xlfn.XLOOKUP(C753,Sales_Fact!C753:C2737,Sales_Fact!E753:J2737)</f>
        <v>STORE8</v>
      </c>
      <c r="H753" s="22">
        <v>4</v>
      </c>
      <c r="I753" s="22">
        <v>609.05999999999995</v>
      </c>
      <c r="J753" s="22">
        <v>0.22</v>
      </c>
      <c r="K753" s="22" t="str">
        <v>COD</v>
      </c>
      <c r="L753" s="22">
        <v>1900.2672</v>
      </c>
    </row>
    <row r="754" spans="1:12" x14ac:dyDescent="0.3">
      <c r="A754" s="22" t="s">
        <v>2563</v>
      </c>
      <c r="B754" s="34" cm="1">
        <f t="array" ref="B754:C754">_xlfn.XLOOKUP(A754,Sales_Fact!A754:A2738,Sales_Fact!B754:C2738)</f>
        <v>45434</v>
      </c>
      <c r="C754" s="22" t="str">
        <v>CUST1437</v>
      </c>
      <c r="D754" s="22" t="str">
        <f>VLOOKUP('Combine Products &amp; Sales Facts'!C754,'Customer Details'!A:B,2,0)</f>
        <v>Melinda Rivera</v>
      </c>
      <c r="E754" s="22" t="str">
        <f>VLOOKUP(C754,Sales_Fact!C:D,2,0)</f>
        <v>PROD88</v>
      </c>
      <c r="F754" s="22" t="str">
        <f>VLOOKUP(E754,Product_Dim!A:C,3,0)</f>
        <v>Sports</v>
      </c>
      <c r="G754" s="22" t="str" cm="1">
        <f t="array" ref="G754:L754">_xlfn.XLOOKUP(C754,Sales_Fact!C754:C2738,Sales_Fact!E754:J2738)</f>
        <v>STORE11</v>
      </c>
      <c r="H754" s="22">
        <v>1</v>
      </c>
      <c r="I754" s="22">
        <v>827.91</v>
      </c>
      <c r="J754" s="22">
        <v>0.21</v>
      </c>
      <c r="K754" s="22" t="str">
        <v>PayPal</v>
      </c>
      <c r="L754" s="22">
        <v>654.0489</v>
      </c>
    </row>
    <row r="755" spans="1:12" x14ac:dyDescent="0.3">
      <c r="A755" s="22" t="s">
        <v>2564</v>
      </c>
      <c r="B755" s="34" cm="1">
        <f t="array" ref="B755:C755">_xlfn.XLOOKUP(A755,Sales_Fact!A755:A2739,Sales_Fact!B755:C2739)</f>
        <v>45486</v>
      </c>
      <c r="C755" s="22" t="str">
        <v>CUST1176</v>
      </c>
      <c r="D755" s="22" t="str">
        <f>VLOOKUP('Combine Products &amp; Sales Facts'!C755,'Customer Details'!A:B,2,0)</f>
        <v>John Bradford</v>
      </c>
      <c r="E755" s="22" t="str">
        <f>VLOOKUP(C755,Sales_Fact!C:D,2,0)</f>
        <v>PROD52</v>
      </c>
      <c r="F755" s="22" t="str">
        <f>VLOOKUP(E755,Product_Dim!A:C,3,0)</f>
        <v>Sports</v>
      </c>
      <c r="G755" s="22" t="str" cm="1">
        <f t="array" ref="G755:L755">_xlfn.XLOOKUP(C755,Sales_Fact!C755:C2739,Sales_Fact!E755:J2739)</f>
        <v>STORE0</v>
      </c>
      <c r="H755" s="22">
        <v>1</v>
      </c>
      <c r="I755" s="22">
        <v>303.79000000000002</v>
      </c>
      <c r="J755" s="22">
        <v>0.24</v>
      </c>
      <c r="K755" s="22" t="str">
        <v>PayPal</v>
      </c>
      <c r="L755" s="22">
        <v>230.88040000000001</v>
      </c>
    </row>
    <row r="756" spans="1:12" x14ac:dyDescent="0.3">
      <c r="A756" s="22" t="s">
        <v>2565</v>
      </c>
      <c r="B756" s="34" cm="1">
        <f t="array" ref="B756:C756">_xlfn.XLOOKUP(A756,Sales_Fact!A756:A2740,Sales_Fact!B756:C2740)</f>
        <v>45902</v>
      </c>
      <c r="C756" s="22" t="str">
        <v>CUST1104</v>
      </c>
      <c r="D756" s="22" t="str">
        <f>VLOOKUP('Combine Products &amp; Sales Facts'!C756,'Customer Details'!A:B,2,0)</f>
        <v>Christopher Lester</v>
      </c>
      <c r="E756" s="22" t="str">
        <f>VLOOKUP(C756,Sales_Fact!C:D,2,0)</f>
        <v>PROD25</v>
      </c>
      <c r="F756" s="22" t="str">
        <f>VLOOKUP(E756,Product_Dim!A:C,3,0)</f>
        <v>Clothing</v>
      </c>
      <c r="G756" s="22" t="str" cm="1">
        <f t="array" ref="G756:L756">_xlfn.XLOOKUP(C756,Sales_Fact!C756:C2740,Sales_Fact!E756:J2740)</f>
        <v>STORE6</v>
      </c>
      <c r="H756" s="22">
        <v>2</v>
      </c>
      <c r="I756" s="22">
        <v>365.91</v>
      </c>
      <c r="J756" s="22">
        <v>0.14000000000000001</v>
      </c>
      <c r="K756" s="22" t="str">
        <v>COD</v>
      </c>
      <c r="L756" s="22">
        <v>629.36520000000007</v>
      </c>
    </row>
    <row r="757" spans="1:12" x14ac:dyDescent="0.3">
      <c r="A757" s="22" t="s">
        <v>2566</v>
      </c>
      <c r="B757" s="34" cm="1">
        <f t="array" ref="B757:C757">_xlfn.XLOOKUP(A757,Sales_Fact!A757:A2741,Sales_Fact!B757:C2741)</f>
        <v>45762</v>
      </c>
      <c r="C757" s="22" t="str">
        <v>CUST1069</v>
      </c>
      <c r="D757" s="22" t="str">
        <f>VLOOKUP('Combine Products &amp; Sales Facts'!C757,'Customer Details'!A:B,2,0)</f>
        <v>Roy Cole</v>
      </c>
      <c r="E757" s="22" t="str">
        <f>VLOOKUP(C757,Sales_Fact!C:D,2,0)</f>
        <v>PROD73</v>
      </c>
      <c r="F757" s="22" t="str">
        <f>VLOOKUP(E757,Product_Dim!A:C,3,0)</f>
        <v>Sports</v>
      </c>
      <c r="G757" s="22" t="str" cm="1">
        <f t="array" ref="G757:L757">_xlfn.XLOOKUP(C757,Sales_Fact!C757:C2741,Sales_Fact!E757:J2741)</f>
        <v>STORE17</v>
      </c>
      <c r="H757" s="22">
        <v>3</v>
      </c>
      <c r="I757" s="22">
        <v>852.72</v>
      </c>
      <c r="J757" s="22">
        <v>0.16</v>
      </c>
      <c r="K757" s="22" t="str">
        <v>Credit Card</v>
      </c>
      <c r="L757" s="22">
        <v>2148.8544000000002</v>
      </c>
    </row>
    <row r="758" spans="1:12" x14ac:dyDescent="0.3">
      <c r="A758" s="22" t="s">
        <v>2567</v>
      </c>
      <c r="B758" s="34" cm="1">
        <f t="array" ref="B758:C758">_xlfn.XLOOKUP(A758,Sales_Fact!A758:A2742,Sales_Fact!B758:C2742)</f>
        <v>45752</v>
      </c>
      <c r="C758" s="22" t="str">
        <v>CUST1247</v>
      </c>
      <c r="D758" s="22" t="str">
        <f>VLOOKUP('Combine Products &amp; Sales Facts'!C758,'Customer Details'!A:B,2,0)</f>
        <v>Douglas Rhodes</v>
      </c>
      <c r="E758" s="22" t="str">
        <f>VLOOKUP(C758,Sales_Fact!C:D,2,0)</f>
        <v>PROD10</v>
      </c>
      <c r="F758" s="22" t="str">
        <f>VLOOKUP(E758,Product_Dim!A:C,3,0)</f>
        <v>Home</v>
      </c>
      <c r="G758" s="22" t="str" cm="1">
        <f t="array" ref="G758:L758">_xlfn.XLOOKUP(C758,Sales_Fact!C758:C2742,Sales_Fact!E758:J2742)</f>
        <v>STORE4</v>
      </c>
      <c r="H758" s="22">
        <v>1</v>
      </c>
      <c r="I758" s="22">
        <v>768.25</v>
      </c>
      <c r="J758" s="22">
        <v>0.18</v>
      </c>
      <c r="K758" s="22" t="str">
        <v>Credit Card</v>
      </c>
      <c r="L758" s="22">
        <v>629.96500000000003</v>
      </c>
    </row>
    <row r="759" spans="1:12" x14ac:dyDescent="0.3">
      <c r="A759" s="22" t="s">
        <v>2568</v>
      </c>
      <c r="B759" s="34" cm="1">
        <f t="array" ref="B759:C759">_xlfn.XLOOKUP(A759,Sales_Fact!A759:A2743,Sales_Fact!B759:C2743)</f>
        <v>45254</v>
      </c>
      <c r="C759" s="22" t="str">
        <v>CUST1350</v>
      </c>
      <c r="D759" s="22" t="str">
        <f>VLOOKUP('Combine Products &amp; Sales Facts'!C759,'Customer Details'!A:B,2,0)</f>
        <v>Charles Miller</v>
      </c>
      <c r="E759" s="22" t="str">
        <f>VLOOKUP(C759,Sales_Fact!C:D,2,0)</f>
        <v>PROD92</v>
      </c>
      <c r="F759" s="22" t="str">
        <f>VLOOKUP(E759,Product_Dim!A:C,3,0)</f>
        <v>Home</v>
      </c>
      <c r="G759" s="22" t="str" cm="1">
        <f t="array" ref="G759:L759">_xlfn.XLOOKUP(C759,Sales_Fact!C759:C2743,Sales_Fact!E759:J2743)</f>
        <v>STORE19</v>
      </c>
      <c r="H759" s="22">
        <v>2</v>
      </c>
      <c r="I759" s="22">
        <v>318.62</v>
      </c>
      <c r="J759" s="22">
        <v>0.02</v>
      </c>
      <c r="K759" s="22" t="str">
        <v>COD</v>
      </c>
      <c r="L759" s="22">
        <v>624.49519999999995</v>
      </c>
    </row>
    <row r="760" spans="1:12" x14ac:dyDescent="0.3">
      <c r="A760" s="22" t="s">
        <v>2569</v>
      </c>
      <c r="B760" s="34" cm="1">
        <f t="array" ref="B760:C760">_xlfn.XLOOKUP(A760,Sales_Fact!A760:A2744,Sales_Fact!B760:C2744)</f>
        <v>45683</v>
      </c>
      <c r="C760" s="22" t="str">
        <v>CUST1049</v>
      </c>
      <c r="D760" s="22" t="str">
        <f>VLOOKUP('Combine Products &amp; Sales Facts'!C760,'Customer Details'!A:B,2,0)</f>
        <v>Timothy Weaver</v>
      </c>
      <c r="E760" s="22" t="str">
        <f>VLOOKUP(C760,Sales_Fact!C:D,2,0)</f>
        <v>PROD48</v>
      </c>
      <c r="F760" s="22" t="str">
        <f>VLOOKUP(E760,Product_Dim!A:C,3,0)</f>
        <v>Electronics</v>
      </c>
      <c r="G760" s="22" t="str" cm="1">
        <f t="array" ref="G760:L760">_xlfn.XLOOKUP(C760,Sales_Fact!C760:C2744,Sales_Fact!E760:J2744)</f>
        <v>STORE2</v>
      </c>
      <c r="H760" s="22">
        <v>4</v>
      </c>
      <c r="I760" s="22">
        <v>402.11</v>
      </c>
      <c r="J760" s="22">
        <v>0.14000000000000001</v>
      </c>
      <c r="K760" s="22" t="str">
        <v>PayPal</v>
      </c>
      <c r="L760" s="22">
        <v>1383.2583999999999</v>
      </c>
    </row>
    <row r="761" spans="1:12" x14ac:dyDescent="0.3">
      <c r="A761" s="22" t="s">
        <v>2570</v>
      </c>
      <c r="B761" s="34" cm="1">
        <f t="array" ref="B761:C761">_xlfn.XLOOKUP(A761,Sales_Fact!A761:A2745,Sales_Fact!B761:C2745)</f>
        <v>45804</v>
      </c>
      <c r="C761" s="22" t="str">
        <v>CUST1408</v>
      </c>
      <c r="D761" s="22" t="str">
        <f>VLOOKUP('Combine Products &amp; Sales Facts'!C761,'Customer Details'!A:B,2,0)</f>
        <v>Isabel Foster</v>
      </c>
      <c r="E761" s="22" t="str">
        <f>VLOOKUP(C761,Sales_Fact!C:D,2,0)</f>
        <v>PROD31</v>
      </c>
      <c r="F761" s="22" t="str">
        <f>VLOOKUP(E761,Product_Dim!A:C,3,0)</f>
        <v>Sports</v>
      </c>
      <c r="G761" s="22" t="str" cm="1">
        <f t="array" ref="G761:L761">_xlfn.XLOOKUP(C761,Sales_Fact!C761:C2745,Sales_Fact!E761:J2745)</f>
        <v>STORE17</v>
      </c>
      <c r="H761" s="22">
        <v>3</v>
      </c>
      <c r="I761" s="22">
        <v>846.31</v>
      </c>
      <c r="J761" s="22">
        <v>0.18</v>
      </c>
      <c r="K761" s="22" t="str">
        <v>COD</v>
      </c>
      <c r="L761" s="22">
        <v>2081.9225999999999</v>
      </c>
    </row>
    <row r="762" spans="1:12" x14ac:dyDescent="0.3">
      <c r="A762" s="22" t="s">
        <v>2571</v>
      </c>
      <c r="B762" s="34" cm="1">
        <f t="array" ref="B762:C762">_xlfn.XLOOKUP(A762,Sales_Fact!A762:A2746,Sales_Fact!B762:C2746)</f>
        <v>45821</v>
      </c>
      <c r="C762" s="22" t="str">
        <v>CUST1168</v>
      </c>
      <c r="D762" s="22" t="str">
        <f>VLOOKUP('Combine Products &amp; Sales Facts'!C762,'Customer Details'!A:B,2,0)</f>
        <v>Daniel Contreras</v>
      </c>
      <c r="E762" s="22" t="str">
        <f>VLOOKUP(C762,Sales_Fact!C:D,2,0)</f>
        <v>PROD72</v>
      </c>
      <c r="F762" s="22" t="str">
        <f>VLOOKUP(E762,Product_Dim!A:C,3,0)</f>
        <v>Sports</v>
      </c>
      <c r="G762" s="22" t="str" cm="1">
        <f t="array" ref="G762:L762">_xlfn.XLOOKUP(C762,Sales_Fact!C762:C2746,Sales_Fact!E762:J2746)</f>
        <v>STORE14</v>
      </c>
      <c r="H762" s="22">
        <v>1</v>
      </c>
      <c r="I762" s="22">
        <v>269.94</v>
      </c>
      <c r="J762" s="22">
        <v>7.0000000000000007E-2</v>
      </c>
      <c r="K762" s="22" t="str">
        <v>COD</v>
      </c>
      <c r="L762" s="22">
        <v>251.04419999999999</v>
      </c>
    </row>
    <row r="763" spans="1:12" x14ac:dyDescent="0.3">
      <c r="A763" s="22" t="s">
        <v>2572</v>
      </c>
      <c r="B763" s="34" cm="1">
        <f t="array" ref="B763:C763">_xlfn.XLOOKUP(A763,Sales_Fact!A763:A2747,Sales_Fact!B763:C2747)</f>
        <v>45472</v>
      </c>
      <c r="C763" s="22" t="str">
        <v>CUST1241</v>
      </c>
      <c r="D763" s="22" t="str">
        <f>VLOOKUP('Combine Products &amp; Sales Facts'!C763,'Customer Details'!A:B,2,0)</f>
        <v>Mr. William Horton</v>
      </c>
      <c r="E763" s="22" t="str">
        <f>VLOOKUP(C763,Sales_Fact!C:D,2,0)</f>
        <v>PROD15</v>
      </c>
      <c r="F763" s="22" t="str">
        <f>VLOOKUP(E763,Product_Dim!A:C,3,0)</f>
        <v>Electronics</v>
      </c>
      <c r="G763" s="22" t="str" cm="1">
        <f t="array" ref="G763:L763">_xlfn.XLOOKUP(C763,Sales_Fact!C763:C2747,Sales_Fact!E763:J2747)</f>
        <v>STORE4</v>
      </c>
      <c r="H763" s="22">
        <v>3</v>
      </c>
      <c r="I763" s="22">
        <v>909.25</v>
      </c>
      <c r="J763" s="22">
        <v>0.28999999999999998</v>
      </c>
      <c r="K763" s="22" t="str">
        <v>COD</v>
      </c>
      <c r="L763" s="22">
        <v>1936.7025000000001</v>
      </c>
    </row>
    <row r="764" spans="1:12" x14ac:dyDescent="0.3">
      <c r="A764" s="22" t="s">
        <v>2573</v>
      </c>
      <c r="B764" s="34" cm="1">
        <f t="array" ref="B764:C764">_xlfn.XLOOKUP(A764,Sales_Fact!A764:A2748,Sales_Fact!B764:C2748)</f>
        <v>45331</v>
      </c>
      <c r="C764" s="22" t="str">
        <v>CUST1363</v>
      </c>
      <c r="D764" s="22" t="str">
        <f>VLOOKUP('Combine Products &amp; Sales Facts'!C764,'Customer Details'!A:B,2,0)</f>
        <v>Elizabeth Smith</v>
      </c>
      <c r="E764" s="22" t="str">
        <f>VLOOKUP(C764,Sales_Fact!C:D,2,0)</f>
        <v>PROD91</v>
      </c>
      <c r="F764" s="22" t="str">
        <f>VLOOKUP(E764,Product_Dim!A:C,3,0)</f>
        <v>Clothing</v>
      </c>
      <c r="G764" s="22" t="str" cm="1">
        <f t="array" ref="G764:L764">_xlfn.XLOOKUP(C764,Sales_Fact!C764:C2748,Sales_Fact!E764:J2748)</f>
        <v>STORE12</v>
      </c>
      <c r="H764" s="22">
        <v>2</v>
      </c>
      <c r="I764" s="22">
        <v>229.81</v>
      </c>
      <c r="J764" s="22">
        <v>0.21</v>
      </c>
      <c r="K764" s="22" t="str">
        <v>COD</v>
      </c>
      <c r="L764" s="22">
        <v>363.09980000000002</v>
      </c>
    </row>
    <row r="765" spans="1:12" x14ac:dyDescent="0.3">
      <c r="A765" s="22" t="s">
        <v>2574</v>
      </c>
      <c r="B765" s="34" cm="1">
        <f t="array" ref="B765:C765">_xlfn.XLOOKUP(A765,Sales_Fact!A765:A2749,Sales_Fact!B765:C2749)</f>
        <v>45451</v>
      </c>
      <c r="C765" s="22" t="str">
        <v>CUST1037</v>
      </c>
      <c r="D765" s="22" t="str">
        <f>VLOOKUP('Combine Products &amp; Sales Facts'!C765,'Customer Details'!A:B,2,0)</f>
        <v>Christopher Carter</v>
      </c>
      <c r="E765" s="22" t="str">
        <f>VLOOKUP(C765,Sales_Fact!C:D,2,0)</f>
        <v>PROD45</v>
      </c>
      <c r="F765" s="22" t="str">
        <f>VLOOKUP(E765,Product_Dim!A:C,3,0)</f>
        <v>Sports</v>
      </c>
      <c r="G765" s="22" t="str" cm="1">
        <f t="array" ref="G765:L765">_xlfn.XLOOKUP(C765,Sales_Fact!C765:C2749,Sales_Fact!E765:J2749)</f>
        <v>STORE15</v>
      </c>
      <c r="H765" s="22">
        <v>3</v>
      </c>
      <c r="I765" s="22">
        <v>442.36</v>
      </c>
      <c r="J765" s="22">
        <v>0.06</v>
      </c>
      <c r="K765" s="22" t="str">
        <v>PayPal</v>
      </c>
      <c r="L765" s="22">
        <v>1247.4552000000001</v>
      </c>
    </row>
    <row r="766" spans="1:12" x14ac:dyDescent="0.3">
      <c r="A766" s="22" t="s">
        <v>2575</v>
      </c>
      <c r="B766" s="34" cm="1">
        <f t="array" ref="B766:C766">_xlfn.XLOOKUP(A766,Sales_Fact!A766:A2750,Sales_Fact!B766:C2750)</f>
        <v>45386</v>
      </c>
      <c r="C766" s="22" t="str">
        <v>CUST1239</v>
      </c>
      <c r="D766" s="22" t="str">
        <f>VLOOKUP('Combine Products &amp; Sales Facts'!C766,'Customer Details'!A:B,2,0)</f>
        <v>Maria Hill</v>
      </c>
      <c r="E766" s="22" t="str">
        <f>VLOOKUP(C766,Sales_Fact!C:D,2,0)</f>
        <v>PROD19</v>
      </c>
      <c r="F766" s="22" t="str">
        <f>VLOOKUP(E766,Product_Dim!A:C,3,0)</f>
        <v>Sports</v>
      </c>
      <c r="G766" s="22" t="str" cm="1">
        <f t="array" ref="G766:L766">_xlfn.XLOOKUP(C766,Sales_Fact!C766:C2750,Sales_Fact!E766:J2750)</f>
        <v>STORE3</v>
      </c>
      <c r="H766" s="22">
        <v>3</v>
      </c>
      <c r="I766" s="22">
        <v>413.74</v>
      </c>
      <c r="J766" s="22">
        <v>0.01</v>
      </c>
      <c r="K766" s="22" t="str">
        <v>Credit Card</v>
      </c>
      <c r="L766" s="22">
        <v>1228.8078</v>
      </c>
    </row>
    <row r="767" spans="1:12" x14ac:dyDescent="0.3">
      <c r="A767" s="22" t="s">
        <v>2576</v>
      </c>
      <c r="B767" s="34" cm="1">
        <f t="array" ref="B767:C767">_xlfn.XLOOKUP(A767,Sales_Fact!A767:A2751,Sales_Fact!B767:C2751)</f>
        <v>45477</v>
      </c>
      <c r="C767" s="22" t="str">
        <v>CUST1496</v>
      </c>
      <c r="D767" s="22" t="str">
        <f>VLOOKUP('Combine Products &amp; Sales Facts'!C767,'Customer Details'!A:B,2,0)</f>
        <v>Christopher Ford</v>
      </c>
      <c r="E767" s="22" t="str">
        <f>VLOOKUP(C767,Sales_Fact!C:D,2,0)</f>
        <v>PROD51</v>
      </c>
      <c r="F767" s="22" t="str">
        <f>VLOOKUP(E767,Product_Dim!A:C,3,0)</f>
        <v>Electronics</v>
      </c>
      <c r="G767" s="22" t="str" cm="1">
        <f t="array" ref="G767:L767">_xlfn.XLOOKUP(C767,Sales_Fact!C767:C2751,Sales_Fact!E767:J2751)</f>
        <v>STORE14</v>
      </c>
      <c r="H767" s="22">
        <v>4</v>
      </c>
      <c r="I767" s="22">
        <v>79.75</v>
      </c>
      <c r="J767" s="22">
        <v>0.18</v>
      </c>
      <c r="K767" s="22" t="str">
        <v>PayPal</v>
      </c>
      <c r="L767" s="22">
        <v>261.58</v>
      </c>
    </row>
    <row r="768" spans="1:12" x14ac:dyDescent="0.3">
      <c r="A768" s="22" t="s">
        <v>2577</v>
      </c>
      <c r="B768" s="34" cm="1">
        <f t="array" ref="B768:C768">_xlfn.XLOOKUP(A768,Sales_Fact!A768:A2752,Sales_Fact!B768:C2752)</f>
        <v>45433</v>
      </c>
      <c r="C768" s="22" t="str">
        <v>CUST1495</v>
      </c>
      <c r="D768" s="22" t="str">
        <f>VLOOKUP('Combine Products &amp; Sales Facts'!C768,'Customer Details'!A:B,2,0)</f>
        <v>James Berger</v>
      </c>
      <c r="E768" s="22" t="str">
        <f>VLOOKUP(C768,Sales_Fact!C:D,2,0)</f>
        <v>PROD61</v>
      </c>
      <c r="F768" s="22" t="str">
        <f>VLOOKUP(E768,Product_Dim!A:C,3,0)</f>
        <v>Sports</v>
      </c>
      <c r="G768" s="22" t="str" cm="1">
        <f t="array" ref="G768:L768">_xlfn.XLOOKUP(C768,Sales_Fact!C768:C2752,Sales_Fact!E768:J2752)</f>
        <v>STORE12</v>
      </c>
      <c r="H768" s="22">
        <v>4</v>
      </c>
      <c r="I768" s="22">
        <v>95.06</v>
      </c>
      <c r="J768" s="22">
        <v>0.03</v>
      </c>
      <c r="K768" s="22" t="str">
        <v>Credit Card</v>
      </c>
      <c r="L768" s="22">
        <v>368.83280000000002</v>
      </c>
    </row>
    <row r="769" spans="1:12" x14ac:dyDescent="0.3">
      <c r="A769" s="22" t="s">
        <v>2578</v>
      </c>
      <c r="B769" s="34" cm="1">
        <f t="array" ref="B769:C769">_xlfn.XLOOKUP(A769,Sales_Fact!A769:A2753,Sales_Fact!B769:C2753)</f>
        <v>45759</v>
      </c>
      <c r="C769" s="22" t="str">
        <v>CUST1416</v>
      </c>
      <c r="D769" s="22" t="str">
        <f>VLOOKUP('Combine Products &amp; Sales Facts'!C769,'Customer Details'!A:B,2,0)</f>
        <v>Jennifer Myers</v>
      </c>
      <c r="E769" s="22" t="str">
        <f>VLOOKUP(C769,Sales_Fact!C:D,2,0)</f>
        <v>PROD49</v>
      </c>
      <c r="F769" s="22" t="str">
        <f>VLOOKUP(E769,Product_Dim!A:C,3,0)</f>
        <v>Beauty</v>
      </c>
      <c r="G769" s="22" t="str" cm="1">
        <f t="array" ref="G769:L769">_xlfn.XLOOKUP(C769,Sales_Fact!C769:C2753,Sales_Fact!E769:J2753)</f>
        <v>STORE7</v>
      </c>
      <c r="H769" s="22">
        <v>4</v>
      </c>
      <c r="I769" s="22">
        <v>107.08</v>
      </c>
      <c r="J769" s="22">
        <v>0.27</v>
      </c>
      <c r="K769" s="22" t="str">
        <v>COD</v>
      </c>
      <c r="L769" s="22">
        <v>312.67360000000002</v>
      </c>
    </row>
    <row r="770" spans="1:12" x14ac:dyDescent="0.3">
      <c r="A770" s="22" t="s">
        <v>2579</v>
      </c>
      <c r="B770" s="34" cm="1">
        <f t="array" ref="B770:C770">_xlfn.XLOOKUP(A770,Sales_Fact!A770:A2754,Sales_Fact!B770:C2754)</f>
        <v>45794</v>
      </c>
      <c r="C770" s="22" t="str">
        <v>CUST1474</v>
      </c>
      <c r="D770" s="22" t="str">
        <f>VLOOKUP('Combine Products &amp; Sales Facts'!C770,'Customer Details'!A:B,2,0)</f>
        <v>Joshua Howard</v>
      </c>
      <c r="E770" s="22" t="str">
        <f>VLOOKUP(C770,Sales_Fact!C:D,2,0)</f>
        <v>PROD99</v>
      </c>
      <c r="F770" s="22" t="str">
        <f>VLOOKUP(E770,Product_Dim!A:C,3,0)</f>
        <v>Home</v>
      </c>
      <c r="G770" s="22" t="str" cm="1">
        <f t="array" ref="G770:L770">_xlfn.XLOOKUP(C770,Sales_Fact!C770:C2754,Sales_Fact!E770:J2754)</f>
        <v>STORE18</v>
      </c>
      <c r="H770" s="22">
        <v>1</v>
      </c>
      <c r="I770" s="22">
        <v>873.18</v>
      </c>
      <c r="J770" s="22">
        <v>0.03</v>
      </c>
      <c r="K770" s="22" t="str">
        <v>COD</v>
      </c>
      <c r="L770" s="22">
        <v>846.98459999999989</v>
      </c>
    </row>
    <row r="771" spans="1:12" x14ac:dyDescent="0.3">
      <c r="A771" s="22" t="s">
        <v>2580</v>
      </c>
      <c r="B771" s="34" cm="1">
        <f t="array" ref="B771:C771">_xlfn.XLOOKUP(A771,Sales_Fact!A771:A2755,Sales_Fact!B771:C2755)</f>
        <v>45764</v>
      </c>
      <c r="C771" s="22" t="str">
        <v>CUST1377</v>
      </c>
      <c r="D771" s="22" t="str">
        <f>VLOOKUP('Combine Products &amp; Sales Facts'!C771,'Customer Details'!A:B,2,0)</f>
        <v>Charles Conley</v>
      </c>
      <c r="E771" s="22" t="str">
        <f>VLOOKUP(C771,Sales_Fact!C:D,2,0)</f>
        <v>PROD92</v>
      </c>
      <c r="F771" s="22" t="str">
        <f>VLOOKUP(E771,Product_Dim!A:C,3,0)</f>
        <v>Home</v>
      </c>
      <c r="G771" s="22" t="str" cm="1">
        <f t="array" ref="G771:L771">_xlfn.XLOOKUP(C771,Sales_Fact!C771:C2755,Sales_Fact!E771:J2755)</f>
        <v>STORE18</v>
      </c>
      <c r="H771" s="22">
        <v>1</v>
      </c>
      <c r="I771" s="22">
        <v>914.75</v>
      </c>
      <c r="J771" s="22">
        <v>0.1</v>
      </c>
      <c r="K771" s="22" t="str">
        <v>COD</v>
      </c>
      <c r="L771" s="22">
        <v>823.27499999999998</v>
      </c>
    </row>
    <row r="772" spans="1:12" x14ac:dyDescent="0.3">
      <c r="A772" s="22" t="s">
        <v>2581</v>
      </c>
      <c r="B772" s="34" cm="1">
        <f t="array" ref="B772:C772">_xlfn.XLOOKUP(A772,Sales_Fact!A772:A2756,Sales_Fact!B772:C2756)</f>
        <v>45279</v>
      </c>
      <c r="C772" s="22" t="str">
        <v>CUST1049</v>
      </c>
      <c r="D772" s="22" t="str">
        <f>VLOOKUP('Combine Products &amp; Sales Facts'!C772,'Customer Details'!A:B,2,0)</f>
        <v>Timothy Weaver</v>
      </c>
      <c r="E772" s="22" t="str">
        <f>VLOOKUP(C772,Sales_Fact!C:D,2,0)</f>
        <v>PROD48</v>
      </c>
      <c r="F772" s="22" t="str">
        <f>VLOOKUP(E772,Product_Dim!A:C,3,0)</f>
        <v>Electronics</v>
      </c>
      <c r="G772" s="22" t="str" cm="1">
        <f t="array" ref="G772:L772">_xlfn.XLOOKUP(C772,Sales_Fact!C772:C2756,Sales_Fact!E772:J2756)</f>
        <v>STORE13</v>
      </c>
      <c r="H772" s="22">
        <v>4</v>
      </c>
      <c r="I772" s="22">
        <v>457.33</v>
      </c>
      <c r="J772" s="22">
        <v>0.1</v>
      </c>
      <c r="K772" s="22" t="str">
        <v>Credit Card</v>
      </c>
      <c r="L772" s="22">
        <v>1646.3879999999999</v>
      </c>
    </row>
    <row r="773" spans="1:12" x14ac:dyDescent="0.3">
      <c r="A773" s="22" t="s">
        <v>2582</v>
      </c>
      <c r="B773" s="34" cm="1">
        <f t="array" ref="B773:C773">_xlfn.XLOOKUP(A773,Sales_Fact!A773:A2757,Sales_Fact!B773:C2757)</f>
        <v>45602</v>
      </c>
      <c r="C773" s="22" t="str">
        <v>CUST1292</v>
      </c>
      <c r="D773" s="22" t="str">
        <f>VLOOKUP('Combine Products &amp; Sales Facts'!C773,'Customer Details'!A:B,2,0)</f>
        <v>Ricardo Jones</v>
      </c>
      <c r="E773" s="22" t="str">
        <f>VLOOKUP(C773,Sales_Fact!C:D,2,0)</f>
        <v>PROD99</v>
      </c>
      <c r="F773" s="22" t="str">
        <f>VLOOKUP(E773,Product_Dim!A:C,3,0)</f>
        <v>Home</v>
      </c>
      <c r="G773" s="22" t="str" cm="1">
        <f t="array" ref="G773:L773">_xlfn.XLOOKUP(C773,Sales_Fact!C773:C2757,Sales_Fact!E773:J2757)</f>
        <v>STORE3</v>
      </c>
      <c r="H773" s="22">
        <v>3</v>
      </c>
      <c r="I773" s="22">
        <v>761.88</v>
      </c>
      <c r="J773" s="22">
        <v>0.23</v>
      </c>
      <c r="K773" s="22" t="str">
        <v>PayPal</v>
      </c>
      <c r="L773" s="22">
        <v>1759.9428</v>
      </c>
    </row>
    <row r="774" spans="1:12" x14ac:dyDescent="0.3">
      <c r="A774" s="22" t="s">
        <v>2583</v>
      </c>
      <c r="B774" s="34" cm="1">
        <f t="array" ref="B774:C774">_xlfn.XLOOKUP(A774,Sales_Fact!A774:A2758,Sales_Fact!B774:C2758)</f>
        <v>45793</v>
      </c>
      <c r="C774" s="22" t="str">
        <v>CUST1177</v>
      </c>
      <c r="D774" s="22" t="str">
        <f>VLOOKUP('Combine Products &amp; Sales Facts'!C774,'Customer Details'!A:B,2,0)</f>
        <v>Curtis Lam</v>
      </c>
      <c r="E774" s="22" t="str">
        <f>VLOOKUP(C774,Sales_Fact!C:D,2,0)</f>
        <v>PROD59</v>
      </c>
      <c r="F774" s="22" t="str">
        <f>VLOOKUP(E774,Product_Dim!A:C,3,0)</f>
        <v>Beauty</v>
      </c>
      <c r="G774" s="22" t="str" cm="1">
        <f t="array" ref="G774:L774">_xlfn.XLOOKUP(C774,Sales_Fact!C774:C2758,Sales_Fact!E774:J2758)</f>
        <v>STORE19</v>
      </c>
      <c r="H774" s="22">
        <v>4</v>
      </c>
      <c r="I774" s="22">
        <v>122.87</v>
      </c>
      <c r="J774" s="22">
        <v>0.13</v>
      </c>
      <c r="K774" s="22" t="str">
        <v>Credit Card</v>
      </c>
      <c r="L774" s="22">
        <v>427.58760000000001</v>
      </c>
    </row>
    <row r="775" spans="1:12" x14ac:dyDescent="0.3">
      <c r="A775" s="22" t="s">
        <v>2584</v>
      </c>
      <c r="B775" s="34" cm="1">
        <f t="array" ref="B775:C775">_xlfn.XLOOKUP(A775,Sales_Fact!A775:A2759,Sales_Fact!B775:C2759)</f>
        <v>45778</v>
      </c>
      <c r="C775" s="22" t="str">
        <v>CUST1475</v>
      </c>
      <c r="D775" s="22" t="str">
        <f>VLOOKUP('Combine Products &amp; Sales Facts'!C775,'Customer Details'!A:B,2,0)</f>
        <v>Barbara Berry</v>
      </c>
      <c r="E775" s="22" t="str">
        <f>VLOOKUP(C775,Sales_Fact!C:D,2,0)</f>
        <v>PROD73</v>
      </c>
      <c r="F775" s="22" t="str">
        <f>VLOOKUP(E775,Product_Dim!A:C,3,0)</f>
        <v>Sports</v>
      </c>
      <c r="G775" s="22" t="str" cm="1">
        <f t="array" ref="G775:L775">_xlfn.XLOOKUP(C775,Sales_Fact!C775:C2759,Sales_Fact!E775:J2759)</f>
        <v>STORE4</v>
      </c>
      <c r="H775" s="22">
        <v>4</v>
      </c>
      <c r="I775" s="22">
        <v>753</v>
      </c>
      <c r="J775" s="22">
        <v>0.28000000000000003</v>
      </c>
      <c r="K775" s="22" t="str">
        <v>COD</v>
      </c>
      <c r="L775" s="22">
        <v>2168.64</v>
      </c>
    </row>
    <row r="776" spans="1:12" x14ac:dyDescent="0.3">
      <c r="A776" s="22" t="s">
        <v>2585</v>
      </c>
      <c r="B776" s="34" cm="1">
        <f t="array" ref="B776:C776">_xlfn.XLOOKUP(A776,Sales_Fact!A776:A2760,Sales_Fact!B776:C2760)</f>
        <v>45325</v>
      </c>
      <c r="C776" s="22" t="str">
        <v>CUST1370</v>
      </c>
      <c r="D776" s="22" t="str">
        <f>VLOOKUP('Combine Products &amp; Sales Facts'!C776,'Customer Details'!A:B,2,0)</f>
        <v>James Holloway Jr.</v>
      </c>
      <c r="E776" s="22" t="str">
        <f>VLOOKUP(C776,Sales_Fact!C:D,2,0)</f>
        <v>PROD37</v>
      </c>
      <c r="F776" s="22" t="str">
        <f>VLOOKUP(E776,Product_Dim!A:C,3,0)</f>
        <v>Clothing</v>
      </c>
      <c r="G776" s="22" t="str" cm="1">
        <f t="array" ref="G776:L776">_xlfn.XLOOKUP(C776,Sales_Fact!C776:C2760,Sales_Fact!E776:J2760)</f>
        <v>STORE5</v>
      </c>
      <c r="H776" s="22">
        <v>2</v>
      </c>
      <c r="I776" s="22">
        <v>788.05</v>
      </c>
      <c r="J776" s="22">
        <v>0.21</v>
      </c>
      <c r="K776" s="22" t="str">
        <v>Credit Card</v>
      </c>
      <c r="L776" s="22">
        <v>1245.1189999999999</v>
      </c>
    </row>
    <row r="777" spans="1:12" x14ac:dyDescent="0.3">
      <c r="A777" s="22" t="s">
        <v>2586</v>
      </c>
      <c r="B777" s="34" cm="1">
        <f t="array" ref="B777:C777">_xlfn.XLOOKUP(A777,Sales_Fact!A777:A2761,Sales_Fact!B777:C2761)</f>
        <v>45875</v>
      </c>
      <c r="C777" s="22" t="str">
        <v>CUST1462</v>
      </c>
      <c r="D777" s="22" t="str">
        <f>VLOOKUP('Combine Products &amp; Sales Facts'!C777,'Customer Details'!A:B,2,0)</f>
        <v>Beth Martin</v>
      </c>
      <c r="E777" s="22" t="str">
        <f>VLOOKUP(C777,Sales_Fact!C:D,2,0)</f>
        <v>PROD33</v>
      </c>
      <c r="F777" s="22" t="str">
        <f>VLOOKUP(E777,Product_Dim!A:C,3,0)</f>
        <v>Home</v>
      </c>
      <c r="G777" s="22" t="str" cm="1">
        <f t="array" ref="G777:L777">_xlfn.XLOOKUP(C777,Sales_Fact!C777:C2761,Sales_Fact!E777:J2761)</f>
        <v>STORE10</v>
      </c>
      <c r="H777" s="22">
        <v>2</v>
      </c>
      <c r="I777" s="22">
        <v>807.1</v>
      </c>
      <c r="J777" s="22">
        <v>0.28999999999999998</v>
      </c>
      <c r="K777" s="22" t="str">
        <v>Credit Card</v>
      </c>
      <c r="L777" s="22">
        <v>1146.0820000000001</v>
      </c>
    </row>
    <row r="778" spans="1:12" x14ac:dyDescent="0.3">
      <c r="A778" s="22" t="s">
        <v>2587</v>
      </c>
      <c r="B778" s="34" cm="1">
        <f t="array" ref="B778:C778">_xlfn.XLOOKUP(A778,Sales_Fact!A778:A2762,Sales_Fact!B778:C2762)</f>
        <v>45320</v>
      </c>
      <c r="C778" s="22" t="str">
        <v>CUST1134</v>
      </c>
      <c r="D778" s="22" t="str">
        <f>VLOOKUP('Combine Products &amp; Sales Facts'!C778,'Customer Details'!A:B,2,0)</f>
        <v>Morgan Bowen</v>
      </c>
      <c r="E778" s="22" t="str">
        <f>VLOOKUP(C778,Sales_Fact!C:D,2,0)</f>
        <v>PROD70</v>
      </c>
      <c r="F778" s="22" t="str">
        <f>VLOOKUP(E778,Product_Dim!A:C,3,0)</f>
        <v>Home</v>
      </c>
      <c r="G778" s="22" t="str" cm="1">
        <f t="array" ref="G778:L778">_xlfn.XLOOKUP(C778,Sales_Fact!C778:C2762,Sales_Fact!E778:J2762)</f>
        <v>STORE1</v>
      </c>
      <c r="H778" s="22">
        <v>2</v>
      </c>
      <c r="I778" s="22">
        <v>443.09</v>
      </c>
      <c r="J778" s="22">
        <v>0.02</v>
      </c>
      <c r="K778" s="22" t="str">
        <v>PayPal</v>
      </c>
      <c r="L778" s="22">
        <v>868.45639999999992</v>
      </c>
    </row>
    <row r="779" spans="1:12" x14ac:dyDescent="0.3">
      <c r="A779" s="22" t="s">
        <v>2588</v>
      </c>
      <c r="B779" s="34" cm="1">
        <f t="array" ref="B779:C779">_xlfn.XLOOKUP(A779,Sales_Fact!A779:A2763,Sales_Fact!B779:C2763)</f>
        <v>45870</v>
      </c>
      <c r="C779" s="22" t="str">
        <v>CUST1468</v>
      </c>
      <c r="D779" s="22" t="str">
        <f>VLOOKUP('Combine Products &amp; Sales Facts'!C779,'Customer Details'!A:B,2,0)</f>
        <v>Gregory Curtis</v>
      </c>
      <c r="E779" s="22" t="str">
        <f>VLOOKUP(C779,Sales_Fact!C:D,2,0)</f>
        <v>PROD75</v>
      </c>
      <c r="F779" s="22" t="str">
        <f>VLOOKUP(E779,Product_Dim!A:C,3,0)</f>
        <v>Clothing</v>
      </c>
      <c r="G779" s="22" t="str" cm="1">
        <f t="array" ref="G779:L779">_xlfn.XLOOKUP(C779,Sales_Fact!C779:C2763,Sales_Fact!E779:J2763)</f>
        <v>STORE15</v>
      </c>
      <c r="H779" s="22">
        <v>1</v>
      </c>
      <c r="I779" s="22">
        <v>512.16</v>
      </c>
      <c r="J779" s="22">
        <v>0.02</v>
      </c>
      <c r="K779" s="22" t="str">
        <v>COD</v>
      </c>
      <c r="L779" s="22">
        <v>501.91680000000002</v>
      </c>
    </row>
    <row r="780" spans="1:12" x14ac:dyDescent="0.3">
      <c r="A780" s="22" t="s">
        <v>2589</v>
      </c>
      <c r="B780" s="34" cm="1">
        <f t="array" ref="B780:C780">_xlfn.XLOOKUP(A780,Sales_Fact!A780:A2764,Sales_Fact!B780:C2764)</f>
        <v>45577</v>
      </c>
      <c r="C780" s="22" t="str">
        <v>CUST1208</v>
      </c>
      <c r="D780" s="22" t="str">
        <f>VLOOKUP('Combine Products &amp; Sales Facts'!C780,'Customer Details'!A:B,2,0)</f>
        <v>John Perez</v>
      </c>
      <c r="E780" s="22" t="str">
        <f>VLOOKUP(C780,Sales_Fact!C:D,2,0)</f>
        <v>PROD34</v>
      </c>
      <c r="F780" s="22" t="str">
        <f>VLOOKUP(E780,Product_Dim!A:C,3,0)</f>
        <v>Electronics</v>
      </c>
      <c r="G780" s="22" t="str" cm="1">
        <f t="array" ref="G780:L780">_xlfn.XLOOKUP(C780,Sales_Fact!C780:C2764,Sales_Fact!E780:J2764)</f>
        <v>STORE18</v>
      </c>
      <c r="H780" s="22">
        <v>2</v>
      </c>
      <c r="I780" s="22">
        <v>602.54999999999995</v>
      </c>
      <c r="J780" s="22">
        <v>0.23</v>
      </c>
      <c r="K780" s="22" t="str">
        <v>COD</v>
      </c>
      <c r="L780" s="22">
        <v>927.92699999999991</v>
      </c>
    </row>
    <row r="781" spans="1:12" x14ac:dyDescent="0.3">
      <c r="A781" s="22" t="s">
        <v>2590</v>
      </c>
      <c r="B781" s="34" cm="1">
        <f t="array" ref="B781:C781">_xlfn.XLOOKUP(A781,Sales_Fact!A781:A2765,Sales_Fact!B781:C2765)</f>
        <v>45745</v>
      </c>
      <c r="C781" s="22" t="str">
        <v>CUST1164</v>
      </c>
      <c r="D781" s="22" t="str">
        <f>VLOOKUP('Combine Products &amp; Sales Facts'!C781,'Customer Details'!A:B,2,0)</f>
        <v>Daniel Rivas</v>
      </c>
      <c r="E781" s="22" t="str">
        <f>VLOOKUP(C781,Sales_Fact!C:D,2,0)</f>
        <v>PROD48</v>
      </c>
      <c r="F781" s="22" t="str">
        <f>VLOOKUP(E781,Product_Dim!A:C,3,0)</f>
        <v>Electronics</v>
      </c>
      <c r="G781" s="22" t="str" cm="1">
        <f t="array" ref="G781:L781">_xlfn.XLOOKUP(C781,Sales_Fact!C781:C2765,Sales_Fact!E781:J2765)</f>
        <v>STORE0</v>
      </c>
      <c r="H781" s="22">
        <v>3</v>
      </c>
      <c r="I781" s="22">
        <v>846.19</v>
      </c>
      <c r="J781" s="22">
        <v>0.09</v>
      </c>
      <c r="K781" s="22" t="str">
        <v>COD</v>
      </c>
      <c r="L781" s="22">
        <v>2310.0987</v>
      </c>
    </row>
    <row r="782" spans="1:12" x14ac:dyDescent="0.3">
      <c r="A782" s="22" t="s">
        <v>2591</v>
      </c>
      <c r="B782" s="34" cm="1">
        <f t="array" ref="B782:C782">_xlfn.XLOOKUP(A782,Sales_Fact!A782:A2766,Sales_Fact!B782:C2766)</f>
        <v>45772</v>
      </c>
      <c r="C782" s="22" t="str">
        <v>CUST1326</v>
      </c>
      <c r="D782" s="22" t="str">
        <f>VLOOKUP('Combine Products &amp; Sales Facts'!C782,'Customer Details'!A:B,2,0)</f>
        <v>Robert King</v>
      </c>
      <c r="E782" s="22" t="str">
        <f>VLOOKUP(C782,Sales_Fact!C:D,2,0)</f>
        <v>PROD37</v>
      </c>
      <c r="F782" s="22" t="str">
        <f>VLOOKUP(E782,Product_Dim!A:C,3,0)</f>
        <v>Clothing</v>
      </c>
      <c r="G782" s="22" t="str" cm="1">
        <f t="array" ref="G782:L782">_xlfn.XLOOKUP(C782,Sales_Fact!C782:C2766,Sales_Fact!E782:J2766)</f>
        <v>STORE8</v>
      </c>
      <c r="H782" s="22">
        <v>1</v>
      </c>
      <c r="I782" s="22">
        <v>506.73</v>
      </c>
      <c r="J782" s="22">
        <v>0.28999999999999998</v>
      </c>
      <c r="K782" s="22" t="str">
        <v>Credit Card</v>
      </c>
      <c r="L782" s="22">
        <v>359.7783</v>
      </c>
    </row>
    <row r="783" spans="1:12" x14ac:dyDescent="0.3">
      <c r="A783" s="22" t="s">
        <v>2592</v>
      </c>
      <c r="B783" s="34" cm="1">
        <f t="array" ref="B783:C783">_xlfn.XLOOKUP(A783,Sales_Fact!A783:A2767,Sales_Fact!B783:C2767)</f>
        <v>45299</v>
      </c>
      <c r="C783" s="22" t="str">
        <v>CUST1052</v>
      </c>
      <c r="D783" s="22" t="str">
        <f>VLOOKUP('Combine Products &amp; Sales Facts'!C783,'Customer Details'!A:B,2,0)</f>
        <v>Debra Liu</v>
      </c>
      <c r="E783" s="22" t="str">
        <f>VLOOKUP(C783,Sales_Fact!C:D,2,0)</f>
        <v>PROD51</v>
      </c>
      <c r="F783" s="22" t="str">
        <f>VLOOKUP(E783,Product_Dim!A:C,3,0)</f>
        <v>Electronics</v>
      </c>
      <c r="G783" s="22" t="str" cm="1">
        <f t="array" ref="G783:L783">_xlfn.XLOOKUP(C783,Sales_Fact!C783:C2767,Sales_Fact!E783:J2767)</f>
        <v>STORE16</v>
      </c>
      <c r="H783" s="22">
        <v>1</v>
      </c>
      <c r="I783" s="22">
        <v>408.66</v>
      </c>
      <c r="J783" s="22">
        <v>0.13</v>
      </c>
      <c r="K783" s="22" t="str">
        <v>COD</v>
      </c>
      <c r="L783" s="22">
        <v>355.5342</v>
      </c>
    </row>
    <row r="784" spans="1:12" x14ac:dyDescent="0.3">
      <c r="A784" s="22" t="s">
        <v>2593</v>
      </c>
      <c r="B784" s="34" cm="1">
        <f t="array" ref="B784:C784">_xlfn.XLOOKUP(A784,Sales_Fact!A784:A2768,Sales_Fact!B784:C2768)</f>
        <v>45447</v>
      </c>
      <c r="C784" s="22" t="str">
        <v>CUST1110</v>
      </c>
      <c r="D784" s="22" t="str">
        <f>VLOOKUP('Combine Products &amp; Sales Facts'!C784,'Customer Details'!A:B,2,0)</f>
        <v>Ashley Griffin</v>
      </c>
      <c r="E784" s="22" t="str">
        <f>VLOOKUP(C784,Sales_Fact!C:D,2,0)</f>
        <v>PROD8</v>
      </c>
      <c r="F784" s="22" t="str">
        <f>VLOOKUP(E784,Product_Dim!A:C,3,0)</f>
        <v>Electronics</v>
      </c>
      <c r="G784" s="22" t="str" cm="1">
        <f t="array" ref="G784:L784">_xlfn.XLOOKUP(C784,Sales_Fact!C784:C2768,Sales_Fact!E784:J2768)</f>
        <v>STORE17</v>
      </c>
      <c r="H784" s="22">
        <v>3</v>
      </c>
      <c r="I784" s="22">
        <v>170.48</v>
      </c>
      <c r="J784" s="22">
        <v>0.06</v>
      </c>
      <c r="K784" s="22" t="str">
        <v>COD</v>
      </c>
      <c r="L784" s="22">
        <v>480.75359999999989</v>
      </c>
    </row>
    <row r="785" spans="1:12" x14ac:dyDescent="0.3">
      <c r="A785" s="22" t="s">
        <v>2594</v>
      </c>
      <c r="B785" s="34" cm="1">
        <f t="array" ref="B785:C785">_xlfn.XLOOKUP(A785,Sales_Fact!A785:A2769,Sales_Fact!B785:C2769)</f>
        <v>45717</v>
      </c>
      <c r="C785" s="22" t="str">
        <v>CUST1097</v>
      </c>
      <c r="D785" s="22" t="str">
        <f>VLOOKUP('Combine Products &amp; Sales Facts'!C785,'Customer Details'!A:B,2,0)</f>
        <v>David Cobb</v>
      </c>
      <c r="E785" s="22" t="str">
        <f>VLOOKUP(C785,Sales_Fact!C:D,2,0)</f>
        <v>PROD80</v>
      </c>
      <c r="F785" s="22" t="str">
        <f>VLOOKUP(E785,Product_Dim!A:C,3,0)</f>
        <v>Home</v>
      </c>
      <c r="G785" s="22" t="str" cm="1">
        <f t="array" ref="G785:L785">_xlfn.XLOOKUP(C785,Sales_Fact!C785:C2769,Sales_Fact!E785:J2769)</f>
        <v>STORE9</v>
      </c>
      <c r="H785" s="22">
        <v>1</v>
      </c>
      <c r="I785" s="22">
        <v>423.48</v>
      </c>
      <c r="J785" s="22">
        <v>0.18</v>
      </c>
      <c r="K785" s="22" t="str">
        <v>PayPal</v>
      </c>
      <c r="L785" s="22">
        <v>347.25360000000012</v>
      </c>
    </row>
    <row r="786" spans="1:12" x14ac:dyDescent="0.3">
      <c r="A786" s="22" t="s">
        <v>2595</v>
      </c>
      <c r="B786" s="34" cm="1">
        <f t="array" ref="B786:C786">_xlfn.XLOOKUP(A786,Sales_Fact!A786:A2770,Sales_Fact!B786:C2770)</f>
        <v>45213</v>
      </c>
      <c r="C786" s="22" t="str">
        <v>CUST1235</v>
      </c>
      <c r="D786" s="22" t="str">
        <f>VLOOKUP('Combine Products &amp; Sales Facts'!C786,'Customer Details'!A:B,2,0)</f>
        <v>Jon Ortiz</v>
      </c>
      <c r="E786" s="22" t="str">
        <f>VLOOKUP(C786,Sales_Fact!C:D,2,0)</f>
        <v>PROD91</v>
      </c>
      <c r="F786" s="22" t="str">
        <f>VLOOKUP(E786,Product_Dim!A:C,3,0)</f>
        <v>Clothing</v>
      </c>
      <c r="G786" s="22" t="str" cm="1">
        <f t="array" ref="G786:L786">_xlfn.XLOOKUP(C786,Sales_Fact!C786:C2770,Sales_Fact!E786:J2770)</f>
        <v>STORE11</v>
      </c>
      <c r="H786" s="22">
        <v>4</v>
      </c>
      <c r="I786" s="22">
        <v>23.57</v>
      </c>
      <c r="J786" s="22">
        <v>0.1</v>
      </c>
      <c r="K786" s="22" t="str">
        <v>Credit Card</v>
      </c>
      <c r="L786" s="22">
        <v>84.852000000000004</v>
      </c>
    </row>
    <row r="787" spans="1:12" x14ac:dyDescent="0.3">
      <c r="A787" s="22" t="s">
        <v>2596</v>
      </c>
      <c r="B787" s="34" cm="1">
        <f t="array" ref="B787:C787">_xlfn.XLOOKUP(A787,Sales_Fact!A787:A2771,Sales_Fact!B787:C2771)</f>
        <v>45837</v>
      </c>
      <c r="C787" s="22" t="str">
        <v>CUST1381</v>
      </c>
      <c r="D787" s="22" t="str">
        <f>VLOOKUP('Combine Products &amp; Sales Facts'!C787,'Customer Details'!A:B,2,0)</f>
        <v>Erika Padilla</v>
      </c>
      <c r="E787" s="22" t="str">
        <f>VLOOKUP(C787,Sales_Fact!C:D,2,0)</f>
        <v>PROD5</v>
      </c>
      <c r="F787" s="22" t="str">
        <f>VLOOKUP(E787,Product_Dim!A:C,3,0)</f>
        <v>Clothing</v>
      </c>
      <c r="G787" s="22" t="str" cm="1">
        <f t="array" ref="G787:L787">_xlfn.XLOOKUP(C787,Sales_Fact!C787:C2771,Sales_Fact!E787:J2771)</f>
        <v>STORE18</v>
      </c>
      <c r="H787" s="22">
        <v>2</v>
      </c>
      <c r="I787" s="22">
        <v>953.26</v>
      </c>
      <c r="J787" s="22">
        <v>0.1</v>
      </c>
      <c r="K787" s="22" t="str">
        <v>COD</v>
      </c>
      <c r="L787" s="22">
        <v>1715.8679999999999</v>
      </c>
    </row>
    <row r="788" spans="1:12" x14ac:dyDescent="0.3">
      <c r="A788" s="22" t="s">
        <v>2597</v>
      </c>
      <c r="B788" s="34" cm="1">
        <f t="array" ref="B788:C788">_xlfn.XLOOKUP(A788,Sales_Fact!A788:A2772,Sales_Fact!B788:C2772)</f>
        <v>45277</v>
      </c>
      <c r="C788" s="22" t="str">
        <v>CUST1347</v>
      </c>
      <c r="D788" s="22" t="str">
        <f>VLOOKUP('Combine Products &amp; Sales Facts'!C788,'Customer Details'!A:B,2,0)</f>
        <v>Justin Mason Dds</v>
      </c>
      <c r="E788" s="22" t="str">
        <f>VLOOKUP(C788,Sales_Fact!C:D,2,0)</f>
        <v>PROD37</v>
      </c>
      <c r="F788" s="22" t="str">
        <f>VLOOKUP(E788,Product_Dim!A:C,3,0)</f>
        <v>Clothing</v>
      </c>
      <c r="G788" s="22" t="str" cm="1">
        <f t="array" ref="G788:L788">_xlfn.XLOOKUP(C788,Sales_Fact!C788:C2772,Sales_Fact!E788:J2772)</f>
        <v>STORE7</v>
      </c>
      <c r="H788" s="22">
        <v>3</v>
      </c>
      <c r="I788" s="22">
        <v>405.13</v>
      </c>
      <c r="J788" s="22">
        <v>0.14000000000000001</v>
      </c>
      <c r="K788" s="22" t="str">
        <v>COD</v>
      </c>
      <c r="L788" s="22">
        <v>1045.2354</v>
      </c>
    </row>
    <row r="789" spans="1:12" x14ac:dyDescent="0.3">
      <c r="A789" s="22" t="s">
        <v>2598</v>
      </c>
      <c r="B789" s="34" cm="1">
        <f t="array" ref="B789:C789">_xlfn.XLOOKUP(A789,Sales_Fact!A789:A2773,Sales_Fact!B789:C2773)</f>
        <v>45248</v>
      </c>
      <c r="C789" s="22" t="str">
        <v>CUST1339</v>
      </c>
      <c r="D789" s="22" t="str">
        <f>VLOOKUP('Combine Products &amp; Sales Facts'!C789,'Customer Details'!A:B,2,0)</f>
        <v>Mrs. Susan Buckley</v>
      </c>
      <c r="E789" s="22" t="str">
        <f>VLOOKUP(C789,Sales_Fact!C:D,2,0)</f>
        <v>PROD9</v>
      </c>
      <c r="F789" s="22" t="str">
        <f>VLOOKUP(E789,Product_Dim!A:C,3,0)</f>
        <v>Sports</v>
      </c>
      <c r="G789" s="22" t="str" cm="1">
        <f t="array" ref="G789:L789">_xlfn.XLOOKUP(C789,Sales_Fact!C789:C2773,Sales_Fact!E789:J2773)</f>
        <v>STORE4</v>
      </c>
      <c r="H789" s="22">
        <v>2</v>
      </c>
      <c r="I789" s="22">
        <v>333.83</v>
      </c>
      <c r="J789" s="22">
        <v>0.26</v>
      </c>
      <c r="K789" s="22" t="str">
        <v>PayPal</v>
      </c>
      <c r="L789" s="22">
        <v>494.0684</v>
      </c>
    </row>
    <row r="790" spans="1:12" x14ac:dyDescent="0.3">
      <c r="A790" s="22" t="s">
        <v>2599</v>
      </c>
      <c r="B790" s="34" cm="1">
        <f t="array" ref="B790:C790">_xlfn.XLOOKUP(A790,Sales_Fact!A790:A2774,Sales_Fact!B790:C2774)</f>
        <v>45741</v>
      </c>
      <c r="C790" s="22" t="str">
        <v>CUST1333</v>
      </c>
      <c r="D790" s="22" t="str">
        <f>VLOOKUP('Combine Products &amp; Sales Facts'!C790,'Customer Details'!A:B,2,0)</f>
        <v>Teresa Johnson</v>
      </c>
      <c r="E790" s="22" t="str">
        <f>VLOOKUP(C790,Sales_Fact!C:D,2,0)</f>
        <v>PROD0</v>
      </c>
      <c r="F790" s="22" t="str">
        <f>VLOOKUP(E790,Product_Dim!A:C,3,0)</f>
        <v>Electronics</v>
      </c>
      <c r="G790" s="22" t="str" cm="1">
        <f t="array" ref="G790:L790">_xlfn.XLOOKUP(C790,Sales_Fact!C790:C2774,Sales_Fact!E790:J2774)</f>
        <v>STORE3</v>
      </c>
      <c r="H790" s="22">
        <v>2</v>
      </c>
      <c r="I790" s="22">
        <v>727.18</v>
      </c>
      <c r="J790" s="22">
        <v>0.22</v>
      </c>
      <c r="K790" s="22" t="str">
        <v>PayPal</v>
      </c>
      <c r="L790" s="22">
        <v>1134.4007999999999</v>
      </c>
    </row>
    <row r="791" spans="1:12" x14ac:dyDescent="0.3">
      <c r="A791" s="22" t="s">
        <v>2600</v>
      </c>
      <c r="B791" s="34" cm="1">
        <f t="array" ref="B791:C791">_xlfn.XLOOKUP(A791,Sales_Fact!A791:A2775,Sales_Fact!B791:C2775)</f>
        <v>45778</v>
      </c>
      <c r="C791" s="22" t="str">
        <v>CUST1306</v>
      </c>
      <c r="D791" s="22" t="str">
        <f>VLOOKUP('Combine Products &amp; Sales Facts'!C791,'Customer Details'!A:B,2,0)</f>
        <v>Angela Robinson</v>
      </c>
      <c r="E791" s="22" t="str">
        <f>VLOOKUP(C791,Sales_Fact!C:D,2,0)</f>
        <v>PROD5</v>
      </c>
      <c r="F791" s="22" t="str">
        <f>VLOOKUP(E791,Product_Dim!A:C,3,0)</f>
        <v>Clothing</v>
      </c>
      <c r="G791" s="22" t="str" cm="1">
        <f t="array" ref="G791:L791">_xlfn.XLOOKUP(C791,Sales_Fact!C791:C2775,Sales_Fact!E791:J2775)</f>
        <v>STORE10</v>
      </c>
      <c r="H791" s="22">
        <v>2</v>
      </c>
      <c r="I791" s="22">
        <v>516.02</v>
      </c>
      <c r="J791" s="22">
        <v>0.19</v>
      </c>
      <c r="K791" s="22" t="str">
        <v>COD</v>
      </c>
      <c r="L791" s="22">
        <v>835.95240000000001</v>
      </c>
    </row>
    <row r="792" spans="1:12" x14ac:dyDescent="0.3">
      <c r="A792" s="22" t="s">
        <v>2601</v>
      </c>
      <c r="B792" s="34" cm="1">
        <f t="array" ref="B792:C792">_xlfn.XLOOKUP(A792,Sales_Fact!A792:A2776,Sales_Fact!B792:C2776)</f>
        <v>45361</v>
      </c>
      <c r="C792" s="22" t="str">
        <v>CUST1294</v>
      </c>
      <c r="D792" s="22" t="str">
        <f>VLOOKUP('Combine Products &amp; Sales Facts'!C792,'Customer Details'!A:B,2,0)</f>
        <v>Lisa Chandler</v>
      </c>
      <c r="E792" s="22" t="str">
        <f>VLOOKUP(C792,Sales_Fact!C:D,2,0)</f>
        <v>PROD82</v>
      </c>
      <c r="F792" s="22" t="str">
        <f>VLOOKUP(E792,Product_Dim!A:C,3,0)</f>
        <v>Sports</v>
      </c>
      <c r="G792" s="22" t="str" cm="1">
        <f t="array" ref="G792:L792">_xlfn.XLOOKUP(C792,Sales_Fact!C792:C2776,Sales_Fact!E792:J2776)</f>
        <v>STORE11</v>
      </c>
      <c r="H792" s="22">
        <v>2</v>
      </c>
      <c r="I792" s="22">
        <v>705.61</v>
      </c>
      <c r="J792" s="22">
        <v>0.28000000000000003</v>
      </c>
      <c r="K792" s="22" t="str">
        <v>Credit Card</v>
      </c>
      <c r="L792" s="22">
        <v>1016.0784</v>
      </c>
    </row>
    <row r="793" spans="1:12" x14ac:dyDescent="0.3">
      <c r="A793" s="22" t="s">
        <v>2602</v>
      </c>
      <c r="B793" s="34" cm="1">
        <f t="array" ref="B793:C793">_xlfn.XLOOKUP(A793,Sales_Fact!A793:A2777,Sales_Fact!B793:C2777)</f>
        <v>45414</v>
      </c>
      <c r="C793" s="22" t="str">
        <v>CUST1275</v>
      </c>
      <c r="D793" s="22" t="str">
        <f>VLOOKUP('Combine Products &amp; Sales Facts'!C793,'Customer Details'!A:B,2,0)</f>
        <v>Shannon Miller</v>
      </c>
      <c r="E793" s="22" t="str">
        <f>VLOOKUP(C793,Sales_Fact!C:D,2,0)</f>
        <v>PROD69</v>
      </c>
      <c r="F793" s="22" t="str">
        <f>VLOOKUP(E793,Product_Dim!A:C,3,0)</f>
        <v>Clothing</v>
      </c>
      <c r="G793" s="22" t="str" cm="1">
        <f t="array" ref="G793:L793">_xlfn.XLOOKUP(C793,Sales_Fact!C793:C2777,Sales_Fact!E793:J2777)</f>
        <v>STORE8</v>
      </c>
      <c r="H793" s="22">
        <v>3</v>
      </c>
      <c r="I793" s="22">
        <v>654.47</v>
      </c>
      <c r="J793" s="22">
        <v>0.18</v>
      </c>
      <c r="K793" s="22" t="str">
        <v>COD</v>
      </c>
      <c r="L793" s="22">
        <v>1609.9962</v>
      </c>
    </row>
    <row r="794" spans="1:12" x14ac:dyDescent="0.3">
      <c r="A794" s="22" t="s">
        <v>2603</v>
      </c>
      <c r="B794" s="34" cm="1">
        <f t="array" ref="B794:C794">_xlfn.XLOOKUP(A794,Sales_Fact!A794:A2778,Sales_Fact!B794:C2778)</f>
        <v>45734</v>
      </c>
      <c r="C794" s="22" t="str">
        <v>CUST1171</v>
      </c>
      <c r="D794" s="22" t="str">
        <f>VLOOKUP('Combine Products &amp; Sales Facts'!C794,'Customer Details'!A:B,2,0)</f>
        <v>Amy Wilson</v>
      </c>
      <c r="E794" s="22" t="str">
        <f>VLOOKUP(C794,Sales_Fact!C:D,2,0)</f>
        <v>PROD90</v>
      </c>
      <c r="F794" s="22" t="str">
        <f>VLOOKUP(E794,Product_Dim!A:C,3,0)</f>
        <v>Electronics</v>
      </c>
      <c r="G794" s="22" t="str" cm="1">
        <f t="array" ref="G794:L794">_xlfn.XLOOKUP(C794,Sales_Fact!C794:C2778,Sales_Fact!E794:J2778)</f>
        <v>STORE15</v>
      </c>
      <c r="H794" s="22">
        <v>2</v>
      </c>
      <c r="I794" s="22">
        <v>315.27</v>
      </c>
      <c r="J794" s="22">
        <v>0.23</v>
      </c>
      <c r="K794" s="22" t="str">
        <v>Credit Card</v>
      </c>
      <c r="L794" s="22">
        <v>485.51580000000001</v>
      </c>
    </row>
    <row r="795" spans="1:12" x14ac:dyDescent="0.3">
      <c r="A795" s="22" t="s">
        <v>2604</v>
      </c>
      <c r="B795" s="34" cm="1">
        <f t="array" ref="B795:C795">_xlfn.XLOOKUP(A795,Sales_Fact!A795:A2779,Sales_Fact!B795:C2779)</f>
        <v>45623</v>
      </c>
      <c r="C795" s="22" t="str">
        <v>CUST1222</v>
      </c>
      <c r="D795" s="22" t="str">
        <f>VLOOKUP('Combine Products &amp; Sales Facts'!C795,'Customer Details'!A:B,2,0)</f>
        <v>Alejandro Doyle</v>
      </c>
      <c r="E795" s="22" t="str">
        <f>VLOOKUP(C795,Sales_Fact!C:D,2,0)</f>
        <v>PROD46</v>
      </c>
      <c r="F795" s="22" t="str">
        <f>VLOOKUP(E795,Product_Dim!A:C,3,0)</f>
        <v>Clothing</v>
      </c>
      <c r="G795" s="22" t="str" cm="1">
        <f t="array" ref="G795:L795">_xlfn.XLOOKUP(C795,Sales_Fact!C795:C2779,Sales_Fact!E795:J2779)</f>
        <v>STORE2</v>
      </c>
      <c r="H795" s="22">
        <v>1</v>
      </c>
      <c r="I795" s="22">
        <v>974.47</v>
      </c>
      <c r="J795" s="22">
        <v>0.05</v>
      </c>
      <c r="K795" s="22" t="str">
        <v>Credit Card</v>
      </c>
      <c r="L795" s="22">
        <v>925.74649999999997</v>
      </c>
    </row>
    <row r="796" spans="1:12" x14ac:dyDescent="0.3">
      <c r="A796" s="22" t="s">
        <v>2605</v>
      </c>
      <c r="B796" s="34" cm="1">
        <f t="array" ref="B796:C796">_xlfn.XLOOKUP(A796,Sales_Fact!A796:A2780,Sales_Fact!B796:C2780)</f>
        <v>45340</v>
      </c>
      <c r="C796" s="22" t="str">
        <v>CUST1067</v>
      </c>
      <c r="D796" s="22" t="str">
        <f>VLOOKUP('Combine Products &amp; Sales Facts'!C796,'Customer Details'!A:B,2,0)</f>
        <v>Amber Mcclain</v>
      </c>
      <c r="E796" s="22" t="str">
        <f>VLOOKUP(C796,Sales_Fact!C:D,2,0)</f>
        <v>PROD46</v>
      </c>
      <c r="F796" s="22" t="str">
        <f>VLOOKUP(E796,Product_Dim!A:C,3,0)</f>
        <v>Clothing</v>
      </c>
      <c r="G796" s="22" t="str" cm="1">
        <f t="array" ref="G796:L796">_xlfn.XLOOKUP(C796,Sales_Fact!C796:C2780,Sales_Fact!E796:J2780)</f>
        <v>STORE4</v>
      </c>
      <c r="H796" s="22">
        <v>2</v>
      </c>
      <c r="I796" s="22">
        <v>803.3</v>
      </c>
      <c r="J796" s="22">
        <v>0.17</v>
      </c>
      <c r="K796" s="22" t="str">
        <v>Credit Card</v>
      </c>
      <c r="L796" s="22">
        <v>1333.4780000000001</v>
      </c>
    </row>
    <row r="797" spans="1:12" x14ac:dyDescent="0.3">
      <c r="A797" s="22" t="s">
        <v>2606</v>
      </c>
      <c r="B797" s="34" cm="1">
        <f t="array" ref="B797:C797">_xlfn.XLOOKUP(A797,Sales_Fact!A797:A2781,Sales_Fact!B797:C2781)</f>
        <v>45447</v>
      </c>
      <c r="C797" s="22" t="str">
        <v>CUST1013</v>
      </c>
      <c r="D797" s="22" t="str">
        <f>VLOOKUP('Combine Products &amp; Sales Facts'!C797,'Customer Details'!A:B,2,0)</f>
        <v>Nathan Hernandez</v>
      </c>
      <c r="E797" s="22" t="str">
        <f>VLOOKUP(C797,Sales_Fact!C:D,2,0)</f>
        <v>PROD24</v>
      </c>
      <c r="F797" s="22" t="str">
        <f>VLOOKUP(E797,Product_Dim!A:C,3,0)</f>
        <v>Sports</v>
      </c>
      <c r="G797" s="22" t="str" cm="1">
        <f t="array" ref="G797:L797">_xlfn.XLOOKUP(C797,Sales_Fact!C797:C2781,Sales_Fact!E797:J2781)</f>
        <v>STORE10</v>
      </c>
      <c r="H797" s="22">
        <v>4</v>
      </c>
      <c r="I797" s="22">
        <v>863.87</v>
      </c>
      <c r="J797" s="22">
        <v>0.21</v>
      </c>
      <c r="K797" s="22" t="str">
        <v>COD</v>
      </c>
      <c r="L797" s="22">
        <v>2729.8292000000001</v>
      </c>
    </row>
    <row r="798" spans="1:12" x14ac:dyDescent="0.3">
      <c r="A798" s="22" t="s">
        <v>2607</v>
      </c>
      <c r="B798" s="34" cm="1">
        <f t="array" ref="B798:C798">_xlfn.XLOOKUP(A798,Sales_Fact!A798:A2782,Sales_Fact!B798:C2782)</f>
        <v>45513</v>
      </c>
      <c r="C798" s="22" t="str">
        <v>CUST1469</v>
      </c>
      <c r="D798" s="22" t="str">
        <f>VLOOKUP('Combine Products &amp; Sales Facts'!C798,'Customer Details'!A:B,2,0)</f>
        <v>James Foster</v>
      </c>
      <c r="E798" s="22" t="str">
        <f>VLOOKUP(C798,Sales_Fact!C:D,2,0)</f>
        <v>PROD45</v>
      </c>
      <c r="F798" s="22" t="str">
        <f>VLOOKUP(E798,Product_Dim!A:C,3,0)</f>
        <v>Sports</v>
      </c>
      <c r="G798" s="22" t="str" cm="1">
        <f t="array" ref="G798:L798">_xlfn.XLOOKUP(C798,Sales_Fact!C798:C2782,Sales_Fact!E798:J2782)</f>
        <v>STORE18</v>
      </c>
      <c r="H798" s="22">
        <v>1</v>
      </c>
      <c r="I798" s="22">
        <v>450.11</v>
      </c>
      <c r="J798" s="22">
        <v>0.17</v>
      </c>
      <c r="K798" s="22" t="str">
        <v>Credit Card</v>
      </c>
      <c r="L798" s="22">
        <v>373.59129999999999</v>
      </c>
    </row>
    <row r="799" spans="1:12" x14ac:dyDescent="0.3">
      <c r="A799" s="22" t="s">
        <v>2608</v>
      </c>
      <c r="B799" s="34" cm="1">
        <f t="array" ref="B799:C799">_xlfn.XLOOKUP(A799,Sales_Fact!A799:A2783,Sales_Fact!B799:C2783)</f>
        <v>45486</v>
      </c>
      <c r="C799" s="22" t="str">
        <v>CUST1230</v>
      </c>
      <c r="D799" s="22" t="str">
        <f>VLOOKUP('Combine Products &amp; Sales Facts'!C799,'Customer Details'!A:B,2,0)</f>
        <v>Timothy Sanders</v>
      </c>
      <c r="E799" s="22" t="str">
        <f>VLOOKUP(C799,Sales_Fact!C:D,2,0)</f>
        <v>PROD68</v>
      </c>
      <c r="F799" s="22" t="str">
        <f>VLOOKUP(E799,Product_Dim!A:C,3,0)</f>
        <v>Home</v>
      </c>
      <c r="G799" s="22" t="str" cm="1">
        <f t="array" ref="G799:L799">_xlfn.XLOOKUP(C799,Sales_Fact!C799:C2783,Sales_Fact!E799:J2783)</f>
        <v>STORE13</v>
      </c>
      <c r="H799" s="22">
        <v>1</v>
      </c>
      <c r="I799" s="22">
        <v>289.82</v>
      </c>
      <c r="J799" s="22">
        <v>0.18</v>
      </c>
      <c r="K799" s="22" t="str">
        <v>COD</v>
      </c>
      <c r="L799" s="22">
        <v>237.6524</v>
      </c>
    </row>
    <row r="800" spans="1:12" x14ac:dyDescent="0.3">
      <c r="A800" s="22" t="s">
        <v>2609</v>
      </c>
      <c r="B800" s="34" cm="1">
        <f t="array" ref="B800:C800">_xlfn.XLOOKUP(A800,Sales_Fact!A800:A2784,Sales_Fact!B800:C2784)</f>
        <v>45890</v>
      </c>
      <c r="C800" s="22" t="str">
        <v>CUST1334</v>
      </c>
      <c r="D800" s="22" t="str">
        <f>VLOOKUP('Combine Products &amp; Sales Facts'!C800,'Customer Details'!A:B,2,0)</f>
        <v>Mr. Christopher Sims</v>
      </c>
      <c r="E800" s="22" t="str">
        <f>VLOOKUP(C800,Sales_Fact!C:D,2,0)</f>
        <v>PROD71</v>
      </c>
      <c r="F800" s="22" t="str">
        <f>VLOOKUP(E800,Product_Dim!A:C,3,0)</f>
        <v>Beauty</v>
      </c>
      <c r="G800" s="22" t="str" cm="1">
        <f t="array" ref="G800:L800">_xlfn.XLOOKUP(C800,Sales_Fact!C800:C2784,Sales_Fact!E800:J2784)</f>
        <v>STORE10</v>
      </c>
      <c r="H800" s="22">
        <v>4</v>
      </c>
      <c r="I800" s="22">
        <v>250.64</v>
      </c>
      <c r="J800" s="22">
        <v>0.1</v>
      </c>
      <c r="K800" s="22" t="str">
        <v>PayPal</v>
      </c>
      <c r="L800" s="22">
        <v>902.30399999999997</v>
      </c>
    </row>
    <row r="801" spans="1:12" x14ac:dyDescent="0.3">
      <c r="A801" s="22" t="s">
        <v>2610</v>
      </c>
      <c r="B801" s="34" cm="1">
        <f t="array" ref="B801:C801">_xlfn.XLOOKUP(A801,Sales_Fact!A801:A2785,Sales_Fact!B801:C2785)</f>
        <v>45876</v>
      </c>
      <c r="C801" s="22" t="str">
        <v>CUST1287</v>
      </c>
      <c r="D801" s="22" t="str">
        <f>VLOOKUP('Combine Products &amp; Sales Facts'!C801,'Customer Details'!A:B,2,0)</f>
        <v>Cynthia Roberts</v>
      </c>
      <c r="E801" s="22" t="str">
        <f>VLOOKUP(C801,Sales_Fact!C:D,2,0)</f>
        <v>PROD3</v>
      </c>
      <c r="F801" s="22" t="str">
        <f>VLOOKUP(E801,Product_Dim!A:C,3,0)</f>
        <v>Clothing</v>
      </c>
      <c r="G801" s="22" t="str" cm="1">
        <f t="array" ref="G801:L801">_xlfn.XLOOKUP(C801,Sales_Fact!C801:C2785,Sales_Fact!E801:J2785)</f>
        <v>STORE19</v>
      </c>
      <c r="H801" s="22">
        <v>4</v>
      </c>
      <c r="I801" s="22">
        <v>373.49</v>
      </c>
      <c r="J801" s="22">
        <v>0.16</v>
      </c>
      <c r="K801" s="22" t="str">
        <v>COD</v>
      </c>
      <c r="L801" s="22">
        <v>1254.9264000000001</v>
      </c>
    </row>
    <row r="802" spans="1:12" x14ac:dyDescent="0.3">
      <c r="A802" s="22" t="s">
        <v>2611</v>
      </c>
      <c r="B802" s="34" cm="1">
        <f t="array" ref="B802:C802">_xlfn.XLOOKUP(A802,Sales_Fact!A802:A2786,Sales_Fact!B802:C2786)</f>
        <v>45398</v>
      </c>
      <c r="C802" s="22" t="str">
        <v>CUST1066</v>
      </c>
      <c r="D802" s="22" t="str">
        <f>VLOOKUP('Combine Products &amp; Sales Facts'!C802,'Customer Details'!A:B,2,0)</f>
        <v>Cody Diaz</v>
      </c>
      <c r="E802" s="22" t="str">
        <f>VLOOKUP(C802,Sales_Fact!C:D,2,0)</f>
        <v>PROD94</v>
      </c>
      <c r="F802" s="22" t="str">
        <f>VLOOKUP(E802,Product_Dim!A:C,3,0)</f>
        <v>Beauty</v>
      </c>
      <c r="G802" s="22" t="str" cm="1">
        <f t="array" ref="G802:L802">_xlfn.XLOOKUP(C802,Sales_Fact!C802:C2786,Sales_Fact!E802:J2786)</f>
        <v>STORE9</v>
      </c>
      <c r="H802" s="22">
        <v>4</v>
      </c>
      <c r="I802" s="22">
        <v>348.91</v>
      </c>
      <c r="J802" s="22">
        <v>0.18</v>
      </c>
      <c r="K802" s="22" t="str">
        <v>PayPal</v>
      </c>
      <c r="L802" s="22">
        <v>1144.4248</v>
      </c>
    </row>
    <row r="803" spans="1:12" x14ac:dyDescent="0.3">
      <c r="A803" s="22" t="s">
        <v>2612</v>
      </c>
      <c r="B803" s="34" cm="1">
        <f t="array" ref="B803:C803">_xlfn.XLOOKUP(A803,Sales_Fact!A803:A2787,Sales_Fact!B803:C2787)</f>
        <v>45390</v>
      </c>
      <c r="C803" s="22" t="str">
        <v>CUST1110</v>
      </c>
      <c r="D803" s="22" t="str">
        <f>VLOOKUP('Combine Products &amp; Sales Facts'!C803,'Customer Details'!A:B,2,0)</f>
        <v>Ashley Griffin</v>
      </c>
      <c r="E803" s="22" t="str">
        <f>VLOOKUP(C803,Sales_Fact!C:D,2,0)</f>
        <v>PROD8</v>
      </c>
      <c r="F803" s="22" t="str">
        <f>VLOOKUP(E803,Product_Dim!A:C,3,0)</f>
        <v>Electronics</v>
      </c>
      <c r="G803" s="22" t="str" cm="1">
        <f t="array" ref="G803:L803">_xlfn.XLOOKUP(C803,Sales_Fact!C803:C2787,Sales_Fact!E803:J2787)</f>
        <v>STORE17</v>
      </c>
      <c r="H803" s="22">
        <v>4</v>
      </c>
      <c r="I803" s="22">
        <v>212.96</v>
      </c>
      <c r="J803" s="22">
        <v>0.17</v>
      </c>
      <c r="K803" s="22" t="str">
        <v>Credit Card</v>
      </c>
      <c r="L803" s="22">
        <v>707.02719999999999</v>
      </c>
    </row>
    <row r="804" spans="1:12" x14ac:dyDescent="0.3">
      <c r="A804" s="22" t="s">
        <v>2613</v>
      </c>
      <c r="B804" s="34" cm="1">
        <f t="array" ref="B804:C804">_xlfn.XLOOKUP(A804,Sales_Fact!A804:A2788,Sales_Fact!B804:C2788)</f>
        <v>45406</v>
      </c>
      <c r="C804" s="22" t="str">
        <v>CUST1190</v>
      </c>
      <c r="D804" s="22" t="str">
        <f>VLOOKUP('Combine Products &amp; Sales Facts'!C804,'Customer Details'!A:B,2,0)</f>
        <v>Christopher Stewart</v>
      </c>
      <c r="E804" s="22" t="str">
        <f>VLOOKUP(C804,Sales_Fact!C:D,2,0)</f>
        <v>PROD27</v>
      </c>
      <c r="F804" s="22" t="str">
        <f>VLOOKUP(E804,Product_Dim!A:C,3,0)</f>
        <v>Home</v>
      </c>
      <c r="G804" s="22" t="str" cm="1">
        <f t="array" ref="G804:L804">_xlfn.XLOOKUP(C804,Sales_Fact!C804:C2788,Sales_Fact!E804:J2788)</f>
        <v>STORE19</v>
      </c>
      <c r="H804" s="22">
        <v>3</v>
      </c>
      <c r="I804" s="22">
        <v>871.34</v>
      </c>
      <c r="J804" s="22">
        <v>0.11</v>
      </c>
      <c r="K804" s="22" t="str">
        <v>COD</v>
      </c>
      <c r="L804" s="22">
        <v>2326.4778000000001</v>
      </c>
    </row>
    <row r="805" spans="1:12" x14ac:dyDescent="0.3">
      <c r="A805" s="22" t="s">
        <v>2614</v>
      </c>
      <c r="B805" s="34" cm="1">
        <f t="array" ref="B805:C805">_xlfn.XLOOKUP(A805,Sales_Fact!A805:A2789,Sales_Fact!B805:C2789)</f>
        <v>45844</v>
      </c>
      <c r="C805" s="22" t="str">
        <v>CUST1100</v>
      </c>
      <c r="D805" s="22" t="str">
        <f>VLOOKUP('Combine Products &amp; Sales Facts'!C805,'Customer Details'!A:B,2,0)</f>
        <v>Diane Watson</v>
      </c>
      <c r="E805" s="22" t="str">
        <f>VLOOKUP(C805,Sales_Fact!C:D,2,0)</f>
        <v>PROD24</v>
      </c>
      <c r="F805" s="22" t="str">
        <f>VLOOKUP(E805,Product_Dim!A:C,3,0)</f>
        <v>Sports</v>
      </c>
      <c r="G805" s="22" t="str" cm="1">
        <f t="array" ref="G805:L805">_xlfn.XLOOKUP(C805,Sales_Fact!C805:C2789,Sales_Fact!E805:J2789)</f>
        <v>STORE0</v>
      </c>
      <c r="H805" s="22">
        <v>2</v>
      </c>
      <c r="I805" s="22">
        <v>698.94</v>
      </c>
      <c r="J805" s="22">
        <v>0.06</v>
      </c>
      <c r="K805" s="22" t="str">
        <v>Credit Card</v>
      </c>
      <c r="L805" s="22">
        <v>1314.0072</v>
      </c>
    </row>
    <row r="806" spans="1:12" x14ac:dyDescent="0.3">
      <c r="A806" s="22" t="s">
        <v>2615</v>
      </c>
      <c r="B806" s="34" cm="1">
        <f t="array" ref="B806:C806">_xlfn.XLOOKUP(A806,Sales_Fact!A806:A2790,Sales_Fact!B806:C2790)</f>
        <v>45697</v>
      </c>
      <c r="C806" s="22" t="str">
        <v>CUST1316</v>
      </c>
      <c r="D806" s="22" t="str">
        <f>VLOOKUP('Combine Products &amp; Sales Facts'!C806,'Customer Details'!A:B,2,0)</f>
        <v>Robert House</v>
      </c>
      <c r="E806" s="22" t="str">
        <f>VLOOKUP(C806,Sales_Fact!C:D,2,0)</f>
        <v>PROD25</v>
      </c>
      <c r="F806" s="22" t="str">
        <f>VLOOKUP(E806,Product_Dim!A:C,3,0)</f>
        <v>Clothing</v>
      </c>
      <c r="G806" s="22" t="str" cm="1">
        <f t="array" ref="G806:L806">_xlfn.XLOOKUP(C806,Sales_Fact!C806:C2790,Sales_Fact!E806:J2790)</f>
        <v>STORE0</v>
      </c>
      <c r="H806" s="22">
        <v>1</v>
      </c>
      <c r="I806" s="22">
        <v>719.94</v>
      </c>
      <c r="J806" s="22">
        <v>0.23</v>
      </c>
      <c r="K806" s="22" t="str">
        <v>COD</v>
      </c>
      <c r="L806" s="22">
        <v>554.35380000000009</v>
      </c>
    </row>
    <row r="807" spans="1:12" x14ac:dyDescent="0.3">
      <c r="A807" s="22" t="s">
        <v>2616</v>
      </c>
      <c r="B807" s="34" cm="1">
        <f t="array" ref="B807:C807">_xlfn.XLOOKUP(A807,Sales_Fact!A807:A2791,Sales_Fact!B807:C2791)</f>
        <v>45607</v>
      </c>
      <c r="C807" s="22" t="str">
        <v>CUST1006</v>
      </c>
      <c r="D807" s="22" t="str">
        <f>VLOOKUP('Combine Products &amp; Sales Facts'!C807,'Customer Details'!A:B,2,0)</f>
        <v>Amber Jackson</v>
      </c>
      <c r="E807" s="22" t="str">
        <f>VLOOKUP(C807,Sales_Fact!C:D,2,0)</f>
        <v>PROD93</v>
      </c>
      <c r="F807" s="22" t="str">
        <f>VLOOKUP(E807,Product_Dim!A:C,3,0)</f>
        <v>Electronics</v>
      </c>
      <c r="G807" s="22" t="str" cm="1">
        <f t="array" ref="G807:L807">_xlfn.XLOOKUP(C807,Sales_Fact!C807:C2791,Sales_Fact!E807:J2791)</f>
        <v>STORE4</v>
      </c>
      <c r="H807" s="22">
        <v>2</v>
      </c>
      <c r="I807" s="22">
        <v>278.16000000000003</v>
      </c>
      <c r="J807" s="22">
        <v>0.22</v>
      </c>
      <c r="K807" s="22" t="str">
        <v>PayPal</v>
      </c>
      <c r="L807" s="22">
        <v>433.92960000000011</v>
      </c>
    </row>
    <row r="808" spans="1:12" x14ac:dyDescent="0.3">
      <c r="A808" s="22" t="s">
        <v>2617</v>
      </c>
      <c r="B808" s="34" cm="1">
        <f t="array" ref="B808:C808">_xlfn.XLOOKUP(A808,Sales_Fact!A808:A2792,Sales_Fact!B808:C2792)</f>
        <v>45307</v>
      </c>
      <c r="C808" s="22" t="str">
        <v>CUST1053</v>
      </c>
      <c r="D808" s="22" t="str">
        <f>VLOOKUP('Combine Products &amp; Sales Facts'!C808,'Customer Details'!A:B,2,0)</f>
        <v>Sharon Brown</v>
      </c>
      <c r="E808" s="22" t="str">
        <f>VLOOKUP(C808,Sales_Fact!C:D,2,0)</f>
        <v>PROD37</v>
      </c>
      <c r="F808" s="22" t="str">
        <f>VLOOKUP(E808,Product_Dim!A:C,3,0)</f>
        <v>Clothing</v>
      </c>
      <c r="G808" s="22" t="str" cm="1">
        <f t="array" ref="G808:L808">_xlfn.XLOOKUP(C808,Sales_Fact!C808:C2792,Sales_Fact!E808:J2792)</f>
        <v>STORE5</v>
      </c>
      <c r="H808" s="22">
        <v>1</v>
      </c>
      <c r="I808" s="22">
        <v>678.9</v>
      </c>
      <c r="J808" s="22">
        <v>0.17</v>
      </c>
      <c r="K808" s="22" t="str">
        <v>Credit Card</v>
      </c>
      <c r="L808" s="22">
        <v>563.48699999999997</v>
      </c>
    </row>
    <row r="809" spans="1:12" x14ac:dyDescent="0.3">
      <c r="A809" s="22" t="s">
        <v>2618</v>
      </c>
      <c r="B809" s="34" cm="1">
        <f t="array" ref="B809:C809">_xlfn.XLOOKUP(A809,Sales_Fact!A809:A2793,Sales_Fact!B809:C2793)</f>
        <v>45520</v>
      </c>
      <c r="C809" s="22" t="str">
        <v>CUST1015</v>
      </c>
      <c r="D809" s="22" t="str">
        <f>VLOOKUP('Combine Products &amp; Sales Facts'!C809,'Customer Details'!A:B,2,0)</f>
        <v>Laura Alvarez</v>
      </c>
      <c r="E809" s="22" t="str">
        <f>VLOOKUP(C809,Sales_Fact!C:D,2,0)</f>
        <v>PROD18</v>
      </c>
      <c r="F809" s="22" t="str">
        <f>VLOOKUP(E809,Product_Dim!A:C,3,0)</f>
        <v>Clothing</v>
      </c>
      <c r="G809" s="22" t="str" cm="1">
        <f t="array" ref="G809:L809">_xlfn.XLOOKUP(C809,Sales_Fact!C809:C2793,Sales_Fact!E809:J2793)</f>
        <v>STORE15</v>
      </c>
      <c r="H809" s="22">
        <v>4</v>
      </c>
      <c r="I809" s="22">
        <v>94.13</v>
      </c>
      <c r="J809" s="22">
        <v>0.15</v>
      </c>
      <c r="K809" s="22" t="str">
        <v>Credit Card</v>
      </c>
      <c r="L809" s="22">
        <v>320.04199999999997</v>
      </c>
    </row>
    <row r="810" spans="1:12" x14ac:dyDescent="0.3">
      <c r="A810" s="22" t="s">
        <v>2619</v>
      </c>
      <c r="B810" s="34" cm="1">
        <f t="array" ref="B810:C810">_xlfn.XLOOKUP(A810,Sales_Fact!A810:A2794,Sales_Fact!B810:C2794)</f>
        <v>45933</v>
      </c>
      <c r="C810" s="22" t="str">
        <v>CUST1441</v>
      </c>
      <c r="D810" s="22" t="str">
        <f>VLOOKUP('Combine Products &amp; Sales Facts'!C810,'Customer Details'!A:B,2,0)</f>
        <v>Dalton Walters</v>
      </c>
      <c r="E810" s="22" t="str">
        <f>VLOOKUP(C810,Sales_Fact!C:D,2,0)</f>
        <v>PROD44</v>
      </c>
      <c r="F810" s="22" t="str">
        <f>VLOOKUP(E810,Product_Dim!A:C,3,0)</f>
        <v>Sports</v>
      </c>
      <c r="G810" s="22" t="str" cm="1">
        <f t="array" ref="G810:L810">_xlfn.XLOOKUP(C810,Sales_Fact!C810:C2794,Sales_Fact!E810:J2794)</f>
        <v>STORE1</v>
      </c>
      <c r="H810" s="22">
        <v>4</v>
      </c>
      <c r="I810" s="22">
        <v>415.02</v>
      </c>
      <c r="J810" s="22">
        <v>0.01</v>
      </c>
      <c r="K810" s="22" t="str">
        <v>PayPal</v>
      </c>
      <c r="L810" s="22">
        <v>1643.4792</v>
      </c>
    </row>
    <row r="811" spans="1:12" x14ac:dyDescent="0.3">
      <c r="A811" s="22" t="s">
        <v>2620</v>
      </c>
      <c r="B811" s="34" cm="1">
        <f t="array" ref="B811:C811">_xlfn.XLOOKUP(A811,Sales_Fact!A811:A2795,Sales_Fact!B811:C2795)</f>
        <v>45841</v>
      </c>
      <c r="C811" s="22" t="str">
        <v>CUST1051</v>
      </c>
      <c r="D811" s="22" t="str">
        <f>VLOOKUP('Combine Products &amp; Sales Facts'!C811,'Customer Details'!A:B,2,0)</f>
        <v>Sarah Rodgers</v>
      </c>
      <c r="E811" s="22" t="str">
        <f>VLOOKUP(C811,Sales_Fact!C:D,2,0)</f>
        <v>PROD21</v>
      </c>
      <c r="F811" s="22" t="str">
        <f>VLOOKUP(E811,Product_Dim!A:C,3,0)</f>
        <v>Home</v>
      </c>
      <c r="G811" s="22" t="str" cm="1">
        <f t="array" ref="G811:L811">_xlfn.XLOOKUP(C811,Sales_Fact!C811:C2795,Sales_Fact!E811:J2795)</f>
        <v>STORE4</v>
      </c>
      <c r="H811" s="22">
        <v>4</v>
      </c>
      <c r="I811" s="22">
        <v>780.07</v>
      </c>
      <c r="J811" s="22">
        <v>0.03</v>
      </c>
      <c r="K811" s="22" t="str">
        <v>Credit Card</v>
      </c>
      <c r="L811" s="22">
        <v>3026.6716000000001</v>
      </c>
    </row>
    <row r="812" spans="1:12" x14ac:dyDescent="0.3">
      <c r="A812" s="22" t="s">
        <v>2621</v>
      </c>
      <c r="B812" s="34" cm="1">
        <f t="array" ref="B812:C812">_xlfn.XLOOKUP(A812,Sales_Fact!A812:A2796,Sales_Fact!B812:C2796)</f>
        <v>45877</v>
      </c>
      <c r="C812" s="22" t="str">
        <v>CUST1428</v>
      </c>
      <c r="D812" s="22" t="str">
        <f>VLOOKUP('Combine Products &amp; Sales Facts'!C812,'Customer Details'!A:B,2,0)</f>
        <v>Samuel Mullins</v>
      </c>
      <c r="E812" s="22" t="str">
        <f>VLOOKUP(C812,Sales_Fact!C:D,2,0)</f>
        <v>PROD63</v>
      </c>
      <c r="F812" s="22" t="str">
        <f>VLOOKUP(E812,Product_Dim!A:C,3,0)</f>
        <v>Beauty</v>
      </c>
      <c r="G812" s="22" t="str" cm="1">
        <f t="array" ref="G812:L812">_xlfn.XLOOKUP(C812,Sales_Fact!C812:C2796,Sales_Fact!E812:J2796)</f>
        <v>STORE15</v>
      </c>
      <c r="H812" s="22">
        <v>4</v>
      </c>
      <c r="I812" s="22">
        <v>184.57</v>
      </c>
      <c r="J812" s="22">
        <v>0.28000000000000003</v>
      </c>
      <c r="K812" s="22" t="str">
        <v>Credit Card</v>
      </c>
      <c r="L812" s="22">
        <v>531.5616</v>
      </c>
    </row>
    <row r="813" spans="1:12" x14ac:dyDescent="0.3">
      <c r="A813" s="22" t="s">
        <v>2622</v>
      </c>
      <c r="B813" s="34" cm="1">
        <f t="array" ref="B813:C813">_xlfn.XLOOKUP(A813,Sales_Fact!A813:A2797,Sales_Fact!B813:C2797)</f>
        <v>45532</v>
      </c>
      <c r="C813" s="22" t="str">
        <v>CUST1287</v>
      </c>
      <c r="D813" s="22" t="str">
        <f>VLOOKUP('Combine Products &amp; Sales Facts'!C813,'Customer Details'!A:B,2,0)</f>
        <v>Cynthia Roberts</v>
      </c>
      <c r="E813" s="22" t="str">
        <f>VLOOKUP(C813,Sales_Fact!C:D,2,0)</f>
        <v>PROD3</v>
      </c>
      <c r="F813" s="22" t="str">
        <f>VLOOKUP(E813,Product_Dim!A:C,3,0)</f>
        <v>Clothing</v>
      </c>
      <c r="G813" s="22" t="str" cm="1">
        <f t="array" ref="G813:L813">_xlfn.XLOOKUP(C813,Sales_Fact!C813:C2797,Sales_Fact!E813:J2797)</f>
        <v>STORE4</v>
      </c>
      <c r="H813" s="22">
        <v>4</v>
      </c>
      <c r="I813" s="22">
        <v>277.58</v>
      </c>
      <c r="J813" s="22">
        <v>0.22</v>
      </c>
      <c r="K813" s="22" t="str">
        <v>PayPal</v>
      </c>
      <c r="L813" s="22">
        <v>866.04959999999994</v>
      </c>
    </row>
    <row r="814" spans="1:12" x14ac:dyDescent="0.3">
      <c r="A814" s="22" t="s">
        <v>2623</v>
      </c>
      <c r="B814" s="34" cm="1">
        <f t="array" ref="B814:C814">_xlfn.XLOOKUP(A814,Sales_Fact!A814:A2798,Sales_Fact!B814:C2798)</f>
        <v>45734</v>
      </c>
      <c r="C814" s="22" t="str">
        <v>CUST1104</v>
      </c>
      <c r="D814" s="22" t="str">
        <f>VLOOKUP('Combine Products &amp; Sales Facts'!C814,'Customer Details'!A:B,2,0)</f>
        <v>Christopher Lester</v>
      </c>
      <c r="E814" s="22" t="str">
        <f>VLOOKUP(C814,Sales_Fact!C:D,2,0)</f>
        <v>PROD25</v>
      </c>
      <c r="F814" s="22" t="str">
        <f>VLOOKUP(E814,Product_Dim!A:C,3,0)</f>
        <v>Clothing</v>
      </c>
      <c r="G814" s="22" t="str" cm="1">
        <f t="array" ref="G814:L814">_xlfn.XLOOKUP(C814,Sales_Fact!C814:C2798,Sales_Fact!E814:J2798)</f>
        <v>STORE3</v>
      </c>
      <c r="H814" s="22">
        <v>1</v>
      </c>
      <c r="I814" s="22">
        <v>36.799999999999997</v>
      </c>
      <c r="J814" s="22">
        <v>0.18</v>
      </c>
      <c r="K814" s="22" t="str">
        <v>Credit Card</v>
      </c>
      <c r="L814" s="22">
        <v>30.175999999999998</v>
      </c>
    </row>
    <row r="815" spans="1:12" x14ac:dyDescent="0.3">
      <c r="A815" s="22" t="s">
        <v>2624</v>
      </c>
      <c r="B815" s="34" cm="1">
        <f t="array" ref="B815:C815">_xlfn.XLOOKUP(A815,Sales_Fact!A815:A2799,Sales_Fact!B815:C2799)</f>
        <v>45809</v>
      </c>
      <c r="C815" s="22" t="str">
        <v>CUST1356</v>
      </c>
      <c r="D815" s="22" t="str">
        <f>VLOOKUP('Combine Products &amp; Sales Facts'!C815,'Customer Details'!A:B,2,0)</f>
        <v>Steve Hunt</v>
      </c>
      <c r="E815" s="22" t="str">
        <f>VLOOKUP(C815,Sales_Fact!C:D,2,0)</f>
        <v>PROD88</v>
      </c>
      <c r="F815" s="22" t="str">
        <f>VLOOKUP(E815,Product_Dim!A:C,3,0)</f>
        <v>Sports</v>
      </c>
      <c r="G815" s="22" t="str" cm="1">
        <f t="array" ref="G815:L815">_xlfn.XLOOKUP(C815,Sales_Fact!C815:C2799,Sales_Fact!E815:J2799)</f>
        <v>STORE6</v>
      </c>
      <c r="H815" s="22">
        <v>1</v>
      </c>
      <c r="I815" s="22">
        <v>539.37</v>
      </c>
      <c r="J815" s="22">
        <v>0.14000000000000001</v>
      </c>
      <c r="K815" s="22" t="str">
        <v>Credit Card</v>
      </c>
      <c r="L815" s="22">
        <v>463.85820000000001</v>
      </c>
    </row>
    <row r="816" spans="1:12" x14ac:dyDescent="0.3">
      <c r="A816" s="22" t="s">
        <v>2625</v>
      </c>
      <c r="B816" s="34" cm="1">
        <f t="array" ref="B816:C816">_xlfn.XLOOKUP(A816,Sales_Fact!A816:A2800,Sales_Fact!B816:C2800)</f>
        <v>45760</v>
      </c>
      <c r="C816" s="22" t="str">
        <v>CUST1089</v>
      </c>
      <c r="D816" s="22" t="str">
        <f>VLOOKUP('Combine Products &amp; Sales Facts'!C816,'Customer Details'!A:B,2,0)</f>
        <v>Jamie Yoder</v>
      </c>
      <c r="E816" s="22" t="str">
        <f>VLOOKUP(C816,Sales_Fact!C:D,2,0)</f>
        <v>PROD57</v>
      </c>
      <c r="F816" s="22" t="str">
        <f>VLOOKUP(E816,Product_Dim!A:C,3,0)</f>
        <v>Sports</v>
      </c>
      <c r="G816" s="22" t="str" cm="1">
        <f t="array" ref="G816:L816">_xlfn.XLOOKUP(C816,Sales_Fact!C816:C2800,Sales_Fact!E816:J2800)</f>
        <v>STORE18</v>
      </c>
      <c r="H816" s="22">
        <v>1</v>
      </c>
      <c r="I816" s="22">
        <v>27.83</v>
      </c>
      <c r="J816" s="22">
        <v>0.3</v>
      </c>
      <c r="K816" s="22" t="str">
        <v>PayPal</v>
      </c>
      <c r="L816" s="22">
        <v>19.481000000000002</v>
      </c>
    </row>
    <row r="817" spans="1:12" x14ac:dyDescent="0.3">
      <c r="A817" s="22" t="s">
        <v>2626</v>
      </c>
      <c r="B817" s="34" cm="1">
        <f t="array" ref="B817:C817">_xlfn.XLOOKUP(A817,Sales_Fact!A817:A2801,Sales_Fact!B817:C2801)</f>
        <v>45456</v>
      </c>
      <c r="C817" s="22" t="str">
        <v>CUST1283</v>
      </c>
      <c r="D817" s="22" t="str">
        <f>VLOOKUP('Combine Products &amp; Sales Facts'!C817,'Customer Details'!A:B,2,0)</f>
        <v>Bryan Garcia</v>
      </c>
      <c r="E817" s="22" t="str">
        <f>VLOOKUP(C817,Sales_Fact!C:D,2,0)</f>
        <v>PROD70</v>
      </c>
      <c r="F817" s="22" t="str">
        <f>VLOOKUP(E817,Product_Dim!A:C,3,0)</f>
        <v>Home</v>
      </c>
      <c r="G817" s="22" t="str" cm="1">
        <f t="array" ref="G817:L817">_xlfn.XLOOKUP(C817,Sales_Fact!C817:C2801,Sales_Fact!E817:J2801)</f>
        <v>STORE4</v>
      </c>
      <c r="H817" s="22">
        <v>3</v>
      </c>
      <c r="I817" s="22">
        <v>698.72</v>
      </c>
      <c r="J817" s="22">
        <v>0.28000000000000003</v>
      </c>
      <c r="K817" s="22" t="str">
        <v>COD</v>
      </c>
      <c r="L817" s="22">
        <v>1509.2352000000001</v>
      </c>
    </row>
    <row r="818" spans="1:12" x14ac:dyDescent="0.3">
      <c r="A818" s="22" t="s">
        <v>2627</v>
      </c>
      <c r="B818" s="34" cm="1">
        <f t="array" ref="B818:C818">_xlfn.XLOOKUP(A818,Sales_Fact!A818:A2802,Sales_Fact!B818:C2802)</f>
        <v>45698</v>
      </c>
      <c r="C818" s="22" t="str">
        <v>CUST1012</v>
      </c>
      <c r="D818" s="22" t="str">
        <f>VLOOKUP('Combine Products &amp; Sales Facts'!C818,'Customer Details'!A:B,2,0)</f>
        <v>Kenneth Lambert</v>
      </c>
      <c r="E818" s="22" t="str">
        <f>VLOOKUP(C818,Sales_Fact!C:D,2,0)</f>
        <v>PROD27</v>
      </c>
      <c r="F818" s="22" t="str">
        <f>VLOOKUP(E818,Product_Dim!A:C,3,0)</f>
        <v>Home</v>
      </c>
      <c r="G818" s="22" t="str" cm="1">
        <f t="array" ref="G818:L818">_xlfn.XLOOKUP(C818,Sales_Fact!C818:C2802,Sales_Fact!E818:J2802)</f>
        <v>STORE13</v>
      </c>
      <c r="H818" s="22">
        <v>4</v>
      </c>
      <c r="I818" s="22">
        <v>528.23</v>
      </c>
      <c r="J818" s="22">
        <v>0.15</v>
      </c>
      <c r="K818" s="22" t="str">
        <v>COD</v>
      </c>
      <c r="L818" s="22">
        <v>1795.982</v>
      </c>
    </row>
    <row r="819" spans="1:12" x14ac:dyDescent="0.3">
      <c r="A819" s="22" t="s">
        <v>2628</v>
      </c>
      <c r="B819" s="34" cm="1">
        <f t="array" ref="B819:C819">_xlfn.XLOOKUP(A819,Sales_Fact!A819:A2803,Sales_Fact!B819:C2803)</f>
        <v>45548</v>
      </c>
      <c r="C819" s="22" t="str">
        <v>CUST1492</v>
      </c>
      <c r="D819" s="22" t="str">
        <f>VLOOKUP('Combine Products &amp; Sales Facts'!C819,'Customer Details'!A:B,2,0)</f>
        <v>Darrell Miller</v>
      </c>
      <c r="E819" s="22" t="str">
        <f>VLOOKUP(C819,Sales_Fact!C:D,2,0)</f>
        <v>PROD10</v>
      </c>
      <c r="F819" s="22" t="str">
        <f>VLOOKUP(E819,Product_Dim!A:C,3,0)</f>
        <v>Home</v>
      </c>
      <c r="G819" s="22" t="str" cm="1">
        <f t="array" ref="G819:L819">_xlfn.XLOOKUP(C819,Sales_Fact!C819:C2803,Sales_Fact!E819:J2803)</f>
        <v>STORE16</v>
      </c>
      <c r="H819" s="22">
        <v>2</v>
      </c>
      <c r="I819" s="22">
        <v>780.9</v>
      </c>
      <c r="J819" s="22">
        <v>0.24</v>
      </c>
      <c r="K819" s="22" t="str">
        <v>PayPal</v>
      </c>
      <c r="L819" s="22">
        <v>1186.9680000000001</v>
      </c>
    </row>
    <row r="820" spans="1:12" x14ac:dyDescent="0.3">
      <c r="A820" s="22" t="s">
        <v>2629</v>
      </c>
      <c r="B820" s="34" cm="1">
        <f t="array" ref="B820:C820">_xlfn.XLOOKUP(A820,Sales_Fact!A820:A2804,Sales_Fact!B820:C2804)</f>
        <v>45236</v>
      </c>
      <c r="C820" s="22" t="str">
        <v>CUST1180</v>
      </c>
      <c r="D820" s="22" t="str">
        <f>VLOOKUP('Combine Products &amp; Sales Facts'!C820,'Customer Details'!A:B,2,0)</f>
        <v>Wesley Thompson</v>
      </c>
      <c r="E820" s="22" t="str">
        <f>VLOOKUP(C820,Sales_Fact!C:D,2,0)</f>
        <v>PROD90</v>
      </c>
      <c r="F820" s="22" t="str">
        <f>VLOOKUP(E820,Product_Dim!A:C,3,0)</f>
        <v>Electronics</v>
      </c>
      <c r="G820" s="22" t="str" cm="1">
        <f t="array" ref="G820:L820">_xlfn.XLOOKUP(C820,Sales_Fact!C820:C2804,Sales_Fact!E820:J2804)</f>
        <v>STORE14</v>
      </c>
      <c r="H820" s="22">
        <v>1</v>
      </c>
      <c r="I820" s="22">
        <v>977.97</v>
      </c>
      <c r="J820" s="22">
        <v>0.06</v>
      </c>
      <c r="K820" s="22" t="str">
        <v>COD</v>
      </c>
      <c r="L820" s="22">
        <v>919.29179999999997</v>
      </c>
    </row>
    <row r="821" spans="1:12" x14ac:dyDescent="0.3">
      <c r="A821" s="22" t="s">
        <v>2630</v>
      </c>
      <c r="B821" s="34" cm="1">
        <f t="array" ref="B821:C821">_xlfn.XLOOKUP(A821,Sales_Fact!A821:A2805,Sales_Fact!B821:C2805)</f>
        <v>45310</v>
      </c>
      <c r="C821" s="22" t="str">
        <v>CUST1369</v>
      </c>
      <c r="D821" s="22" t="str">
        <f>VLOOKUP('Combine Products &amp; Sales Facts'!C821,'Customer Details'!A:B,2,0)</f>
        <v>Gregory Allen</v>
      </c>
      <c r="E821" s="22" t="str">
        <f>VLOOKUP(C821,Sales_Fact!C:D,2,0)</f>
        <v>PROD33</v>
      </c>
      <c r="F821" s="22" t="str">
        <f>VLOOKUP(E821,Product_Dim!A:C,3,0)</f>
        <v>Home</v>
      </c>
      <c r="G821" s="22" t="str" cm="1">
        <f t="array" ref="G821:L821">_xlfn.XLOOKUP(C821,Sales_Fact!C821:C2805,Sales_Fact!E821:J2805)</f>
        <v>STORE12</v>
      </c>
      <c r="H821" s="22">
        <v>4</v>
      </c>
      <c r="I821" s="22">
        <v>354.65</v>
      </c>
      <c r="J821" s="22">
        <v>0.19</v>
      </c>
      <c r="K821" s="22" t="str">
        <v>Credit Card</v>
      </c>
      <c r="L821" s="22">
        <v>1149.066</v>
      </c>
    </row>
    <row r="822" spans="1:12" x14ac:dyDescent="0.3">
      <c r="A822" s="22" t="s">
        <v>2631</v>
      </c>
      <c r="B822" s="34" cm="1">
        <f t="array" ref="B822:C822">_xlfn.XLOOKUP(A822,Sales_Fact!A822:A2806,Sales_Fact!B822:C2806)</f>
        <v>45376</v>
      </c>
      <c r="C822" s="22" t="str">
        <v>CUST1283</v>
      </c>
      <c r="D822" s="22" t="str">
        <f>VLOOKUP('Combine Products &amp; Sales Facts'!C822,'Customer Details'!A:B,2,0)</f>
        <v>Bryan Garcia</v>
      </c>
      <c r="E822" s="22" t="str">
        <f>VLOOKUP(C822,Sales_Fact!C:D,2,0)</f>
        <v>PROD70</v>
      </c>
      <c r="F822" s="22" t="str">
        <f>VLOOKUP(E822,Product_Dim!A:C,3,0)</f>
        <v>Home</v>
      </c>
      <c r="G822" s="22" t="str" cm="1">
        <f t="array" ref="G822:L822">_xlfn.XLOOKUP(C822,Sales_Fact!C822:C2806,Sales_Fact!E822:J2806)</f>
        <v>STORE19</v>
      </c>
      <c r="H822" s="22">
        <v>1</v>
      </c>
      <c r="I822" s="22">
        <v>671.62</v>
      </c>
      <c r="J822" s="22">
        <v>0.09</v>
      </c>
      <c r="K822" s="22" t="str">
        <v>COD</v>
      </c>
      <c r="L822" s="22">
        <v>611.17420000000004</v>
      </c>
    </row>
    <row r="823" spans="1:12" x14ac:dyDescent="0.3">
      <c r="A823" s="22" t="s">
        <v>2632</v>
      </c>
      <c r="B823" s="34" cm="1">
        <f t="array" ref="B823:C823">_xlfn.XLOOKUP(A823,Sales_Fact!A823:A2807,Sales_Fact!B823:C2807)</f>
        <v>45914</v>
      </c>
      <c r="C823" s="22" t="str">
        <v>CUST1317</v>
      </c>
      <c r="D823" s="22" t="str">
        <f>VLOOKUP('Combine Products &amp; Sales Facts'!C823,'Customer Details'!A:B,2,0)</f>
        <v>Tiffany Williams</v>
      </c>
      <c r="E823" s="22" t="str">
        <f>VLOOKUP(C823,Sales_Fact!C:D,2,0)</f>
        <v>PROD10</v>
      </c>
      <c r="F823" s="22" t="str">
        <f>VLOOKUP(E823,Product_Dim!A:C,3,0)</f>
        <v>Home</v>
      </c>
      <c r="G823" s="22" t="str" cm="1">
        <f t="array" ref="G823:L823">_xlfn.XLOOKUP(C823,Sales_Fact!C823:C2807,Sales_Fact!E823:J2807)</f>
        <v>STORE3</v>
      </c>
      <c r="H823" s="22">
        <v>1</v>
      </c>
      <c r="I823" s="22">
        <v>867.32</v>
      </c>
      <c r="J823" s="22">
        <v>0.28999999999999998</v>
      </c>
      <c r="K823" s="22" t="str">
        <v>PayPal</v>
      </c>
      <c r="L823" s="22">
        <v>615.79719999999998</v>
      </c>
    </row>
    <row r="824" spans="1:12" x14ac:dyDescent="0.3">
      <c r="A824" s="22" t="s">
        <v>2633</v>
      </c>
      <c r="B824" s="34" cm="1">
        <f t="array" ref="B824:C824">_xlfn.XLOOKUP(A824,Sales_Fact!A824:A2808,Sales_Fact!B824:C2808)</f>
        <v>45336</v>
      </c>
      <c r="C824" s="22" t="str">
        <v>CUST1081</v>
      </c>
      <c r="D824" s="22" t="str">
        <f>VLOOKUP('Combine Products &amp; Sales Facts'!C824,'Customer Details'!A:B,2,0)</f>
        <v>Krystal Ford</v>
      </c>
      <c r="E824" s="22" t="str">
        <f>VLOOKUP(C824,Sales_Fact!C:D,2,0)</f>
        <v>PROD45</v>
      </c>
      <c r="F824" s="22" t="str">
        <f>VLOOKUP(E824,Product_Dim!A:C,3,0)</f>
        <v>Sports</v>
      </c>
      <c r="G824" s="22" t="str" cm="1">
        <f t="array" ref="G824:L824">_xlfn.XLOOKUP(C824,Sales_Fact!C824:C2808,Sales_Fact!E824:J2808)</f>
        <v>STORE12</v>
      </c>
      <c r="H824" s="22">
        <v>3</v>
      </c>
      <c r="I824" s="22">
        <v>240.27</v>
      </c>
      <c r="J824" s="22">
        <v>0.15</v>
      </c>
      <c r="K824" s="22" t="str">
        <v>PayPal</v>
      </c>
      <c r="L824" s="22">
        <v>612.68850000000009</v>
      </c>
    </row>
    <row r="825" spans="1:12" x14ac:dyDescent="0.3">
      <c r="A825" s="22" t="s">
        <v>2634</v>
      </c>
      <c r="B825" s="34" cm="1">
        <f t="array" ref="B825:C825">_xlfn.XLOOKUP(A825,Sales_Fact!A825:A2809,Sales_Fact!B825:C2809)</f>
        <v>45728</v>
      </c>
      <c r="C825" s="22" t="str">
        <v>CUST1075</v>
      </c>
      <c r="D825" s="22" t="str">
        <f>VLOOKUP('Combine Products &amp; Sales Facts'!C825,'Customer Details'!A:B,2,0)</f>
        <v>Rhonda Morales</v>
      </c>
      <c r="E825" s="22" t="str">
        <f>VLOOKUP(C825,Sales_Fact!C:D,2,0)</f>
        <v>PROD16</v>
      </c>
      <c r="F825" s="22" t="str">
        <f>VLOOKUP(E825,Product_Dim!A:C,3,0)</f>
        <v>Beauty</v>
      </c>
      <c r="G825" s="22" t="str" cm="1">
        <f t="array" ref="G825:L825">_xlfn.XLOOKUP(C825,Sales_Fact!C825:C2809,Sales_Fact!E825:J2809)</f>
        <v>STORE16</v>
      </c>
      <c r="H825" s="22">
        <v>2</v>
      </c>
      <c r="I825" s="22">
        <v>619.12</v>
      </c>
      <c r="J825" s="22">
        <v>0.28000000000000003</v>
      </c>
      <c r="K825" s="22" t="str">
        <v>COD</v>
      </c>
      <c r="L825" s="22">
        <v>891.53279999999995</v>
      </c>
    </row>
    <row r="826" spans="1:12" x14ac:dyDescent="0.3">
      <c r="A826" s="22" t="s">
        <v>2635</v>
      </c>
      <c r="B826" s="34" cm="1">
        <f t="array" ref="B826:C826">_xlfn.XLOOKUP(A826,Sales_Fact!A826:A2810,Sales_Fact!B826:C2810)</f>
        <v>45755</v>
      </c>
      <c r="C826" s="22" t="str">
        <v>CUST1213</v>
      </c>
      <c r="D826" s="22" t="str">
        <f>VLOOKUP('Combine Products &amp; Sales Facts'!C826,'Customer Details'!A:B,2,0)</f>
        <v>Stuart Johnson</v>
      </c>
      <c r="E826" s="22" t="str">
        <f>VLOOKUP(C826,Sales_Fact!C:D,2,0)</f>
        <v>PROD21</v>
      </c>
      <c r="F826" s="22" t="str">
        <f>VLOOKUP(E826,Product_Dim!A:C,3,0)</f>
        <v>Home</v>
      </c>
      <c r="G826" s="22" t="str" cm="1">
        <f t="array" ref="G826:L826">_xlfn.XLOOKUP(C826,Sales_Fact!C826:C2810,Sales_Fact!E826:J2810)</f>
        <v>STORE0</v>
      </c>
      <c r="H826" s="22">
        <v>3</v>
      </c>
      <c r="I826" s="22">
        <v>693.42</v>
      </c>
      <c r="J826" s="22">
        <v>0.08</v>
      </c>
      <c r="K826" s="22" t="str">
        <v>PayPal</v>
      </c>
      <c r="L826" s="22">
        <v>1913.8391999999999</v>
      </c>
    </row>
    <row r="827" spans="1:12" x14ac:dyDescent="0.3">
      <c r="A827" s="22" t="s">
        <v>2636</v>
      </c>
      <c r="B827" s="34" cm="1">
        <f t="array" ref="B827:C827">_xlfn.XLOOKUP(A827,Sales_Fact!A827:A2811,Sales_Fact!B827:C2811)</f>
        <v>45695</v>
      </c>
      <c r="C827" s="22" t="str">
        <v>CUST1108</v>
      </c>
      <c r="D827" s="22" t="str">
        <f>VLOOKUP('Combine Products &amp; Sales Facts'!C827,'Customer Details'!A:B,2,0)</f>
        <v>Travis Holland</v>
      </c>
      <c r="E827" s="22" t="str">
        <f>VLOOKUP(C827,Sales_Fact!C:D,2,0)</f>
        <v>PROD30</v>
      </c>
      <c r="F827" s="22" t="str">
        <f>VLOOKUP(E827,Product_Dim!A:C,3,0)</f>
        <v>Home</v>
      </c>
      <c r="G827" s="22" t="str" cm="1">
        <f t="array" ref="G827:L827">_xlfn.XLOOKUP(C827,Sales_Fact!C827:C2811,Sales_Fact!E827:J2811)</f>
        <v>STORE10</v>
      </c>
      <c r="H827" s="22">
        <v>4</v>
      </c>
      <c r="I827" s="22">
        <v>751.63</v>
      </c>
      <c r="J827" s="22">
        <v>0.28000000000000003</v>
      </c>
      <c r="K827" s="22" t="str">
        <v>COD</v>
      </c>
      <c r="L827" s="22">
        <v>2164.6943999999999</v>
      </c>
    </row>
    <row r="828" spans="1:12" x14ac:dyDescent="0.3">
      <c r="A828" s="22" t="s">
        <v>2637</v>
      </c>
      <c r="B828" s="34" cm="1">
        <f t="array" ref="B828:C828">_xlfn.XLOOKUP(A828,Sales_Fact!A828:A2812,Sales_Fact!B828:C2812)</f>
        <v>45380</v>
      </c>
      <c r="C828" s="22" t="str">
        <v>CUST1110</v>
      </c>
      <c r="D828" s="22" t="str">
        <f>VLOOKUP('Combine Products &amp; Sales Facts'!C828,'Customer Details'!A:B,2,0)</f>
        <v>Ashley Griffin</v>
      </c>
      <c r="E828" s="22" t="str">
        <f>VLOOKUP(C828,Sales_Fact!C:D,2,0)</f>
        <v>PROD8</v>
      </c>
      <c r="F828" s="22" t="str">
        <f>VLOOKUP(E828,Product_Dim!A:C,3,0)</f>
        <v>Electronics</v>
      </c>
      <c r="G828" s="22" t="str" cm="1">
        <f t="array" ref="G828:L828">_xlfn.XLOOKUP(C828,Sales_Fact!C828:C2812,Sales_Fact!E828:J2812)</f>
        <v>STORE15</v>
      </c>
      <c r="H828" s="22">
        <v>3</v>
      </c>
      <c r="I828" s="22">
        <v>108.14</v>
      </c>
      <c r="J828" s="22">
        <v>0.19</v>
      </c>
      <c r="K828" s="22" t="str">
        <v>COD</v>
      </c>
      <c r="L828" s="22">
        <v>262.78019999999998</v>
      </c>
    </row>
    <row r="829" spans="1:12" x14ac:dyDescent="0.3">
      <c r="A829" s="22" t="s">
        <v>2638</v>
      </c>
      <c r="B829" s="34" cm="1">
        <f t="array" ref="B829:C829">_xlfn.XLOOKUP(A829,Sales_Fact!A829:A2813,Sales_Fact!B829:C2813)</f>
        <v>45446</v>
      </c>
      <c r="C829" s="22" t="str">
        <v>CUST1256</v>
      </c>
      <c r="D829" s="22" t="str">
        <f>VLOOKUP('Combine Products &amp; Sales Facts'!C829,'Customer Details'!A:B,2,0)</f>
        <v>Kristen Fischer</v>
      </c>
      <c r="E829" s="22" t="str">
        <f>VLOOKUP(C829,Sales_Fact!C:D,2,0)</f>
        <v>PROD34</v>
      </c>
      <c r="F829" s="22" t="str">
        <f>VLOOKUP(E829,Product_Dim!A:C,3,0)</f>
        <v>Electronics</v>
      </c>
      <c r="G829" s="22" t="str" cm="1">
        <f t="array" ref="G829:L829">_xlfn.XLOOKUP(C829,Sales_Fact!C829:C2813,Sales_Fact!E829:J2813)</f>
        <v>STORE4</v>
      </c>
      <c r="H829" s="22">
        <v>1</v>
      </c>
      <c r="I829" s="22">
        <v>964.11</v>
      </c>
      <c r="J829" s="22">
        <v>0.17</v>
      </c>
      <c r="K829" s="22" t="str">
        <v>COD</v>
      </c>
      <c r="L829" s="22">
        <v>800.21129999999994</v>
      </c>
    </row>
    <row r="830" spans="1:12" x14ac:dyDescent="0.3">
      <c r="A830" s="22" t="s">
        <v>2639</v>
      </c>
      <c r="B830" s="34" cm="1">
        <f t="array" ref="B830:C830">_xlfn.XLOOKUP(A830,Sales_Fact!A830:A2814,Sales_Fact!B830:C2814)</f>
        <v>45525</v>
      </c>
      <c r="C830" s="22" t="str">
        <v>CUST1131</v>
      </c>
      <c r="D830" s="22" t="str">
        <f>VLOOKUP('Combine Products &amp; Sales Facts'!C830,'Customer Details'!A:B,2,0)</f>
        <v>Joseph Richards</v>
      </c>
      <c r="E830" s="22" t="str">
        <f>VLOOKUP(C830,Sales_Fact!C:D,2,0)</f>
        <v>PROD56</v>
      </c>
      <c r="F830" s="22" t="str">
        <f>VLOOKUP(E830,Product_Dim!A:C,3,0)</f>
        <v>Home</v>
      </c>
      <c r="G830" s="22" t="str" cm="1">
        <f t="array" ref="G830:L830">_xlfn.XLOOKUP(C830,Sales_Fact!C830:C2814,Sales_Fact!E830:J2814)</f>
        <v>STORE0</v>
      </c>
      <c r="H830" s="22">
        <v>1</v>
      </c>
      <c r="I830" s="22">
        <v>346.2</v>
      </c>
      <c r="J830" s="22">
        <v>0.28999999999999998</v>
      </c>
      <c r="K830" s="22" t="str">
        <v>Credit Card</v>
      </c>
      <c r="L830" s="22">
        <v>245.80199999999999</v>
      </c>
    </row>
    <row r="831" spans="1:12" x14ac:dyDescent="0.3">
      <c r="A831" s="22" t="s">
        <v>2640</v>
      </c>
      <c r="B831" s="34" cm="1">
        <f t="array" ref="B831:C831">_xlfn.XLOOKUP(A831,Sales_Fact!A831:A2815,Sales_Fact!B831:C2815)</f>
        <v>45527</v>
      </c>
      <c r="C831" s="22" t="str">
        <v>CUST1457</v>
      </c>
      <c r="D831" s="22" t="str">
        <f>VLOOKUP('Combine Products &amp; Sales Facts'!C831,'Customer Details'!A:B,2,0)</f>
        <v>Christina Robertson</v>
      </c>
      <c r="E831" s="22" t="str">
        <f>VLOOKUP(C831,Sales_Fact!C:D,2,0)</f>
        <v>PROD43</v>
      </c>
      <c r="F831" s="22" t="str">
        <f>VLOOKUP(E831,Product_Dim!A:C,3,0)</f>
        <v>Electronics</v>
      </c>
      <c r="G831" s="22" t="str" cm="1">
        <f t="array" ref="G831:L831">_xlfn.XLOOKUP(C831,Sales_Fact!C831:C2815,Sales_Fact!E831:J2815)</f>
        <v>STORE15</v>
      </c>
      <c r="H831" s="22">
        <v>3</v>
      </c>
      <c r="I831" s="22">
        <v>791.75</v>
      </c>
      <c r="J831" s="22">
        <v>0.28999999999999998</v>
      </c>
      <c r="K831" s="22" t="str">
        <v>Credit Card</v>
      </c>
      <c r="L831" s="22">
        <v>1686.4275</v>
      </c>
    </row>
    <row r="832" spans="1:12" x14ac:dyDescent="0.3">
      <c r="A832" s="22" t="s">
        <v>2641</v>
      </c>
      <c r="B832" s="34" cm="1">
        <f t="array" ref="B832:C832">_xlfn.XLOOKUP(A832,Sales_Fact!A832:A2816,Sales_Fact!B832:C2816)</f>
        <v>45265</v>
      </c>
      <c r="C832" s="22" t="str">
        <v>CUST1319</v>
      </c>
      <c r="D832" s="22" t="str">
        <f>VLOOKUP('Combine Products &amp; Sales Facts'!C832,'Customer Details'!A:B,2,0)</f>
        <v>Casey Simpson</v>
      </c>
      <c r="E832" s="22" t="str">
        <f>VLOOKUP(C832,Sales_Fact!C:D,2,0)</f>
        <v>PROD49</v>
      </c>
      <c r="F832" s="22" t="str">
        <f>VLOOKUP(E832,Product_Dim!A:C,3,0)</f>
        <v>Beauty</v>
      </c>
      <c r="G832" s="22" t="str" cm="1">
        <f t="array" ref="G832:L832">_xlfn.XLOOKUP(C832,Sales_Fact!C832:C2816,Sales_Fact!E832:J2816)</f>
        <v>STORE13</v>
      </c>
      <c r="H832" s="22">
        <v>1</v>
      </c>
      <c r="I832" s="22">
        <v>529.84</v>
      </c>
      <c r="J832" s="22">
        <v>0.13</v>
      </c>
      <c r="K832" s="22" t="str">
        <v>PayPal</v>
      </c>
      <c r="L832" s="22">
        <v>460.96080000000001</v>
      </c>
    </row>
    <row r="833" spans="1:12" x14ac:dyDescent="0.3">
      <c r="A833" s="22" t="s">
        <v>2642</v>
      </c>
      <c r="B833" s="34" cm="1">
        <f t="array" ref="B833:C833">_xlfn.XLOOKUP(A833,Sales_Fact!A833:A2817,Sales_Fact!B833:C2817)</f>
        <v>45936</v>
      </c>
      <c r="C833" s="22" t="str">
        <v>CUST1471</v>
      </c>
      <c r="D833" s="22" t="str">
        <f>VLOOKUP('Combine Products &amp; Sales Facts'!C833,'Customer Details'!A:B,2,0)</f>
        <v>Debra Mccullough</v>
      </c>
      <c r="E833" s="22" t="str">
        <f>VLOOKUP(C833,Sales_Fact!C:D,2,0)</f>
        <v>PROD17</v>
      </c>
      <c r="F833" s="22" t="str">
        <f>VLOOKUP(E833,Product_Dim!A:C,3,0)</f>
        <v>Sports</v>
      </c>
      <c r="G833" s="22" t="str" cm="1">
        <f t="array" ref="G833:L833">_xlfn.XLOOKUP(C833,Sales_Fact!C833:C2817,Sales_Fact!E833:J2817)</f>
        <v>STORE3</v>
      </c>
      <c r="H833" s="22">
        <v>3</v>
      </c>
      <c r="I833" s="22">
        <v>582.57000000000005</v>
      </c>
      <c r="J833" s="22">
        <v>0.11</v>
      </c>
      <c r="K833" s="22" t="str">
        <v>PayPal</v>
      </c>
      <c r="L833" s="22">
        <v>1555.4619</v>
      </c>
    </row>
    <row r="834" spans="1:12" x14ac:dyDescent="0.3">
      <c r="A834" s="22" t="s">
        <v>2643</v>
      </c>
      <c r="B834" s="34" cm="1">
        <f t="array" ref="B834:C834">_xlfn.XLOOKUP(A834,Sales_Fact!A834:A2818,Sales_Fact!B834:C2818)</f>
        <v>45242</v>
      </c>
      <c r="C834" s="22" t="str">
        <v>CUST1211</v>
      </c>
      <c r="D834" s="22" t="str">
        <f>VLOOKUP('Combine Products &amp; Sales Facts'!C834,'Customer Details'!A:B,2,0)</f>
        <v>Rodney Huffman</v>
      </c>
      <c r="E834" s="22" t="str">
        <f>VLOOKUP(C834,Sales_Fact!C:D,2,0)</f>
        <v>PROD85</v>
      </c>
      <c r="F834" s="22" t="str">
        <f>VLOOKUP(E834,Product_Dim!A:C,3,0)</f>
        <v>Clothing</v>
      </c>
      <c r="G834" s="22" t="str" cm="1">
        <f t="array" ref="G834:L834">_xlfn.XLOOKUP(C834,Sales_Fact!C834:C2818,Sales_Fact!E834:J2818)</f>
        <v>STORE17</v>
      </c>
      <c r="H834" s="22">
        <v>1</v>
      </c>
      <c r="I834" s="22">
        <v>219.81</v>
      </c>
      <c r="J834" s="22">
        <v>0.22</v>
      </c>
      <c r="K834" s="22" t="str">
        <v>COD</v>
      </c>
      <c r="L834" s="22">
        <v>171.45179999999999</v>
      </c>
    </row>
    <row r="835" spans="1:12" x14ac:dyDescent="0.3">
      <c r="A835" s="22" t="s">
        <v>2644</v>
      </c>
      <c r="B835" s="34" cm="1">
        <f t="array" ref="B835:C835">_xlfn.XLOOKUP(A835,Sales_Fact!A835:A2819,Sales_Fact!B835:C2819)</f>
        <v>45437</v>
      </c>
      <c r="C835" s="22" t="str">
        <v>CUST1497</v>
      </c>
      <c r="D835" s="22" t="str">
        <f>VLOOKUP('Combine Products &amp; Sales Facts'!C835,'Customer Details'!A:B,2,0)</f>
        <v>Sarah Marsh</v>
      </c>
      <c r="E835" s="22" t="str">
        <f>VLOOKUP(C835,Sales_Fact!C:D,2,0)</f>
        <v>PROD33</v>
      </c>
      <c r="F835" s="22" t="str">
        <f>VLOOKUP(E835,Product_Dim!A:C,3,0)</f>
        <v>Home</v>
      </c>
      <c r="G835" s="22" t="str" cm="1">
        <f t="array" ref="G835:L835">_xlfn.XLOOKUP(C835,Sales_Fact!C835:C2819,Sales_Fact!E835:J2819)</f>
        <v>STORE18</v>
      </c>
      <c r="H835" s="22">
        <v>4</v>
      </c>
      <c r="I835" s="22">
        <v>883.31</v>
      </c>
      <c r="J835" s="22">
        <v>0.27</v>
      </c>
      <c r="K835" s="22" t="str">
        <v>Credit Card</v>
      </c>
      <c r="L835" s="22">
        <v>2579.2651999999998</v>
      </c>
    </row>
    <row r="836" spans="1:12" x14ac:dyDescent="0.3">
      <c r="A836" s="22" t="s">
        <v>2645</v>
      </c>
      <c r="B836" s="34" cm="1">
        <f t="array" ref="B836:C836">_xlfn.XLOOKUP(A836,Sales_Fact!A836:A2820,Sales_Fact!B836:C2820)</f>
        <v>45627</v>
      </c>
      <c r="C836" s="22" t="str">
        <v>CUST1234</v>
      </c>
      <c r="D836" s="22" t="str">
        <f>VLOOKUP('Combine Products &amp; Sales Facts'!C836,'Customer Details'!A:B,2,0)</f>
        <v>Nathaniel Hill</v>
      </c>
      <c r="E836" s="22" t="str">
        <f>VLOOKUP(C836,Sales_Fact!C:D,2,0)</f>
        <v>PROD98</v>
      </c>
      <c r="F836" s="22" t="str">
        <f>VLOOKUP(E836,Product_Dim!A:C,3,0)</f>
        <v>Electronics</v>
      </c>
      <c r="G836" s="22" t="str" cm="1">
        <f t="array" ref="G836:L836">_xlfn.XLOOKUP(C836,Sales_Fact!C836:C2820,Sales_Fact!E836:J2820)</f>
        <v>STORE14</v>
      </c>
      <c r="H836" s="22">
        <v>4</v>
      </c>
      <c r="I836" s="22">
        <v>329.06</v>
      </c>
      <c r="J836" s="22">
        <v>0.04</v>
      </c>
      <c r="K836" s="22" t="str">
        <v>COD</v>
      </c>
      <c r="L836" s="22">
        <v>1263.5904</v>
      </c>
    </row>
    <row r="837" spans="1:12" x14ac:dyDescent="0.3">
      <c r="A837" s="22" t="s">
        <v>2646</v>
      </c>
      <c r="B837" s="34" cm="1">
        <f t="array" ref="B837:C837">_xlfn.XLOOKUP(A837,Sales_Fact!A837:A2821,Sales_Fact!B837:C2821)</f>
        <v>45678</v>
      </c>
      <c r="C837" s="22" t="str">
        <v>CUST1105</v>
      </c>
      <c r="D837" s="22" t="str">
        <f>VLOOKUP('Combine Products &amp; Sales Facts'!C837,'Customer Details'!A:B,2,0)</f>
        <v>Lance Baker</v>
      </c>
      <c r="E837" s="22" t="str">
        <f>VLOOKUP(C837,Sales_Fact!C:D,2,0)</f>
        <v>PROD39</v>
      </c>
      <c r="F837" s="22" t="str">
        <f>VLOOKUP(E837,Product_Dim!A:C,3,0)</f>
        <v>Electronics</v>
      </c>
      <c r="G837" s="22" t="str" cm="1">
        <f t="array" ref="G837:L837">_xlfn.XLOOKUP(C837,Sales_Fact!C837:C2821,Sales_Fact!E837:J2821)</f>
        <v>STORE11</v>
      </c>
      <c r="H837" s="22">
        <v>1</v>
      </c>
      <c r="I837" s="22">
        <v>935.78</v>
      </c>
      <c r="J837" s="22">
        <v>0.03</v>
      </c>
      <c r="K837" s="22" t="str">
        <v>PayPal</v>
      </c>
      <c r="L837" s="22">
        <v>907.70659999999998</v>
      </c>
    </row>
    <row r="838" spans="1:12" x14ac:dyDescent="0.3">
      <c r="A838" s="22" t="s">
        <v>2647</v>
      </c>
      <c r="B838" s="34" cm="1">
        <f t="array" ref="B838:C838">_xlfn.XLOOKUP(A838,Sales_Fact!A838:A2822,Sales_Fact!B838:C2822)</f>
        <v>45484</v>
      </c>
      <c r="C838" s="22" t="str">
        <v>CUST1320</v>
      </c>
      <c r="D838" s="22" t="str">
        <f>VLOOKUP('Combine Products &amp; Sales Facts'!C838,'Customer Details'!A:B,2,0)</f>
        <v>Jessica Gonzalez</v>
      </c>
      <c r="E838" s="22" t="str">
        <f>VLOOKUP(C838,Sales_Fact!C:D,2,0)</f>
        <v>PROD39</v>
      </c>
      <c r="F838" s="22" t="str">
        <f>VLOOKUP(E838,Product_Dim!A:C,3,0)</f>
        <v>Electronics</v>
      </c>
      <c r="G838" s="22" t="str" cm="1">
        <f t="array" ref="G838:L838">_xlfn.XLOOKUP(C838,Sales_Fact!C838:C2822,Sales_Fact!E838:J2822)</f>
        <v>STORE10</v>
      </c>
      <c r="H838" s="22">
        <v>4</v>
      </c>
      <c r="I838" s="22">
        <v>597.79999999999995</v>
      </c>
      <c r="J838" s="22">
        <v>0.2</v>
      </c>
      <c r="K838" s="22" t="str">
        <v>Credit Card</v>
      </c>
      <c r="L838" s="22">
        <v>1912.96</v>
      </c>
    </row>
    <row r="839" spans="1:12" x14ac:dyDescent="0.3">
      <c r="A839" s="22" t="s">
        <v>2648</v>
      </c>
      <c r="B839" s="34" cm="1">
        <f t="array" ref="B839:C839">_xlfn.XLOOKUP(A839,Sales_Fact!A839:A2823,Sales_Fact!B839:C2823)</f>
        <v>45700</v>
      </c>
      <c r="C839" s="22" t="str">
        <v>CUST1259</v>
      </c>
      <c r="D839" s="22" t="str">
        <f>VLOOKUP('Combine Products &amp; Sales Facts'!C839,'Customer Details'!A:B,2,0)</f>
        <v>Beth Allen</v>
      </c>
      <c r="E839" s="22" t="str">
        <f>VLOOKUP(C839,Sales_Fact!C:D,2,0)</f>
        <v>PROD13</v>
      </c>
      <c r="F839" s="22" t="str">
        <f>VLOOKUP(E839,Product_Dim!A:C,3,0)</f>
        <v>Electronics</v>
      </c>
      <c r="G839" s="22" t="str" cm="1">
        <f t="array" ref="G839:L839">_xlfn.XLOOKUP(C839,Sales_Fact!C839:C2823,Sales_Fact!E839:J2823)</f>
        <v>STORE18</v>
      </c>
      <c r="H839" s="22">
        <v>4</v>
      </c>
      <c r="I839" s="22">
        <v>266.98</v>
      </c>
      <c r="J839" s="22">
        <v>0.16</v>
      </c>
      <c r="K839" s="22" t="str">
        <v>Credit Card</v>
      </c>
      <c r="L839" s="22">
        <v>897.05280000000005</v>
      </c>
    </row>
    <row r="840" spans="1:12" x14ac:dyDescent="0.3">
      <c r="A840" s="22" t="s">
        <v>2649</v>
      </c>
      <c r="B840" s="34" cm="1">
        <f t="array" ref="B840:C840">_xlfn.XLOOKUP(A840,Sales_Fact!A840:A2824,Sales_Fact!B840:C2824)</f>
        <v>45873</v>
      </c>
      <c r="C840" s="22" t="str">
        <v>CUST1407</v>
      </c>
      <c r="D840" s="22" t="str">
        <f>VLOOKUP('Combine Products &amp; Sales Facts'!C840,'Customer Details'!A:B,2,0)</f>
        <v>Joseph Mendoza</v>
      </c>
      <c r="E840" s="22" t="str">
        <f>VLOOKUP(C840,Sales_Fact!C:D,2,0)</f>
        <v>PROD70</v>
      </c>
      <c r="F840" s="22" t="str">
        <f>VLOOKUP(E840,Product_Dim!A:C,3,0)</f>
        <v>Home</v>
      </c>
      <c r="G840" s="22" t="str" cm="1">
        <f t="array" ref="G840:L840">_xlfn.XLOOKUP(C840,Sales_Fact!C840:C2824,Sales_Fact!E840:J2824)</f>
        <v>STORE15</v>
      </c>
      <c r="H840" s="22">
        <v>3</v>
      </c>
      <c r="I840" s="22">
        <v>360.18</v>
      </c>
      <c r="J840" s="22">
        <v>0.03</v>
      </c>
      <c r="K840" s="22" t="str">
        <v>Credit Card</v>
      </c>
      <c r="L840" s="22">
        <v>1048.1238000000001</v>
      </c>
    </row>
    <row r="841" spans="1:12" x14ac:dyDescent="0.3">
      <c r="A841" s="22" t="s">
        <v>2650</v>
      </c>
      <c r="B841" s="34" cm="1">
        <f t="array" ref="B841:C841">_xlfn.XLOOKUP(A841,Sales_Fact!A841:A2825,Sales_Fact!B841:C2825)</f>
        <v>45860</v>
      </c>
      <c r="C841" s="22" t="str">
        <v>CUST1363</v>
      </c>
      <c r="D841" s="22" t="str">
        <f>VLOOKUP('Combine Products &amp; Sales Facts'!C841,'Customer Details'!A:B,2,0)</f>
        <v>Elizabeth Smith</v>
      </c>
      <c r="E841" s="22" t="str">
        <f>VLOOKUP(C841,Sales_Fact!C:D,2,0)</f>
        <v>PROD91</v>
      </c>
      <c r="F841" s="22" t="str">
        <f>VLOOKUP(E841,Product_Dim!A:C,3,0)</f>
        <v>Clothing</v>
      </c>
      <c r="G841" s="22" t="str" cm="1">
        <f t="array" ref="G841:L841">_xlfn.XLOOKUP(C841,Sales_Fact!C841:C2825,Sales_Fact!E841:J2825)</f>
        <v>STORE0</v>
      </c>
      <c r="H841" s="22">
        <v>3</v>
      </c>
      <c r="I841" s="22">
        <v>247.41</v>
      </c>
      <c r="J841" s="22">
        <v>0.05</v>
      </c>
      <c r="K841" s="22" t="str">
        <v>COD</v>
      </c>
      <c r="L841" s="22">
        <v>705.11850000000004</v>
      </c>
    </row>
    <row r="842" spans="1:12" x14ac:dyDescent="0.3">
      <c r="A842" s="22" t="s">
        <v>2651</v>
      </c>
      <c r="B842" s="34" cm="1">
        <f t="array" ref="B842:C842">_xlfn.XLOOKUP(A842,Sales_Fact!A842:A2826,Sales_Fact!B842:C2826)</f>
        <v>45235</v>
      </c>
      <c r="C842" s="22" t="str">
        <v>CUST1078</v>
      </c>
      <c r="D842" s="22" t="str">
        <f>VLOOKUP('Combine Products &amp; Sales Facts'!C842,'Customer Details'!A:B,2,0)</f>
        <v>Cody Blake</v>
      </c>
      <c r="E842" s="22" t="str">
        <f>VLOOKUP(C842,Sales_Fact!C:D,2,0)</f>
        <v>PROD45</v>
      </c>
      <c r="F842" s="22" t="str">
        <f>VLOOKUP(E842,Product_Dim!A:C,3,0)</f>
        <v>Sports</v>
      </c>
      <c r="G842" s="22" t="str" cm="1">
        <f t="array" ref="G842:L842">_xlfn.XLOOKUP(C842,Sales_Fact!C842:C2826,Sales_Fact!E842:J2826)</f>
        <v>STORE15</v>
      </c>
      <c r="H842" s="22">
        <v>3</v>
      </c>
      <c r="I842" s="22">
        <v>674.66</v>
      </c>
      <c r="J842" s="22">
        <v>0.23</v>
      </c>
      <c r="K842" s="22" t="str">
        <v>Credit Card</v>
      </c>
      <c r="L842" s="22">
        <v>1558.4646</v>
      </c>
    </row>
    <row r="843" spans="1:12" x14ac:dyDescent="0.3">
      <c r="A843" s="22" t="s">
        <v>2652</v>
      </c>
      <c r="B843" s="34" cm="1">
        <f t="array" ref="B843:C843">_xlfn.XLOOKUP(A843,Sales_Fact!A843:A2827,Sales_Fact!B843:C2827)</f>
        <v>45874</v>
      </c>
      <c r="C843" s="22" t="str">
        <v>CUST1415</v>
      </c>
      <c r="D843" s="22" t="str">
        <f>VLOOKUP('Combine Products &amp; Sales Facts'!C843,'Customer Details'!A:B,2,0)</f>
        <v>Tyler Cook</v>
      </c>
      <c r="E843" s="22" t="str">
        <f>VLOOKUP(C843,Sales_Fact!C:D,2,0)</f>
        <v>PROD79</v>
      </c>
      <c r="F843" s="22" t="str">
        <f>VLOOKUP(E843,Product_Dim!A:C,3,0)</f>
        <v>Home</v>
      </c>
      <c r="G843" s="22" t="str" cm="1">
        <f t="array" ref="G843:L843">_xlfn.XLOOKUP(C843,Sales_Fact!C843:C2827,Sales_Fact!E843:J2827)</f>
        <v>STORE4</v>
      </c>
      <c r="H843" s="22">
        <v>1</v>
      </c>
      <c r="I843" s="22">
        <v>913.98</v>
      </c>
      <c r="J843" s="22">
        <v>0.27</v>
      </c>
      <c r="K843" s="22" t="str">
        <v>PayPal</v>
      </c>
      <c r="L843" s="22">
        <v>667.20539999999994</v>
      </c>
    </row>
    <row r="844" spans="1:12" x14ac:dyDescent="0.3">
      <c r="A844" s="22" t="s">
        <v>2653</v>
      </c>
      <c r="B844" s="34" cm="1">
        <f t="array" ref="B844:C844">_xlfn.XLOOKUP(A844,Sales_Fact!A844:A2828,Sales_Fact!B844:C2828)</f>
        <v>45769</v>
      </c>
      <c r="C844" s="22" t="str">
        <v>CUST1314</v>
      </c>
      <c r="D844" s="22" t="str">
        <f>VLOOKUP('Combine Products &amp; Sales Facts'!C844,'Customer Details'!A:B,2,0)</f>
        <v>Elizabeth Johnson</v>
      </c>
      <c r="E844" s="22" t="str">
        <f>VLOOKUP(C844,Sales_Fact!C:D,2,0)</f>
        <v>PROD11</v>
      </c>
      <c r="F844" s="22" t="str">
        <f>VLOOKUP(E844,Product_Dim!A:C,3,0)</f>
        <v>Electronics</v>
      </c>
      <c r="G844" s="22" t="str" cm="1">
        <f t="array" ref="G844:L844">_xlfn.XLOOKUP(C844,Sales_Fact!C844:C2828,Sales_Fact!E844:J2828)</f>
        <v>STORE10</v>
      </c>
      <c r="H844" s="22">
        <v>4</v>
      </c>
      <c r="I844" s="22">
        <v>370.5</v>
      </c>
      <c r="J844" s="22">
        <v>0.13</v>
      </c>
      <c r="K844" s="22" t="str">
        <v>PayPal</v>
      </c>
      <c r="L844" s="22">
        <v>1289.3399999999999</v>
      </c>
    </row>
    <row r="845" spans="1:12" x14ac:dyDescent="0.3">
      <c r="A845" s="22" t="s">
        <v>2654</v>
      </c>
      <c r="B845" s="34" cm="1">
        <f t="array" ref="B845:C845">_xlfn.XLOOKUP(A845,Sales_Fact!A845:A2829,Sales_Fact!B845:C2829)</f>
        <v>45619</v>
      </c>
      <c r="C845" s="22" t="str">
        <v>CUST1358</v>
      </c>
      <c r="D845" s="22" t="str">
        <f>VLOOKUP('Combine Products &amp; Sales Facts'!C845,'Customer Details'!A:B,2,0)</f>
        <v>Ashley Anderson</v>
      </c>
      <c r="E845" s="22" t="str">
        <f>VLOOKUP(C845,Sales_Fact!C:D,2,0)</f>
        <v>PROD55</v>
      </c>
      <c r="F845" s="22" t="str">
        <f>VLOOKUP(E845,Product_Dim!A:C,3,0)</f>
        <v>Home</v>
      </c>
      <c r="G845" s="22" t="str" cm="1">
        <f t="array" ref="G845:L845">_xlfn.XLOOKUP(C845,Sales_Fact!C845:C2829,Sales_Fact!E845:J2829)</f>
        <v>STORE13</v>
      </c>
      <c r="H845" s="22">
        <v>1</v>
      </c>
      <c r="I845" s="22">
        <v>735.1</v>
      </c>
      <c r="J845" s="22">
        <v>0.1</v>
      </c>
      <c r="K845" s="22" t="str">
        <v>PayPal</v>
      </c>
      <c r="L845" s="22">
        <v>661.59</v>
      </c>
    </row>
    <row r="846" spans="1:12" x14ac:dyDescent="0.3">
      <c r="A846" s="22" t="s">
        <v>2655</v>
      </c>
      <c r="B846" s="34" cm="1">
        <f t="array" ref="B846:C846">_xlfn.XLOOKUP(A846,Sales_Fact!A846:A2830,Sales_Fact!B846:C2830)</f>
        <v>45614</v>
      </c>
      <c r="C846" s="22" t="str">
        <v>CUST1135</v>
      </c>
      <c r="D846" s="22" t="str">
        <f>VLOOKUP('Combine Products &amp; Sales Facts'!C846,'Customer Details'!A:B,2,0)</f>
        <v>Matthew Hanna</v>
      </c>
      <c r="E846" s="22" t="str">
        <f>VLOOKUP(C846,Sales_Fact!C:D,2,0)</f>
        <v>PROD44</v>
      </c>
      <c r="F846" s="22" t="str">
        <f>VLOOKUP(E846,Product_Dim!A:C,3,0)</f>
        <v>Sports</v>
      </c>
      <c r="G846" s="22" t="str" cm="1">
        <f t="array" ref="G846:L846">_xlfn.XLOOKUP(C846,Sales_Fact!C846:C2830,Sales_Fact!E846:J2830)</f>
        <v>STORE2</v>
      </c>
      <c r="H846" s="22">
        <v>3</v>
      </c>
      <c r="I846" s="22">
        <v>448.55</v>
      </c>
      <c r="J846" s="22">
        <v>0.05</v>
      </c>
      <c r="K846" s="22" t="str">
        <v>Credit Card</v>
      </c>
      <c r="L846" s="22">
        <v>1278.3675000000001</v>
      </c>
    </row>
    <row r="847" spans="1:12" x14ac:dyDescent="0.3">
      <c r="A847" s="22" t="s">
        <v>2656</v>
      </c>
      <c r="B847" s="34" cm="1">
        <f t="array" ref="B847:C847">_xlfn.XLOOKUP(A847,Sales_Fact!A847:A2831,Sales_Fact!B847:C2831)</f>
        <v>45691</v>
      </c>
      <c r="C847" s="22" t="str">
        <v>CUST1059</v>
      </c>
      <c r="D847" s="22" t="str">
        <f>VLOOKUP('Combine Products &amp; Sales Facts'!C847,'Customer Details'!A:B,2,0)</f>
        <v>Alyssa Vargas</v>
      </c>
      <c r="E847" s="22" t="str">
        <f>VLOOKUP(C847,Sales_Fact!C:D,2,0)</f>
        <v>PROD94</v>
      </c>
      <c r="F847" s="22" t="str">
        <f>VLOOKUP(E847,Product_Dim!A:C,3,0)</f>
        <v>Beauty</v>
      </c>
      <c r="G847" s="22" t="str" cm="1">
        <f t="array" ref="G847:L847">_xlfn.XLOOKUP(C847,Sales_Fact!C847:C2831,Sales_Fact!E847:J2831)</f>
        <v>STORE13</v>
      </c>
      <c r="H847" s="22">
        <v>3</v>
      </c>
      <c r="I847" s="22">
        <v>904.96</v>
      </c>
      <c r="J847" s="22">
        <v>7.0000000000000007E-2</v>
      </c>
      <c r="K847" s="22" t="str">
        <v>COD</v>
      </c>
      <c r="L847" s="22">
        <v>2524.8384000000001</v>
      </c>
    </row>
    <row r="848" spans="1:12" x14ac:dyDescent="0.3">
      <c r="A848" s="22" t="s">
        <v>2657</v>
      </c>
      <c r="B848" s="34" cm="1">
        <f t="array" ref="B848:C848">_xlfn.XLOOKUP(A848,Sales_Fact!A848:A2832,Sales_Fact!B848:C2832)</f>
        <v>45608</v>
      </c>
      <c r="C848" s="22" t="str">
        <v>CUST1380</v>
      </c>
      <c r="D848" s="22" t="str">
        <f>VLOOKUP('Combine Products &amp; Sales Facts'!C848,'Customer Details'!A:B,2,0)</f>
        <v>Shelley Ponce</v>
      </c>
      <c r="E848" s="22" t="str">
        <f>VLOOKUP(C848,Sales_Fact!C:D,2,0)</f>
        <v>PROD98</v>
      </c>
      <c r="F848" s="22" t="str">
        <f>VLOOKUP(E848,Product_Dim!A:C,3,0)</f>
        <v>Electronics</v>
      </c>
      <c r="G848" s="22" t="str" cm="1">
        <f t="array" ref="G848:L848">_xlfn.XLOOKUP(C848,Sales_Fact!C848:C2832,Sales_Fact!E848:J2832)</f>
        <v>STORE13</v>
      </c>
      <c r="H848" s="22">
        <v>4</v>
      </c>
      <c r="I848" s="22">
        <v>408.72</v>
      </c>
      <c r="J848" s="22">
        <v>0.16</v>
      </c>
      <c r="K848" s="22" t="str">
        <v>COD</v>
      </c>
      <c r="L848" s="22">
        <v>1373.2991999999999</v>
      </c>
    </row>
    <row r="849" spans="1:12" x14ac:dyDescent="0.3">
      <c r="A849" s="22" t="s">
        <v>2658</v>
      </c>
      <c r="B849" s="34" cm="1">
        <f t="array" ref="B849:C849">_xlfn.XLOOKUP(A849,Sales_Fact!A849:A2833,Sales_Fact!B849:C2833)</f>
        <v>45412</v>
      </c>
      <c r="C849" s="22" t="str">
        <v>CUST1282</v>
      </c>
      <c r="D849" s="22" t="str">
        <f>VLOOKUP('Combine Products &amp; Sales Facts'!C849,'Customer Details'!A:B,2,0)</f>
        <v>Kristi Lopez</v>
      </c>
      <c r="E849" s="22" t="str">
        <f>VLOOKUP(C849,Sales_Fact!C:D,2,0)</f>
        <v>PROD91</v>
      </c>
      <c r="F849" s="22" t="str">
        <f>VLOOKUP(E849,Product_Dim!A:C,3,0)</f>
        <v>Clothing</v>
      </c>
      <c r="G849" s="22" t="str" cm="1">
        <f t="array" ref="G849:L849">_xlfn.XLOOKUP(C849,Sales_Fact!C849:C2833,Sales_Fact!E849:J2833)</f>
        <v>STORE3</v>
      </c>
      <c r="H849" s="22">
        <v>4</v>
      </c>
      <c r="I849" s="22">
        <v>770.65</v>
      </c>
      <c r="J849" s="22">
        <v>0.27</v>
      </c>
      <c r="K849" s="22" t="str">
        <v>Credit Card</v>
      </c>
      <c r="L849" s="22">
        <v>2250.2979999999998</v>
      </c>
    </row>
    <row r="850" spans="1:12" x14ac:dyDescent="0.3">
      <c r="A850" s="22" t="s">
        <v>2659</v>
      </c>
      <c r="B850" s="34" cm="1">
        <f t="array" ref="B850:C850">_xlfn.XLOOKUP(A850,Sales_Fact!A850:A2834,Sales_Fact!B850:C2834)</f>
        <v>45767</v>
      </c>
      <c r="C850" s="22" t="str">
        <v>CUST1203</v>
      </c>
      <c r="D850" s="22" t="str">
        <f>VLOOKUP('Combine Products &amp; Sales Facts'!C850,'Customer Details'!A:B,2,0)</f>
        <v>Sarah Brady</v>
      </c>
      <c r="E850" s="22" t="str">
        <f>VLOOKUP(C850,Sales_Fact!C:D,2,0)</f>
        <v>PROD43</v>
      </c>
      <c r="F850" s="22" t="str">
        <f>VLOOKUP(E850,Product_Dim!A:C,3,0)</f>
        <v>Electronics</v>
      </c>
      <c r="G850" s="22" t="str" cm="1">
        <f t="array" ref="G850:L850">_xlfn.XLOOKUP(C850,Sales_Fact!C850:C2834,Sales_Fact!E850:J2834)</f>
        <v>STORE6</v>
      </c>
      <c r="H850" s="22">
        <v>1</v>
      </c>
      <c r="I850" s="22">
        <v>649.22</v>
      </c>
      <c r="J850" s="22">
        <v>0.03</v>
      </c>
      <c r="K850" s="22" t="str">
        <v>COD</v>
      </c>
      <c r="L850" s="22">
        <v>629.74340000000007</v>
      </c>
    </row>
    <row r="851" spans="1:12" x14ac:dyDescent="0.3">
      <c r="A851" s="22" t="s">
        <v>2660</v>
      </c>
      <c r="B851" s="34" cm="1">
        <f t="array" ref="B851:C851">_xlfn.XLOOKUP(A851,Sales_Fact!A851:A2835,Sales_Fact!B851:C2835)</f>
        <v>45428</v>
      </c>
      <c r="C851" s="22" t="str">
        <v>CUST1348</v>
      </c>
      <c r="D851" s="22" t="str">
        <f>VLOOKUP('Combine Products &amp; Sales Facts'!C851,'Customer Details'!A:B,2,0)</f>
        <v>Sherry Cabrera</v>
      </c>
      <c r="E851" s="22" t="str">
        <f>VLOOKUP(C851,Sales_Fact!C:D,2,0)</f>
        <v>PROD24</v>
      </c>
      <c r="F851" s="22" t="str">
        <f>VLOOKUP(E851,Product_Dim!A:C,3,0)</f>
        <v>Sports</v>
      </c>
      <c r="G851" s="22" t="str" cm="1">
        <f t="array" ref="G851:L851">_xlfn.XLOOKUP(C851,Sales_Fact!C851:C2835,Sales_Fact!E851:J2835)</f>
        <v>STORE10</v>
      </c>
      <c r="H851" s="22">
        <v>2</v>
      </c>
      <c r="I851" s="22">
        <v>379.78</v>
      </c>
      <c r="J851" s="22">
        <v>0.2</v>
      </c>
      <c r="K851" s="22" t="str">
        <v>Credit Card</v>
      </c>
      <c r="L851" s="22">
        <v>607.64800000000002</v>
      </c>
    </row>
    <row r="852" spans="1:12" x14ac:dyDescent="0.3">
      <c r="A852" s="22" t="s">
        <v>2661</v>
      </c>
      <c r="B852" s="34" cm="1">
        <f t="array" ref="B852:C852">_xlfn.XLOOKUP(A852,Sales_Fact!A852:A2836,Sales_Fact!B852:C2836)</f>
        <v>45770</v>
      </c>
      <c r="C852" s="22" t="str">
        <v>CUST1248</v>
      </c>
      <c r="D852" s="22" t="str">
        <f>VLOOKUP('Combine Products &amp; Sales Facts'!C852,'Customer Details'!A:B,2,0)</f>
        <v>Nicholas Webb</v>
      </c>
      <c r="E852" s="22" t="str">
        <f>VLOOKUP(C852,Sales_Fact!C:D,2,0)</f>
        <v>PROD87</v>
      </c>
      <c r="F852" s="22" t="str">
        <f>VLOOKUP(E852,Product_Dim!A:C,3,0)</f>
        <v>Home</v>
      </c>
      <c r="G852" s="22" t="str" cm="1">
        <f t="array" ref="G852:L852">_xlfn.XLOOKUP(C852,Sales_Fact!C852:C2836,Sales_Fact!E852:J2836)</f>
        <v>STORE8</v>
      </c>
      <c r="H852" s="22">
        <v>3</v>
      </c>
      <c r="I852" s="22">
        <v>924.15</v>
      </c>
      <c r="J852" s="22">
        <v>0.1</v>
      </c>
      <c r="K852" s="22" t="str">
        <v>PayPal</v>
      </c>
      <c r="L852" s="22">
        <v>2495.2049999999999</v>
      </c>
    </row>
    <row r="853" spans="1:12" x14ac:dyDescent="0.3">
      <c r="A853" s="22" t="s">
        <v>2662</v>
      </c>
      <c r="B853" s="34" cm="1">
        <f t="array" ref="B853:C853">_xlfn.XLOOKUP(A853,Sales_Fact!A853:A2837,Sales_Fact!B853:C2837)</f>
        <v>45571</v>
      </c>
      <c r="C853" s="22" t="str">
        <v>CUST1469</v>
      </c>
      <c r="D853" s="22" t="str">
        <f>VLOOKUP('Combine Products &amp; Sales Facts'!C853,'Customer Details'!A:B,2,0)</f>
        <v>James Foster</v>
      </c>
      <c r="E853" s="22" t="str">
        <f>VLOOKUP(C853,Sales_Fact!C:D,2,0)</f>
        <v>PROD45</v>
      </c>
      <c r="F853" s="22" t="str">
        <f>VLOOKUP(E853,Product_Dim!A:C,3,0)</f>
        <v>Sports</v>
      </c>
      <c r="G853" s="22" t="str" cm="1">
        <f t="array" ref="G853:L853">_xlfn.XLOOKUP(C853,Sales_Fact!C853:C2837,Sales_Fact!E853:J2837)</f>
        <v>STORE17</v>
      </c>
      <c r="H853" s="22">
        <v>3</v>
      </c>
      <c r="I853" s="22">
        <v>144.66999999999999</v>
      </c>
      <c r="J853" s="22">
        <v>0.28999999999999998</v>
      </c>
      <c r="K853" s="22" t="str">
        <v>COD</v>
      </c>
      <c r="L853" s="22">
        <v>308.14710000000002</v>
      </c>
    </row>
    <row r="854" spans="1:12" x14ac:dyDescent="0.3">
      <c r="A854" s="22" t="s">
        <v>2663</v>
      </c>
      <c r="B854" s="34" cm="1">
        <f t="array" ref="B854:C854">_xlfn.XLOOKUP(A854,Sales_Fact!A854:A2838,Sales_Fact!B854:C2838)</f>
        <v>45700</v>
      </c>
      <c r="C854" s="22" t="str">
        <v>CUST1121</v>
      </c>
      <c r="D854" s="22" t="str">
        <f>VLOOKUP('Combine Products &amp; Sales Facts'!C854,'Customer Details'!A:B,2,0)</f>
        <v>Joel Robinson</v>
      </c>
      <c r="E854" s="22" t="str">
        <f>VLOOKUP(C854,Sales_Fact!C:D,2,0)</f>
        <v>PROD33</v>
      </c>
      <c r="F854" s="22" t="str">
        <f>VLOOKUP(E854,Product_Dim!A:C,3,0)</f>
        <v>Home</v>
      </c>
      <c r="G854" s="22" t="str" cm="1">
        <f t="array" ref="G854:L854">_xlfn.XLOOKUP(C854,Sales_Fact!C854:C2838,Sales_Fact!E854:J2838)</f>
        <v>STORE15</v>
      </c>
      <c r="H854" s="22">
        <v>2</v>
      </c>
      <c r="I854" s="22">
        <v>667.17</v>
      </c>
      <c r="J854" s="22">
        <v>0.1</v>
      </c>
      <c r="K854" s="22" t="str">
        <v>PayPal</v>
      </c>
      <c r="L854" s="22">
        <v>1200.9059999999999</v>
      </c>
    </row>
    <row r="855" spans="1:12" x14ac:dyDescent="0.3">
      <c r="A855" s="22" t="s">
        <v>2664</v>
      </c>
      <c r="B855" s="34" cm="1">
        <f t="array" ref="B855:C855">_xlfn.XLOOKUP(A855,Sales_Fact!A855:A2839,Sales_Fact!B855:C2839)</f>
        <v>45382</v>
      </c>
      <c r="C855" s="22" t="str">
        <v>CUST1402</v>
      </c>
      <c r="D855" s="22" t="str">
        <f>VLOOKUP('Combine Products &amp; Sales Facts'!C855,'Customer Details'!A:B,2,0)</f>
        <v>Cassandra Perez</v>
      </c>
      <c r="E855" s="22" t="str">
        <f>VLOOKUP(C855,Sales_Fact!C:D,2,0)</f>
        <v>PROD21</v>
      </c>
      <c r="F855" s="22" t="str">
        <f>VLOOKUP(E855,Product_Dim!A:C,3,0)</f>
        <v>Home</v>
      </c>
      <c r="G855" s="22" t="str" cm="1">
        <f t="array" ref="G855:L855">_xlfn.XLOOKUP(C855,Sales_Fact!C855:C2839,Sales_Fact!E855:J2839)</f>
        <v>STORE3</v>
      </c>
      <c r="H855" s="22">
        <v>1</v>
      </c>
      <c r="I855" s="22">
        <v>984.6</v>
      </c>
      <c r="J855" s="22">
        <v>0.22</v>
      </c>
      <c r="K855" s="22" t="str">
        <v>Credit Card</v>
      </c>
      <c r="L855" s="22">
        <v>767.98800000000006</v>
      </c>
    </row>
    <row r="856" spans="1:12" x14ac:dyDescent="0.3">
      <c r="A856" s="22" t="s">
        <v>2665</v>
      </c>
      <c r="B856" s="34" cm="1">
        <f t="array" ref="B856:C856">_xlfn.XLOOKUP(A856,Sales_Fact!A856:A2840,Sales_Fact!B856:C2840)</f>
        <v>45260</v>
      </c>
      <c r="C856" s="22" t="str">
        <v>CUST1279</v>
      </c>
      <c r="D856" s="22" t="str">
        <f>VLOOKUP('Combine Products &amp; Sales Facts'!C856,'Customer Details'!A:B,2,0)</f>
        <v>Aaron Luna</v>
      </c>
      <c r="E856" s="22" t="str">
        <f>VLOOKUP(C856,Sales_Fact!C:D,2,0)</f>
        <v>PROD13</v>
      </c>
      <c r="F856" s="22" t="str">
        <f>VLOOKUP(E856,Product_Dim!A:C,3,0)</f>
        <v>Electronics</v>
      </c>
      <c r="G856" s="22" t="str" cm="1">
        <f t="array" ref="G856:L856">_xlfn.XLOOKUP(C856,Sales_Fact!C856:C2840,Sales_Fact!E856:J2840)</f>
        <v>STORE8</v>
      </c>
      <c r="H856" s="22">
        <v>1</v>
      </c>
      <c r="I856" s="22">
        <v>139.29</v>
      </c>
      <c r="J856" s="22">
        <v>0</v>
      </c>
      <c r="K856" s="22" t="str">
        <v>Credit Card</v>
      </c>
      <c r="L856" s="22">
        <v>139.29</v>
      </c>
    </row>
    <row r="857" spans="1:12" x14ac:dyDescent="0.3">
      <c r="A857" s="22" t="s">
        <v>2666</v>
      </c>
      <c r="B857" s="34" cm="1">
        <f t="array" ref="B857:C857">_xlfn.XLOOKUP(A857,Sales_Fact!A857:A2841,Sales_Fact!B857:C2841)</f>
        <v>45702</v>
      </c>
      <c r="C857" s="22" t="str">
        <v>CUST1033</v>
      </c>
      <c r="D857" s="22" t="str">
        <f>VLOOKUP('Combine Products &amp; Sales Facts'!C857,'Customer Details'!A:B,2,0)</f>
        <v>Robert Jones Dds</v>
      </c>
      <c r="E857" s="22" t="str">
        <f>VLOOKUP(C857,Sales_Fact!C:D,2,0)</f>
        <v>PROD46</v>
      </c>
      <c r="F857" s="22" t="str">
        <f>VLOOKUP(E857,Product_Dim!A:C,3,0)</f>
        <v>Clothing</v>
      </c>
      <c r="G857" s="22" t="str" cm="1">
        <f t="array" ref="G857:L857">_xlfn.XLOOKUP(C857,Sales_Fact!C857:C2841,Sales_Fact!E857:J2841)</f>
        <v>STORE8</v>
      </c>
      <c r="H857" s="22">
        <v>3</v>
      </c>
      <c r="I857" s="22">
        <v>459.57</v>
      </c>
      <c r="J857" s="22">
        <v>0.1</v>
      </c>
      <c r="K857" s="22" t="str">
        <v>COD</v>
      </c>
      <c r="L857" s="22">
        <v>1240.8389999999999</v>
      </c>
    </row>
    <row r="858" spans="1:12" x14ac:dyDescent="0.3">
      <c r="A858" s="22" t="s">
        <v>2667</v>
      </c>
      <c r="B858" s="34" cm="1">
        <f t="array" ref="B858:C858">_xlfn.XLOOKUP(A858,Sales_Fact!A858:A2842,Sales_Fact!B858:C2842)</f>
        <v>45302</v>
      </c>
      <c r="C858" s="22" t="str">
        <v>CUST1066</v>
      </c>
      <c r="D858" s="22" t="str">
        <f>VLOOKUP('Combine Products &amp; Sales Facts'!C858,'Customer Details'!A:B,2,0)</f>
        <v>Cody Diaz</v>
      </c>
      <c r="E858" s="22" t="str">
        <f>VLOOKUP(C858,Sales_Fact!C:D,2,0)</f>
        <v>PROD94</v>
      </c>
      <c r="F858" s="22" t="str">
        <f>VLOOKUP(E858,Product_Dim!A:C,3,0)</f>
        <v>Beauty</v>
      </c>
      <c r="G858" s="22" t="str" cm="1">
        <f t="array" ref="G858:L858">_xlfn.XLOOKUP(C858,Sales_Fact!C858:C2842,Sales_Fact!E858:J2842)</f>
        <v>STORE15</v>
      </c>
      <c r="H858" s="22">
        <v>1</v>
      </c>
      <c r="I858" s="22">
        <v>517.82000000000005</v>
      </c>
      <c r="J858" s="22">
        <v>0.28999999999999998</v>
      </c>
      <c r="K858" s="22" t="str">
        <v>Credit Card</v>
      </c>
      <c r="L858" s="22">
        <v>367.65219999999999</v>
      </c>
    </row>
    <row r="859" spans="1:12" x14ac:dyDescent="0.3">
      <c r="A859" s="22" t="s">
        <v>2668</v>
      </c>
      <c r="B859" s="34" cm="1">
        <f t="array" ref="B859:C859">_xlfn.XLOOKUP(A859,Sales_Fact!A859:A2843,Sales_Fact!B859:C2843)</f>
        <v>45653</v>
      </c>
      <c r="C859" s="22" t="str">
        <v>CUST1379</v>
      </c>
      <c r="D859" s="22" t="str">
        <f>VLOOKUP('Combine Products &amp; Sales Facts'!C859,'Customer Details'!A:B,2,0)</f>
        <v>Tanya Lopez</v>
      </c>
      <c r="E859" s="22" t="str">
        <f>VLOOKUP(C859,Sales_Fact!C:D,2,0)</f>
        <v>PROD20</v>
      </c>
      <c r="F859" s="22" t="str">
        <f>VLOOKUP(E859,Product_Dim!A:C,3,0)</f>
        <v>Sports</v>
      </c>
      <c r="G859" s="22" t="str" cm="1">
        <f t="array" ref="G859:L859">_xlfn.XLOOKUP(C859,Sales_Fact!C859:C2843,Sales_Fact!E859:J2843)</f>
        <v>STORE6</v>
      </c>
      <c r="H859" s="22">
        <v>4</v>
      </c>
      <c r="I859" s="22">
        <v>282.45</v>
      </c>
      <c r="J859" s="22">
        <v>0.28999999999999998</v>
      </c>
      <c r="K859" s="22" t="str">
        <v>COD</v>
      </c>
      <c r="L859" s="22">
        <v>802.1579999999999</v>
      </c>
    </row>
    <row r="860" spans="1:12" x14ac:dyDescent="0.3">
      <c r="A860" s="22" t="s">
        <v>2669</v>
      </c>
      <c r="B860" s="34" cm="1">
        <f t="array" ref="B860:C860">_xlfn.XLOOKUP(A860,Sales_Fact!A860:A2844,Sales_Fact!B860:C2844)</f>
        <v>45250</v>
      </c>
      <c r="C860" s="22" t="str">
        <v>CUST1455</v>
      </c>
      <c r="D860" s="22" t="str">
        <f>VLOOKUP('Combine Products &amp; Sales Facts'!C860,'Customer Details'!A:B,2,0)</f>
        <v>Tyler Weber</v>
      </c>
      <c r="E860" s="22" t="str">
        <f>VLOOKUP(C860,Sales_Fact!C:D,2,0)</f>
        <v>PROD83</v>
      </c>
      <c r="F860" s="22" t="str">
        <f>VLOOKUP(E860,Product_Dim!A:C,3,0)</f>
        <v>Beauty</v>
      </c>
      <c r="G860" s="22" t="str" cm="1">
        <f t="array" ref="G860:L860">_xlfn.XLOOKUP(C860,Sales_Fact!C860:C2844,Sales_Fact!E860:J2844)</f>
        <v>STORE7</v>
      </c>
      <c r="H860" s="22">
        <v>2</v>
      </c>
      <c r="I860" s="22">
        <v>386.46</v>
      </c>
      <c r="J860" s="22">
        <v>0.23</v>
      </c>
      <c r="K860" s="22" t="str">
        <v>COD</v>
      </c>
      <c r="L860" s="22">
        <v>595.14840000000004</v>
      </c>
    </row>
    <row r="861" spans="1:12" x14ac:dyDescent="0.3">
      <c r="A861" s="22" t="s">
        <v>2670</v>
      </c>
      <c r="B861" s="34" cm="1">
        <f t="array" ref="B861:C861">_xlfn.XLOOKUP(A861,Sales_Fact!A861:A2845,Sales_Fact!B861:C2845)</f>
        <v>45661</v>
      </c>
      <c r="C861" s="22" t="str">
        <v>CUST1195</v>
      </c>
      <c r="D861" s="22" t="str">
        <f>VLOOKUP('Combine Products &amp; Sales Facts'!C861,'Customer Details'!A:B,2,0)</f>
        <v>Anthony Garcia</v>
      </c>
      <c r="E861" s="22" t="str">
        <f>VLOOKUP(C861,Sales_Fact!C:D,2,0)</f>
        <v>PROD19</v>
      </c>
      <c r="F861" s="22" t="str">
        <f>VLOOKUP(E861,Product_Dim!A:C,3,0)</f>
        <v>Sports</v>
      </c>
      <c r="G861" s="22" t="str" cm="1">
        <f t="array" ref="G861:L861">_xlfn.XLOOKUP(C861,Sales_Fact!C861:C2845,Sales_Fact!E861:J2845)</f>
        <v>STORE3</v>
      </c>
      <c r="H861" s="22">
        <v>1</v>
      </c>
      <c r="I861" s="22">
        <v>270.45</v>
      </c>
      <c r="J861" s="22">
        <v>0.15</v>
      </c>
      <c r="K861" s="22" t="str">
        <v>COD</v>
      </c>
      <c r="L861" s="22">
        <v>229.88249999999999</v>
      </c>
    </row>
    <row r="862" spans="1:12" x14ac:dyDescent="0.3">
      <c r="A862" s="22" t="s">
        <v>2671</v>
      </c>
      <c r="B862" s="34" cm="1">
        <f t="array" ref="B862:C862">_xlfn.XLOOKUP(A862,Sales_Fact!A862:A2846,Sales_Fact!B862:C2846)</f>
        <v>45493</v>
      </c>
      <c r="C862" s="22" t="str">
        <v>CUST1041</v>
      </c>
      <c r="D862" s="22" t="str">
        <f>VLOOKUP('Combine Products &amp; Sales Facts'!C862,'Customer Details'!A:B,2,0)</f>
        <v>James Gibbs</v>
      </c>
      <c r="E862" s="22" t="str">
        <f>VLOOKUP(C862,Sales_Fact!C:D,2,0)</f>
        <v>PROD22</v>
      </c>
      <c r="F862" s="22" t="str">
        <f>VLOOKUP(E862,Product_Dim!A:C,3,0)</f>
        <v>Sports</v>
      </c>
      <c r="G862" s="22" t="str" cm="1">
        <f t="array" ref="G862:L862">_xlfn.XLOOKUP(C862,Sales_Fact!C862:C2846,Sales_Fact!E862:J2846)</f>
        <v>STORE10</v>
      </c>
      <c r="H862" s="22">
        <v>4</v>
      </c>
      <c r="I862" s="22">
        <v>762.94</v>
      </c>
      <c r="J862" s="22">
        <v>0.09</v>
      </c>
      <c r="K862" s="22" t="str">
        <v>COD</v>
      </c>
      <c r="L862" s="22">
        <v>2777.1016</v>
      </c>
    </row>
    <row r="863" spans="1:12" x14ac:dyDescent="0.3">
      <c r="A863" s="22" t="s">
        <v>2672</v>
      </c>
      <c r="B863" s="34" cm="1">
        <f t="array" ref="B863:C863">_xlfn.XLOOKUP(A863,Sales_Fact!A863:A2847,Sales_Fact!B863:C2847)</f>
        <v>45242</v>
      </c>
      <c r="C863" s="22" t="str">
        <v>CUST1494</v>
      </c>
      <c r="D863" s="22" t="str">
        <f>VLOOKUP('Combine Products &amp; Sales Facts'!C863,'Customer Details'!A:B,2,0)</f>
        <v>Justin Lopez</v>
      </c>
      <c r="E863" s="22" t="str">
        <f>VLOOKUP(C863,Sales_Fact!C:D,2,0)</f>
        <v>PROD28</v>
      </c>
      <c r="F863" s="22" t="str">
        <f>VLOOKUP(E863,Product_Dim!A:C,3,0)</f>
        <v>Sports</v>
      </c>
      <c r="G863" s="22" t="str" cm="1">
        <f t="array" ref="G863:L863">_xlfn.XLOOKUP(C863,Sales_Fact!C863:C2847,Sales_Fact!E863:J2847)</f>
        <v>STORE13</v>
      </c>
      <c r="H863" s="22">
        <v>1</v>
      </c>
      <c r="I863" s="22">
        <v>409.03</v>
      </c>
      <c r="J863" s="22">
        <v>0.25</v>
      </c>
      <c r="K863" s="22" t="str">
        <v>COD</v>
      </c>
      <c r="L863" s="22">
        <v>306.77249999999998</v>
      </c>
    </row>
    <row r="864" spans="1:12" x14ac:dyDescent="0.3">
      <c r="A864" s="22" t="s">
        <v>2673</v>
      </c>
      <c r="B864" s="34" cm="1">
        <f t="array" ref="B864:C864">_xlfn.XLOOKUP(A864,Sales_Fact!A864:A2848,Sales_Fact!B864:C2848)</f>
        <v>45411</v>
      </c>
      <c r="C864" s="22" t="str">
        <v>CUST1219</v>
      </c>
      <c r="D864" s="22" t="str">
        <f>VLOOKUP('Combine Products &amp; Sales Facts'!C864,'Customer Details'!A:B,2,0)</f>
        <v>Jordan Wells</v>
      </c>
      <c r="E864" s="22" t="str">
        <f>VLOOKUP(C864,Sales_Fact!C:D,2,0)</f>
        <v>PROD37</v>
      </c>
      <c r="F864" s="22" t="str">
        <f>VLOOKUP(E864,Product_Dim!A:C,3,0)</f>
        <v>Clothing</v>
      </c>
      <c r="G864" s="22" t="str" cm="1">
        <f t="array" ref="G864:L864">_xlfn.XLOOKUP(C864,Sales_Fact!C864:C2848,Sales_Fact!E864:J2848)</f>
        <v>STORE18</v>
      </c>
      <c r="H864" s="22">
        <v>2</v>
      </c>
      <c r="I864" s="22">
        <v>891.13</v>
      </c>
      <c r="J864" s="22">
        <v>0.13</v>
      </c>
      <c r="K864" s="22" t="str">
        <v>Credit Card</v>
      </c>
      <c r="L864" s="22">
        <v>1550.5662</v>
      </c>
    </row>
    <row r="865" spans="1:12" x14ac:dyDescent="0.3">
      <c r="A865" s="22" t="s">
        <v>2674</v>
      </c>
      <c r="B865" s="34" cm="1">
        <f t="array" ref="B865:C865">_xlfn.XLOOKUP(A865,Sales_Fact!A865:A2849,Sales_Fact!B865:C2849)</f>
        <v>45593</v>
      </c>
      <c r="C865" s="22" t="str">
        <v>CUST1032</v>
      </c>
      <c r="D865" s="22" t="str">
        <f>VLOOKUP('Combine Products &amp; Sales Facts'!C865,'Customer Details'!A:B,2,0)</f>
        <v>Mike Jennings</v>
      </c>
      <c r="E865" s="22" t="str">
        <f>VLOOKUP(C865,Sales_Fact!C:D,2,0)</f>
        <v>PROD16</v>
      </c>
      <c r="F865" s="22" t="str">
        <f>VLOOKUP(E865,Product_Dim!A:C,3,0)</f>
        <v>Beauty</v>
      </c>
      <c r="G865" s="22" t="str" cm="1">
        <f t="array" ref="G865:L865">_xlfn.XLOOKUP(C865,Sales_Fact!C865:C2849,Sales_Fact!E865:J2849)</f>
        <v>STORE16</v>
      </c>
      <c r="H865" s="22">
        <v>1</v>
      </c>
      <c r="I865" s="22">
        <v>553.38</v>
      </c>
      <c r="J865" s="22">
        <v>0.21</v>
      </c>
      <c r="K865" s="22" t="str">
        <v>PayPal</v>
      </c>
      <c r="L865" s="22">
        <v>437.17020000000002</v>
      </c>
    </row>
    <row r="866" spans="1:12" x14ac:dyDescent="0.3">
      <c r="A866" s="22" t="s">
        <v>2675</v>
      </c>
      <c r="B866" s="34" cm="1">
        <f t="array" ref="B866:C866">_xlfn.XLOOKUP(A866,Sales_Fact!A866:A2850,Sales_Fact!B866:C2850)</f>
        <v>45281</v>
      </c>
      <c r="C866" s="22" t="str">
        <v>CUST1160</v>
      </c>
      <c r="D866" s="22" t="str">
        <f>VLOOKUP('Combine Products &amp; Sales Facts'!C866,'Customer Details'!A:B,2,0)</f>
        <v>John Lawson</v>
      </c>
      <c r="E866" s="22" t="str">
        <f>VLOOKUP(C866,Sales_Fact!C:D,2,0)</f>
        <v>PROD47</v>
      </c>
      <c r="F866" s="22" t="str">
        <f>VLOOKUP(E866,Product_Dim!A:C,3,0)</f>
        <v>Beauty</v>
      </c>
      <c r="G866" s="22" t="str" cm="1">
        <f t="array" ref="G866:L866">_xlfn.XLOOKUP(C866,Sales_Fact!C866:C2850,Sales_Fact!E866:J2850)</f>
        <v>STORE13</v>
      </c>
      <c r="H866" s="22">
        <v>2</v>
      </c>
      <c r="I866" s="22">
        <v>652.29999999999995</v>
      </c>
      <c r="J866" s="22">
        <v>0.16</v>
      </c>
      <c r="K866" s="22" t="str">
        <v>COD</v>
      </c>
      <c r="L866" s="22">
        <v>1095.864</v>
      </c>
    </row>
    <row r="867" spans="1:12" x14ac:dyDescent="0.3">
      <c r="A867" s="22" t="s">
        <v>2676</v>
      </c>
      <c r="B867" s="34" cm="1">
        <f t="array" ref="B867:C867">_xlfn.XLOOKUP(A867,Sales_Fact!A867:A2851,Sales_Fact!B867:C2851)</f>
        <v>45575</v>
      </c>
      <c r="C867" s="22" t="str">
        <v>CUST1122</v>
      </c>
      <c r="D867" s="22" t="str">
        <f>VLOOKUP('Combine Products &amp; Sales Facts'!C867,'Customer Details'!A:B,2,0)</f>
        <v>Michael Chang</v>
      </c>
      <c r="E867" s="22" t="str">
        <f>VLOOKUP(C867,Sales_Fact!C:D,2,0)</f>
        <v>PROD94</v>
      </c>
      <c r="F867" s="22" t="str">
        <f>VLOOKUP(E867,Product_Dim!A:C,3,0)</f>
        <v>Beauty</v>
      </c>
      <c r="G867" s="22" t="str" cm="1">
        <f t="array" ref="G867:L867">_xlfn.XLOOKUP(C867,Sales_Fact!C867:C2851,Sales_Fact!E867:J2851)</f>
        <v>STORE9</v>
      </c>
      <c r="H867" s="22">
        <v>4</v>
      </c>
      <c r="I867" s="22">
        <v>194.36</v>
      </c>
      <c r="J867" s="22">
        <v>0.18</v>
      </c>
      <c r="K867" s="22" t="str">
        <v>COD</v>
      </c>
      <c r="L867" s="22">
        <v>637.50080000000014</v>
      </c>
    </row>
    <row r="868" spans="1:12" x14ac:dyDescent="0.3">
      <c r="A868" s="22" t="s">
        <v>2677</v>
      </c>
      <c r="B868" s="34" cm="1">
        <f t="array" ref="B868:C868">_xlfn.XLOOKUP(A868,Sales_Fact!A868:A2852,Sales_Fact!B868:C2852)</f>
        <v>45660</v>
      </c>
      <c r="C868" s="22" t="str">
        <v>CUST1153</v>
      </c>
      <c r="D868" s="22" t="str">
        <f>VLOOKUP('Combine Products &amp; Sales Facts'!C868,'Customer Details'!A:B,2,0)</f>
        <v>Joseph Faulkner</v>
      </c>
      <c r="E868" s="22" t="str">
        <f>VLOOKUP(C868,Sales_Fact!C:D,2,0)</f>
        <v>PROD72</v>
      </c>
      <c r="F868" s="22" t="str">
        <f>VLOOKUP(E868,Product_Dim!A:C,3,0)</f>
        <v>Sports</v>
      </c>
      <c r="G868" s="22" t="str" cm="1">
        <f t="array" ref="G868:L868">_xlfn.XLOOKUP(C868,Sales_Fact!C868:C2852,Sales_Fact!E868:J2852)</f>
        <v>STORE1</v>
      </c>
      <c r="H868" s="22">
        <v>3</v>
      </c>
      <c r="I868" s="22">
        <v>476.37</v>
      </c>
      <c r="J868" s="22">
        <v>0.21</v>
      </c>
      <c r="K868" s="22" t="str">
        <v>COD</v>
      </c>
      <c r="L868" s="22">
        <v>1128.9969000000001</v>
      </c>
    </row>
    <row r="869" spans="1:12" x14ac:dyDescent="0.3">
      <c r="A869" s="22" t="s">
        <v>2678</v>
      </c>
      <c r="B869" s="34" cm="1">
        <f t="array" ref="B869:C869">_xlfn.XLOOKUP(A869,Sales_Fact!A869:A2853,Sales_Fact!B869:C2853)</f>
        <v>45360</v>
      </c>
      <c r="C869" s="22" t="str">
        <v>CUST1365</v>
      </c>
      <c r="D869" s="22" t="str">
        <f>VLOOKUP('Combine Products &amp; Sales Facts'!C869,'Customer Details'!A:B,2,0)</f>
        <v>Brandon Mcbride</v>
      </c>
      <c r="E869" s="22" t="str">
        <f>VLOOKUP(C869,Sales_Fact!C:D,2,0)</f>
        <v>PROD45</v>
      </c>
      <c r="F869" s="22" t="str">
        <f>VLOOKUP(E869,Product_Dim!A:C,3,0)</f>
        <v>Sports</v>
      </c>
      <c r="G869" s="22" t="str" cm="1">
        <f t="array" ref="G869:L869">_xlfn.XLOOKUP(C869,Sales_Fact!C869:C2853,Sales_Fact!E869:J2853)</f>
        <v>STORE5</v>
      </c>
      <c r="H869" s="22">
        <v>3</v>
      </c>
      <c r="I869" s="22">
        <v>174.57</v>
      </c>
      <c r="J869" s="22">
        <v>0</v>
      </c>
      <c r="K869" s="22" t="str">
        <v>PayPal</v>
      </c>
      <c r="L869" s="22">
        <v>523.71</v>
      </c>
    </row>
    <row r="870" spans="1:12" x14ac:dyDescent="0.3">
      <c r="A870" s="22" t="s">
        <v>2679</v>
      </c>
      <c r="B870" s="34" cm="1">
        <f t="array" ref="B870:C870">_xlfn.XLOOKUP(A870,Sales_Fact!A870:A2854,Sales_Fact!B870:C2854)</f>
        <v>45526</v>
      </c>
      <c r="C870" s="22" t="str">
        <v>CUST1119</v>
      </c>
      <c r="D870" s="22" t="str">
        <f>VLOOKUP('Combine Products &amp; Sales Facts'!C870,'Customer Details'!A:B,2,0)</f>
        <v>Michael Jones</v>
      </c>
      <c r="E870" s="22" t="str">
        <f>VLOOKUP(C870,Sales_Fact!C:D,2,0)</f>
        <v>PROD90</v>
      </c>
      <c r="F870" s="22" t="str">
        <f>VLOOKUP(E870,Product_Dim!A:C,3,0)</f>
        <v>Electronics</v>
      </c>
      <c r="G870" s="22" t="str" cm="1">
        <f t="array" ref="G870:L870">_xlfn.XLOOKUP(C870,Sales_Fact!C870:C2854,Sales_Fact!E870:J2854)</f>
        <v>STORE0</v>
      </c>
      <c r="H870" s="22">
        <v>3</v>
      </c>
      <c r="I870" s="22">
        <v>762</v>
      </c>
      <c r="J870" s="22">
        <v>0.02</v>
      </c>
      <c r="K870" s="22" t="str">
        <v>PayPal</v>
      </c>
      <c r="L870" s="22">
        <v>2240.2800000000002</v>
      </c>
    </row>
    <row r="871" spans="1:12" x14ac:dyDescent="0.3">
      <c r="A871" s="22" t="s">
        <v>2680</v>
      </c>
      <c r="B871" s="34" cm="1">
        <f t="array" ref="B871:C871">_xlfn.XLOOKUP(A871,Sales_Fact!A871:A2855,Sales_Fact!B871:C2855)</f>
        <v>45395</v>
      </c>
      <c r="C871" s="22" t="str">
        <v>CUST1425</v>
      </c>
      <c r="D871" s="22" t="str">
        <f>VLOOKUP('Combine Products &amp; Sales Facts'!C871,'Customer Details'!A:B,2,0)</f>
        <v>Bryce Hawkins</v>
      </c>
      <c r="E871" s="22" t="str">
        <f>VLOOKUP(C871,Sales_Fact!C:D,2,0)</f>
        <v>PROD75</v>
      </c>
      <c r="F871" s="22" t="str">
        <f>VLOOKUP(E871,Product_Dim!A:C,3,0)</f>
        <v>Clothing</v>
      </c>
      <c r="G871" s="22" t="str" cm="1">
        <f t="array" ref="G871:L871">_xlfn.XLOOKUP(C871,Sales_Fact!C871:C2855,Sales_Fact!E871:J2855)</f>
        <v>STORE19</v>
      </c>
      <c r="H871" s="22">
        <v>1</v>
      </c>
      <c r="I871" s="22">
        <v>44.08</v>
      </c>
      <c r="J871" s="22">
        <v>0.05</v>
      </c>
      <c r="K871" s="22" t="str">
        <v>Credit Card</v>
      </c>
      <c r="L871" s="22">
        <v>41.875999999999998</v>
      </c>
    </row>
    <row r="872" spans="1:12" x14ac:dyDescent="0.3">
      <c r="A872" s="22" t="s">
        <v>2681</v>
      </c>
      <c r="B872" s="34" cm="1">
        <f t="array" ref="B872:C872">_xlfn.XLOOKUP(A872,Sales_Fact!A872:A2856,Sales_Fact!B872:C2856)</f>
        <v>45466</v>
      </c>
      <c r="C872" s="22" t="str">
        <v>CUST1495</v>
      </c>
      <c r="D872" s="22" t="str">
        <f>VLOOKUP('Combine Products &amp; Sales Facts'!C872,'Customer Details'!A:B,2,0)</f>
        <v>James Berger</v>
      </c>
      <c r="E872" s="22" t="str">
        <f>VLOOKUP(C872,Sales_Fact!C:D,2,0)</f>
        <v>PROD61</v>
      </c>
      <c r="F872" s="22" t="str">
        <f>VLOOKUP(E872,Product_Dim!A:C,3,0)</f>
        <v>Sports</v>
      </c>
      <c r="G872" s="22" t="str" cm="1">
        <f t="array" ref="G872:L872">_xlfn.XLOOKUP(C872,Sales_Fact!C872:C2856,Sales_Fact!E872:J2856)</f>
        <v>STORE13</v>
      </c>
      <c r="H872" s="22">
        <v>1</v>
      </c>
      <c r="I872" s="22">
        <v>992.37</v>
      </c>
      <c r="J872" s="22">
        <v>0.24</v>
      </c>
      <c r="K872" s="22" t="str">
        <v>COD</v>
      </c>
      <c r="L872" s="22">
        <v>754.20119999999997</v>
      </c>
    </row>
    <row r="873" spans="1:12" x14ac:dyDescent="0.3">
      <c r="A873" s="22" t="s">
        <v>2682</v>
      </c>
      <c r="B873" s="34" cm="1">
        <f t="array" ref="B873:C873">_xlfn.XLOOKUP(A873,Sales_Fact!A873:A2857,Sales_Fact!B873:C2857)</f>
        <v>45876</v>
      </c>
      <c r="C873" s="22" t="str">
        <v>CUST1201</v>
      </c>
      <c r="D873" s="22" t="str">
        <f>VLOOKUP('Combine Products &amp; Sales Facts'!C873,'Customer Details'!A:B,2,0)</f>
        <v>Mary Boyd</v>
      </c>
      <c r="E873" s="22" t="str">
        <f>VLOOKUP(C873,Sales_Fact!C:D,2,0)</f>
        <v>PROD87</v>
      </c>
      <c r="F873" s="22" t="str">
        <f>VLOOKUP(E873,Product_Dim!A:C,3,0)</f>
        <v>Home</v>
      </c>
      <c r="G873" s="22" t="str" cm="1">
        <f t="array" ref="G873:L873">_xlfn.XLOOKUP(C873,Sales_Fact!C873:C2857,Sales_Fact!E873:J2857)</f>
        <v>STORE10</v>
      </c>
      <c r="H873" s="22">
        <v>3</v>
      </c>
      <c r="I873" s="22">
        <v>465.4</v>
      </c>
      <c r="J873" s="22">
        <v>0.28999999999999998</v>
      </c>
      <c r="K873" s="22" t="str">
        <v>COD</v>
      </c>
      <c r="L873" s="22">
        <v>991.30199999999979</v>
      </c>
    </row>
    <row r="874" spans="1:12" x14ac:dyDescent="0.3">
      <c r="A874" s="22" t="s">
        <v>2683</v>
      </c>
      <c r="B874" s="34" cm="1">
        <f t="array" ref="B874:C874">_xlfn.XLOOKUP(A874,Sales_Fact!A874:A2858,Sales_Fact!B874:C2858)</f>
        <v>45724</v>
      </c>
      <c r="C874" s="22" t="str">
        <v>CUST1337</v>
      </c>
      <c r="D874" s="22" t="str">
        <f>VLOOKUP('Combine Products &amp; Sales Facts'!C874,'Customer Details'!A:B,2,0)</f>
        <v>Carol Lewis</v>
      </c>
      <c r="E874" s="22" t="str">
        <f>VLOOKUP(C874,Sales_Fact!C:D,2,0)</f>
        <v>PROD71</v>
      </c>
      <c r="F874" s="22" t="str">
        <f>VLOOKUP(E874,Product_Dim!A:C,3,0)</f>
        <v>Beauty</v>
      </c>
      <c r="G874" s="22" t="str" cm="1">
        <f t="array" ref="G874:L874">_xlfn.XLOOKUP(C874,Sales_Fact!C874:C2858,Sales_Fact!E874:J2858)</f>
        <v>STORE10</v>
      </c>
      <c r="H874" s="22">
        <v>2</v>
      </c>
      <c r="I874" s="22">
        <v>693.61</v>
      </c>
      <c r="J874" s="22">
        <v>0.15</v>
      </c>
      <c r="K874" s="22" t="str">
        <v>PayPal</v>
      </c>
      <c r="L874" s="22">
        <v>1179.1369999999999</v>
      </c>
    </row>
    <row r="875" spans="1:12" x14ac:dyDescent="0.3">
      <c r="A875" s="22" t="s">
        <v>2684</v>
      </c>
      <c r="B875" s="34" cm="1">
        <f t="array" ref="B875:C875">_xlfn.XLOOKUP(A875,Sales_Fact!A875:A2859,Sales_Fact!B875:C2859)</f>
        <v>45801</v>
      </c>
      <c r="C875" s="22" t="str">
        <v>CUST1465</v>
      </c>
      <c r="D875" s="22" t="str">
        <f>VLOOKUP('Combine Products &amp; Sales Facts'!C875,'Customer Details'!A:B,2,0)</f>
        <v>Ronald Ross</v>
      </c>
      <c r="E875" s="22" t="str">
        <f>VLOOKUP(C875,Sales_Fact!C:D,2,0)</f>
        <v>PROD67</v>
      </c>
      <c r="F875" s="22" t="str">
        <f>VLOOKUP(E875,Product_Dim!A:C,3,0)</f>
        <v>Electronics</v>
      </c>
      <c r="G875" s="22" t="str" cm="1">
        <f t="array" ref="G875:L875">_xlfn.XLOOKUP(C875,Sales_Fact!C875:C2859,Sales_Fact!E875:J2859)</f>
        <v>STORE8</v>
      </c>
      <c r="H875" s="22">
        <v>2</v>
      </c>
      <c r="I875" s="22">
        <v>995.11</v>
      </c>
      <c r="J875" s="22">
        <v>0.13</v>
      </c>
      <c r="K875" s="22" t="str">
        <v>PayPal</v>
      </c>
      <c r="L875" s="22">
        <v>1731.4914000000001</v>
      </c>
    </row>
    <row r="876" spans="1:12" x14ac:dyDescent="0.3">
      <c r="A876" s="22" t="s">
        <v>2685</v>
      </c>
      <c r="B876" s="34" cm="1">
        <f t="array" ref="B876:C876">_xlfn.XLOOKUP(A876,Sales_Fact!A876:A2860,Sales_Fact!B876:C2860)</f>
        <v>45749</v>
      </c>
      <c r="C876" s="22" t="str">
        <v>CUST1381</v>
      </c>
      <c r="D876" s="22" t="str">
        <f>VLOOKUP('Combine Products &amp; Sales Facts'!C876,'Customer Details'!A:B,2,0)</f>
        <v>Erika Padilla</v>
      </c>
      <c r="E876" s="22" t="str">
        <f>VLOOKUP(C876,Sales_Fact!C:D,2,0)</f>
        <v>PROD5</v>
      </c>
      <c r="F876" s="22" t="str">
        <f>VLOOKUP(E876,Product_Dim!A:C,3,0)</f>
        <v>Clothing</v>
      </c>
      <c r="G876" s="22" t="str" cm="1">
        <f t="array" ref="G876:L876">_xlfn.XLOOKUP(C876,Sales_Fact!C876:C2860,Sales_Fact!E876:J2860)</f>
        <v>STORE4</v>
      </c>
      <c r="H876" s="22">
        <v>3</v>
      </c>
      <c r="I876" s="22">
        <v>70.97</v>
      </c>
      <c r="J876" s="22">
        <v>0.06</v>
      </c>
      <c r="K876" s="22" t="str">
        <v>COD</v>
      </c>
      <c r="L876" s="22">
        <v>200.1354</v>
      </c>
    </row>
    <row r="877" spans="1:12" x14ac:dyDescent="0.3">
      <c r="A877" s="22" t="s">
        <v>2686</v>
      </c>
      <c r="B877" s="34" cm="1">
        <f t="array" ref="B877:C877">_xlfn.XLOOKUP(A877,Sales_Fact!A877:A2861,Sales_Fact!B877:C2861)</f>
        <v>45325</v>
      </c>
      <c r="C877" s="22" t="str">
        <v>CUST1113</v>
      </c>
      <c r="D877" s="22" t="str">
        <f>VLOOKUP('Combine Products &amp; Sales Facts'!C877,'Customer Details'!A:B,2,0)</f>
        <v>Edward Hall</v>
      </c>
      <c r="E877" s="22" t="str">
        <f>VLOOKUP(C877,Sales_Fact!C:D,2,0)</f>
        <v>PROD47</v>
      </c>
      <c r="F877" s="22" t="str">
        <f>VLOOKUP(E877,Product_Dim!A:C,3,0)</f>
        <v>Beauty</v>
      </c>
      <c r="G877" s="22" t="str" cm="1">
        <f t="array" ref="G877:L877">_xlfn.XLOOKUP(C877,Sales_Fact!C877:C2861,Sales_Fact!E877:J2861)</f>
        <v>STORE9</v>
      </c>
      <c r="H877" s="22">
        <v>3</v>
      </c>
      <c r="I877" s="22">
        <v>470.42</v>
      </c>
      <c r="J877" s="22">
        <v>0.16</v>
      </c>
      <c r="K877" s="22" t="str">
        <v>Credit Card</v>
      </c>
      <c r="L877" s="22">
        <v>1185.4584</v>
      </c>
    </row>
    <row r="878" spans="1:12" x14ac:dyDescent="0.3">
      <c r="A878" s="22" t="s">
        <v>2687</v>
      </c>
      <c r="B878" s="34" cm="1">
        <f t="array" ref="B878:C878">_xlfn.XLOOKUP(A878,Sales_Fact!A878:A2862,Sales_Fact!B878:C2862)</f>
        <v>45932</v>
      </c>
      <c r="C878" s="22" t="str">
        <v>CUST1314</v>
      </c>
      <c r="D878" s="22" t="str">
        <f>VLOOKUP('Combine Products &amp; Sales Facts'!C878,'Customer Details'!A:B,2,0)</f>
        <v>Elizabeth Johnson</v>
      </c>
      <c r="E878" s="22" t="str">
        <f>VLOOKUP(C878,Sales_Fact!C:D,2,0)</f>
        <v>PROD11</v>
      </c>
      <c r="F878" s="22" t="str">
        <f>VLOOKUP(E878,Product_Dim!A:C,3,0)</f>
        <v>Electronics</v>
      </c>
      <c r="G878" s="22" t="str" cm="1">
        <f t="array" ref="G878:L878">_xlfn.XLOOKUP(C878,Sales_Fact!C878:C2862,Sales_Fact!E878:J2862)</f>
        <v>STORE16</v>
      </c>
      <c r="H878" s="22">
        <v>2</v>
      </c>
      <c r="I878" s="22">
        <v>215.59</v>
      </c>
      <c r="J878" s="22">
        <v>0.18</v>
      </c>
      <c r="K878" s="22" t="str">
        <v>Credit Card</v>
      </c>
      <c r="L878" s="22">
        <v>353.56760000000003</v>
      </c>
    </row>
    <row r="879" spans="1:12" x14ac:dyDescent="0.3">
      <c r="A879" s="22" t="s">
        <v>2688</v>
      </c>
      <c r="B879" s="34" cm="1">
        <f t="array" ref="B879:C879">_xlfn.XLOOKUP(A879,Sales_Fact!A879:A2863,Sales_Fact!B879:C2863)</f>
        <v>45895</v>
      </c>
      <c r="C879" s="22" t="str">
        <v>CUST1239</v>
      </c>
      <c r="D879" s="22" t="str">
        <f>VLOOKUP('Combine Products &amp; Sales Facts'!C879,'Customer Details'!A:B,2,0)</f>
        <v>Maria Hill</v>
      </c>
      <c r="E879" s="22" t="str">
        <f>VLOOKUP(C879,Sales_Fact!C:D,2,0)</f>
        <v>PROD19</v>
      </c>
      <c r="F879" s="22" t="str">
        <f>VLOOKUP(E879,Product_Dim!A:C,3,0)</f>
        <v>Sports</v>
      </c>
      <c r="G879" s="22" t="str" cm="1">
        <f t="array" ref="G879:L879">_xlfn.XLOOKUP(C879,Sales_Fact!C879:C2863,Sales_Fact!E879:J2863)</f>
        <v>STORE0</v>
      </c>
      <c r="H879" s="22">
        <v>1</v>
      </c>
      <c r="I879" s="22">
        <v>533.79999999999995</v>
      </c>
      <c r="J879" s="22">
        <v>0.27</v>
      </c>
      <c r="K879" s="22" t="str">
        <v>COD</v>
      </c>
      <c r="L879" s="22">
        <v>389.67399999999998</v>
      </c>
    </row>
    <row r="880" spans="1:12" x14ac:dyDescent="0.3">
      <c r="A880" s="22" t="s">
        <v>2689</v>
      </c>
      <c r="B880" s="34" cm="1">
        <f t="array" ref="B880:C880">_xlfn.XLOOKUP(A880,Sales_Fact!A880:A2864,Sales_Fact!B880:C2864)</f>
        <v>45614</v>
      </c>
      <c r="C880" s="22" t="str">
        <v>CUST1093</v>
      </c>
      <c r="D880" s="22" t="str">
        <f>VLOOKUP('Combine Products &amp; Sales Facts'!C880,'Customer Details'!A:B,2,0)</f>
        <v>Christy Vasquez</v>
      </c>
      <c r="E880" s="22" t="str">
        <f>VLOOKUP(C880,Sales_Fact!C:D,2,0)</f>
        <v>PROD5</v>
      </c>
      <c r="F880" s="22" t="str">
        <f>VLOOKUP(E880,Product_Dim!A:C,3,0)</f>
        <v>Clothing</v>
      </c>
      <c r="G880" s="22" t="str" cm="1">
        <f t="array" ref="G880:L880">_xlfn.XLOOKUP(C880,Sales_Fact!C880:C2864,Sales_Fact!E880:J2864)</f>
        <v>STORE3</v>
      </c>
      <c r="H880" s="22">
        <v>2</v>
      </c>
      <c r="I880" s="22">
        <v>732.67</v>
      </c>
      <c r="J880" s="22">
        <v>0.24</v>
      </c>
      <c r="K880" s="22" t="str">
        <v>PayPal</v>
      </c>
      <c r="L880" s="22">
        <v>1113.6584</v>
      </c>
    </row>
    <row r="881" spans="1:12" x14ac:dyDescent="0.3">
      <c r="A881" s="22" t="s">
        <v>2690</v>
      </c>
      <c r="B881" s="34" cm="1">
        <f t="array" ref="B881:C881">_xlfn.XLOOKUP(A881,Sales_Fact!A881:A2865,Sales_Fact!B881:C2865)</f>
        <v>45247</v>
      </c>
      <c r="C881" s="22" t="str">
        <v>CUST1489</v>
      </c>
      <c r="D881" s="22" t="str">
        <f>VLOOKUP('Combine Products &amp; Sales Facts'!C881,'Customer Details'!A:B,2,0)</f>
        <v>Melinda Thomas</v>
      </c>
      <c r="E881" s="22" t="str">
        <f>VLOOKUP(C881,Sales_Fact!C:D,2,0)</f>
        <v>PROD89</v>
      </c>
      <c r="F881" s="22" t="str">
        <f>VLOOKUP(E881,Product_Dim!A:C,3,0)</f>
        <v>Beauty</v>
      </c>
      <c r="G881" s="22" t="str" cm="1">
        <f t="array" ref="G881:L881">_xlfn.XLOOKUP(C881,Sales_Fact!C881:C2865,Sales_Fact!E881:J2865)</f>
        <v>STORE13</v>
      </c>
      <c r="H881" s="22">
        <v>4</v>
      </c>
      <c r="I881" s="22">
        <v>106.48</v>
      </c>
      <c r="J881" s="22">
        <v>0.1</v>
      </c>
      <c r="K881" s="22" t="str">
        <v>COD</v>
      </c>
      <c r="L881" s="22">
        <v>383.32799999999997</v>
      </c>
    </row>
    <row r="882" spans="1:12" x14ac:dyDescent="0.3">
      <c r="A882" s="22" t="s">
        <v>2691</v>
      </c>
      <c r="B882" s="34" cm="1">
        <f t="array" ref="B882:C882">_xlfn.XLOOKUP(A882,Sales_Fact!A882:A2866,Sales_Fact!B882:C2866)</f>
        <v>45696</v>
      </c>
      <c r="C882" s="22" t="str">
        <v>CUST1105</v>
      </c>
      <c r="D882" s="22" t="str">
        <f>VLOOKUP('Combine Products &amp; Sales Facts'!C882,'Customer Details'!A:B,2,0)</f>
        <v>Lance Baker</v>
      </c>
      <c r="E882" s="22" t="str">
        <f>VLOOKUP(C882,Sales_Fact!C:D,2,0)</f>
        <v>PROD39</v>
      </c>
      <c r="F882" s="22" t="str">
        <f>VLOOKUP(E882,Product_Dim!A:C,3,0)</f>
        <v>Electronics</v>
      </c>
      <c r="G882" s="22" t="str" cm="1">
        <f t="array" ref="G882:L882">_xlfn.XLOOKUP(C882,Sales_Fact!C882:C2866,Sales_Fact!E882:J2866)</f>
        <v>STORE3</v>
      </c>
      <c r="H882" s="22">
        <v>1</v>
      </c>
      <c r="I882" s="22">
        <v>38.950000000000003</v>
      </c>
      <c r="J882" s="22">
        <v>0.28000000000000003</v>
      </c>
      <c r="K882" s="22" t="str">
        <v>Credit Card</v>
      </c>
      <c r="L882" s="22">
        <v>28.044</v>
      </c>
    </row>
    <row r="883" spans="1:12" x14ac:dyDescent="0.3">
      <c r="A883" s="22" t="s">
        <v>2692</v>
      </c>
      <c r="B883" s="34" cm="1">
        <f t="array" ref="B883:C883">_xlfn.XLOOKUP(A883,Sales_Fact!A883:A2867,Sales_Fact!B883:C2867)</f>
        <v>45294</v>
      </c>
      <c r="C883" s="22" t="str">
        <v>CUST1431</v>
      </c>
      <c r="D883" s="22" t="str">
        <f>VLOOKUP('Combine Products &amp; Sales Facts'!C883,'Customer Details'!A:B,2,0)</f>
        <v>John Smith</v>
      </c>
      <c r="E883" s="22" t="str">
        <f>VLOOKUP(C883,Sales_Fact!C:D,2,0)</f>
        <v>PROD94</v>
      </c>
      <c r="F883" s="22" t="str">
        <f>VLOOKUP(E883,Product_Dim!A:C,3,0)</f>
        <v>Beauty</v>
      </c>
      <c r="G883" s="22" t="str" cm="1">
        <f t="array" ref="G883:L883">_xlfn.XLOOKUP(C883,Sales_Fact!C883:C2867,Sales_Fact!E883:J2867)</f>
        <v>STORE16</v>
      </c>
      <c r="H883" s="22">
        <v>1</v>
      </c>
      <c r="I883" s="22">
        <v>835.17</v>
      </c>
      <c r="J883" s="22">
        <v>0.02</v>
      </c>
      <c r="K883" s="22" t="str">
        <v>COD</v>
      </c>
      <c r="L883" s="22">
        <v>818.46659999999997</v>
      </c>
    </row>
    <row r="884" spans="1:12" x14ac:dyDescent="0.3">
      <c r="A884" s="22" t="s">
        <v>2693</v>
      </c>
      <c r="B884" s="34" cm="1">
        <f t="array" ref="B884:C884">_xlfn.XLOOKUP(A884,Sales_Fact!A884:A2868,Sales_Fact!B884:C2868)</f>
        <v>45389</v>
      </c>
      <c r="C884" s="22" t="str">
        <v>CUST1134</v>
      </c>
      <c r="D884" s="22" t="str">
        <f>VLOOKUP('Combine Products &amp; Sales Facts'!C884,'Customer Details'!A:B,2,0)</f>
        <v>Morgan Bowen</v>
      </c>
      <c r="E884" s="22" t="str">
        <f>VLOOKUP(C884,Sales_Fact!C:D,2,0)</f>
        <v>PROD70</v>
      </c>
      <c r="F884" s="22" t="str">
        <f>VLOOKUP(E884,Product_Dim!A:C,3,0)</f>
        <v>Home</v>
      </c>
      <c r="G884" s="22" t="str" cm="1">
        <f t="array" ref="G884:L884">_xlfn.XLOOKUP(C884,Sales_Fact!C884:C2868,Sales_Fact!E884:J2868)</f>
        <v>STORE3</v>
      </c>
      <c r="H884" s="22">
        <v>1</v>
      </c>
      <c r="I884" s="22">
        <v>113.07</v>
      </c>
      <c r="J884" s="22">
        <v>0.24</v>
      </c>
      <c r="K884" s="22" t="str">
        <v>Credit Card</v>
      </c>
      <c r="L884" s="22">
        <v>85.933199999999999</v>
      </c>
    </row>
    <row r="885" spans="1:12" x14ac:dyDescent="0.3">
      <c r="A885" s="22" t="s">
        <v>2694</v>
      </c>
      <c r="B885" s="34" cm="1">
        <f t="array" ref="B885:C885">_xlfn.XLOOKUP(A885,Sales_Fact!A885:A2869,Sales_Fact!B885:C2869)</f>
        <v>45930</v>
      </c>
      <c r="C885" s="22" t="str">
        <v>CUST1466</v>
      </c>
      <c r="D885" s="22" t="str">
        <f>VLOOKUP('Combine Products &amp; Sales Facts'!C885,'Customer Details'!A:B,2,0)</f>
        <v>Cynthia Parrish</v>
      </c>
      <c r="E885" s="22" t="str">
        <f>VLOOKUP(C885,Sales_Fact!C:D,2,0)</f>
        <v>PROD48</v>
      </c>
      <c r="F885" s="22" t="str">
        <f>VLOOKUP(E885,Product_Dim!A:C,3,0)</f>
        <v>Electronics</v>
      </c>
      <c r="G885" s="22" t="str" cm="1">
        <f t="array" ref="G885:L885">_xlfn.XLOOKUP(C885,Sales_Fact!C885:C2869,Sales_Fact!E885:J2869)</f>
        <v>STORE12</v>
      </c>
      <c r="H885" s="22">
        <v>2</v>
      </c>
      <c r="I885" s="22">
        <v>451.33</v>
      </c>
      <c r="J885" s="22">
        <v>0.23</v>
      </c>
      <c r="K885" s="22" t="str">
        <v>COD</v>
      </c>
      <c r="L885" s="22">
        <v>695.04819999999995</v>
      </c>
    </row>
    <row r="886" spans="1:12" x14ac:dyDescent="0.3">
      <c r="A886" s="22" t="s">
        <v>2695</v>
      </c>
      <c r="B886" s="34" cm="1">
        <f t="array" ref="B886:C886">_xlfn.XLOOKUP(A886,Sales_Fact!A886:A2870,Sales_Fact!B886:C2870)</f>
        <v>45456</v>
      </c>
      <c r="C886" s="22" t="str">
        <v>CUST1372</v>
      </c>
      <c r="D886" s="22" t="str">
        <f>VLOOKUP('Combine Products &amp; Sales Facts'!C886,'Customer Details'!A:B,2,0)</f>
        <v>Jacqueline Anthony</v>
      </c>
      <c r="E886" s="22" t="str">
        <f>VLOOKUP(C886,Sales_Fact!C:D,2,0)</f>
        <v>PROD72</v>
      </c>
      <c r="F886" s="22" t="str">
        <f>VLOOKUP(E886,Product_Dim!A:C,3,0)</f>
        <v>Sports</v>
      </c>
      <c r="G886" s="22" t="str" cm="1">
        <f t="array" ref="G886:L886">_xlfn.XLOOKUP(C886,Sales_Fact!C886:C2870,Sales_Fact!E886:J2870)</f>
        <v>STORE6</v>
      </c>
      <c r="H886" s="22">
        <v>3</v>
      </c>
      <c r="I886" s="22">
        <v>619.80999999999995</v>
      </c>
      <c r="J886" s="22">
        <v>0.16</v>
      </c>
      <c r="K886" s="22" t="str">
        <v>COD</v>
      </c>
      <c r="L886" s="22">
        <v>1561.9212</v>
      </c>
    </row>
    <row r="887" spans="1:12" x14ac:dyDescent="0.3">
      <c r="A887" s="22" t="s">
        <v>2696</v>
      </c>
      <c r="B887" s="34" cm="1">
        <f t="array" ref="B887:C887">_xlfn.XLOOKUP(A887,Sales_Fact!A887:A2871,Sales_Fact!B887:C2871)</f>
        <v>45713</v>
      </c>
      <c r="C887" s="22" t="str">
        <v>CUST1108</v>
      </c>
      <c r="D887" s="22" t="str">
        <f>VLOOKUP('Combine Products &amp; Sales Facts'!C887,'Customer Details'!A:B,2,0)</f>
        <v>Travis Holland</v>
      </c>
      <c r="E887" s="22" t="str">
        <f>VLOOKUP(C887,Sales_Fact!C:D,2,0)</f>
        <v>PROD30</v>
      </c>
      <c r="F887" s="22" t="str">
        <f>VLOOKUP(E887,Product_Dim!A:C,3,0)</f>
        <v>Home</v>
      </c>
      <c r="G887" s="22" t="str" cm="1">
        <f t="array" ref="G887:L887">_xlfn.XLOOKUP(C887,Sales_Fact!C887:C2871,Sales_Fact!E887:J2871)</f>
        <v>STORE7</v>
      </c>
      <c r="H887" s="22">
        <v>4</v>
      </c>
      <c r="I887" s="22">
        <v>46.97</v>
      </c>
      <c r="J887" s="22">
        <v>0.26</v>
      </c>
      <c r="K887" s="22" t="str">
        <v>PayPal</v>
      </c>
      <c r="L887" s="22">
        <v>139.03120000000001</v>
      </c>
    </row>
    <row r="888" spans="1:12" x14ac:dyDescent="0.3">
      <c r="A888" s="22" t="s">
        <v>2697</v>
      </c>
      <c r="B888" s="34" cm="1">
        <f t="array" ref="B888:C888">_xlfn.XLOOKUP(A888,Sales_Fact!A888:A2872,Sales_Fact!B888:C2872)</f>
        <v>45784</v>
      </c>
      <c r="C888" s="22" t="str">
        <v>CUST1184</v>
      </c>
      <c r="D888" s="22" t="str">
        <f>VLOOKUP('Combine Products &amp; Sales Facts'!C888,'Customer Details'!A:B,2,0)</f>
        <v>Leonard Cochran</v>
      </c>
      <c r="E888" s="22" t="str">
        <f>VLOOKUP(C888,Sales_Fact!C:D,2,0)</f>
        <v>PROD34</v>
      </c>
      <c r="F888" s="22" t="str">
        <f>VLOOKUP(E888,Product_Dim!A:C,3,0)</f>
        <v>Electronics</v>
      </c>
      <c r="G888" s="22" t="str" cm="1">
        <f t="array" ref="G888:L888">_xlfn.XLOOKUP(C888,Sales_Fact!C888:C2872,Sales_Fact!E888:J2872)</f>
        <v>STORE2</v>
      </c>
      <c r="H888" s="22">
        <v>2</v>
      </c>
      <c r="I888" s="22">
        <v>71.48</v>
      </c>
      <c r="J888" s="22">
        <v>0.14000000000000001</v>
      </c>
      <c r="K888" s="22" t="str">
        <v>COD</v>
      </c>
      <c r="L888" s="22">
        <v>122.9456</v>
      </c>
    </row>
    <row r="889" spans="1:12" x14ac:dyDescent="0.3">
      <c r="A889" s="22" t="s">
        <v>2698</v>
      </c>
      <c r="B889" s="34" cm="1">
        <f t="array" ref="B889:C889">_xlfn.XLOOKUP(A889,Sales_Fact!A889:A2873,Sales_Fact!B889:C2873)</f>
        <v>45812</v>
      </c>
      <c r="C889" s="22" t="str">
        <v>CUST1000</v>
      </c>
      <c r="D889" s="22" t="str">
        <f>VLOOKUP('Combine Products &amp; Sales Facts'!C889,'Customer Details'!A:B,2,0)</f>
        <v xml:space="preserve">Sheena Bonilla  </v>
      </c>
      <c r="E889" s="22" t="str">
        <f>VLOOKUP(C889,Sales_Fact!C:D,2,0)</f>
        <v>PROD63</v>
      </c>
      <c r="F889" s="22" t="str">
        <f>VLOOKUP(E889,Product_Dim!A:C,3,0)</f>
        <v>Beauty</v>
      </c>
      <c r="G889" s="22" t="str" cm="1">
        <f t="array" ref="G889:L889">_xlfn.XLOOKUP(C889,Sales_Fact!C889:C2873,Sales_Fact!E889:J2873)</f>
        <v>STORE19</v>
      </c>
      <c r="H889" s="22">
        <v>2</v>
      </c>
      <c r="I889" s="22">
        <v>404.08</v>
      </c>
      <c r="J889" s="22">
        <v>7.0000000000000007E-2</v>
      </c>
      <c r="K889" s="22" t="str">
        <v>Credit Card</v>
      </c>
      <c r="L889" s="22">
        <v>751.58879999999988</v>
      </c>
    </row>
    <row r="890" spans="1:12" x14ac:dyDescent="0.3">
      <c r="A890" s="22" t="s">
        <v>2699</v>
      </c>
      <c r="B890" s="34" cm="1">
        <f t="array" ref="B890:C890">_xlfn.XLOOKUP(A890,Sales_Fact!A890:A2874,Sales_Fact!B890:C2874)</f>
        <v>45653</v>
      </c>
      <c r="C890" s="22" t="str">
        <v>CUST1264</v>
      </c>
      <c r="D890" s="22" t="str">
        <f>VLOOKUP('Combine Products &amp; Sales Facts'!C890,'Customer Details'!A:B,2,0)</f>
        <v>Matthew Payne</v>
      </c>
      <c r="E890" s="22" t="str">
        <f>VLOOKUP(C890,Sales_Fact!C:D,2,0)</f>
        <v>PROD22</v>
      </c>
      <c r="F890" s="22" t="str">
        <f>VLOOKUP(E890,Product_Dim!A:C,3,0)</f>
        <v>Sports</v>
      </c>
      <c r="G890" s="22" t="str" cm="1">
        <f t="array" ref="G890:L890">_xlfn.XLOOKUP(C890,Sales_Fact!C890:C2874,Sales_Fact!E890:J2874)</f>
        <v>STORE16</v>
      </c>
      <c r="H890" s="22">
        <v>1</v>
      </c>
      <c r="I890" s="22">
        <v>519.91</v>
      </c>
      <c r="J890" s="22">
        <v>0.05</v>
      </c>
      <c r="K890" s="22" t="str">
        <v>COD</v>
      </c>
      <c r="L890" s="22">
        <v>493.91449999999992</v>
      </c>
    </row>
    <row r="891" spans="1:12" x14ac:dyDescent="0.3">
      <c r="A891" s="22" t="s">
        <v>2700</v>
      </c>
      <c r="B891" s="34" cm="1">
        <f t="array" ref="B891:C891">_xlfn.XLOOKUP(A891,Sales_Fact!A891:A2875,Sales_Fact!B891:C2875)</f>
        <v>45672</v>
      </c>
      <c r="C891" s="22" t="str">
        <v>CUST1145</v>
      </c>
      <c r="D891" s="22" t="str">
        <f>VLOOKUP('Combine Products &amp; Sales Facts'!C891,'Customer Details'!A:B,2,0)</f>
        <v>Cameron Simpson</v>
      </c>
      <c r="E891" s="22" t="str">
        <f>VLOOKUP(C891,Sales_Fact!C:D,2,0)</f>
        <v>PROD69</v>
      </c>
      <c r="F891" s="22" t="str">
        <f>VLOOKUP(E891,Product_Dim!A:C,3,0)</f>
        <v>Clothing</v>
      </c>
      <c r="G891" s="22" t="str" cm="1">
        <f t="array" ref="G891:L891">_xlfn.XLOOKUP(C891,Sales_Fact!C891:C2875,Sales_Fact!E891:J2875)</f>
        <v>STORE13</v>
      </c>
      <c r="H891" s="22">
        <v>3</v>
      </c>
      <c r="I891" s="22">
        <v>566.16</v>
      </c>
      <c r="J891" s="22">
        <v>0.05</v>
      </c>
      <c r="K891" s="22" t="str">
        <v>PayPal</v>
      </c>
      <c r="L891" s="22">
        <v>1613.556</v>
      </c>
    </row>
    <row r="892" spans="1:12" x14ac:dyDescent="0.3">
      <c r="A892" s="22" t="s">
        <v>2701</v>
      </c>
      <c r="B892" s="34" cm="1">
        <f t="array" ref="B892:C892">_xlfn.XLOOKUP(A892,Sales_Fact!A892:A2876,Sales_Fact!B892:C2876)</f>
        <v>45799</v>
      </c>
      <c r="C892" s="22" t="str">
        <v>CUST1392</v>
      </c>
      <c r="D892" s="22" t="str">
        <f>VLOOKUP('Combine Products &amp; Sales Facts'!C892,'Customer Details'!A:B,2,0)</f>
        <v>Jacqueline Payne</v>
      </c>
      <c r="E892" s="22" t="str">
        <f>VLOOKUP(C892,Sales_Fact!C:D,2,0)</f>
        <v>PROD52</v>
      </c>
      <c r="F892" s="22" t="str">
        <f>VLOOKUP(E892,Product_Dim!A:C,3,0)</f>
        <v>Sports</v>
      </c>
      <c r="G892" s="22" t="str" cm="1">
        <f t="array" ref="G892:L892">_xlfn.XLOOKUP(C892,Sales_Fact!C892:C2876,Sales_Fact!E892:J2876)</f>
        <v>STORE10</v>
      </c>
      <c r="H892" s="22">
        <v>2</v>
      </c>
      <c r="I892" s="22">
        <v>295.12</v>
      </c>
      <c r="J892" s="22">
        <v>0.09</v>
      </c>
      <c r="K892" s="22" t="str">
        <v>COD</v>
      </c>
      <c r="L892" s="22">
        <v>537.11840000000007</v>
      </c>
    </row>
    <row r="893" spans="1:12" x14ac:dyDescent="0.3">
      <c r="A893" s="22" t="s">
        <v>2702</v>
      </c>
      <c r="B893" s="34" cm="1">
        <f t="array" ref="B893:C893">_xlfn.XLOOKUP(A893,Sales_Fact!A893:A2877,Sales_Fact!B893:C2877)</f>
        <v>45848</v>
      </c>
      <c r="C893" s="22" t="str">
        <v>CUST1109</v>
      </c>
      <c r="D893" s="22" t="str">
        <f>VLOOKUP('Combine Products &amp; Sales Facts'!C893,'Customer Details'!A:B,2,0)</f>
        <v>Amy Walker</v>
      </c>
      <c r="E893" s="22" t="str">
        <f>VLOOKUP(C893,Sales_Fact!C:D,2,0)</f>
        <v>PROD34</v>
      </c>
      <c r="F893" s="22" t="str">
        <f>VLOOKUP(E893,Product_Dim!A:C,3,0)</f>
        <v>Electronics</v>
      </c>
      <c r="G893" s="22" t="str" cm="1">
        <f t="array" ref="G893:L893">_xlfn.XLOOKUP(C893,Sales_Fact!C893:C2877,Sales_Fact!E893:J2877)</f>
        <v>STORE11</v>
      </c>
      <c r="H893" s="22">
        <v>2</v>
      </c>
      <c r="I893" s="22">
        <v>414.18</v>
      </c>
      <c r="J893" s="22">
        <v>0.25</v>
      </c>
      <c r="K893" s="22" t="str">
        <v>PayPal</v>
      </c>
      <c r="L893" s="22">
        <v>621.27</v>
      </c>
    </row>
    <row r="894" spans="1:12" x14ac:dyDescent="0.3">
      <c r="A894" s="22" t="s">
        <v>2703</v>
      </c>
      <c r="B894" s="34" cm="1">
        <f t="array" ref="B894:C894">_xlfn.XLOOKUP(A894,Sales_Fact!A894:A2878,Sales_Fact!B894:C2878)</f>
        <v>45918</v>
      </c>
      <c r="C894" s="22" t="str">
        <v>CUST1268</v>
      </c>
      <c r="D894" s="22" t="str">
        <f>VLOOKUP('Combine Products &amp; Sales Facts'!C894,'Customer Details'!A:B,2,0)</f>
        <v>Kevin Orr</v>
      </c>
      <c r="E894" s="22" t="str">
        <f>VLOOKUP(C894,Sales_Fact!C:D,2,0)</f>
        <v>PROD58</v>
      </c>
      <c r="F894" s="22" t="str">
        <f>VLOOKUP(E894,Product_Dim!A:C,3,0)</f>
        <v>Clothing</v>
      </c>
      <c r="G894" s="22" t="str" cm="1">
        <f t="array" ref="G894:L894">_xlfn.XLOOKUP(C894,Sales_Fact!C894:C2878,Sales_Fact!E894:J2878)</f>
        <v>STORE8</v>
      </c>
      <c r="H894" s="22">
        <v>2</v>
      </c>
      <c r="I894" s="22">
        <v>433.75</v>
      </c>
      <c r="J894" s="22">
        <v>0</v>
      </c>
      <c r="K894" s="22" t="str">
        <v>Credit Card</v>
      </c>
      <c r="L894" s="22">
        <v>867.5</v>
      </c>
    </row>
    <row r="895" spans="1:12" x14ac:dyDescent="0.3">
      <c r="A895" s="22" t="s">
        <v>2704</v>
      </c>
      <c r="B895" s="34" cm="1">
        <f t="array" ref="B895:C895">_xlfn.XLOOKUP(A895,Sales_Fact!A895:A2879,Sales_Fact!B895:C2879)</f>
        <v>45288</v>
      </c>
      <c r="C895" s="22" t="str">
        <v>CUST1281</v>
      </c>
      <c r="D895" s="22" t="str">
        <f>VLOOKUP('Combine Products &amp; Sales Facts'!C895,'Customer Details'!A:B,2,0)</f>
        <v>Brittany Watson</v>
      </c>
      <c r="E895" s="22" t="str">
        <f>VLOOKUP(C895,Sales_Fact!C:D,2,0)</f>
        <v>PROD55</v>
      </c>
      <c r="F895" s="22" t="str">
        <f>VLOOKUP(E895,Product_Dim!A:C,3,0)</f>
        <v>Home</v>
      </c>
      <c r="G895" s="22" t="str" cm="1">
        <f t="array" ref="G895:L895">_xlfn.XLOOKUP(C895,Sales_Fact!C895:C2879,Sales_Fact!E895:J2879)</f>
        <v>STORE19</v>
      </c>
      <c r="H895" s="22">
        <v>3</v>
      </c>
      <c r="I895" s="22">
        <v>104.33</v>
      </c>
      <c r="J895" s="22">
        <v>0.13</v>
      </c>
      <c r="K895" s="22" t="str">
        <v>COD</v>
      </c>
      <c r="L895" s="22">
        <v>272.30130000000003</v>
      </c>
    </row>
    <row r="896" spans="1:12" x14ac:dyDescent="0.3">
      <c r="A896" s="22" t="s">
        <v>2705</v>
      </c>
      <c r="B896" s="34" cm="1">
        <f t="array" ref="B896:C896">_xlfn.XLOOKUP(A896,Sales_Fact!A896:A2880,Sales_Fact!B896:C2880)</f>
        <v>45477</v>
      </c>
      <c r="C896" s="22" t="str">
        <v>CUST1464</v>
      </c>
      <c r="D896" s="22" t="str">
        <f>VLOOKUP('Combine Products &amp; Sales Facts'!C896,'Customer Details'!A:B,2,0)</f>
        <v>David Pierce</v>
      </c>
      <c r="E896" s="22" t="str">
        <f>VLOOKUP(C896,Sales_Fact!C:D,2,0)</f>
        <v>PROD33</v>
      </c>
      <c r="F896" s="22" t="str">
        <f>VLOOKUP(E896,Product_Dim!A:C,3,0)</f>
        <v>Home</v>
      </c>
      <c r="G896" s="22" t="str" cm="1">
        <f t="array" ref="G896:L896">_xlfn.XLOOKUP(C896,Sales_Fact!C896:C2880,Sales_Fact!E896:J2880)</f>
        <v>STORE12</v>
      </c>
      <c r="H896" s="22">
        <v>1</v>
      </c>
      <c r="I896" s="22">
        <v>221.7</v>
      </c>
      <c r="J896" s="22">
        <v>0.04</v>
      </c>
      <c r="K896" s="22" t="str">
        <v>Credit Card</v>
      </c>
      <c r="L896" s="22">
        <v>212.83199999999999</v>
      </c>
    </row>
    <row r="897" spans="1:12" x14ac:dyDescent="0.3">
      <c r="A897" s="22" t="s">
        <v>2706</v>
      </c>
      <c r="B897" s="34" cm="1">
        <f t="array" ref="B897:C897">_xlfn.XLOOKUP(A897,Sales_Fact!A897:A2881,Sales_Fact!B897:C2881)</f>
        <v>45796</v>
      </c>
      <c r="C897" s="22" t="str">
        <v>CUST1211</v>
      </c>
      <c r="D897" s="22" t="str">
        <f>VLOOKUP('Combine Products &amp; Sales Facts'!C897,'Customer Details'!A:B,2,0)</f>
        <v>Rodney Huffman</v>
      </c>
      <c r="E897" s="22" t="str">
        <f>VLOOKUP(C897,Sales_Fact!C:D,2,0)</f>
        <v>PROD85</v>
      </c>
      <c r="F897" s="22" t="str">
        <f>VLOOKUP(E897,Product_Dim!A:C,3,0)</f>
        <v>Clothing</v>
      </c>
      <c r="G897" s="22" t="str" cm="1">
        <f t="array" ref="G897:L897">_xlfn.XLOOKUP(C897,Sales_Fact!C897:C2881,Sales_Fact!E897:J2881)</f>
        <v>STORE5</v>
      </c>
      <c r="H897" s="22">
        <v>2</v>
      </c>
      <c r="I897" s="22">
        <v>491.26</v>
      </c>
      <c r="J897" s="22">
        <v>0.14000000000000001</v>
      </c>
      <c r="K897" s="22" t="str">
        <v>COD</v>
      </c>
      <c r="L897" s="22">
        <v>844.96719999999993</v>
      </c>
    </row>
    <row r="898" spans="1:12" x14ac:dyDescent="0.3">
      <c r="A898" s="22" t="s">
        <v>2707</v>
      </c>
      <c r="B898" s="34" cm="1">
        <f t="array" ref="B898:C898">_xlfn.XLOOKUP(A898,Sales_Fact!A898:A2882,Sales_Fact!B898:C2882)</f>
        <v>45630</v>
      </c>
      <c r="C898" s="22" t="str">
        <v>CUST1181</v>
      </c>
      <c r="D898" s="22" t="str">
        <f>VLOOKUP('Combine Products &amp; Sales Facts'!C898,'Customer Details'!A:B,2,0)</f>
        <v>Erin Ward</v>
      </c>
      <c r="E898" s="22" t="str">
        <f>VLOOKUP(C898,Sales_Fact!C:D,2,0)</f>
        <v>PROD63</v>
      </c>
      <c r="F898" s="22" t="str">
        <f>VLOOKUP(E898,Product_Dim!A:C,3,0)</f>
        <v>Beauty</v>
      </c>
      <c r="G898" s="22" t="str" cm="1">
        <f t="array" ref="G898:L898">_xlfn.XLOOKUP(C898,Sales_Fact!C898:C2882,Sales_Fact!E898:J2882)</f>
        <v>STORE8</v>
      </c>
      <c r="H898" s="22">
        <v>4</v>
      </c>
      <c r="I898" s="22">
        <v>923.14</v>
      </c>
      <c r="J898" s="22">
        <v>0.15</v>
      </c>
      <c r="K898" s="22" t="str">
        <v>Credit Card</v>
      </c>
      <c r="L898" s="22">
        <v>3138.6759999999999</v>
      </c>
    </row>
    <row r="899" spans="1:12" x14ac:dyDescent="0.3">
      <c r="A899" s="22" t="s">
        <v>2708</v>
      </c>
      <c r="B899" s="34" cm="1">
        <f t="array" ref="B899:C899">_xlfn.XLOOKUP(A899,Sales_Fact!A899:A2883,Sales_Fact!B899:C2883)</f>
        <v>45625</v>
      </c>
      <c r="C899" s="22" t="str">
        <v>CUST1193</v>
      </c>
      <c r="D899" s="22" t="str">
        <f>VLOOKUP('Combine Products &amp; Sales Facts'!C899,'Customer Details'!A:B,2,0)</f>
        <v>David Roberts</v>
      </c>
      <c r="E899" s="22" t="str">
        <f>VLOOKUP(C899,Sales_Fact!C:D,2,0)</f>
        <v>PROD64</v>
      </c>
      <c r="F899" s="22" t="str">
        <f>VLOOKUP(E899,Product_Dim!A:C,3,0)</f>
        <v>Beauty</v>
      </c>
      <c r="G899" s="22" t="str" cm="1">
        <f t="array" ref="G899:L899">_xlfn.XLOOKUP(C899,Sales_Fact!C899:C2883,Sales_Fact!E899:J2883)</f>
        <v>STORE7</v>
      </c>
      <c r="H899" s="22">
        <v>2</v>
      </c>
      <c r="I899" s="22">
        <v>747.65</v>
      </c>
      <c r="J899" s="22">
        <v>0.08</v>
      </c>
      <c r="K899" s="22" t="str">
        <v>Credit Card</v>
      </c>
      <c r="L899" s="22">
        <v>1375.6759999999999</v>
      </c>
    </row>
    <row r="900" spans="1:12" x14ac:dyDescent="0.3">
      <c r="A900" s="22" t="s">
        <v>2709</v>
      </c>
      <c r="B900" s="34" cm="1">
        <f t="array" ref="B900:C900">_xlfn.XLOOKUP(A900,Sales_Fact!A900:A2884,Sales_Fact!B900:C2884)</f>
        <v>45773</v>
      </c>
      <c r="C900" s="22" t="str">
        <v>CUST1109</v>
      </c>
      <c r="D900" s="22" t="str">
        <f>VLOOKUP('Combine Products &amp; Sales Facts'!C900,'Customer Details'!A:B,2,0)</f>
        <v>Amy Walker</v>
      </c>
      <c r="E900" s="22" t="str">
        <f>VLOOKUP(C900,Sales_Fact!C:D,2,0)</f>
        <v>PROD34</v>
      </c>
      <c r="F900" s="22" t="str">
        <f>VLOOKUP(E900,Product_Dim!A:C,3,0)</f>
        <v>Electronics</v>
      </c>
      <c r="G900" s="22" t="str" cm="1">
        <f t="array" ref="G900:L900">_xlfn.XLOOKUP(C900,Sales_Fact!C900:C2884,Sales_Fact!E900:J2884)</f>
        <v>STORE7</v>
      </c>
      <c r="H900" s="22">
        <v>3</v>
      </c>
      <c r="I900" s="22">
        <v>94.55</v>
      </c>
      <c r="J900" s="22">
        <v>0.13</v>
      </c>
      <c r="K900" s="22" t="str">
        <v>COD</v>
      </c>
      <c r="L900" s="22">
        <v>246.77549999999999</v>
      </c>
    </row>
    <row r="901" spans="1:12" x14ac:dyDescent="0.3">
      <c r="A901" s="22" t="s">
        <v>2710</v>
      </c>
      <c r="B901" s="34" cm="1">
        <f t="array" ref="B901:C901">_xlfn.XLOOKUP(A901,Sales_Fact!A901:A2885,Sales_Fact!B901:C2885)</f>
        <v>45308</v>
      </c>
      <c r="C901" s="22" t="str">
        <v>CUST1039</v>
      </c>
      <c r="D901" s="22" t="str">
        <f>VLOOKUP('Combine Products &amp; Sales Facts'!C901,'Customer Details'!A:B,2,0)</f>
        <v>Tonya Reynolds</v>
      </c>
      <c r="E901" s="22" t="str">
        <f>VLOOKUP(C901,Sales_Fact!C:D,2,0)</f>
        <v>PROD74</v>
      </c>
      <c r="F901" s="22" t="str">
        <f>VLOOKUP(E901,Product_Dim!A:C,3,0)</f>
        <v>Electronics</v>
      </c>
      <c r="G901" s="22" t="str" cm="1">
        <f t="array" ref="G901:L901">_xlfn.XLOOKUP(C901,Sales_Fact!C901:C2885,Sales_Fact!E901:J2885)</f>
        <v>STORE19</v>
      </c>
      <c r="H901" s="22">
        <v>3</v>
      </c>
      <c r="I901" s="22">
        <v>620.12</v>
      </c>
      <c r="J901" s="22">
        <v>0.06</v>
      </c>
      <c r="K901" s="22" t="str">
        <v>Credit Card</v>
      </c>
      <c r="L901" s="22">
        <v>1748.7384</v>
      </c>
    </row>
    <row r="902" spans="1:12" x14ac:dyDescent="0.3">
      <c r="A902" s="22" t="s">
        <v>2711</v>
      </c>
      <c r="B902" s="34" cm="1">
        <f t="array" ref="B902:C902">_xlfn.XLOOKUP(A902,Sales_Fact!A902:A2886,Sales_Fact!B902:C2886)</f>
        <v>45869</v>
      </c>
      <c r="C902" s="22" t="str">
        <v>CUST1486</v>
      </c>
      <c r="D902" s="22" t="str">
        <f>VLOOKUP('Combine Products &amp; Sales Facts'!C902,'Customer Details'!A:B,2,0)</f>
        <v>Eric Lee</v>
      </c>
      <c r="E902" s="22" t="str">
        <f>VLOOKUP(C902,Sales_Fact!C:D,2,0)</f>
        <v>PROD40</v>
      </c>
      <c r="F902" s="22" t="str">
        <f>VLOOKUP(E902,Product_Dim!A:C,3,0)</f>
        <v>Electronics</v>
      </c>
      <c r="G902" s="22" t="str" cm="1">
        <f t="array" ref="G902:L902">_xlfn.XLOOKUP(C902,Sales_Fact!C902:C2886,Sales_Fact!E902:J2886)</f>
        <v>STORE6</v>
      </c>
      <c r="H902" s="22">
        <v>2</v>
      </c>
      <c r="I902" s="22">
        <v>354.09</v>
      </c>
      <c r="J902" s="22">
        <v>0.12</v>
      </c>
      <c r="K902" s="22" t="str">
        <v>COD</v>
      </c>
      <c r="L902" s="22">
        <v>623.19839999999999</v>
      </c>
    </row>
    <row r="903" spans="1:12" x14ac:dyDescent="0.3">
      <c r="A903" s="22" t="s">
        <v>2712</v>
      </c>
      <c r="B903" s="34" cm="1">
        <f t="array" ref="B903:C903">_xlfn.XLOOKUP(A903,Sales_Fact!A903:A2887,Sales_Fact!B903:C2887)</f>
        <v>45621</v>
      </c>
      <c r="C903" s="22" t="str">
        <v>CUST1130</v>
      </c>
      <c r="D903" s="22" t="str">
        <f>VLOOKUP('Combine Products &amp; Sales Facts'!C903,'Customer Details'!A:B,2,0)</f>
        <v>Jamie Reyes</v>
      </c>
      <c r="E903" s="22" t="str">
        <f>VLOOKUP(C903,Sales_Fact!C:D,2,0)</f>
        <v>PROD41</v>
      </c>
      <c r="F903" s="22" t="str">
        <f>VLOOKUP(E903,Product_Dim!A:C,3,0)</f>
        <v>Sports</v>
      </c>
      <c r="G903" s="22" t="str" cm="1">
        <f t="array" ref="G903:L903">_xlfn.XLOOKUP(C903,Sales_Fact!C903:C2887,Sales_Fact!E903:J2887)</f>
        <v>STORE5</v>
      </c>
      <c r="H903" s="22">
        <v>3</v>
      </c>
      <c r="I903" s="22">
        <v>214.94</v>
      </c>
      <c r="J903" s="22">
        <v>0.22</v>
      </c>
      <c r="K903" s="22" t="str">
        <v>COD</v>
      </c>
      <c r="L903" s="22">
        <v>502.95960000000002</v>
      </c>
    </row>
    <row r="904" spans="1:12" x14ac:dyDescent="0.3">
      <c r="A904" s="22" t="s">
        <v>2713</v>
      </c>
      <c r="B904" s="34" cm="1">
        <f t="array" ref="B904:C904">_xlfn.XLOOKUP(A904,Sales_Fact!A904:A2888,Sales_Fact!B904:C2888)</f>
        <v>45428</v>
      </c>
      <c r="C904" s="22" t="str">
        <v>CUST1199</v>
      </c>
      <c r="D904" s="22" t="str">
        <f>VLOOKUP('Combine Products &amp; Sales Facts'!C904,'Customer Details'!A:B,2,0)</f>
        <v>Carmen Price</v>
      </c>
      <c r="E904" s="22" t="str">
        <f>VLOOKUP(C904,Sales_Fact!C:D,2,0)</f>
        <v>PROD48</v>
      </c>
      <c r="F904" s="22" t="str">
        <f>VLOOKUP(E904,Product_Dim!A:C,3,0)</f>
        <v>Electronics</v>
      </c>
      <c r="G904" s="22" t="str" cm="1">
        <f t="array" ref="G904:L904">_xlfn.XLOOKUP(C904,Sales_Fact!C904:C2888,Sales_Fact!E904:J2888)</f>
        <v>STORE12</v>
      </c>
      <c r="H904" s="22">
        <v>2</v>
      </c>
      <c r="I904" s="22">
        <v>309.77999999999997</v>
      </c>
      <c r="J904" s="22">
        <v>0.16</v>
      </c>
      <c r="K904" s="22" t="str">
        <v>Credit Card</v>
      </c>
      <c r="L904" s="22">
        <v>520.43039999999996</v>
      </c>
    </row>
    <row r="905" spans="1:12" x14ac:dyDescent="0.3">
      <c r="A905" s="22" t="s">
        <v>2714</v>
      </c>
      <c r="B905" s="34" cm="1">
        <f t="array" ref="B905:C905">_xlfn.XLOOKUP(A905,Sales_Fact!A905:A2889,Sales_Fact!B905:C2889)</f>
        <v>45807</v>
      </c>
      <c r="C905" s="22" t="str">
        <v>CUST1069</v>
      </c>
      <c r="D905" s="22" t="str">
        <f>VLOOKUP('Combine Products &amp; Sales Facts'!C905,'Customer Details'!A:B,2,0)</f>
        <v>Roy Cole</v>
      </c>
      <c r="E905" s="22" t="str">
        <f>VLOOKUP(C905,Sales_Fact!C:D,2,0)</f>
        <v>PROD73</v>
      </c>
      <c r="F905" s="22" t="str">
        <f>VLOOKUP(E905,Product_Dim!A:C,3,0)</f>
        <v>Sports</v>
      </c>
      <c r="G905" s="22" t="str" cm="1">
        <f t="array" ref="G905:L905">_xlfn.XLOOKUP(C905,Sales_Fact!C905:C2889,Sales_Fact!E905:J2889)</f>
        <v>STORE3</v>
      </c>
      <c r="H905" s="22">
        <v>2</v>
      </c>
      <c r="I905" s="22">
        <v>183.85</v>
      </c>
      <c r="J905" s="22">
        <v>0.14000000000000001</v>
      </c>
      <c r="K905" s="22" t="str">
        <v>PayPal</v>
      </c>
      <c r="L905" s="22">
        <v>316.22199999999998</v>
      </c>
    </row>
    <row r="906" spans="1:12" x14ac:dyDescent="0.3">
      <c r="A906" s="22" t="s">
        <v>2715</v>
      </c>
      <c r="B906" s="34" cm="1">
        <f t="array" ref="B906:C906">_xlfn.XLOOKUP(A906,Sales_Fact!A906:A2890,Sales_Fact!B906:C2890)</f>
        <v>45238</v>
      </c>
      <c r="C906" s="22" t="str">
        <v>CUST1409</v>
      </c>
      <c r="D906" s="22" t="str">
        <f>VLOOKUP('Combine Products &amp; Sales Facts'!C906,'Customer Details'!A:B,2,0)</f>
        <v>Sarah Smith</v>
      </c>
      <c r="E906" s="22" t="str">
        <f>VLOOKUP(C906,Sales_Fact!C:D,2,0)</f>
        <v>PROD97</v>
      </c>
      <c r="F906" s="22" t="str">
        <f>VLOOKUP(E906,Product_Dim!A:C,3,0)</f>
        <v>Sports</v>
      </c>
      <c r="G906" s="22" t="str" cm="1">
        <f t="array" ref="G906:L906">_xlfn.XLOOKUP(C906,Sales_Fact!C906:C2890,Sales_Fact!E906:J2890)</f>
        <v>STORE0</v>
      </c>
      <c r="H906" s="22">
        <v>1</v>
      </c>
      <c r="I906" s="22">
        <v>550.05999999999995</v>
      </c>
      <c r="J906" s="22">
        <v>0.01</v>
      </c>
      <c r="K906" s="22" t="str">
        <v>Credit Card</v>
      </c>
      <c r="L906" s="22">
        <v>544.55939999999998</v>
      </c>
    </row>
    <row r="907" spans="1:12" x14ac:dyDescent="0.3">
      <c r="A907" s="22" t="s">
        <v>2716</v>
      </c>
      <c r="B907" s="34" cm="1">
        <f t="array" ref="B907:C907">_xlfn.XLOOKUP(A907,Sales_Fact!A907:A2891,Sales_Fact!B907:C2891)</f>
        <v>45253</v>
      </c>
      <c r="C907" s="22" t="str">
        <v>CUST1029</v>
      </c>
      <c r="D907" s="22" t="str">
        <f>VLOOKUP('Combine Products &amp; Sales Facts'!C907,'Customer Details'!A:B,2,0)</f>
        <v>David Arnold</v>
      </c>
      <c r="E907" s="22" t="str">
        <f>VLOOKUP(C907,Sales_Fact!C:D,2,0)</f>
        <v>PROD86</v>
      </c>
      <c r="F907" s="22" t="str">
        <f>VLOOKUP(E907,Product_Dim!A:C,3,0)</f>
        <v>Home</v>
      </c>
      <c r="G907" s="22" t="str" cm="1">
        <f t="array" ref="G907:L907">_xlfn.XLOOKUP(C907,Sales_Fact!C907:C2891,Sales_Fact!E907:J2891)</f>
        <v>STORE4</v>
      </c>
      <c r="H907" s="22">
        <v>2</v>
      </c>
      <c r="I907" s="22">
        <v>32.19</v>
      </c>
      <c r="J907" s="22">
        <v>0.13</v>
      </c>
      <c r="K907" s="22" t="str">
        <v>COD</v>
      </c>
      <c r="L907" s="22">
        <v>56.010599999999997</v>
      </c>
    </row>
    <row r="908" spans="1:12" x14ac:dyDescent="0.3">
      <c r="A908" s="22" t="s">
        <v>2717</v>
      </c>
      <c r="B908" s="34" cm="1">
        <f t="array" ref="B908:C908">_xlfn.XLOOKUP(A908,Sales_Fact!A908:A2892,Sales_Fact!B908:C2892)</f>
        <v>45460</v>
      </c>
      <c r="C908" s="22" t="str">
        <v>CUST1138</v>
      </c>
      <c r="D908" s="22" t="str">
        <f>VLOOKUP('Combine Products &amp; Sales Facts'!C908,'Customer Details'!A:B,2,0)</f>
        <v>Sean Roth</v>
      </c>
      <c r="E908" s="22" t="str">
        <f>VLOOKUP(C908,Sales_Fact!C:D,2,0)</f>
        <v>PROD46</v>
      </c>
      <c r="F908" s="22" t="str">
        <f>VLOOKUP(E908,Product_Dim!A:C,3,0)</f>
        <v>Clothing</v>
      </c>
      <c r="G908" s="22" t="str" cm="1">
        <f t="array" ref="G908:L908">_xlfn.XLOOKUP(C908,Sales_Fact!C908:C2892,Sales_Fact!E908:J2892)</f>
        <v>STORE19</v>
      </c>
      <c r="H908" s="22">
        <v>2</v>
      </c>
      <c r="I908" s="22">
        <v>892.06</v>
      </c>
      <c r="J908" s="22">
        <v>0.08</v>
      </c>
      <c r="K908" s="22" t="str">
        <v>Credit Card</v>
      </c>
      <c r="L908" s="22">
        <v>1641.3904</v>
      </c>
    </row>
    <row r="909" spans="1:12" x14ac:dyDescent="0.3">
      <c r="A909" s="22" t="s">
        <v>2718</v>
      </c>
      <c r="B909" s="34" cm="1">
        <f t="array" ref="B909:C909">_xlfn.XLOOKUP(A909,Sales_Fact!A909:A2893,Sales_Fact!B909:C2893)</f>
        <v>45628</v>
      </c>
      <c r="C909" s="22" t="str">
        <v>CUST1472</v>
      </c>
      <c r="D909" s="22" t="str">
        <f>VLOOKUP('Combine Products &amp; Sales Facts'!C909,'Customer Details'!A:B,2,0)</f>
        <v>Philip Mendoza</v>
      </c>
      <c r="E909" s="22" t="str">
        <f>VLOOKUP(C909,Sales_Fact!C:D,2,0)</f>
        <v>PROD34</v>
      </c>
      <c r="F909" s="22" t="str">
        <f>VLOOKUP(E909,Product_Dim!A:C,3,0)</f>
        <v>Electronics</v>
      </c>
      <c r="G909" s="22" t="str" cm="1">
        <f t="array" ref="G909:L909">_xlfn.XLOOKUP(C909,Sales_Fact!C909:C2893,Sales_Fact!E909:J2893)</f>
        <v>STORE6</v>
      </c>
      <c r="H909" s="22">
        <v>1</v>
      </c>
      <c r="I909" s="22">
        <v>127.47</v>
      </c>
      <c r="J909" s="22">
        <v>0.16</v>
      </c>
      <c r="K909" s="22" t="str">
        <v>COD</v>
      </c>
      <c r="L909" s="22">
        <v>107.0748</v>
      </c>
    </row>
    <row r="910" spans="1:12" x14ac:dyDescent="0.3">
      <c r="A910" s="22" t="s">
        <v>2719</v>
      </c>
      <c r="B910" s="34" cm="1">
        <f t="array" ref="B910:C910">_xlfn.XLOOKUP(A910,Sales_Fact!A910:A2894,Sales_Fact!B910:C2894)</f>
        <v>45778</v>
      </c>
      <c r="C910" s="22" t="str">
        <v>CUST1388</v>
      </c>
      <c r="D910" s="22" t="str">
        <f>VLOOKUP('Combine Products &amp; Sales Facts'!C910,'Customer Details'!A:B,2,0)</f>
        <v>Timothy Valenzuela</v>
      </c>
      <c r="E910" s="22" t="str">
        <f>VLOOKUP(C910,Sales_Fact!C:D,2,0)</f>
        <v>PROD82</v>
      </c>
      <c r="F910" s="22" t="str">
        <f>VLOOKUP(E910,Product_Dim!A:C,3,0)</f>
        <v>Sports</v>
      </c>
      <c r="G910" s="22" t="str" cm="1">
        <f t="array" ref="G910:L910">_xlfn.XLOOKUP(C910,Sales_Fact!C910:C2894,Sales_Fact!E910:J2894)</f>
        <v>STORE14</v>
      </c>
      <c r="H910" s="22">
        <v>3</v>
      </c>
      <c r="I910" s="22">
        <v>212.87</v>
      </c>
      <c r="J910" s="22">
        <v>0.18</v>
      </c>
      <c r="K910" s="22" t="str">
        <v>Credit Card</v>
      </c>
      <c r="L910" s="22">
        <v>523.66020000000003</v>
      </c>
    </row>
    <row r="911" spans="1:12" x14ac:dyDescent="0.3">
      <c r="A911" s="22" t="s">
        <v>2720</v>
      </c>
      <c r="B911" s="34" cm="1">
        <f t="array" ref="B911:C911">_xlfn.XLOOKUP(A911,Sales_Fact!A911:A2895,Sales_Fact!B911:C2895)</f>
        <v>45471</v>
      </c>
      <c r="C911" s="22" t="str">
        <v>CUST1181</v>
      </c>
      <c r="D911" s="22" t="str">
        <f>VLOOKUP('Combine Products &amp; Sales Facts'!C911,'Customer Details'!A:B,2,0)</f>
        <v>Erin Ward</v>
      </c>
      <c r="E911" s="22" t="str">
        <f>VLOOKUP(C911,Sales_Fact!C:D,2,0)</f>
        <v>PROD63</v>
      </c>
      <c r="F911" s="22" t="str">
        <f>VLOOKUP(E911,Product_Dim!A:C,3,0)</f>
        <v>Beauty</v>
      </c>
      <c r="G911" s="22" t="str" cm="1">
        <f t="array" ref="G911:L911">_xlfn.XLOOKUP(C911,Sales_Fact!C911:C2895,Sales_Fact!E911:J2895)</f>
        <v>STORE7</v>
      </c>
      <c r="H911" s="22">
        <v>1</v>
      </c>
      <c r="I911" s="22">
        <v>26.37</v>
      </c>
      <c r="J911" s="22">
        <v>0.3</v>
      </c>
      <c r="K911" s="22" t="str">
        <v>COD</v>
      </c>
      <c r="L911" s="22">
        <v>18.459</v>
      </c>
    </row>
    <row r="912" spans="1:12" x14ac:dyDescent="0.3">
      <c r="A912" s="22" t="s">
        <v>2721</v>
      </c>
      <c r="B912" s="34" cm="1">
        <f t="array" ref="B912:C912">_xlfn.XLOOKUP(A912,Sales_Fact!A912:A2896,Sales_Fact!B912:C2896)</f>
        <v>45770</v>
      </c>
      <c r="C912" s="22" t="str">
        <v>CUST1466</v>
      </c>
      <c r="D912" s="22" t="str">
        <f>VLOOKUP('Combine Products &amp; Sales Facts'!C912,'Customer Details'!A:B,2,0)</f>
        <v>Cynthia Parrish</v>
      </c>
      <c r="E912" s="22" t="str">
        <f>VLOOKUP(C912,Sales_Fact!C:D,2,0)</f>
        <v>PROD48</v>
      </c>
      <c r="F912" s="22" t="str">
        <f>VLOOKUP(E912,Product_Dim!A:C,3,0)</f>
        <v>Electronics</v>
      </c>
      <c r="G912" s="22" t="str" cm="1">
        <f t="array" ref="G912:L912">_xlfn.XLOOKUP(C912,Sales_Fact!C912:C2896,Sales_Fact!E912:J2896)</f>
        <v>STORE18</v>
      </c>
      <c r="H912" s="22">
        <v>4</v>
      </c>
      <c r="I912" s="22">
        <v>953.98</v>
      </c>
      <c r="J912" s="22">
        <v>0.16</v>
      </c>
      <c r="K912" s="22" t="str">
        <v>Credit Card</v>
      </c>
      <c r="L912" s="22">
        <v>3205.3728000000001</v>
      </c>
    </row>
    <row r="913" spans="1:12" x14ac:dyDescent="0.3">
      <c r="A913" s="22" t="s">
        <v>2722</v>
      </c>
      <c r="B913" s="34" cm="1">
        <f t="array" ref="B913:C913">_xlfn.XLOOKUP(A913,Sales_Fact!A913:A2897,Sales_Fact!B913:C2897)</f>
        <v>45369</v>
      </c>
      <c r="C913" s="22" t="str">
        <v>CUST1215</v>
      </c>
      <c r="D913" s="22" t="str">
        <f>VLOOKUP('Combine Products &amp; Sales Facts'!C913,'Customer Details'!A:B,2,0)</f>
        <v>Steve Medina</v>
      </c>
      <c r="E913" s="22" t="str">
        <f>VLOOKUP(C913,Sales_Fact!C:D,2,0)</f>
        <v>PROD32</v>
      </c>
      <c r="F913" s="22" t="str">
        <f>VLOOKUP(E913,Product_Dim!A:C,3,0)</f>
        <v>Beauty</v>
      </c>
      <c r="G913" s="22" t="str" cm="1">
        <f t="array" ref="G913:L913">_xlfn.XLOOKUP(C913,Sales_Fact!C913:C2897,Sales_Fact!E913:J2897)</f>
        <v>STORE19</v>
      </c>
      <c r="H913" s="22">
        <v>3</v>
      </c>
      <c r="I913" s="22">
        <v>968.88</v>
      </c>
      <c r="J913" s="22">
        <v>0.15</v>
      </c>
      <c r="K913" s="22" t="str">
        <v>Credit Card</v>
      </c>
      <c r="L913" s="22">
        <v>2470.6439999999998</v>
      </c>
    </row>
    <row r="914" spans="1:12" x14ac:dyDescent="0.3">
      <c r="A914" s="22" t="s">
        <v>2723</v>
      </c>
      <c r="B914" s="34" cm="1">
        <f t="array" ref="B914:C914">_xlfn.XLOOKUP(A914,Sales_Fact!A914:A2898,Sales_Fact!B914:C2898)</f>
        <v>45910</v>
      </c>
      <c r="C914" s="22" t="str">
        <v>CUST1187</v>
      </c>
      <c r="D914" s="22" t="str">
        <f>VLOOKUP('Combine Products &amp; Sales Facts'!C914,'Customer Details'!A:B,2,0)</f>
        <v>Dr. Suzanne Bullock</v>
      </c>
      <c r="E914" s="22" t="str">
        <f>VLOOKUP(C914,Sales_Fact!C:D,2,0)</f>
        <v>PROD13</v>
      </c>
      <c r="F914" s="22" t="str">
        <f>VLOOKUP(E914,Product_Dim!A:C,3,0)</f>
        <v>Electronics</v>
      </c>
      <c r="G914" s="22" t="str" cm="1">
        <f t="array" ref="G914:L914">_xlfn.XLOOKUP(C914,Sales_Fact!C914:C2898,Sales_Fact!E914:J2898)</f>
        <v>STORE18</v>
      </c>
      <c r="H914" s="22">
        <v>1</v>
      </c>
      <c r="I914" s="22">
        <v>533.04999999999995</v>
      </c>
      <c r="J914" s="22">
        <v>0.11</v>
      </c>
      <c r="K914" s="22" t="str">
        <v>PayPal</v>
      </c>
      <c r="L914" s="22">
        <v>474.41449999999998</v>
      </c>
    </row>
    <row r="915" spans="1:12" x14ac:dyDescent="0.3">
      <c r="A915" s="22" t="s">
        <v>2724</v>
      </c>
      <c r="B915" s="34" cm="1">
        <f t="array" ref="B915:C915">_xlfn.XLOOKUP(A915,Sales_Fact!A915:A2899,Sales_Fact!B915:C2899)</f>
        <v>45637</v>
      </c>
      <c r="C915" s="22" t="str">
        <v>CUST1381</v>
      </c>
      <c r="D915" s="22" t="str">
        <f>VLOOKUP('Combine Products &amp; Sales Facts'!C915,'Customer Details'!A:B,2,0)</f>
        <v>Erika Padilla</v>
      </c>
      <c r="E915" s="22" t="str">
        <f>VLOOKUP(C915,Sales_Fact!C:D,2,0)</f>
        <v>PROD5</v>
      </c>
      <c r="F915" s="22" t="str">
        <f>VLOOKUP(E915,Product_Dim!A:C,3,0)</f>
        <v>Clothing</v>
      </c>
      <c r="G915" s="22" t="str" cm="1">
        <f t="array" ref="G915:L915">_xlfn.XLOOKUP(C915,Sales_Fact!C915:C2899,Sales_Fact!E915:J2899)</f>
        <v>STORE1</v>
      </c>
      <c r="H915" s="22">
        <v>3</v>
      </c>
      <c r="I915" s="22">
        <v>138.86000000000001</v>
      </c>
      <c r="J915" s="22">
        <v>0.11</v>
      </c>
      <c r="K915" s="22" t="str">
        <v>PayPal</v>
      </c>
      <c r="L915" s="22">
        <v>370.75619999999998</v>
      </c>
    </row>
    <row r="916" spans="1:12" x14ac:dyDescent="0.3">
      <c r="A916" s="22" t="s">
        <v>2725</v>
      </c>
      <c r="B916" s="34" cm="1">
        <f t="array" ref="B916:C916">_xlfn.XLOOKUP(A916,Sales_Fact!A916:A2900,Sales_Fact!B916:C2900)</f>
        <v>45706</v>
      </c>
      <c r="C916" s="22" t="str">
        <v>CUST1159</v>
      </c>
      <c r="D916" s="22" t="str">
        <f>VLOOKUP('Combine Products &amp; Sales Facts'!C916,'Customer Details'!A:B,2,0)</f>
        <v>Brian Choi</v>
      </c>
      <c r="E916" s="22" t="str">
        <f>VLOOKUP(C916,Sales_Fact!C:D,2,0)</f>
        <v>PROD69</v>
      </c>
      <c r="F916" s="22" t="str">
        <f>VLOOKUP(E916,Product_Dim!A:C,3,0)</f>
        <v>Clothing</v>
      </c>
      <c r="G916" s="22" t="str" cm="1">
        <f t="array" ref="G916:L916">_xlfn.XLOOKUP(C916,Sales_Fact!C916:C2900,Sales_Fact!E916:J2900)</f>
        <v>STORE0</v>
      </c>
      <c r="H916" s="22">
        <v>1</v>
      </c>
      <c r="I916" s="22">
        <v>588.92999999999995</v>
      </c>
      <c r="J916" s="22">
        <v>0.03</v>
      </c>
      <c r="K916" s="22" t="str">
        <v>COD</v>
      </c>
      <c r="L916" s="22">
        <v>571.26209999999992</v>
      </c>
    </row>
    <row r="917" spans="1:12" x14ac:dyDescent="0.3">
      <c r="A917" s="22" t="s">
        <v>2726</v>
      </c>
      <c r="B917" s="34" cm="1">
        <f t="array" ref="B917:C917">_xlfn.XLOOKUP(A917,Sales_Fact!A917:A2901,Sales_Fact!B917:C2901)</f>
        <v>45557</v>
      </c>
      <c r="C917" s="22" t="str">
        <v>CUST1403</v>
      </c>
      <c r="D917" s="22" t="str">
        <f>VLOOKUP('Combine Products &amp; Sales Facts'!C917,'Customer Details'!A:B,2,0)</f>
        <v>Justin Ingram</v>
      </c>
      <c r="E917" s="22" t="str">
        <f>VLOOKUP(C917,Sales_Fact!C:D,2,0)</f>
        <v>PROD17</v>
      </c>
      <c r="F917" s="22" t="str">
        <f>VLOOKUP(E917,Product_Dim!A:C,3,0)</f>
        <v>Sports</v>
      </c>
      <c r="G917" s="22" t="str" cm="1">
        <f t="array" ref="G917:L917">_xlfn.XLOOKUP(C917,Sales_Fact!C917:C2901,Sales_Fact!E917:J2901)</f>
        <v>STORE5</v>
      </c>
      <c r="H917" s="22">
        <v>2</v>
      </c>
      <c r="I917" s="22">
        <v>576.83000000000004</v>
      </c>
      <c r="J917" s="22">
        <v>0.19</v>
      </c>
      <c r="K917" s="22" t="str">
        <v>PayPal</v>
      </c>
      <c r="L917" s="22">
        <v>934.46460000000013</v>
      </c>
    </row>
    <row r="918" spans="1:12" x14ac:dyDescent="0.3">
      <c r="A918" s="22" t="s">
        <v>2727</v>
      </c>
      <c r="B918" s="34" cm="1">
        <f t="array" ref="B918:C918">_xlfn.XLOOKUP(A918,Sales_Fact!A918:A2902,Sales_Fact!B918:C2902)</f>
        <v>45338</v>
      </c>
      <c r="C918" s="22" t="str">
        <v>CUST1323</v>
      </c>
      <c r="D918" s="22" t="str">
        <f>VLOOKUP('Combine Products &amp; Sales Facts'!C918,'Customer Details'!A:B,2,0)</f>
        <v>Kristy Dunlap</v>
      </c>
      <c r="E918" s="22" t="str">
        <f>VLOOKUP(C918,Sales_Fact!C:D,2,0)</f>
        <v>PROD49</v>
      </c>
      <c r="F918" s="22" t="str">
        <f>VLOOKUP(E918,Product_Dim!A:C,3,0)</f>
        <v>Beauty</v>
      </c>
      <c r="G918" s="22" t="str" cm="1">
        <f t="array" ref="G918:L918">_xlfn.XLOOKUP(C918,Sales_Fact!C918:C2902,Sales_Fact!E918:J2902)</f>
        <v>STORE12</v>
      </c>
      <c r="H918" s="22">
        <v>1</v>
      </c>
      <c r="I918" s="22">
        <v>681.3</v>
      </c>
      <c r="J918" s="22">
        <v>0.05</v>
      </c>
      <c r="K918" s="22" t="str">
        <v>Credit Card</v>
      </c>
      <c r="L918" s="22">
        <v>647.2349999999999</v>
      </c>
    </row>
    <row r="919" spans="1:12" x14ac:dyDescent="0.3">
      <c r="A919" s="22" t="s">
        <v>2728</v>
      </c>
      <c r="B919" s="34" cm="1">
        <f t="array" ref="B919:C919">_xlfn.XLOOKUP(A919,Sales_Fact!A919:A2903,Sales_Fact!B919:C2903)</f>
        <v>45441</v>
      </c>
      <c r="C919" s="22" t="str">
        <v>CUST1457</v>
      </c>
      <c r="D919" s="22" t="str">
        <f>VLOOKUP('Combine Products &amp; Sales Facts'!C919,'Customer Details'!A:B,2,0)</f>
        <v>Christina Robertson</v>
      </c>
      <c r="E919" s="22" t="str">
        <f>VLOOKUP(C919,Sales_Fact!C:D,2,0)</f>
        <v>PROD43</v>
      </c>
      <c r="F919" s="22" t="str">
        <f>VLOOKUP(E919,Product_Dim!A:C,3,0)</f>
        <v>Electronics</v>
      </c>
      <c r="G919" s="22" t="str" cm="1">
        <f t="array" ref="G919:L919">_xlfn.XLOOKUP(C919,Sales_Fact!C919:C2903,Sales_Fact!E919:J2903)</f>
        <v>STORE15</v>
      </c>
      <c r="H919" s="22">
        <v>3</v>
      </c>
      <c r="I919" s="22">
        <v>504.97</v>
      </c>
      <c r="J919" s="22">
        <v>0.3</v>
      </c>
      <c r="K919" s="22" t="str">
        <v>Credit Card</v>
      </c>
      <c r="L919" s="22">
        <v>1060.4369999999999</v>
      </c>
    </row>
    <row r="920" spans="1:12" x14ac:dyDescent="0.3">
      <c r="A920" s="22" t="s">
        <v>2729</v>
      </c>
      <c r="B920" s="34" cm="1">
        <f t="array" ref="B920:C920">_xlfn.XLOOKUP(A920,Sales_Fact!A920:A2904,Sales_Fact!B920:C2904)</f>
        <v>45396</v>
      </c>
      <c r="C920" s="22" t="str">
        <v>CUST1060</v>
      </c>
      <c r="D920" s="22" t="str">
        <f>VLOOKUP('Combine Products &amp; Sales Facts'!C920,'Customer Details'!A:B,2,0)</f>
        <v>Dr. David Smith</v>
      </c>
      <c r="E920" s="22" t="str">
        <f>VLOOKUP(C920,Sales_Fact!C:D,2,0)</f>
        <v>PROD38</v>
      </c>
      <c r="F920" s="22" t="str">
        <f>VLOOKUP(E920,Product_Dim!A:C,3,0)</f>
        <v>Sports</v>
      </c>
      <c r="G920" s="22" t="str" cm="1">
        <f t="array" ref="G920:L920">_xlfn.XLOOKUP(C920,Sales_Fact!C920:C2904,Sales_Fact!E920:J2904)</f>
        <v>STORE11</v>
      </c>
      <c r="H920" s="22">
        <v>3</v>
      </c>
      <c r="I920" s="22">
        <v>649.78</v>
      </c>
      <c r="J920" s="22">
        <v>0.1</v>
      </c>
      <c r="K920" s="22" t="str">
        <v>PayPal</v>
      </c>
      <c r="L920" s="22">
        <v>1754.4059999999999</v>
      </c>
    </row>
    <row r="921" spans="1:12" x14ac:dyDescent="0.3">
      <c r="A921" s="22" t="s">
        <v>2730</v>
      </c>
      <c r="B921" s="34" cm="1">
        <f t="array" ref="B921:C921">_xlfn.XLOOKUP(A921,Sales_Fact!A921:A2905,Sales_Fact!B921:C2905)</f>
        <v>45317</v>
      </c>
      <c r="C921" s="22" t="str">
        <v>CUST1245</v>
      </c>
      <c r="D921" s="22" t="str">
        <f>VLOOKUP('Combine Products &amp; Sales Facts'!C921,'Customer Details'!A:B,2,0)</f>
        <v>Laura Soto</v>
      </c>
      <c r="E921" s="22" t="str">
        <f>VLOOKUP(C921,Sales_Fact!C:D,2,0)</f>
        <v>PROD39</v>
      </c>
      <c r="F921" s="22" t="str">
        <f>VLOOKUP(E921,Product_Dim!A:C,3,0)</f>
        <v>Electronics</v>
      </c>
      <c r="G921" s="22" t="str" cm="1">
        <f t="array" ref="G921:L921">_xlfn.XLOOKUP(C921,Sales_Fact!C921:C2905,Sales_Fact!E921:J2905)</f>
        <v>STORE9</v>
      </c>
      <c r="H921" s="22">
        <v>2</v>
      </c>
      <c r="I921" s="22">
        <v>986.73</v>
      </c>
      <c r="J921" s="22">
        <v>0.05</v>
      </c>
      <c r="K921" s="22" t="str">
        <v>PayPal</v>
      </c>
      <c r="L921" s="22">
        <v>1874.787</v>
      </c>
    </row>
    <row r="922" spans="1:12" x14ac:dyDescent="0.3">
      <c r="A922" s="22" t="s">
        <v>2731</v>
      </c>
      <c r="B922" s="34" cm="1">
        <f t="array" ref="B922:C922">_xlfn.XLOOKUP(A922,Sales_Fact!A922:A2906,Sales_Fact!B922:C2906)</f>
        <v>45235</v>
      </c>
      <c r="C922" s="22" t="str">
        <v>CUST1119</v>
      </c>
      <c r="D922" s="22" t="str">
        <f>VLOOKUP('Combine Products &amp; Sales Facts'!C922,'Customer Details'!A:B,2,0)</f>
        <v>Michael Jones</v>
      </c>
      <c r="E922" s="22" t="str">
        <f>VLOOKUP(C922,Sales_Fact!C:D,2,0)</f>
        <v>PROD90</v>
      </c>
      <c r="F922" s="22" t="str">
        <f>VLOOKUP(E922,Product_Dim!A:C,3,0)</f>
        <v>Electronics</v>
      </c>
      <c r="G922" s="22" t="str" cm="1">
        <f t="array" ref="G922:L922">_xlfn.XLOOKUP(C922,Sales_Fact!C922:C2906,Sales_Fact!E922:J2906)</f>
        <v>STORE15</v>
      </c>
      <c r="H922" s="22">
        <v>2</v>
      </c>
      <c r="I922" s="22">
        <v>65.44</v>
      </c>
      <c r="J922" s="22">
        <v>0.05</v>
      </c>
      <c r="K922" s="22" t="str">
        <v>PayPal</v>
      </c>
      <c r="L922" s="22">
        <v>124.336</v>
      </c>
    </row>
    <row r="923" spans="1:12" x14ac:dyDescent="0.3">
      <c r="A923" s="22" t="s">
        <v>2732</v>
      </c>
      <c r="B923" s="34" cm="1">
        <f t="array" ref="B923:C923">_xlfn.XLOOKUP(A923,Sales_Fact!A923:A2907,Sales_Fact!B923:C2907)</f>
        <v>45824</v>
      </c>
      <c r="C923" s="22" t="str">
        <v>CUST1383</v>
      </c>
      <c r="D923" s="22" t="str">
        <f>VLOOKUP('Combine Products &amp; Sales Facts'!C923,'Customer Details'!A:B,2,0)</f>
        <v>Kristine Higgins</v>
      </c>
      <c r="E923" s="22" t="str">
        <f>VLOOKUP(C923,Sales_Fact!C:D,2,0)</f>
        <v>PROD58</v>
      </c>
      <c r="F923" s="22" t="str">
        <f>VLOOKUP(E923,Product_Dim!A:C,3,0)</f>
        <v>Clothing</v>
      </c>
      <c r="G923" s="22" t="str" cm="1">
        <f t="array" ref="G923:L923">_xlfn.XLOOKUP(C923,Sales_Fact!C923:C2907,Sales_Fact!E923:J2907)</f>
        <v>STORE13</v>
      </c>
      <c r="H923" s="22">
        <v>3</v>
      </c>
      <c r="I923" s="22">
        <v>953.74</v>
      </c>
      <c r="J923" s="22">
        <v>0.04</v>
      </c>
      <c r="K923" s="22" t="str">
        <v>Credit Card</v>
      </c>
      <c r="L923" s="22">
        <v>2746.7712000000001</v>
      </c>
    </row>
    <row r="924" spans="1:12" x14ac:dyDescent="0.3">
      <c r="A924" s="22" t="s">
        <v>2733</v>
      </c>
      <c r="B924" s="34" cm="1">
        <f t="array" ref="B924:C924">_xlfn.XLOOKUP(A924,Sales_Fact!A924:A2908,Sales_Fact!B924:C2908)</f>
        <v>45543</v>
      </c>
      <c r="C924" s="22" t="str">
        <v>CUST1067</v>
      </c>
      <c r="D924" s="22" t="str">
        <f>VLOOKUP('Combine Products &amp; Sales Facts'!C924,'Customer Details'!A:B,2,0)</f>
        <v>Amber Mcclain</v>
      </c>
      <c r="E924" s="22" t="str">
        <f>VLOOKUP(C924,Sales_Fact!C:D,2,0)</f>
        <v>PROD46</v>
      </c>
      <c r="F924" s="22" t="str">
        <f>VLOOKUP(E924,Product_Dim!A:C,3,0)</f>
        <v>Clothing</v>
      </c>
      <c r="G924" s="22" t="str" cm="1">
        <f t="array" ref="G924:L924">_xlfn.XLOOKUP(C924,Sales_Fact!C924:C2908,Sales_Fact!E924:J2908)</f>
        <v>STORE10</v>
      </c>
      <c r="H924" s="22">
        <v>3</v>
      </c>
      <c r="I924" s="22">
        <v>904.48</v>
      </c>
      <c r="J924" s="22">
        <v>0.21</v>
      </c>
      <c r="K924" s="22" t="str">
        <v>PayPal</v>
      </c>
      <c r="L924" s="22">
        <v>2143.6176</v>
      </c>
    </row>
    <row r="925" spans="1:12" x14ac:dyDescent="0.3">
      <c r="A925" s="22" t="s">
        <v>2734</v>
      </c>
      <c r="B925" s="34" cm="1">
        <f t="array" ref="B925:C925">_xlfn.XLOOKUP(A925,Sales_Fact!A925:A2909,Sales_Fact!B925:C2909)</f>
        <v>45595</v>
      </c>
      <c r="C925" s="22" t="str">
        <v>CUST1492</v>
      </c>
      <c r="D925" s="22" t="str">
        <f>VLOOKUP('Combine Products &amp; Sales Facts'!C925,'Customer Details'!A:B,2,0)</f>
        <v>Darrell Miller</v>
      </c>
      <c r="E925" s="22" t="str">
        <f>VLOOKUP(C925,Sales_Fact!C:D,2,0)</f>
        <v>PROD10</v>
      </c>
      <c r="F925" s="22" t="str">
        <f>VLOOKUP(E925,Product_Dim!A:C,3,0)</f>
        <v>Home</v>
      </c>
      <c r="G925" s="22" t="str" cm="1">
        <f t="array" ref="G925:L925">_xlfn.XLOOKUP(C925,Sales_Fact!C925:C2909,Sales_Fact!E925:J2909)</f>
        <v>STORE15</v>
      </c>
      <c r="H925" s="22">
        <v>3</v>
      </c>
      <c r="I925" s="22">
        <v>920.82</v>
      </c>
      <c r="J925" s="22">
        <v>0.1</v>
      </c>
      <c r="K925" s="22" t="str">
        <v>PayPal</v>
      </c>
      <c r="L925" s="22">
        <v>2486.2139999999999</v>
      </c>
    </row>
    <row r="926" spans="1:12" x14ac:dyDescent="0.3">
      <c r="A926" s="22" t="s">
        <v>2735</v>
      </c>
      <c r="B926" s="34" cm="1">
        <f t="array" ref="B926:C926">_xlfn.XLOOKUP(A926,Sales_Fact!A926:A2910,Sales_Fact!B926:C2910)</f>
        <v>45803</v>
      </c>
      <c r="C926" s="22" t="str">
        <v>CUST1305</v>
      </c>
      <c r="D926" s="22" t="str">
        <f>VLOOKUP('Combine Products &amp; Sales Facts'!C926,'Customer Details'!A:B,2,0)</f>
        <v>Roberta Green</v>
      </c>
      <c r="E926" s="22" t="str">
        <f>VLOOKUP(C926,Sales_Fact!C:D,2,0)</f>
        <v>PROD28</v>
      </c>
      <c r="F926" s="22" t="str">
        <f>VLOOKUP(E926,Product_Dim!A:C,3,0)</f>
        <v>Sports</v>
      </c>
      <c r="G926" s="22" t="str" cm="1">
        <f t="array" ref="G926:L926">_xlfn.XLOOKUP(C926,Sales_Fact!C926:C2910,Sales_Fact!E926:J2910)</f>
        <v>STORE1</v>
      </c>
      <c r="H926" s="22">
        <v>1</v>
      </c>
      <c r="I926" s="22">
        <v>182.28</v>
      </c>
      <c r="J926" s="22">
        <v>0.15</v>
      </c>
      <c r="K926" s="22" t="str">
        <v>COD</v>
      </c>
      <c r="L926" s="22">
        <v>154.93799999999999</v>
      </c>
    </row>
    <row r="927" spans="1:12" x14ac:dyDescent="0.3">
      <c r="A927" s="22" t="s">
        <v>2736</v>
      </c>
      <c r="B927" s="34" cm="1">
        <f t="array" ref="B927:C927">_xlfn.XLOOKUP(A927,Sales_Fact!A927:A2911,Sales_Fact!B927:C2911)</f>
        <v>45880</v>
      </c>
      <c r="C927" s="22" t="str">
        <v>CUST1445</v>
      </c>
      <c r="D927" s="22" t="str">
        <f>VLOOKUP('Combine Products &amp; Sales Facts'!C927,'Customer Details'!A:B,2,0)</f>
        <v>Gene Lee</v>
      </c>
      <c r="E927" s="22" t="str">
        <f>VLOOKUP(C927,Sales_Fact!C:D,2,0)</f>
        <v>PROD2</v>
      </c>
      <c r="F927" s="22" t="str">
        <f>VLOOKUP(E927,Product_Dim!A:C,3,0)</f>
        <v>Clothing</v>
      </c>
      <c r="G927" s="22" t="str" cm="1">
        <f t="array" ref="G927:L927">_xlfn.XLOOKUP(C927,Sales_Fact!C927:C2911,Sales_Fact!E927:J2911)</f>
        <v>STORE16</v>
      </c>
      <c r="H927" s="22">
        <v>3</v>
      </c>
      <c r="I927" s="22">
        <v>938.68</v>
      </c>
      <c r="J927" s="22">
        <v>0.14000000000000001</v>
      </c>
      <c r="K927" s="22" t="str">
        <v>Credit Card</v>
      </c>
      <c r="L927" s="22">
        <v>2421.7944000000002</v>
      </c>
    </row>
    <row r="928" spans="1:12" x14ac:dyDescent="0.3">
      <c r="A928" s="22" t="s">
        <v>2737</v>
      </c>
      <c r="B928" s="34" cm="1">
        <f t="array" ref="B928:C928">_xlfn.XLOOKUP(A928,Sales_Fact!A928:A2912,Sales_Fact!B928:C2912)</f>
        <v>45690</v>
      </c>
      <c r="C928" s="22" t="str">
        <v>CUST1081</v>
      </c>
      <c r="D928" s="22" t="str">
        <f>VLOOKUP('Combine Products &amp; Sales Facts'!C928,'Customer Details'!A:B,2,0)</f>
        <v>Krystal Ford</v>
      </c>
      <c r="E928" s="22" t="str">
        <f>VLOOKUP(C928,Sales_Fact!C:D,2,0)</f>
        <v>PROD45</v>
      </c>
      <c r="F928" s="22" t="str">
        <f>VLOOKUP(E928,Product_Dim!A:C,3,0)</f>
        <v>Sports</v>
      </c>
      <c r="G928" s="22" t="str" cm="1">
        <f t="array" ref="G928:L928">_xlfn.XLOOKUP(C928,Sales_Fact!C928:C2912,Sales_Fact!E928:J2912)</f>
        <v>STORE5</v>
      </c>
      <c r="H928" s="22">
        <v>3</v>
      </c>
      <c r="I928" s="22">
        <v>219.96</v>
      </c>
      <c r="J928" s="22">
        <v>0.18</v>
      </c>
      <c r="K928" s="22" t="str">
        <v>PayPal</v>
      </c>
      <c r="L928" s="22">
        <v>541.10160000000008</v>
      </c>
    </row>
    <row r="929" spans="1:12" x14ac:dyDescent="0.3">
      <c r="A929" s="22" t="s">
        <v>2738</v>
      </c>
      <c r="B929" s="34" cm="1">
        <f t="array" ref="B929:C929">_xlfn.XLOOKUP(A929,Sales_Fact!A929:A2913,Sales_Fact!B929:C2913)</f>
        <v>45841</v>
      </c>
      <c r="C929" s="22" t="str">
        <v>CUST1473</v>
      </c>
      <c r="D929" s="22" t="str">
        <f>VLOOKUP('Combine Products &amp; Sales Facts'!C929,'Customer Details'!A:B,2,0)</f>
        <v>Laura Mathews</v>
      </c>
      <c r="E929" s="22" t="str">
        <f>VLOOKUP(C929,Sales_Fact!C:D,2,0)</f>
        <v>PROD50</v>
      </c>
      <c r="F929" s="22" t="str">
        <f>VLOOKUP(E929,Product_Dim!A:C,3,0)</f>
        <v>Sports</v>
      </c>
      <c r="G929" s="22" t="str" cm="1">
        <f t="array" ref="G929:L929">_xlfn.XLOOKUP(C929,Sales_Fact!C929:C2913,Sales_Fact!E929:J2913)</f>
        <v>STORE18</v>
      </c>
      <c r="H929" s="22">
        <v>3</v>
      </c>
      <c r="I929" s="22">
        <v>385.74</v>
      </c>
      <c r="J929" s="22">
        <v>0.27</v>
      </c>
      <c r="K929" s="22" t="str">
        <v>Credit Card</v>
      </c>
      <c r="L929" s="22">
        <v>844.77059999999994</v>
      </c>
    </row>
    <row r="930" spans="1:12" x14ac:dyDescent="0.3">
      <c r="A930" s="22" t="s">
        <v>2739</v>
      </c>
      <c r="B930" s="34" cm="1">
        <f t="array" ref="B930:C930">_xlfn.XLOOKUP(A930,Sales_Fact!A930:A2914,Sales_Fact!B930:C2914)</f>
        <v>45380</v>
      </c>
      <c r="C930" s="22" t="str">
        <v>CUST1453</v>
      </c>
      <c r="D930" s="22" t="str">
        <f>VLOOKUP('Combine Products &amp; Sales Facts'!C930,'Customer Details'!A:B,2,0)</f>
        <v>April Phillips</v>
      </c>
      <c r="E930" s="22" t="str">
        <f>VLOOKUP(C930,Sales_Fact!C:D,2,0)</f>
        <v>PROD12</v>
      </c>
      <c r="F930" s="22" t="str">
        <f>VLOOKUP(E930,Product_Dim!A:C,3,0)</f>
        <v>Beauty</v>
      </c>
      <c r="G930" s="22" t="str" cm="1">
        <f t="array" ref="G930:L930">_xlfn.XLOOKUP(C930,Sales_Fact!C930:C2914,Sales_Fact!E930:J2914)</f>
        <v>STORE18</v>
      </c>
      <c r="H930" s="22">
        <v>2</v>
      </c>
      <c r="I930" s="22">
        <v>830.94</v>
      </c>
      <c r="J930" s="22">
        <v>0.28000000000000003</v>
      </c>
      <c r="K930" s="22" t="str">
        <v>PayPal</v>
      </c>
      <c r="L930" s="22">
        <v>1196.5536</v>
      </c>
    </row>
    <row r="931" spans="1:12" x14ac:dyDescent="0.3">
      <c r="A931" s="22" t="s">
        <v>2740</v>
      </c>
      <c r="B931" s="34" cm="1">
        <f t="array" ref="B931:C931">_xlfn.XLOOKUP(A931,Sales_Fact!A931:A2915,Sales_Fact!B931:C2915)</f>
        <v>45503</v>
      </c>
      <c r="C931" s="22" t="str">
        <v>CUST1383</v>
      </c>
      <c r="D931" s="22" t="str">
        <f>VLOOKUP('Combine Products &amp; Sales Facts'!C931,'Customer Details'!A:B,2,0)</f>
        <v>Kristine Higgins</v>
      </c>
      <c r="E931" s="22" t="str">
        <f>VLOOKUP(C931,Sales_Fact!C:D,2,0)</f>
        <v>PROD58</v>
      </c>
      <c r="F931" s="22" t="str">
        <f>VLOOKUP(E931,Product_Dim!A:C,3,0)</f>
        <v>Clothing</v>
      </c>
      <c r="G931" s="22" t="str" cm="1">
        <f t="array" ref="G931:L931">_xlfn.XLOOKUP(C931,Sales_Fact!C931:C2915,Sales_Fact!E931:J2915)</f>
        <v>STORE9</v>
      </c>
      <c r="H931" s="22">
        <v>3</v>
      </c>
      <c r="I931" s="22">
        <v>462.75</v>
      </c>
      <c r="J931" s="22">
        <v>0.22</v>
      </c>
      <c r="K931" s="22" t="str">
        <v>PayPal</v>
      </c>
      <c r="L931" s="22">
        <v>1082.835</v>
      </c>
    </row>
    <row r="932" spans="1:12" x14ac:dyDescent="0.3">
      <c r="A932" s="22" t="s">
        <v>2741</v>
      </c>
      <c r="B932" s="34" cm="1">
        <f t="array" ref="B932:C932">_xlfn.XLOOKUP(A932,Sales_Fact!A932:A2916,Sales_Fact!B932:C2916)</f>
        <v>45567</v>
      </c>
      <c r="C932" s="22" t="str">
        <v>CUST1067</v>
      </c>
      <c r="D932" s="22" t="str">
        <f>VLOOKUP('Combine Products &amp; Sales Facts'!C932,'Customer Details'!A:B,2,0)</f>
        <v>Amber Mcclain</v>
      </c>
      <c r="E932" s="22" t="str">
        <f>VLOOKUP(C932,Sales_Fact!C:D,2,0)</f>
        <v>PROD46</v>
      </c>
      <c r="F932" s="22" t="str">
        <f>VLOOKUP(E932,Product_Dim!A:C,3,0)</f>
        <v>Clothing</v>
      </c>
      <c r="G932" s="22" t="str" cm="1">
        <f t="array" ref="G932:L932">_xlfn.XLOOKUP(C932,Sales_Fact!C932:C2916,Sales_Fact!E932:J2916)</f>
        <v>STORE15</v>
      </c>
      <c r="H932" s="22">
        <v>4</v>
      </c>
      <c r="I932" s="22">
        <v>973.9</v>
      </c>
      <c r="J932" s="22">
        <v>0.02</v>
      </c>
      <c r="K932" s="22" t="str">
        <v>COD</v>
      </c>
      <c r="L932" s="22">
        <v>3817.6880000000001</v>
      </c>
    </row>
    <row r="933" spans="1:12" x14ac:dyDescent="0.3">
      <c r="A933" s="22" t="s">
        <v>2742</v>
      </c>
      <c r="B933" s="34" cm="1">
        <f t="array" ref="B933:C933">_xlfn.XLOOKUP(A933,Sales_Fact!A933:A2917,Sales_Fact!B933:C2917)</f>
        <v>45600</v>
      </c>
      <c r="C933" s="22" t="str">
        <v>CUST1140</v>
      </c>
      <c r="D933" s="22" t="str">
        <f>VLOOKUP('Combine Products &amp; Sales Facts'!C933,'Customer Details'!A:B,2,0)</f>
        <v>Patty Francis</v>
      </c>
      <c r="E933" s="22" t="str">
        <f>VLOOKUP(C933,Sales_Fact!C:D,2,0)</f>
        <v>PROD35</v>
      </c>
      <c r="F933" s="22" t="str">
        <f>VLOOKUP(E933,Product_Dim!A:C,3,0)</f>
        <v>Home</v>
      </c>
      <c r="G933" s="22" t="str" cm="1">
        <f t="array" ref="G933:L933">_xlfn.XLOOKUP(C933,Sales_Fact!C933:C2917,Sales_Fact!E933:J2917)</f>
        <v>STORE1</v>
      </c>
      <c r="H933" s="22">
        <v>2</v>
      </c>
      <c r="I933" s="22">
        <v>157.18</v>
      </c>
      <c r="J933" s="22">
        <v>0.15</v>
      </c>
      <c r="K933" s="22" t="str">
        <v>Credit Card</v>
      </c>
      <c r="L933" s="22">
        <v>267.20600000000002</v>
      </c>
    </row>
    <row r="934" spans="1:12" x14ac:dyDescent="0.3">
      <c r="A934" s="22" t="s">
        <v>2743</v>
      </c>
      <c r="B934" s="34" cm="1">
        <f t="array" ref="B934:C934">_xlfn.XLOOKUP(A934,Sales_Fact!A934:A2918,Sales_Fact!B934:C2918)</f>
        <v>45415</v>
      </c>
      <c r="C934" s="22" t="str">
        <v>CUST1013</v>
      </c>
      <c r="D934" s="22" t="str">
        <f>VLOOKUP('Combine Products &amp; Sales Facts'!C934,'Customer Details'!A:B,2,0)</f>
        <v>Nathan Hernandez</v>
      </c>
      <c r="E934" s="22" t="str">
        <f>VLOOKUP(C934,Sales_Fact!C:D,2,0)</f>
        <v>PROD24</v>
      </c>
      <c r="F934" s="22" t="str">
        <f>VLOOKUP(E934,Product_Dim!A:C,3,0)</f>
        <v>Sports</v>
      </c>
      <c r="G934" s="22" t="str" cm="1">
        <f t="array" ref="G934:L934">_xlfn.XLOOKUP(C934,Sales_Fact!C934:C2918,Sales_Fact!E934:J2918)</f>
        <v>STORE13</v>
      </c>
      <c r="H934" s="22">
        <v>3</v>
      </c>
      <c r="I934" s="22">
        <v>239.57</v>
      </c>
      <c r="J934" s="22">
        <v>0.16</v>
      </c>
      <c r="K934" s="22" t="str">
        <v>Credit Card</v>
      </c>
      <c r="L934" s="22">
        <v>603.71640000000002</v>
      </c>
    </row>
    <row r="935" spans="1:12" x14ac:dyDescent="0.3">
      <c r="A935" s="22" t="s">
        <v>2744</v>
      </c>
      <c r="B935" s="34" cm="1">
        <f t="array" ref="B935:C935">_xlfn.XLOOKUP(A935,Sales_Fact!A935:A2919,Sales_Fact!B935:C2919)</f>
        <v>45343</v>
      </c>
      <c r="C935" s="22" t="str">
        <v>CUST1327</v>
      </c>
      <c r="D935" s="22" t="str">
        <f>VLOOKUP('Combine Products &amp; Sales Facts'!C935,'Customer Details'!A:B,2,0)</f>
        <v>Reginald Willis</v>
      </c>
      <c r="E935" s="22" t="str">
        <f>VLOOKUP(C935,Sales_Fact!C:D,2,0)</f>
        <v>PROD1</v>
      </c>
      <c r="F935" s="22" t="str">
        <f>VLOOKUP(E935,Product_Dim!A:C,3,0)</f>
        <v>Clothing</v>
      </c>
      <c r="G935" s="22" t="str" cm="1">
        <f t="array" ref="G935:L935">_xlfn.XLOOKUP(C935,Sales_Fact!C935:C2919,Sales_Fact!E935:J2919)</f>
        <v>STORE16</v>
      </c>
      <c r="H935" s="22">
        <v>4</v>
      </c>
      <c r="I935" s="22">
        <v>583.21</v>
      </c>
      <c r="J935" s="22">
        <v>0.2</v>
      </c>
      <c r="K935" s="22" t="str">
        <v>Credit Card</v>
      </c>
      <c r="L935" s="22">
        <v>1866.2719999999999</v>
      </c>
    </row>
    <row r="936" spans="1:12" x14ac:dyDescent="0.3">
      <c r="A936" s="22" t="s">
        <v>2745</v>
      </c>
      <c r="B936" s="34" cm="1">
        <f t="array" ref="B936:C936">_xlfn.XLOOKUP(A936,Sales_Fact!A936:A2920,Sales_Fact!B936:C2920)</f>
        <v>45399</v>
      </c>
      <c r="C936" s="22" t="str">
        <v>CUST1413</v>
      </c>
      <c r="D936" s="22" t="str">
        <f>VLOOKUP('Combine Products &amp; Sales Facts'!C936,'Customer Details'!A:B,2,0)</f>
        <v>Megan Ryan</v>
      </c>
      <c r="E936" s="22" t="str">
        <f>VLOOKUP(C936,Sales_Fact!C:D,2,0)</f>
        <v>PROD70</v>
      </c>
      <c r="F936" s="22" t="str">
        <f>VLOOKUP(E936,Product_Dim!A:C,3,0)</f>
        <v>Home</v>
      </c>
      <c r="G936" s="22" t="str" cm="1">
        <f t="array" ref="G936:L936">_xlfn.XLOOKUP(C936,Sales_Fact!C936:C2920,Sales_Fact!E936:J2920)</f>
        <v>STORE8</v>
      </c>
      <c r="H936" s="22">
        <v>3</v>
      </c>
      <c r="I936" s="22">
        <v>758.75</v>
      </c>
      <c r="J936" s="22">
        <v>0.27</v>
      </c>
      <c r="K936" s="22" t="str">
        <v>PayPal</v>
      </c>
      <c r="L936" s="22">
        <v>1661.6624999999999</v>
      </c>
    </row>
    <row r="937" spans="1:12" x14ac:dyDescent="0.3">
      <c r="A937" s="22" t="s">
        <v>2746</v>
      </c>
      <c r="B937" s="34" cm="1">
        <f t="array" ref="B937:C937">_xlfn.XLOOKUP(A937,Sales_Fact!A937:A2921,Sales_Fact!B937:C2921)</f>
        <v>45689</v>
      </c>
      <c r="C937" s="22" t="str">
        <v>CUST1309</v>
      </c>
      <c r="D937" s="22" t="str">
        <f>VLOOKUP('Combine Products &amp; Sales Facts'!C937,'Customer Details'!A:B,2,0)</f>
        <v>Stacy Collins</v>
      </c>
      <c r="E937" s="22" t="str">
        <f>VLOOKUP(C937,Sales_Fact!C:D,2,0)</f>
        <v>PROD61</v>
      </c>
      <c r="F937" s="22" t="str">
        <f>VLOOKUP(E937,Product_Dim!A:C,3,0)</f>
        <v>Sports</v>
      </c>
      <c r="G937" s="22" t="str" cm="1">
        <f t="array" ref="G937:L937">_xlfn.XLOOKUP(C937,Sales_Fact!C937:C2921,Sales_Fact!E937:J2921)</f>
        <v>STORE5</v>
      </c>
      <c r="H937" s="22">
        <v>4</v>
      </c>
      <c r="I937" s="22">
        <v>372.42</v>
      </c>
      <c r="J937" s="22">
        <v>0.19</v>
      </c>
      <c r="K937" s="22" t="str">
        <v>Credit Card</v>
      </c>
      <c r="L937" s="22">
        <v>1206.6407999999999</v>
      </c>
    </row>
    <row r="938" spans="1:12" x14ac:dyDescent="0.3">
      <c r="A938" s="22" t="s">
        <v>2747</v>
      </c>
      <c r="B938" s="34" cm="1">
        <f t="array" ref="B938:C938">_xlfn.XLOOKUP(A938,Sales_Fact!A938:A2922,Sales_Fact!B938:C2922)</f>
        <v>45699</v>
      </c>
      <c r="C938" s="22" t="str">
        <v>CUST1154</v>
      </c>
      <c r="D938" s="22" t="str">
        <f>VLOOKUP('Combine Products &amp; Sales Facts'!C938,'Customer Details'!A:B,2,0)</f>
        <v>Julie Hale</v>
      </c>
      <c r="E938" s="22" t="str">
        <f>VLOOKUP(C938,Sales_Fact!C:D,2,0)</f>
        <v>PROD63</v>
      </c>
      <c r="F938" s="22" t="str">
        <f>VLOOKUP(E938,Product_Dim!A:C,3,0)</f>
        <v>Beauty</v>
      </c>
      <c r="G938" s="22" t="str" cm="1">
        <f t="array" ref="G938:L938">_xlfn.XLOOKUP(C938,Sales_Fact!C938:C2922,Sales_Fact!E938:J2922)</f>
        <v>STORE19</v>
      </c>
      <c r="H938" s="22">
        <v>4</v>
      </c>
      <c r="I938" s="22">
        <v>286.27999999999997</v>
      </c>
      <c r="J938" s="22">
        <v>0.28000000000000003</v>
      </c>
      <c r="K938" s="22" t="str">
        <v>PayPal</v>
      </c>
      <c r="L938" s="22">
        <v>824.48639999999989</v>
      </c>
    </row>
    <row r="939" spans="1:12" x14ac:dyDescent="0.3">
      <c r="A939" s="22" t="s">
        <v>2748</v>
      </c>
      <c r="B939" s="34" cm="1">
        <f t="array" ref="B939:C939">_xlfn.XLOOKUP(A939,Sales_Fact!A939:A2923,Sales_Fact!B939:C2923)</f>
        <v>45663</v>
      </c>
      <c r="C939" s="22" t="str">
        <v>CUST1279</v>
      </c>
      <c r="D939" s="22" t="str">
        <f>VLOOKUP('Combine Products &amp; Sales Facts'!C939,'Customer Details'!A:B,2,0)</f>
        <v>Aaron Luna</v>
      </c>
      <c r="E939" s="22" t="str">
        <f>VLOOKUP(C939,Sales_Fact!C:D,2,0)</f>
        <v>PROD13</v>
      </c>
      <c r="F939" s="22" t="str">
        <f>VLOOKUP(E939,Product_Dim!A:C,3,0)</f>
        <v>Electronics</v>
      </c>
      <c r="G939" s="22" t="str" cm="1">
        <f t="array" ref="G939:L939">_xlfn.XLOOKUP(C939,Sales_Fact!C939:C2923,Sales_Fact!E939:J2923)</f>
        <v>STORE11</v>
      </c>
      <c r="H939" s="22">
        <v>3</v>
      </c>
      <c r="I939" s="22">
        <v>488.37</v>
      </c>
      <c r="J939" s="22">
        <v>0.27</v>
      </c>
      <c r="K939" s="22" t="str">
        <v>COD</v>
      </c>
      <c r="L939" s="22">
        <v>1069.5302999999999</v>
      </c>
    </row>
    <row r="940" spans="1:12" x14ac:dyDescent="0.3">
      <c r="A940" s="22" t="s">
        <v>2749</v>
      </c>
      <c r="B940" s="34" cm="1">
        <f t="array" ref="B940:C940">_xlfn.XLOOKUP(A940,Sales_Fact!A940:A2924,Sales_Fact!B940:C2924)</f>
        <v>45377</v>
      </c>
      <c r="C940" s="22" t="str">
        <v>CUST1469</v>
      </c>
      <c r="D940" s="22" t="str">
        <f>VLOOKUP('Combine Products &amp; Sales Facts'!C940,'Customer Details'!A:B,2,0)</f>
        <v>James Foster</v>
      </c>
      <c r="E940" s="22" t="str">
        <f>VLOOKUP(C940,Sales_Fact!C:D,2,0)</f>
        <v>PROD45</v>
      </c>
      <c r="F940" s="22" t="str">
        <f>VLOOKUP(E940,Product_Dim!A:C,3,0)</f>
        <v>Sports</v>
      </c>
      <c r="G940" s="22" t="str" cm="1">
        <f t="array" ref="G940:L940">_xlfn.XLOOKUP(C940,Sales_Fact!C940:C2924,Sales_Fact!E940:J2924)</f>
        <v>STORE8</v>
      </c>
      <c r="H940" s="22">
        <v>3</v>
      </c>
      <c r="I940" s="22">
        <v>662.82</v>
      </c>
      <c r="J940" s="22">
        <v>0.01</v>
      </c>
      <c r="K940" s="22" t="str">
        <v>COD</v>
      </c>
      <c r="L940" s="22">
        <v>1968.5753999999999</v>
      </c>
    </row>
    <row r="941" spans="1:12" x14ac:dyDescent="0.3">
      <c r="A941" s="22" t="s">
        <v>2750</v>
      </c>
      <c r="B941" s="34" cm="1">
        <f t="array" ref="B941:C941">_xlfn.XLOOKUP(A941,Sales_Fact!A941:A2925,Sales_Fact!B941:C2925)</f>
        <v>45412</v>
      </c>
      <c r="C941" s="22" t="str">
        <v>CUST1497</v>
      </c>
      <c r="D941" s="22" t="str">
        <f>VLOOKUP('Combine Products &amp; Sales Facts'!C941,'Customer Details'!A:B,2,0)</f>
        <v>Sarah Marsh</v>
      </c>
      <c r="E941" s="22" t="str">
        <f>VLOOKUP(C941,Sales_Fact!C:D,2,0)</f>
        <v>PROD33</v>
      </c>
      <c r="F941" s="22" t="str">
        <f>VLOOKUP(E941,Product_Dim!A:C,3,0)</f>
        <v>Home</v>
      </c>
      <c r="G941" s="22" t="str" cm="1">
        <f t="array" ref="G941:L941">_xlfn.XLOOKUP(C941,Sales_Fact!C941:C2925,Sales_Fact!E941:J2925)</f>
        <v>STORE16</v>
      </c>
      <c r="H941" s="22">
        <v>2</v>
      </c>
      <c r="I941" s="22">
        <v>824.34</v>
      </c>
      <c r="J941" s="22">
        <v>0.1</v>
      </c>
      <c r="K941" s="22" t="str">
        <v>COD</v>
      </c>
      <c r="L941" s="22">
        <v>1483.8119999999999</v>
      </c>
    </row>
    <row r="942" spans="1:12" x14ac:dyDescent="0.3">
      <c r="A942" s="22" t="s">
        <v>2751</v>
      </c>
      <c r="B942" s="34" cm="1">
        <f t="array" ref="B942:C942">_xlfn.XLOOKUP(A942,Sales_Fact!A942:A2926,Sales_Fact!B942:C2926)</f>
        <v>45349</v>
      </c>
      <c r="C942" s="22" t="str">
        <v>CUST1113</v>
      </c>
      <c r="D942" s="22" t="str">
        <f>VLOOKUP('Combine Products &amp; Sales Facts'!C942,'Customer Details'!A:B,2,0)</f>
        <v>Edward Hall</v>
      </c>
      <c r="E942" s="22" t="str">
        <f>VLOOKUP(C942,Sales_Fact!C:D,2,0)</f>
        <v>PROD47</v>
      </c>
      <c r="F942" s="22" t="str">
        <f>VLOOKUP(E942,Product_Dim!A:C,3,0)</f>
        <v>Beauty</v>
      </c>
      <c r="G942" s="22" t="str" cm="1">
        <f t="array" ref="G942:L942">_xlfn.XLOOKUP(C942,Sales_Fact!C942:C2926,Sales_Fact!E942:J2926)</f>
        <v>STORE8</v>
      </c>
      <c r="H942" s="22">
        <v>1</v>
      </c>
      <c r="I942" s="22">
        <v>437.12</v>
      </c>
      <c r="J942" s="22">
        <v>0.21</v>
      </c>
      <c r="K942" s="22" t="str">
        <v>Credit Card</v>
      </c>
      <c r="L942" s="22">
        <v>345.32479999999998</v>
      </c>
    </row>
    <row r="943" spans="1:12" x14ac:dyDescent="0.3">
      <c r="A943" s="22" t="s">
        <v>2752</v>
      </c>
      <c r="B943" s="34" cm="1">
        <f t="array" ref="B943:C943">_xlfn.XLOOKUP(A943,Sales_Fact!A943:A2927,Sales_Fact!B943:C2927)</f>
        <v>45486</v>
      </c>
      <c r="C943" s="22" t="str">
        <v>CUST1357</v>
      </c>
      <c r="D943" s="22" t="str">
        <f>VLOOKUP('Combine Products &amp; Sales Facts'!C943,'Customer Details'!A:B,2,0)</f>
        <v>Manuel Castillo</v>
      </c>
      <c r="E943" s="22" t="str">
        <f>VLOOKUP(C943,Sales_Fact!C:D,2,0)</f>
        <v>PROD17</v>
      </c>
      <c r="F943" s="22" t="str">
        <f>VLOOKUP(E943,Product_Dim!A:C,3,0)</f>
        <v>Sports</v>
      </c>
      <c r="G943" s="22" t="str" cm="1">
        <f t="array" ref="G943:L943">_xlfn.XLOOKUP(C943,Sales_Fact!C943:C2927,Sales_Fact!E943:J2927)</f>
        <v>STORE6</v>
      </c>
      <c r="H943" s="22">
        <v>3</v>
      </c>
      <c r="I943" s="22">
        <v>23.37</v>
      </c>
      <c r="J943" s="22">
        <v>0.15</v>
      </c>
      <c r="K943" s="22" t="str">
        <v>PayPal</v>
      </c>
      <c r="L943" s="22">
        <v>59.593499999999999</v>
      </c>
    </row>
    <row r="944" spans="1:12" x14ac:dyDescent="0.3">
      <c r="A944" s="22" t="s">
        <v>2753</v>
      </c>
      <c r="B944" s="34" cm="1">
        <f t="array" ref="B944:C944">_xlfn.XLOOKUP(A944,Sales_Fact!A944:A2928,Sales_Fact!B944:C2928)</f>
        <v>45761</v>
      </c>
      <c r="C944" s="22" t="str">
        <v>CUST1187</v>
      </c>
      <c r="D944" s="22" t="str">
        <f>VLOOKUP('Combine Products &amp; Sales Facts'!C944,'Customer Details'!A:B,2,0)</f>
        <v>Dr. Suzanne Bullock</v>
      </c>
      <c r="E944" s="22" t="str">
        <f>VLOOKUP(C944,Sales_Fact!C:D,2,0)</f>
        <v>PROD13</v>
      </c>
      <c r="F944" s="22" t="str">
        <f>VLOOKUP(E944,Product_Dim!A:C,3,0)</f>
        <v>Electronics</v>
      </c>
      <c r="G944" s="22" t="str" cm="1">
        <f t="array" ref="G944:L944">_xlfn.XLOOKUP(C944,Sales_Fact!C944:C2928,Sales_Fact!E944:J2928)</f>
        <v>STORE8</v>
      </c>
      <c r="H944" s="22">
        <v>1</v>
      </c>
      <c r="I944" s="22">
        <v>579.69000000000005</v>
      </c>
      <c r="J944" s="22">
        <v>0.02</v>
      </c>
      <c r="K944" s="22" t="str">
        <v>Credit Card</v>
      </c>
      <c r="L944" s="22">
        <v>568.09620000000007</v>
      </c>
    </row>
    <row r="945" spans="1:12" x14ac:dyDescent="0.3">
      <c r="A945" s="22" t="s">
        <v>2754</v>
      </c>
      <c r="B945" s="34" cm="1">
        <f t="array" ref="B945:C945">_xlfn.XLOOKUP(A945,Sales_Fact!A945:A2929,Sales_Fact!B945:C2929)</f>
        <v>45639</v>
      </c>
      <c r="C945" s="22" t="str">
        <v>CUST1430</v>
      </c>
      <c r="D945" s="22" t="str">
        <f>VLOOKUP('Combine Products &amp; Sales Facts'!C945,'Customer Details'!A:B,2,0)</f>
        <v>Kimberly Roberts</v>
      </c>
      <c r="E945" s="22" t="str">
        <f>VLOOKUP(C945,Sales_Fact!C:D,2,0)</f>
        <v>PROD87</v>
      </c>
      <c r="F945" s="22" t="str">
        <f>VLOOKUP(E945,Product_Dim!A:C,3,0)</f>
        <v>Home</v>
      </c>
      <c r="G945" s="22" t="str" cm="1">
        <f t="array" ref="G945:L945">_xlfn.XLOOKUP(C945,Sales_Fact!C945:C2929,Sales_Fact!E945:J2929)</f>
        <v>STORE14</v>
      </c>
      <c r="H945" s="22">
        <v>3</v>
      </c>
      <c r="I945" s="22">
        <v>240.51</v>
      </c>
      <c r="J945" s="22">
        <v>7.0000000000000007E-2</v>
      </c>
      <c r="K945" s="22" t="str">
        <v>Credit Card</v>
      </c>
      <c r="L945" s="22">
        <v>671.02289999999994</v>
      </c>
    </row>
    <row r="946" spans="1:12" x14ac:dyDescent="0.3">
      <c r="A946" s="22" t="s">
        <v>2755</v>
      </c>
      <c r="B946" s="34" cm="1">
        <f t="array" ref="B946:C946">_xlfn.XLOOKUP(A946,Sales_Fact!A946:A2930,Sales_Fact!B946:C2930)</f>
        <v>45893</v>
      </c>
      <c r="C946" s="22" t="str">
        <v>CUST1382</v>
      </c>
      <c r="D946" s="22" t="str">
        <f>VLOOKUP('Combine Products &amp; Sales Facts'!C946,'Customer Details'!A:B,2,0)</f>
        <v>Martha Brown</v>
      </c>
      <c r="E946" s="22" t="str">
        <f>VLOOKUP(C946,Sales_Fact!C:D,2,0)</f>
        <v>PROD4</v>
      </c>
      <c r="F946" s="22" t="str">
        <f>VLOOKUP(E946,Product_Dim!A:C,3,0)</f>
        <v>Clothing</v>
      </c>
      <c r="G946" s="22" t="str" cm="1">
        <f t="array" ref="G946:L946">_xlfn.XLOOKUP(C946,Sales_Fact!C946:C2930,Sales_Fact!E946:J2930)</f>
        <v>STORE14</v>
      </c>
      <c r="H946" s="22">
        <v>2</v>
      </c>
      <c r="I946" s="22">
        <v>855.4</v>
      </c>
      <c r="J946" s="22">
        <v>0.08</v>
      </c>
      <c r="K946" s="22" t="str">
        <v>COD</v>
      </c>
      <c r="L946" s="22">
        <v>1573.9359999999999</v>
      </c>
    </row>
    <row r="947" spans="1:12" x14ac:dyDescent="0.3">
      <c r="A947" s="22" t="s">
        <v>2756</v>
      </c>
      <c r="B947" s="34" cm="1">
        <f t="array" ref="B947:C947">_xlfn.XLOOKUP(A947,Sales_Fact!A947:A2931,Sales_Fact!B947:C2931)</f>
        <v>45227</v>
      </c>
      <c r="C947" s="22" t="str">
        <v>CUST1007</v>
      </c>
      <c r="D947" s="22" t="str">
        <f>VLOOKUP('Combine Products &amp; Sales Facts'!C947,'Customer Details'!A:B,2,0)</f>
        <v>Daniel Boyd</v>
      </c>
      <c r="E947" s="22" t="str">
        <f>VLOOKUP(C947,Sales_Fact!C:D,2,0)</f>
        <v>PROD67</v>
      </c>
      <c r="F947" s="22" t="str">
        <f>VLOOKUP(E947,Product_Dim!A:C,3,0)</f>
        <v>Electronics</v>
      </c>
      <c r="G947" s="22" t="str" cm="1">
        <f t="array" ref="G947:L947">_xlfn.XLOOKUP(C947,Sales_Fact!C947:C2931,Sales_Fact!E947:J2931)</f>
        <v>STORE7</v>
      </c>
      <c r="H947" s="22">
        <v>1</v>
      </c>
      <c r="I947" s="22">
        <v>537.26</v>
      </c>
      <c r="J947" s="22">
        <v>0.09</v>
      </c>
      <c r="K947" s="22" t="str">
        <v>Credit Card</v>
      </c>
      <c r="L947" s="22">
        <v>488.90660000000003</v>
      </c>
    </row>
    <row r="948" spans="1:12" x14ac:dyDescent="0.3">
      <c r="A948" s="22" t="s">
        <v>2757</v>
      </c>
      <c r="B948" s="34" cm="1">
        <f t="array" ref="B948:C948">_xlfn.XLOOKUP(A948,Sales_Fact!A948:A2932,Sales_Fact!B948:C2932)</f>
        <v>45637</v>
      </c>
      <c r="C948" s="22" t="str">
        <v>CUST1384</v>
      </c>
      <c r="D948" s="22" t="str">
        <f>VLOOKUP('Combine Products &amp; Sales Facts'!C948,'Customer Details'!A:B,2,0)</f>
        <v>Andrew Mason</v>
      </c>
      <c r="E948" s="22" t="str">
        <f>VLOOKUP(C948,Sales_Fact!C:D,2,0)</f>
        <v>PROD74</v>
      </c>
      <c r="F948" s="22" t="str">
        <f>VLOOKUP(E948,Product_Dim!A:C,3,0)</f>
        <v>Electronics</v>
      </c>
      <c r="G948" s="22" t="str" cm="1">
        <f t="array" ref="G948:L948">_xlfn.XLOOKUP(C948,Sales_Fact!C948:C2932,Sales_Fact!E948:J2932)</f>
        <v>STORE10</v>
      </c>
      <c r="H948" s="22">
        <v>3</v>
      </c>
      <c r="I948" s="22">
        <v>918.26</v>
      </c>
      <c r="J948" s="22">
        <v>0.17</v>
      </c>
      <c r="K948" s="22" t="str">
        <v>COD</v>
      </c>
      <c r="L948" s="22">
        <v>2286.4674</v>
      </c>
    </row>
    <row r="949" spans="1:12" x14ac:dyDescent="0.3">
      <c r="A949" s="22" t="s">
        <v>2758</v>
      </c>
      <c r="B949" s="34" cm="1">
        <f t="array" ref="B949:C949">_xlfn.XLOOKUP(A949,Sales_Fact!A949:A2933,Sales_Fact!B949:C2933)</f>
        <v>45472</v>
      </c>
      <c r="C949" s="22" t="str">
        <v>CUST1095</v>
      </c>
      <c r="D949" s="22" t="str">
        <f>VLOOKUP('Combine Products &amp; Sales Facts'!C949,'Customer Details'!A:B,2,0)</f>
        <v>Amy Fowler</v>
      </c>
      <c r="E949" s="22" t="str">
        <f>VLOOKUP(C949,Sales_Fact!C:D,2,0)</f>
        <v>PROD40</v>
      </c>
      <c r="F949" s="22" t="str">
        <f>VLOOKUP(E949,Product_Dim!A:C,3,0)</f>
        <v>Electronics</v>
      </c>
      <c r="G949" s="22" t="str" cm="1">
        <f t="array" ref="G949:L949">_xlfn.XLOOKUP(C949,Sales_Fact!C949:C2933,Sales_Fact!E949:J2933)</f>
        <v>STORE9</v>
      </c>
      <c r="H949" s="22">
        <v>4</v>
      </c>
      <c r="I949" s="22">
        <v>579.70000000000005</v>
      </c>
      <c r="J949" s="22">
        <v>0.18</v>
      </c>
      <c r="K949" s="22" t="str">
        <v>PayPal</v>
      </c>
      <c r="L949" s="22">
        <v>1901.4159999999999</v>
      </c>
    </row>
    <row r="950" spans="1:12" x14ac:dyDescent="0.3">
      <c r="A950" s="22" t="s">
        <v>2759</v>
      </c>
      <c r="B950" s="34" cm="1">
        <f t="array" ref="B950:C950">_xlfn.XLOOKUP(A950,Sales_Fact!A950:A2934,Sales_Fact!B950:C2934)</f>
        <v>45710</v>
      </c>
      <c r="C950" s="22" t="str">
        <v>CUST1145</v>
      </c>
      <c r="D950" s="22" t="str">
        <f>VLOOKUP('Combine Products &amp; Sales Facts'!C950,'Customer Details'!A:B,2,0)</f>
        <v>Cameron Simpson</v>
      </c>
      <c r="E950" s="22" t="str">
        <f>VLOOKUP(C950,Sales_Fact!C:D,2,0)</f>
        <v>PROD69</v>
      </c>
      <c r="F950" s="22" t="str">
        <f>VLOOKUP(E950,Product_Dim!A:C,3,0)</f>
        <v>Clothing</v>
      </c>
      <c r="G950" s="22" t="str" cm="1">
        <f t="array" ref="G950:L950">_xlfn.XLOOKUP(C950,Sales_Fact!C950:C2934,Sales_Fact!E950:J2934)</f>
        <v>STORE6</v>
      </c>
      <c r="H950" s="22">
        <v>1</v>
      </c>
      <c r="I950" s="22">
        <v>824.32</v>
      </c>
      <c r="J950" s="22">
        <v>0.18</v>
      </c>
      <c r="K950" s="22" t="str">
        <v>Credit Card</v>
      </c>
      <c r="L950" s="22">
        <v>675.94240000000013</v>
      </c>
    </row>
    <row r="951" spans="1:12" x14ac:dyDescent="0.3">
      <c r="A951" s="22" t="s">
        <v>2760</v>
      </c>
      <c r="B951" s="34" cm="1">
        <f t="array" ref="B951:C951">_xlfn.XLOOKUP(A951,Sales_Fact!A951:A2935,Sales_Fact!B951:C2935)</f>
        <v>45682</v>
      </c>
      <c r="C951" s="22" t="str">
        <v>CUST1109</v>
      </c>
      <c r="D951" s="22" t="str">
        <f>VLOOKUP('Combine Products &amp; Sales Facts'!C951,'Customer Details'!A:B,2,0)</f>
        <v>Amy Walker</v>
      </c>
      <c r="E951" s="22" t="str">
        <f>VLOOKUP(C951,Sales_Fact!C:D,2,0)</f>
        <v>PROD34</v>
      </c>
      <c r="F951" s="22" t="str">
        <f>VLOOKUP(E951,Product_Dim!A:C,3,0)</f>
        <v>Electronics</v>
      </c>
      <c r="G951" s="22" t="str" cm="1">
        <f t="array" ref="G951:L951">_xlfn.XLOOKUP(C951,Sales_Fact!C951:C2935,Sales_Fact!E951:J2935)</f>
        <v>STORE15</v>
      </c>
      <c r="H951" s="22">
        <v>4</v>
      </c>
      <c r="I951" s="22">
        <v>614.99</v>
      </c>
      <c r="J951" s="22">
        <v>0.16</v>
      </c>
      <c r="K951" s="22" t="str">
        <v>PayPal</v>
      </c>
      <c r="L951" s="22">
        <v>2066.3663999999999</v>
      </c>
    </row>
    <row r="952" spans="1:12" x14ac:dyDescent="0.3">
      <c r="A952" s="22" t="s">
        <v>2761</v>
      </c>
      <c r="B952" s="34" cm="1">
        <f t="array" ref="B952:C952">_xlfn.XLOOKUP(A952,Sales_Fact!A952:A2936,Sales_Fact!B952:C2936)</f>
        <v>45730</v>
      </c>
      <c r="C952" s="22" t="str">
        <v>CUST1128</v>
      </c>
      <c r="D952" s="22" t="str">
        <f>VLOOKUP('Combine Products &amp; Sales Facts'!C952,'Customer Details'!A:B,2,0)</f>
        <v>Susan Mcdonald</v>
      </c>
      <c r="E952" s="22" t="str">
        <f>VLOOKUP(C952,Sales_Fact!C:D,2,0)</f>
        <v>PROD25</v>
      </c>
      <c r="F952" s="22" t="str">
        <f>VLOOKUP(E952,Product_Dim!A:C,3,0)</f>
        <v>Clothing</v>
      </c>
      <c r="G952" s="22" t="str" cm="1">
        <f t="array" ref="G952:L952">_xlfn.XLOOKUP(C952,Sales_Fact!C952:C2936,Sales_Fact!E952:J2936)</f>
        <v>STORE0</v>
      </c>
      <c r="H952" s="22">
        <v>4</v>
      </c>
      <c r="I952" s="22">
        <v>189.21</v>
      </c>
      <c r="J952" s="22">
        <v>0.06</v>
      </c>
      <c r="K952" s="22" t="str">
        <v>COD</v>
      </c>
      <c r="L952" s="22">
        <v>711.42959999999994</v>
      </c>
    </row>
    <row r="953" spans="1:12" x14ac:dyDescent="0.3">
      <c r="A953" s="22" t="s">
        <v>2762</v>
      </c>
      <c r="B953" s="34" cm="1">
        <f t="array" ref="B953:C953">_xlfn.XLOOKUP(A953,Sales_Fact!A953:A2937,Sales_Fact!B953:C2937)</f>
        <v>45629</v>
      </c>
      <c r="C953" s="22" t="str">
        <v>CUST1154</v>
      </c>
      <c r="D953" s="22" t="str">
        <f>VLOOKUP('Combine Products &amp; Sales Facts'!C953,'Customer Details'!A:B,2,0)</f>
        <v>Julie Hale</v>
      </c>
      <c r="E953" s="22" t="str">
        <f>VLOOKUP(C953,Sales_Fact!C:D,2,0)</f>
        <v>PROD63</v>
      </c>
      <c r="F953" s="22" t="str">
        <f>VLOOKUP(E953,Product_Dim!A:C,3,0)</f>
        <v>Beauty</v>
      </c>
      <c r="G953" s="22" t="str" cm="1">
        <f t="array" ref="G953:L953">_xlfn.XLOOKUP(C953,Sales_Fact!C953:C2937,Sales_Fact!E953:J2937)</f>
        <v>STORE14</v>
      </c>
      <c r="H953" s="22">
        <v>2</v>
      </c>
      <c r="I953" s="22">
        <v>233.33</v>
      </c>
      <c r="J953" s="22">
        <v>0.05</v>
      </c>
      <c r="K953" s="22" t="str">
        <v>Credit Card</v>
      </c>
      <c r="L953" s="22">
        <v>443.327</v>
      </c>
    </row>
    <row r="954" spans="1:12" x14ac:dyDescent="0.3">
      <c r="A954" s="22" t="s">
        <v>2763</v>
      </c>
      <c r="B954" s="34" cm="1">
        <f t="array" ref="B954:C954">_xlfn.XLOOKUP(A954,Sales_Fact!A954:A2938,Sales_Fact!B954:C2938)</f>
        <v>45783</v>
      </c>
      <c r="C954" s="22" t="str">
        <v>CUST1248</v>
      </c>
      <c r="D954" s="22" t="str">
        <f>VLOOKUP('Combine Products &amp; Sales Facts'!C954,'Customer Details'!A:B,2,0)</f>
        <v>Nicholas Webb</v>
      </c>
      <c r="E954" s="22" t="str">
        <f>VLOOKUP(C954,Sales_Fact!C:D,2,0)</f>
        <v>PROD87</v>
      </c>
      <c r="F954" s="22" t="str">
        <f>VLOOKUP(E954,Product_Dim!A:C,3,0)</f>
        <v>Home</v>
      </c>
      <c r="G954" s="22" t="str" cm="1">
        <f t="array" ref="G954:L954">_xlfn.XLOOKUP(C954,Sales_Fact!C954:C2938,Sales_Fact!E954:J2938)</f>
        <v>STORE18</v>
      </c>
      <c r="H954" s="22">
        <v>3</v>
      </c>
      <c r="I954" s="22">
        <v>529.89</v>
      </c>
      <c r="J954" s="22">
        <v>0.21</v>
      </c>
      <c r="K954" s="22" t="str">
        <v>Credit Card</v>
      </c>
      <c r="L954" s="22">
        <v>1255.8393000000001</v>
      </c>
    </row>
    <row r="955" spans="1:12" x14ac:dyDescent="0.3">
      <c r="A955" s="22" t="s">
        <v>2764</v>
      </c>
      <c r="B955" s="34" cm="1">
        <f t="array" ref="B955:C955">_xlfn.XLOOKUP(A955,Sales_Fact!A955:A2939,Sales_Fact!B955:C2939)</f>
        <v>45518</v>
      </c>
      <c r="C955" s="22" t="str">
        <v>CUST1489</v>
      </c>
      <c r="D955" s="22" t="str">
        <f>VLOOKUP('Combine Products &amp; Sales Facts'!C955,'Customer Details'!A:B,2,0)</f>
        <v>Melinda Thomas</v>
      </c>
      <c r="E955" s="22" t="str">
        <f>VLOOKUP(C955,Sales_Fact!C:D,2,0)</f>
        <v>PROD89</v>
      </c>
      <c r="F955" s="22" t="str">
        <f>VLOOKUP(E955,Product_Dim!A:C,3,0)</f>
        <v>Beauty</v>
      </c>
      <c r="G955" s="22" t="str" cm="1">
        <f t="array" ref="G955:L955">_xlfn.XLOOKUP(C955,Sales_Fact!C955:C2939,Sales_Fact!E955:J2939)</f>
        <v>STORE1</v>
      </c>
      <c r="H955" s="22">
        <v>2</v>
      </c>
      <c r="I955" s="22">
        <v>954.1</v>
      </c>
      <c r="J955" s="22">
        <v>0.17</v>
      </c>
      <c r="K955" s="22" t="str">
        <v>PayPal</v>
      </c>
      <c r="L955" s="22">
        <v>1583.806</v>
      </c>
    </row>
    <row r="956" spans="1:12" x14ac:dyDescent="0.3">
      <c r="A956" s="22" t="s">
        <v>2765</v>
      </c>
      <c r="B956" s="34" cm="1">
        <f t="array" ref="B956:C956">_xlfn.XLOOKUP(A956,Sales_Fact!A956:A2940,Sales_Fact!B956:C2940)</f>
        <v>45274</v>
      </c>
      <c r="C956" s="22" t="str">
        <v>CUST1323</v>
      </c>
      <c r="D956" s="22" t="str">
        <f>VLOOKUP('Combine Products &amp; Sales Facts'!C956,'Customer Details'!A:B,2,0)</f>
        <v>Kristy Dunlap</v>
      </c>
      <c r="E956" s="22" t="str">
        <f>VLOOKUP(C956,Sales_Fact!C:D,2,0)</f>
        <v>PROD49</v>
      </c>
      <c r="F956" s="22" t="str">
        <f>VLOOKUP(E956,Product_Dim!A:C,3,0)</f>
        <v>Beauty</v>
      </c>
      <c r="G956" s="22" t="str" cm="1">
        <f t="array" ref="G956:L956">_xlfn.XLOOKUP(C956,Sales_Fact!C956:C2940,Sales_Fact!E956:J2940)</f>
        <v>STORE7</v>
      </c>
      <c r="H956" s="22">
        <v>1</v>
      </c>
      <c r="I956" s="22">
        <v>370.04</v>
      </c>
      <c r="J956" s="22">
        <v>0.04</v>
      </c>
      <c r="K956" s="22" t="str">
        <v>COD</v>
      </c>
      <c r="L956" s="22">
        <v>355.23840000000001</v>
      </c>
    </row>
    <row r="957" spans="1:12" x14ac:dyDescent="0.3">
      <c r="A957" s="22" t="s">
        <v>2766</v>
      </c>
      <c r="B957" s="34" cm="1">
        <f t="array" ref="B957:C957">_xlfn.XLOOKUP(A957,Sales_Fact!A957:A2941,Sales_Fact!B957:C2941)</f>
        <v>45297</v>
      </c>
      <c r="C957" s="22" t="str">
        <v>CUST1061</v>
      </c>
      <c r="D957" s="22" t="str">
        <f>VLOOKUP('Combine Products &amp; Sales Facts'!C957,'Customer Details'!A:B,2,0)</f>
        <v>Kristin Stein</v>
      </c>
      <c r="E957" s="22" t="str">
        <f>VLOOKUP(C957,Sales_Fact!C:D,2,0)</f>
        <v>PROD51</v>
      </c>
      <c r="F957" s="22" t="str">
        <f>VLOOKUP(E957,Product_Dim!A:C,3,0)</f>
        <v>Electronics</v>
      </c>
      <c r="G957" s="22" t="str" cm="1">
        <f t="array" ref="G957:L957">_xlfn.XLOOKUP(C957,Sales_Fact!C957:C2941,Sales_Fact!E957:J2941)</f>
        <v>STORE19</v>
      </c>
      <c r="H957" s="22">
        <v>4</v>
      </c>
      <c r="I957" s="22">
        <v>492.71</v>
      </c>
      <c r="J957" s="22">
        <v>0.08</v>
      </c>
      <c r="K957" s="22" t="str">
        <v>Credit Card</v>
      </c>
      <c r="L957" s="22">
        <v>1813.1728000000001</v>
      </c>
    </row>
    <row r="958" spans="1:12" x14ac:dyDescent="0.3">
      <c r="A958" s="22" t="s">
        <v>2767</v>
      </c>
      <c r="B958" s="34" cm="1">
        <f t="array" ref="B958:C958">_xlfn.XLOOKUP(A958,Sales_Fact!A958:A2942,Sales_Fact!B958:C2942)</f>
        <v>45530</v>
      </c>
      <c r="C958" s="22" t="str">
        <v>CUST1280</v>
      </c>
      <c r="D958" s="22" t="str">
        <f>VLOOKUP('Combine Products &amp; Sales Facts'!C958,'Customer Details'!A:B,2,0)</f>
        <v>Antonio Leon</v>
      </c>
      <c r="E958" s="22" t="str">
        <f>VLOOKUP(C958,Sales_Fact!C:D,2,0)</f>
        <v>PROD91</v>
      </c>
      <c r="F958" s="22" t="str">
        <f>VLOOKUP(E958,Product_Dim!A:C,3,0)</f>
        <v>Clothing</v>
      </c>
      <c r="G958" s="22" t="str" cm="1">
        <f t="array" ref="G958:L958">_xlfn.XLOOKUP(C958,Sales_Fact!C958:C2942,Sales_Fact!E958:J2942)</f>
        <v>STORE13</v>
      </c>
      <c r="H958" s="22">
        <v>4</v>
      </c>
      <c r="I958" s="22">
        <v>853.26</v>
      </c>
      <c r="J958" s="22">
        <v>0.24</v>
      </c>
      <c r="K958" s="22" t="str">
        <v>COD</v>
      </c>
      <c r="L958" s="22">
        <v>2593.9104000000002</v>
      </c>
    </row>
    <row r="959" spans="1:12" x14ac:dyDescent="0.3">
      <c r="A959" s="22" t="s">
        <v>2768</v>
      </c>
      <c r="B959" s="34" cm="1">
        <f t="array" ref="B959:C959">_xlfn.XLOOKUP(A959,Sales_Fact!A959:A2943,Sales_Fact!B959:C2943)</f>
        <v>45740</v>
      </c>
      <c r="C959" s="22" t="str">
        <v>CUST1406</v>
      </c>
      <c r="D959" s="22" t="str">
        <f>VLOOKUP('Combine Products &amp; Sales Facts'!C959,'Customer Details'!A:B,2,0)</f>
        <v>David Lozano</v>
      </c>
      <c r="E959" s="22" t="str">
        <f>VLOOKUP(C959,Sales_Fact!C:D,2,0)</f>
        <v>PROD16</v>
      </c>
      <c r="F959" s="22" t="str">
        <f>VLOOKUP(E959,Product_Dim!A:C,3,0)</f>
        <v>Beauty</v>
      </c>
      <c r="G959" s="22" t="str" cm="1">
        <f t="array" ref="G959:L959">_xlfn.XLOOKUP(C959,Sales_Fact!C959:C2943,Sales_Fact!E959:J2943)</f>
        <v>STORE16</v>
      </c>
      <c r="H959" s="22">
        <v>1</v>
      </c>
      <c r="I959" s="22">
        <v>402.47</v>
      </c>
      <c r="J959" s="22">
        <v>0.19</v>
      </c>
      <c r="K959" s="22" t="str">
        <v>PayPal</v>
      </c>
      <c r="L959" s="22">
        <v>326.00070000000011</v>
      </c>
    </row>
    <row r="960" spans="1:12" x14ac:dyDescent="0.3">
      <c r="A960" s="22" t="s">
        <v>2769</v>
      </c>
      <c r="B960" s="34" cm="1">
        <f t="array" ref="B960:C960">_xlfn.XLOOKUP(A960,Sales_Fact!A960:A2944,Sales_Fact!B960:C2944)</f>
        <v>45311</v>
      </c>
      <c r="C960" s="22" t="str">
        <v>CUST1402</v>
      </c>
      <c r="D960" s="22" t="str">
        <f>VLOOKUP('Combine Products &amp; Sales Facts'!C960,'Customer Details'!A:B,2,0)</f>
        <v>Cassandra Perez</v>
      </c>
      <c r="E960" s="22" t="str">
        <f>VLOOKUP(C960,Sales_Fact!C:D,2,0)</f>
        <v>PROD21</v>
      </c>
      <c r="F960" s="22" t="str">
        <f>VLOOKUP(E960,Product_Dim!A:C,3,0)</f>
        <v>Home</v>
      </c>
      <c r="G960" s="22" t="str" cm="1">
        <f t="array" ref="G960:L960">_xlfn.XLOOKUP(C960,Sales_Fact!C960:C2944,Sales_Fact!E960:J2944)</f>
        <v>STORE18</v>
      </c>
      <c r="H960" s="22">
        <v>2</v>
      </c>
      <c r="I960" s="22">
        <v>528.29999999999995</v>
      </c>
      <c r="J960" s="22">
        <v>0.24</v>
      </c>
      <c r="K960" s="22" t="str">
        <v>Credit Card</v>
      </c>
      <c r="L960" s="22">
        <v>803.01599999999996</v>
      </c>
    </row>
    <row r="961" spans="1:12" x14ac:dyDescent="0.3">
      <c r="A961" s="22" t="s">
        <v>2770</v>
      </c>
      <c r="B961" s="34" cm="1">
        <f t="array" ref="B961:C961">_xlfn.XLOOKUP(A961,Sales_Fact!A961:A2945,Sales_Fact!B961:C2945)</f>
        <v>45667</v>
      </c>
      <c r="C961" s="22" t="str">
        <v>CUST1444</v>
      </c>
      <c r="D961" s="22" t="str">
        <f>VLOOKUP('Combine Products &amp; Sales Facts'!C961,'Customer Details'!A:B,2,0)</f>
        <v>Cheryl Carr</v>
      </c>
      <c r="E961" s="22" t="str">
        <f>VLOOKUP(C961,Sales_Fact!C:D,2,0)</f>
        <v>PROD10</v>
      </c>
      <c r="F961" s="22" t="str">
        <f>VLOOKUP(E961,Product_Dim!A:C,3,0)</f>
        <v>Home</v>
      </c>
      <c r="G961" s="22" t="str" cm="1">
        <f t="array" ref="G961:L961">_xlfn.XLOOKUP(C961,Sales_Fact!C961:C2945,Sales_Fact!E961:J2945)</f>
        <v>STORE6</v>
      </c>
      <c r="H961" s="22">
        <v>4</v>
      </c>
      <c r="I961" s="22">
        <v>599.85</v>
      </c>
      <c r="J961" s="22">
        <v>0.25</v>
      </c>
      <c r="K961" s="22" t="str">
        <v>Credit Card</v>
      </c>
      <c r="L961" s="22">
        <v>1799.55</v>
      </c>
    </row>
    <row r="962" spans="1:12" x14ac:dyDescent="0.3">
      <c r="A962" s="22" t="s">
        <v>2771</v>
      </c>
      <c r="B962" s="34" cm="1">
        <f t="array" ref="B962:C962">_xlfn.XLOOKUP(A962,Sales_Fact!A962:A2946,Sales_Fact!B962:C2946)</f>
        <v>45281</v>
      </c>
      <c r="C962" s="22" t="str">
        <v>CUST1303</v>
      </c>
      <c r="D962" s="22" t="str">
        <f>VLOOKUP('Combine Products &amp; Sales Facts'!C962,'Customer Details'!A:B,2,0)</f>
        <v>John Sloan</v>
      </c>
      <c r="E962" s="22" t="str">
        <f>VLOOKUP(C962,Sales_Fact!C:D,2,0)</f>
        <v>PROD20</v>
      </c>
      <c r="F962" s="22" t="str">
        <f>VLOOKUP(E962,Product_Dim!A:C,3,0)</f>
        <v>Sports</v>
      </c>
      <c r="G962" s="22" t="str" cm="1">
        <f t="array" ref="G962:L962">_xlfn.XLOOKUP(C962,Sales_Fact!C962:C2946,Sales_Fact!E962:J2946)</f>
        <v>STORE9</v>
      </c>
      <c r="H962" s="22">
        <v>2</v>
      </c>
      <c r="I962" s="22">
        <v>61.42</v>
      </c>
      <c r="J962" s="22">
        <v>0.08</v>
      </c>
      <c r="K962" s="22" t="str">
        <v>PayPal</v>
      </c>
      <c r="L962" s="22">
        <v>113.0128</v>
      </c>
    </row>
    <row r="963" spans="1:12" x14ac:dyDescent="0.3">
      <c r="A963" s="22" t="s">
        <v>2772</v>
      </c>
      <c r="B963" s="34" cm="1">
        <f t="array" ref="B963:C963">_xlfn.XLOOKUP(A963,Sales_Fact!A963:A2947,Sales_Fact!B963:C2947)</f>
        <v>45693</v>
      </c>
      <c r="C963" s="22" t="str">
        <v>CUST1249</v>
      </c>
      <c r="D963" s="22" t="str">
        <f>VLOOKUP('Combine Products &amp; Sales Facts'!C963,'Customer Details'!A:B,2,0)</f>
        <v>Lauren George</v>
      </c>
      <c r="E963" s="22" t="str">
        <f>VLOOKUP(C963,Sales_Fact!C:D,2,0)</f>
        <v>PROD19</v>
      </c>
      <c r="F963" s="22" t="str">
        <f>VLOOKUP(E963,Product_Dim!A:C,3,0)</f>
        <v>Sports</v>
      </c>
      <c r="G963" s="22" t="str" cm="1">
        <f t="array" ref="G963:L963">_xlfn.XLOOKUP(C963,Sales_Fact!C963:C2947,Sales_Fact!E963:J2947)</f>
        <v>STORE10</v>
      </c>
      <c r="H963" s="22">
        <v>2</v>
      </c>
      <c r="I963" s="22">
        <v>466.42</v>
      </c>
      <c r="J963" s="22">
        <v>0.12</v>
      </c>
      <c r="K963" s="22" t="str">
        <v>PayPal</v>
      </c>
      <c r="L963" s="22">
        <v>820.89920000000006</v>
      </c>
    </row>
    <row r="964" spans="1:12" x14ac:dyDescent="0.3">
      <c r="A964" s="22" t="s">
        <v>2773</v>
      </c>
      <c r="B964" s="34" cm="1">
        <f t="array" ref="B964:C964">_xlfn.XLOOKUP(A964,Sales_Fact!A964:A2948,Sales_Fact!B964:C2948)</f>
        <v>45857</v>
      </c>
      <c r="C964" s="22" t="str">
        <v>CUST1099</v>
      </c>
      <c r="D964" s="22" t="str">
        <f>VLOOKUP('Combine Products &amp; Sales Facts'!C964,'Customer Details'!A:B,2,0)</f>
        <v>Sheila Wilson</v>
      </c>
      <c r="E964" s="22" t="str">
        <f>VLOOKUP(C964,Sales_Fact!C:D,2,0)</f>
        <v>PROD26</v>
      </c>
      <c r="F964" s="22" t="str">
        <f>VLOOKUP(E964,Product_Dim!A:C,3,0)</f>
        <v>Electronics</v>
      </c>
      <c r="G964" s="22" t="str" cm="1">
        <f t="array" ref="G964:L964">_xlfn.XLOOKUP(C964,Sales_Fact!C964:C2948,Sales_Fact!E964:J2948)</f>
        <v>STORE5</v>
      </c>
      <c r="H964" s="22">
        <v>4</v>
      </c>
      <c r="I964" s="22">
        <v>540.69000000000005</v>
      </c>
      <c r="J964" s="22">
        <v>0.09</v>
      </c>
      <c r="K964" s="22" t="str">
        <v>COD</v>
      </c>
      <c r="L964" s="22">
        <v>1968.1116</v>
      </c>
    </row>
    <row r="965" spans="1:12" x14ac:dyDescent="0.3">
      <c r="A965" s="22" t="s">
        <v>2774</v>
      </c>
      <c r="B965" s="34" cm="1">
        <f t="array" ref="B965:C965">_xlfn.XLOOKUP(A965,Sales_Fact!A965:A2949,Sales_Fact!B965:C2949)</f>
        <v>45737</v>
      </c>
      <c r="C965" s="22" t="str">
        <v>CUST1298</v>
      </c>
      <c r="D965" s="22" t="str">
        <f>VLOOKUP('Combine Products &amp; Sales Facts'!C965,'Customer Details'!A:B,2,0)</f>
        <v>Tracy Stephens</v>
      </c>
      <c r="E965" s="22" t="str">
        <f>VLOOKUP(C965,Sales_Fact!C:D,2,0)</f>
        <v>PROD73</v>
      </c>
      <c r="F965" s="22" t="str">
        <f>VLOOKUP(E965,Product_Dim!A:C,3,0)</f>
        <v>Sports</v>
      </c>
      <c r="G965" s="22" t="str" cm="1">
        <f t="array" ref="G965:L965">_xlfn.XLOOKUP(C965,Sales_Fact!C965:C2949,Sales_Fact!E965:J2949)</f>
        <v>STORE13</v>
      </c>
      <c r="H965" s="22">
        <v>3</v>
      </c>
      <c r="I965" s="22">
        <v>677.46</v>
      </c>
      <c r="J965" s="22">
        <v>0.05</v>
      </c>
      <c r="K965" s="22" t="str">
        <v>Credit Card</v>
      </c>
      <c r="L965" s="22">
        <v>1930.761</v>
      </c>
    </row>
    <row r="966" spans="1:12" x14ac:dyDescent="0.3">
      <c r="A966" s="22" t="s">
        <v>2775</v>
      </c>
      <c r="B966" s="34" cm="1">
        <f t="array" ref="B966:C966">_xlfn.XLOOKUP(A966,Sales_Fact!A966:A2950,Sales_Fact!B966:C2950)</f>
        <v>45771</v>
      </c>
      <c r="C966" s="22" t="str">
        <v>CUST1328</v>
      </c>
      <c r="D966" s="22" t="str">
        <f>VLOOKUP('Combine Products &amp; Sales Facts'!C966,'Customer Details'!A:B,2,0)</f>
        <v>Mario Harvey Jr.</v>
      </c>
      <c r="E966" s="22" t="str">
        <f>VLOOKUP(C966,Sales_Fact!C:D,2,0)</f>
        <v>PROD20</v>
      </c>
      <c r="F966" s="22" t="str">
        <f>VLOOKUP(E966,Product_Dim!A:C,3,0)</f>
        <v>Sports</v>
      </c>
      <c r="G966" s="22" t="str" cm="1">
        <f t="array" ref="G966:L966">_xlfn.XLOOKUP(C966,Sales_Fact!C966:C2950,Sales_Fact!E966:J2950)</f>
        <v>STORE1</v>
      </c>
      <c r="H966" s="22">
        <v>3</v>
      </c>
      <c r="I966" s="22">
        <v>614.63</v>
      </c>
      <c r="J966" s="22">
        <v>0.06</v>
      </c>
      <c r="K966" s="22" t="str">
        <v>PayPal</v>
      </c>
      <c r="L966" s="22">
        <v>1733.2565999999999</v>
      </c>
    </row>
    <row r="967" spans="1:12" x14ac:dyDescent="0.3">
      <c r="A967" s="22" t="s">
        <v>2776</v>
      </c>
      <c r="B967" s="34" cm="1">
        <f t="array" ref="B967:C967">_xlfn.XLOOKUP(A967,Sales_Fact!A967:A2951,Sales_Fact!B967:C2951)</f>
        <v>45272</v>
      </c>
      <c r="C967" s="22" t="str">
        <v>CUST1232</v>
      </c>
      <c r="D967" s="22" t="str">
        <f>VLOOKUP('Combine Products &amp; Sales Facts'!C967,'Customer Details'!A:B,2,0)</f>
        <v>Christy Hill</v>
      </c>
      <c r="E967" s="22" t="str">
        <f>VLOOKUP(C967,Sales_Fact!C:D,2,0)</f>
        <v>PROD95</v>
      </c>
      <c r="F967" s="22" t="str">
        <f>VLOOKUP(E967,Product_Dim!A:C,3,0)</f>
        <v>Sports</v>
      </c>
      <c r="G967" s="22" t="str" cm="1">
        <f t="array" ref="G967:L967">_xlfn.XLOOKUP(C967,Sales_Fact!C967:C2951,Sales_Fact!E967:J2951)</f>
        <v>STORE8</v>
      </c>
      <c r="H967" s="22">
        <v>4</v>
      </c>
      <c r="I967" s="22">
        <v>649.52</v>
      </c>
      <c r="J967" s="22">
        <v>0.11</v>
      </c>
      <c r="K967" s="22" t="str">
        <v>Credit Card</v>
      </c>
      <c r="L967" s="22">
        <v>2312.2912000000001</v>
      </c>
    </row>
    <row r="968" spans="1:12" x14ac:dyDescent="0.3">
      <c r="A968" s="22" t="s">
        <v>2777</v>
      </c>
      <c r="B968" s="34" cm="1">
        <f t="array" ref="B968:C968">_xlfn.XLOOKUP(A968,Sales_Fact!A968:A2952,Sales_Fact!B968:C2952)</f>
        <v>45481</v>
      </c>
      <c r="C968" s="22" t="str">
        <v>CUST1445</v>
      </c>
      <c r="D968" s="22" t="str">
        <f>VLOOKUP('Combine Products &amp; Sales Facts'!C968,'Customer Details'!A:B,2,0)</f>
        <v>Gene Lee</v>
      </c>
      <c r="E968" s="22" t="str">
        <f>VLOOKUP(C968,Sales_Fact!C:D,2,0)</f>
        <v>PROD2</v>
      </c>
      <c r="F968" s="22" t="str">
        <f>VLOOKUP(E968,Product_Dim!A:C,3,0)</f>
        <v>Clothing</v>
      </c>
      <c r="G968" s="22" t="str" cm="1">
        <f t="array" ref="G968:L968">_xlfn.XLOOKUP(C968,Sales_Fact!C968:C2952,Sales_Fact!E968:J2952)</f>
        <v>STORE8</v>
      </c>
      <c r="H968" s="22">
        <v>2</v>
      </c>
      <c r="I968" s="22">
        <v>943.93</v>
      </c>
      <c r="J968" s="22">
        <v>0.22</v>
      </c>
      <c r="K968" s="22" t="str">
        <v>PayPal</v>
      </c>
      <c r="L968" s="22">
        <v>1472.5308</v>
      </c>
    </row>
    <row r="969" spans="1:12" x14ac:dyDescent="0.3">
      <c r="A969" s="22" t="s">
        <v>2778</v>
      </c>
      <c r="B969" s="34" cm="1">
        <f t="array" ref="B969:C969">_xlfn.XLOOKUP(A969,Sales_Fact!A969:A2953,Sales_Fact!B969:C2953)</f>
        <v>45228</v>
      </c>
      <c r="C969" s="22" t="str">
        <v>CUST1165</v>
      </c>
      <c r="D969" s="22" t="str">
        <f>VLOOKUP('Combine Products &amp; Sales Facts'!C969,'Customer Details'!A:B,2,0)</f>
        <v>Jason Wheeler</v>
      </c>
      <c r="E969" s="22" t="str">
        <f>VLOOKUP(C969,Sales_Fact!C:D,2,0)</f>
        <v>PROD27</v>
      </c>
      <c r="F969" s="22" t="str">
        <f>VLOOKUP(E969,Product_Dim!A:C,3,0)</f>
        <v>Home</v>
      </c>
      <c r="G969" s="22" t="str" cm="1">
        <f t="array" ref="G969:L969">_xlfn.XLOOKUP(C969,Sales_Fact!C969:C2953,Sales_Fact!E969:J2953)</f>
        <v>STORE8</v>
      </c>
      <c r="H969" s="22">
        <v>4</v>
      </c>
      <c r="I969" s="22">
        <v>538.73</v>
      </c>
      <c r="J969" s="22">
        <v>0.03</v>
      </c>
      <c r="K969" s="22" t="str">
        <v>Credit Card</v>
      </c>
      <c r="L969" s="22">
        <v>2090.2723999999998</v>
      </c>
    </row>
    <row r="970" spans="1:12" x14ac:dyDescent="0.3">
      <c r="A970" s="22" t="s">
        <v>2779</v>
      </c>
      <c r="B970" s="34" cm="1">
        <f t="array" ref="B970:C970">_xlfn.XLOOKUP(A970,Sales_Fact!A970:A2954,Sales_Fact!B970:C2954)</f>
        <v>45432</v>
      </c>
      <c r="C970" s="22" t="str">
        <v>CUST1088</v>
      </c>
      <c r="D970" s="22" t="str">
        <f>VLOOKUP('Combine Products &amp; Sales Facts'!C970,'Customer Details'!A:B,2,0)</f>
        <v>Timothy Wright</v>
      </c>
      <c r="E970" s="22" t="str">
        <f>VLOOKUP(C970,Sales_Fact!C:D,2,0)</f>
        <v>PROD2</v>
      </c>
      <c r="F970" s="22" t="str">
        <f>VLOOKUP(E970,Product_Dim!A:C,3,0)</f>
        <v>Clothing</v>
      </c>
      <c r="G970" s="22" t="str" cm="1">
        <f t="array" ref="G970:L970">_xlfn.XLOOKUP(C970,Sales_Fact!C970:C2954,Sales_Fact!E970:J2954)</f>
        <v>STORE8</v>
      </c>
      <c r="H970" s="22">
        <v>2</v>
      </c>
      <c r="I970" s="22">
        <v>853.93</v>
      </c>
      <c r="J970" s="22">
        <v>0.01</v>
      </c>
      <c r="K970" s="22" t="str">
        <v>PayPal</v>
      </c>
      <c r="L970" s="22">
        <v>1690.7814000000001</v>
      </c>
    </row>
    <row r="971" spans="1:12" x14ac:dyDescent="0.3">
      <c r="A971" s="22" t="s">
        <v>2780</v>
      </c>
      <c r="B971" s="34" cm="1">
        <f t="array" ref="B971:C971">_xlfn.XLOOKUP(A971,Sales_Fact!A971:A2955,Sales_Fact!B971:C2955)</f>
        <v>45914</v>
      </c>
      <c r="C971" s="22" t="str">
        <v>CUST1491</v>
      </c>
      <c r="D971" s="22" t="str">
        <f>VLOOKUP('Combine Products &amp; Sales Facts'!C971,'Customer Details'!A:B,2,0)</f>
        <v>Kaitlin Brown</v>
      </c>
      <c r="E971" s="22" t="str">
        <f>VLOOKUP(C971,Sales_Fact!C:D,2,0)</f>
        <v>PROD9</v>
      </c>
      <c r="F971" s="22" t="str">
        <f>VLOOKUP(E971,Product_Dim!A:C,3,0)</f>
        <v>Sports</v>
      </c>
      <c r="G971" s="22" t="str" cm="1">
        <f t="array" ref="G971:L971">_xlfn.XLOOKUP(C971,Sales_Fact!C971:C2955,Sales_Fact!E971:J2955)</f>
        <v>STORE4</v>
      </c>
      <c r="H971" s="22">
        <v>4</v>
      </c>
      <c r="I971" s="22">
        <v>465.42</v>
      </c>
      <c r="J971" s="22">
        <v>0.26</v>
      </c>
      <c r="K971" s="22" t="str">
        <v>COD</v>
      </c>
      <c r="L971" s="22">
        <v>1377.6432</v>
      </c>
    </row>
    <row r="972" spans="1:12" x14ac:dyDescent="0.3">
      <c r="A972" s="22" t="s">
        <v>2781</v>
      </c>
      <c r="B972" s="34" cm="1">
        <f t="array" ref="B972:C972">_xlfn.XLOOKUP(A972,Sales_Fact!A972:A2956,Sales_Fact!B972:C2956)</f>
        <v>45758</v>
      </c>
      <c r="C972" s="22" t="str">
        <v>CUST1055</v>
      </c>
      <c r="D972" s="22" t="str">
        <f>VLOOKUP('Combine Products &amp; Sales Facts'!C972,'Customer Details'!A:B,2,0)</f>
        <v>Wayne Mcpherson</v>
      </c>
      <c r="E972" s="22" t="str">
        <f>VLOOKUP(C972,Sales_Fact!C:D,2,0)</f>
        <v>PROD15</v>
      </c>
      <c r="F972" s="22" t="str">
        <f>VLOOKUP(E972,Product_Dim!A:C,3,0)</f>
        <v>Electronics</v>
      </c>
      <c r="G972" s="22" t="str" cm="1">
        <f t="array" ref="G972:L972">_xlfn.XLOOKUP(C972,Sales_Fact!C972:C2956,Sales_Fact!E972:J2956)</f>
        <v>STORE11</v>
      </c>
      <c r="H972" s="22">
        <v>4</v>
      </c>
      <c r="I972" s="22">
        <v>880.26</v>
      </c>
      <c r="J972" s="22">
        <v>0.11</v>
      </c>
      <c r="K972" s="22" t="str">
        <v>COD</v>
      </c>
      <c r="L972" s="22">
        <v>3133.7256000000002</v>
      </c>
    </row>
    <row r="973" spans="1:12" x14ac:dyDescent="0.3">
      <c r="A973" s="22" t="s">
        <v>2782</v>
      </c>
      <c r="B973" s="34" cm="1">
        <f t="array" ref="B973:C973">_xlfn.XLOOKUP(A973,Sales_Fact!A973:A2957,Sales_Fact!B973:C2957)</f>
        <v>45429</v>
      </c>
      <c r="C973" s="22" t="str">
        <v>CUST1483</v>
      </c>
      <c r="D973" s="22" t="str">
        <f>VLOOKUP('Combine Products &amp; Sales Facts'!C973,'Customer Details'!A:B,2,0)</f>
        <v>Sarah Smith</v>
      </c>
      <c r="E973" s="22" t="str">
        <f>VLOOKUP(C973,Sales_Fact!C:D,2,0)</f>
        <v>PROD12</v>
      </c>
      <c r="F973" s="22" t="str">
        <f>VLOOKUP(E973,Product_Dim!A:C,3,0)</f>
        <v>Beauty</v>
      </c>
      <c r="G973" s="22" t="str" cm="1">
        <f t="array" ref="G973:L973">_xlfn.XLOOKUP(C973,Sales_Fact!C973:C2957,Sales_Fact!E973:J2957)</f>
        <v>STORE11</v>
      </c>
      <c r="H973" s="22">
        <v>3</v>
      </c>
      <c r="I973" s="22">
        <v>461.02</v>
      </c>
      <c r="J973" s="22">
        <v>0.28999999999999998</v>
      </c>
      <c r="K973" s="22" t="str">
        <v>PayPal</v>
      </c>
      <c r="L973" s="22">
        <v>981.97259999999994</v>
      </c>
    </row>
    <row r="974" spans="1:12" x14ac:dyDescent="0.3">
      <c r="A974" s="22" t="s">
        <v>2783</v>
      </c>
      <c r="B974" s="34" cm="1">
        <f t="array" ref="B974:C974">_xlfn.XLOOKUP(A974,Sales_Fact!A974:A2958,Sales_Fact!B974:C2958)</f>
        <v>45578</v>
      </c>
      <c r="C974" s="22" t="str">
        <v>CUST1026</v>
      </c>
      <c r="D974" s="22" t="str">
        <f>VLOOKUP('Combine Products &amp; Sales Facts'!C974,'Customer Details'!A:B,2,0)</f>
        <v>Amber Carlson</v>
      </c>
      <c r="E974" s="22" t="str">
        <f>VLOOKUP(C974,Sales_Fact!C:D,2,0)</f>
        <v>PROD1</v>
      </c>
      <c r="F974" s="22" t="str">
        <f>VLOOKUP(E974,Product_Dim!A:C,3,0)</f>
        <v>Clothing</v>
      </c>
      <c r="G974" s="22" t="str" cm="1">
        <f t="array" ref="G974:L974">_xlfn.XLOOKUP(C974,Sales_Fact!C974:C2958,Sales_Fact!E974:J2958)</f>
        <v>STORE13</v>
      </c>
      <c r="H974" s="22">
        <v>1</v>
      </c>
      <c r="I974" s="22">
        <v>531.99</v>
      </c>
      <c r="J974" s="22">
        <v>0.17</v>
      </c>
      <c r="K974" s="22" t="str">
        <v>PayPal</v>
      </c>
      <c r="L974" s="22">
        <v>441.55169999999998</v>
      </c>
    </row>
    <row r="975" spans="1:12" x14ac:dyDescent="0.3">
      <c r="A975" s="22" t="s">
        <v>2784</v>
      </c>
      <c r="B975" s="34" cm="1">
        <f t="array" ref="B975:C975">_xlfn.XLOOKUP(A975,Sales_Fact!A975:A2959,Sales_Fact!B975:C2959)</f>
        <v>45486</v>
      </c>
      <c r="C975" s="22" t="str">
        <v>CUST1004</v>
      </c>
      <c r="D975" s="22" t="str">
        <f>VLOOKUP('Combine Products &amp; Sales Facts'!C975,'Customer Details'!A:B,2,0)</f>
        <v>Caroline Collins</v>
      </c>
      <c r="E975" s="22" t="str">
        <f>VLOOKUP(C975,Sales_Fact!C:D,2,0)</f>
        <v>PROD47</v>
      </c>
      <c r="F975" s="22" t="str">
        <f>VLOOKUP(E975,Product_Dim!A:C,3,0)</f>
        <v>Beauty</v>
      </c>
      <c r="G975" s="22" t="str" cm="1">
        <f t="array" ref="G975:L975">_xlfn.XLOOKUP(C975,Sales_Fact!C975:C2959,Sales_Fact!E975:J2959)</f>
        <v>STORE17</v>
      </c>
      <c r="H975" s="22">
        <v>2</v>
      </c>
      <c r="I975" s="22">
        <v>274.08999999999997</v>
      </c>
      <c r="J975" s="22">
        <v>0.13</v>
      </c>
      <c r="K975" s="22" t="str">
        <v>PayPal</v>
      </c>
      <c r="L975" s="22">
        <v>476.91660000000002</v>
      </c>
    </row>
    <row r="976" spans="1:12" x14ac:dyDescent="0.3">
      <c r="A976" s="22" t="s">
        <v>2785</v>
      </c>
      <c r="B976" s="34" cm="1">
        <f t="array" ref="B976:C976">_xlfn.XLOOKUP(A976,Sales_Fact!A976:A2960,Sales_Fact!B976:C2960)</f>
        <v>45694</v>
      </c>
      <c r="C976" s="22" t="str">
        <v>CUST1443</v>
      </c>
      <c r="D976" s="22" t="str">
        <f>VLOOKUP('Combine Products &amp; Sales Facts'!C976,'Customer Details'!A:B,2,0)</f>
        <v>Adam Castro</v>
      </c>
      <c r="E976" s="22" t="str">
        <f>VLOOKUP(C976,Sales_Fact!C:D,2,0)</f>
        <v>PROD34</v>
      </c>
      <c r="F976" s="22" t="str">
        <f>VLOOKUP(E976,Product_Dim!A:C,3,0)</f>
        <v>Electronics</v>
      </c>
      <c r="G976" s="22" t="str" cm="1">
        <f t="array" ref="G976:L976">_xlfn.XLOOKUP(C976,Sales_Fact!C976:C2960,Sales_Fact!E976:J2960)</f>
        <v>STORE10</v>
      </c>
      <c r="H976" s="22">
        <v>1</v>
      </c>
      <c r="I976" s="22">
        <v>66.14</v>
      </c>
      <c r="J976" s="22">
        <v>0.14000000000000001</v>
      </c>
      <c r="K976" s="22" t="str">
        <v>COD</v>
      </c>
      <c r="L976" s="22">
        <v>56.880400000000002</v>
      </c>
    </row>
    <row r="977" spans="1:12" x14ac:dyDescent="0.3">
      <c r="A977" s="22" t="s">
        <v>2786</v>
      </c>
      <c r="B977" s="34" cm="1">
        <f t="array" ref="B977:C977">_xlfn.XLOOKUP(A977,Sales_Fact!A977:A2961,Sales_Fact!B977:C2961)</f>
        <v>45875</v>
      </c>
      <c r="C977" s="22" t="str">
        <v>CUST1077</v>
      </c>
      <c r="D977" s="22" t="str">
        <f>VLOOKUP('Combine Products &amp; Sales Facts'!C977,'Customer Details'!A:B,2,0)</f>
        <v>Katherine Young</v>
      </c>
      <c r="E977" s="22" t="str">
        <f>VLOOKUP(C977,Sales_Fact!C:D,2,0)</f>
        <v>PROD21</v>
      </c>
      <c r="F977" s="22" t="str">
        <f>VLOOKUP(E977,Product_Dim!A:C,3,0)</f>
        <v>Home</v>
      </c>
      <c r="G977" s="22" t="str" cm="1">
        <f t="array" ref="G977:L977">_xlfn.XLOOKUP(C977,Sales_Fact!C977:C2961,Sales_Fact!E977:J2961)</f>
        <v>STORE9</v>
      </c>
      <c r="H977" s="22">
        <v>3</v>
      </c>
      <c r="I977" s="22">
        <v>955.82</v>
      </c>
      <c r="J977" s="22">
        <v>0.16</v>
      </c>
      <c r="K977" s="22" t="str">
        <v>COD</v>
      </c>
      <c r="L977" s="22">
        <v>2408.6664000000001</v>
      </c>
    </row>
    <row r="978" spans="1:12" x14ac:dyDescent="0.3">
      <c r="A978" s="22" t="s">
        <v>2787</v>
      </c>
      <c r="B978" s="34" cm="1">
        <f t="array" ref="B978:C978">_xlfn.XLOOKUP(A978,Sales_Fact!A978:A2962,Sales_Fact!B978:C2962)</f>
        <v>45432</v>
      </c>
      <c r="C978" s="22" t="str">
        <v>CUST1319</v>
      </c>
      <c r="D978" s="22" t="str">
        <f>VLOOKUP('Combine Products &amp; Sales Facts'!C978,'Customer Details'!A:B,2,0)</f>
        <v>Casey Simpson</v>
      </c>
      <c r="E978" s="22" t="str">
        <f>VLOOKUP(C978,Sales_Fact!C:D,2,0)</f>
        <v>PROD49</v>
      </c>
      <c r="F978" s="22" t="str">
        <f>VLOOKUP(E978,Product_Dim!A:C,3,0)</f>
        <v>Beauty</v>
      </c>
      <c r="G978" s="22" t="str" cm="1">
        <f t="array" ref="G978:L978">_xlfn.XLOOKUP(C978,Sales_Fact!C978:C2962,Sales_Fact!E978:J2962)</f>
        <v>STORE12</v>
      </c>
      <c r="H978" s="22">
        <v>1</v>
      </c>
      <c r="I978" s="22">
        <v>904.92</v>
      </c>
      <c r="J978" s="22">
        <v>0.13</v>
      </c>
      <c r="K978" s="22" t="str">
        <v>Credit Card</v>
      </c>
      <c r="L978" s="22">
        <v>787.28039999999999</v>
      </c>
    </row>
    <row r="979" spans="1:12" x14ac:dyDescent="0.3">
      <c r="A979" s="22" t="s">
        <v>2788</v>
      </c>
      <c r="B979" s="34" cm="1">
        <f t="array" ref="B979:C979">_xlfn.XLOOKUP(A979,Sales_Fact!A979:A2963,Sales_Fact!B979:C2963)</f>
        <v>45575</v>
      </c>
      <c r="C979" s="22" t="str">
        <v>CUST1000</v>
      </c>
      <c r="D979" s="22" t="str">
        <f>VLOOKUP('Combine Products &amp; Sales Facts'!C979,'Customer Details'!A:B,2,0)</f>
        <v xml:space="preserve">Sheena Bonilla  </v>
      </c>
      <c r="E979" s="22" t="str">
        <f>VLOOKUP(C979,Sales_Fact!C:D,2,0)</f>
        <v>PROD63</v>
      </c>
      <c r="F979" s="22" t="str">
        <f>VLOOKUP(E979,Product_Dim!A:C,3,0)</f>
        <v>Beauty</v>
      </c>
      <c r="G979" s="22" t="str" cm="1">
        <f t="array" ref="G979:L979">_xlfn.XLOOKUP(C979,Sales_Fact!C979:C2963,Sales_Fact!E979:J2963)</f>
        <v>STORE7</v>
      </c>
      <c r="H979" s="22">
        <v>3</v>
      </c>
      <c r="I979" s="22">
        <v>490.02</v>
      </c>
      <c r="J979" s="22">
        <v>0.26</v>
      </c>
      <c r="K979" s="22" t="str">
        <v>Credit Card</v>
      </c>
      <c r="L979" s="22">
        <v>1087.8444</v>
      </c>
    </row>
    <row r="980" spans="1:12" x14ac:dyDescent="0.3">
      <c r="A980" s="22" t="s">
        <v>2789</v>
      </c>
      <c r="B980" s="34" cm="1">
        <f t="array" ref="B980:C980">_xlfn.XLOOKUP(A980,Sales_Fact!A980:A2964,Sales_Fact!B980:C2964)</f>
        <v>45340</v>
      </c>
      <c r="C980" s="22" t="str">
        <v>CUST1363</v>
      </c>
      <c r="D980" s="22" t="str">
        <f>VLOOKUP('Combine Products &amp; Sales Facts'!C980,'Customer Details'!A:B,2,0)</f>
        <v>Elizabeth Smith</v>
      </c>
      <c r="E980" s="22" t="str">
        <f>VLOOKUP(C980,Sales_Fact!C:D,2,0)</f>
        <v>PROD91</v>
      </c>
      <c r="F980" s="22" t="str">
        <f>VLOOKUP(E980,Product_Dim!A:C,3,0)</f>
        <v>Clothing</v>
      </c>
      <c r="G980" s="22" t="str" cm="1">
        <f t="array" ref="G980:L980">_xlfn.XLOOKUP(C980,Sales_Fact!C980:C2964,Sales_Fact!E980:J2964)</f>
        <v>STORE6</v>
      </c>
      <c r="H980" s="22">
        <v>2</v>
      </c>
      <c r="I980" s="22">
        <v>957.54</v>
      </c>
      <c r="J980" s="22">
        <v>0.1</v>
      </c>
      <c r="K980" s="22" t="str">
        <v>COD</v>
      </c>
      <c r="L980" s="22">
        <v>1723.5719999999999</v>
      </c>
    </row>
    <row r="981" spans="1:12" x14ac:dyDescent="0.3">
      <c r="A981" s="22" t="s">
        <v>2790</v>
      </c>
      <c r="B981" s="34" cm="1">
        <f t="array" ref="B981:C981">_xlfn.XLOOKUP(A981,Sales_Fact!A981:A2965,Sales_Fact!B981:C2965)</f>
        <v>45926</v>
      </c>
      <c r="C981" s="22" t="str">
        <v>CUST1329</v>
      </c>
      <c r="D981" s="22" t="str">
        <f>VLOOKUP('Combine Products &amp; Sales Facts'!C981,'Customer Details'!A:B,2,0)</f>
        <v>Victor Mcintosh</v>
      </c>
      <c r="E981" s="22" t="str">
        <f>VLOOKUP(C981,Sales_Fact!C:D,2,0)</f>
        <v>PROD57</v>
      </c>
      <c r="F981" s="22" t="str">
        <f>VLOOKUP(E981,Product_Dim!A:C,3,0)</f>
        <v>Sports</v>
      </c>
      <c r="G981" s="22" t="str" cm="1">
        <f t="array" ref="G981:L981">_xlfn.XLOOKUP(C981,Sales_Fact!C981:C2965,Sales_Fact!E981:J2965)</f>
        <v>STORE13</v>
      </c>
      <c r="H981" s="22">
        <v>2</v>
      </c>
      <c r="I981" s="22">
        <v>314.39999999999998</v>
      </c>
      <c r="J981" s="22">
        <v>7.0000000000000007E-2</v>
      </c>
      <c r="K981" s="22" t="str">
        <v>PayPal</v>
      </c>
      <c r="L981" s="22">
        <v>584.78399999999988</v>
      </c>
    </row>
    <row r="982" spans="1:12" x14ac:dyDescent="0.3">
      <c r="A982" s="22" t="s">
        <v>2791</v>
      </c>
      <c r="B982" s="34" cm="1">
        <f t="array" ref="B982:C982">_xlfn.XLOOKUP(A982,Sales_Fact!A982:A2966,Sales_Fact!B982:C2966)</f>
        <v>45373</v>
      </c>
      <c r="C982" s="22" t="str">
        <v>CUST1394</v>
      </c>
      <c r="D982" s="22" t="str">
        <f>VLOOKUP('Combine Products &amp; Sales Facts'!C982,'Customer Details'!A:B,2,0)</f>
        <v>Alejandro Evans</v>
      </c>
      <c r="E982" s="22" t="str">
        <f>VLOOKUP(C982,Sales_Fact!C:D,2,0)</f>
        <v>PROD89</v>
      </c>
      <c r="F982" s="22" t="str">
        <f>VLOOKUP(E982,Product_Dim!A:C,3,0)</f>
        <v>Beauty</v>
      </c>
      <c r="G982" s="22" t="str" cm="1">
        <f t="array" ref="G982:L982">_xlfn.XLOOKUP(C982,Sales_Fact!C982:C2966,Sales_Fact!E982:J2966)</f>
        <v>STORE6</v>
      </c>
      <c r="H982" s="22">
        <v>3</v>
      </c>
      <c r="I982" s="22">
        <v>480.11</v>
      </c>
      <c r="J982" s="22">
        <v>0.11</v>
      </c>
      <c r="K982" s="22" t="str">
        <v>PayPal</v>
      </c>
      <c r="L982" s="22">
        <v>1281.8937000000001</v>
      </c>
    </row>
    <row r="983" spans="1:12" x14ac:dyDescent="0.3">
      <c r="A983" s="22" t="s">
        <v>2792</v>
      </c>
      <c r="B983" s="34" cm="1">
        <f t="array" ref="B983:C983">_xlfn.XLOOKUP(A983,Sales_Fact!A983:A2967,Sales_Fact!B983:C2967)</f>
        <v>45579</v>
      </c>
      <c r="C983" s="22" t="str">
        <v>CUST1388</v>
      </c>
      <c r="D983" s="22" t="str">
        <f>VLOOKUP('Combine Products &amp; Sales Facts'!C983,'Customer Details'!A:B,2,0)</f>
        <v>Timothy Valenzuela</v>
      </c>
      <c r="E983" s="22" t="str">
        <f>VLOOKUP(C983,Sales_Fact!C:D,2,0)</f>
        <v>PROD82</v>
      </c>
      <c r="F983" s="22" t="str">
        <f>VLOOKUP(E983,Product_Dim!A:C,3,0)</f>
        <v>Sports</v>
      </c>
      <c r="G983" s="22" t="str" cm="1">
        <f t="array" ref="G983:L983">_xlfn.XLOOKUP(C983,Sales_Fact!C983:C2967,Sales_Fact!E983:J2967)</f>
        <v>STORE6</v>
      </c>
      <c r="H983" s="22">
        <v>4</v>
      </c>
      <c r="I983" s="22">
        <v>826.55</v>
      </c>
      <c r="J983" s="22">
        <v>0.28000000000000003</v>
      </c>
      <c r="K983" s="22" t="str">
        <v>Credit Card</v>
      </c>
      <c r="L983" s="22">
        <v>2380.4639999999999</v>
      </c>
    </row>
    <row r="984" spans="1:12" x14ac:dyDescent="0.3">
      <c r="A984" s="22" t="s">
        <v>2793</v>
      </c>
      <c r="B984" s="34" cm="1">
        <f t="array" ref="B984:C984">_xlfn.XLOOKUP(A984,Sales_Fact!A984:A2968,Sales_Fact!B984:C2968)</f>
        <v>45805</v>
      </c>
      <c r="C984" s="22" t="str">
        <v>CUST1190</v>
      </c>
      <c r="D984" s="22" t="str">
        <f>VLOOKUP('Combine Products &amp; Sales Facts'!C984,'Customer Details'!A:B,2,0)</f>
        <v>Christopher Stewart</v>
      </c>
      <c r="E984" s="22" t="str">
        <f>VLOOKUP(C984,Sales_Fact!C:D,2,0)</f>
        <v>PROD27</v>
      </c>
      <c r="F984" s="22" t="str">
        <f>VLOOKUP(E984,Product_Dim!A:C,3,0)</f>
        <v>Home</v>
      </c>
      <c r="G984" s="22" t="str" cm="1">
        <f t="array" ref="G984:L984">_xlfn.XLOOKUP(C984,Sales_Fact!C984:C2968,Sales_Fact!E984:J2968)</f>
        <v>STORE3</v>
      </c>
      <c r="H984" s="22">
        <v>3</v>
      </c>
      <c r="I984" s="22">
        <v>530.16999999999996</v>
      </c>
      <c r="J984" s="22">
        <v>0.18</v>
      </c>
      <c r="K984" s="22" t="str">
        <v>PayPal</v>
      </c>
      <c r="L984" s="22">
        <v>1304.2182</v>
      </c>
    </row>
    <row r="985" spans="1:12" x14ac:dyDescent="0.3">
      <c r="A985" s="22" t="s">
        <v>2794</v>
      </c>
      <c r="B985" s="34" cm="1">
        <f t="array" ref="B985:C985">_xlfn.XLOOKUP(A985,Sales_Fact!A985:A2969,Sales_Fact!B985:C2969)</f>
        <v>45522</v>
      </c>
      <c r="C985" s="22" t="str">
        <v>CUST1407</v>
      </c>
      <c r="D985" s="22" t="str">
        <f>VLOOKUP('Combine Products &amp; Sales Facts'!C985,'Customer Details'!A:B,2,0)</f>
        <v>Joseph Mendoza</v>
      </c>
      <c r="E985" s="22" t="str">
        <f>VLOOKUP(C985,Sales_Fact!C:D,2,0)</f>
        <v>PROD70</v>
      </c>
      <c r="F985" s="22" t="str">
        <f>VLOOKUP(E985,Product_Dim!A:C,3,0)</f>
        <v>Home</v>
      </c>
      <c r="G985" s="22" t="str" cm="1">
        <f t="array" ref="G985:L985">_xlfn.XLOOKUP(C985,Sales_Fact!C985:C2969,Sales_Fact!E985:J2969)</f>
        <v>STORE17</v>
      </c>
      <c r="H985" s="22">
        <v>3</v>
      </c>
      <c r="I985" s="22">
        <v>336.17</v>
      </c>
      <c r="J985" s="22">
        <v>0.04</v>
      </c>
      <c r="K985" s="22" t="str">
        <v>COD</v>
      </c>
      <c r="L985" s="22">
        <v>968.16959999999995</v>
      </c>
    </row>
    <row r="986" spans="1:12" x14ac:dyDescent="0.3">
      <c r="A986" s="22" t="s">
        <v>2795</v>
      </c>
      <c r="B986" s="34" cm="1">
        <f t="array" ref="B986:C986">_xlfn.XLOOKUP(A986,Sales_Fact!A986:A2970,Sales_Fact!B986:C2970)</f>
        <v>45304</v>
      </c>
      <c r="C986" s="22" t="str">
        <v>CUST1421</v>
      </c>
      <c r="D986" s="22" t="str">
        <f>VLOOKUP('Combine Products &amp; Sales Facts'!C986,'Customer Details'!A:B,2,0)</f>
        <v>Holly Robinson</v>
      </c>
      <c r="E986" s="22" t="str">
        <f>VLOOKUP(C986,Sales_Fact!C:D,2,0)</f>
        <v>PROD81</v>
      </c>
      <c r="F986" s="22" t="str">
        <f>VLOOKUP(E986,Product_Dim!A:C,3,0)</f>
        <v>Sports</v>
      </c>
      <c r="G986" s="22" t="str" cm="1">
        <f t="array" ref="G986:L986">_xlfn.XLOOKUP(C986,Sales_Fact!C986:C2970,Sales_Fact!E986:J2970)</f>
        <v>STORE8</v>
      </c>
      <c r="H986" s="22">
        <v>4</v>
      </c>
      <c r="I986" s="22">
        <v>22.51</v>
      </c>
      <c r="J986" s="22">
        <v>0.27</v>
      </c>
      <c r="K986" s="22" t="str">
        <v>PayPal</v>
      </c>
      <c r="L986" s="22">
        <v>65.729200000000006</v>
      </c>
    </row>
    <row r="987" spans="1:12" x14ac:dyDescent="0.3">
      <c r="A987" s="22" t="s">
        <v>2796</v>
      </c>
      <c r="B987" s="34" cm="1">
        <f t="array" ref="B987:C987">_xlfn.XLOOKUP(A987,Sales_Fact!A987:A2971,Sales_Fact!B987:C2971)</f>
        <v>45456</v>
      </c>
      <c r="C987" s="22" t="str">
        <v>CUST1190</v>
      </c>
      <c r="D987" s="22" t="str">
        <f>VLOOKUP('Combine Products &amp; Sales Facts'!C987,'Customer Details'!A:B,2,0)</f>
        <v>Christopher Stewart</v>
      </c>
      <c r="E987" s="22" t="str">
        <f>VLOOKUP(C987,Sales_Fact!C:D,2,0)</f>
        <v>PROD27</v>
      </c>
      <c r="F987" s="22" t="str">
        <f>VLOOKUP(E987,Product_Dim!A:C,3,0)</f>
        <v>Home</v>
      </c>
      <c r="G987" s="22" t="str" cm="1">
        <f t="array" ref="G987:L987">_xlfn.XLOOKUP(C987,Sales_Fact!C987:C2971,Sales_Fact!E987:J2971)</f>
        <v>STORE2</v>
      </c>
      <c r="H987" s="22">
        <v>2</v>
      </c>
      <c r="I987" s="22">
        <v>909.51</v>
      </c>
      <c r="J987" s="22">
        <v>0.27</v>
      </c>
      <c r="K987" s="22" t="str">
        <v>Credit Card</v>
      </c>
      <c r="L987" s="22">
        <v>1327.8846000000001</v>
      </c>
    </row>
    <row r="988" spans="1:12" x14ac:dyDescent="0.3">
      <c r="A988" s="22" t="s">
        <v>2797</v>
      </c>
      <c r="B988" s="34" cm="1">
        <f t="array" ref="B988:C988">_xlfn.XLOOKUP(A988,Sales_Fact!A988:A2972,Sales_Fact!B988:C2972)</f>
        <v>45776</v>
      </c>
      <c r="C988" s="22" t="str">
        <v>CUST1052</v>
      </c>
      <c r="D988" s="22" t="str">
        <f>VLOOKUP('Combine Products &amp; Sales Facts'!C988,'Customer Details'!A:B,2,0)</f>
        <v>Debra Liu</v>
      </c>
      <c r="E988" s="22" t="str">
        <f>VLOOKUP(C988,Sales_Fact!C:D,2,0)</f>
        <v>PROD51</v>
      </c>
      <c r="F988" s="22" t="str">
        <f>VLOOKUP(E988,Product_Dim!A:C,3,0)</f>
        <v>Electronics</v>
      </c>
      <c r="G988" s="22" t="str" cm="1">
        <f t="array" ref="G988:L988">_xlfn.XLOOKUP(C988,Sales_Fact!C988:C2972,Sales_Fact!E988:J2972)</f>
        <v>STORE14</v>
      </c>
      <c r="H988" s="22">
        <v>4</v>
      </c>
      <c r="I988" s="22">
        <v>593.84</v>
      </c>
      <c r="J988" s="22">
        <v>0.24</v>
      </c>
      <c r="K988" s="22" t="str">
        <v>PayPal</v>
      </c>
      <c r="L988" s="22">
        <v>1805.2736</v>
      </c>
    </row>
    <row r="989" spans="1:12" x14ac:dyDescent="0.3">
      <c r="A989" s="22" t="s">
        <v>2798</v>
      </c>
      <c r="B989" s="34" cm="1">
        <f t="array" ref="B989:C989">_xlfn.XLOOKUP(A989,Sales_Fact!A989:A2973,Sales_Fact!B989:C2973)</f>
        <v>45566</v>
      </c>
      <c r="C989" s="22" t="str">
        <v>CUST1109</v>
      </c>
      <c r="D989" s="22" t="str">
        <f>VLOOKUP('Combine Products &amp; Sales Facts'!C989,'Customer Details'!A:B,2,0)</f>
        <v>Amy Walker</v>
      </c>
      <c r="E989" s="22" t="str">
        <f>VLOOKUP(C989,Sales_Fact!C:D,2,0)</f>
        <v>PROD34</v>
      </c>
      <c r="F989" s="22" t="str">
        <f>VLOOKUP(E989,Product_Dim!A:C,3,0)</f>
        <v>Electronics</v>
      </c>
      <c r="G989" s="22" t="str" cm="1">
        <f t="array" ref="G989:L989">_xlfn.XLOOKUP(C989,Sales_Fact!C989:C2973,Sales_Fact!E989:J2973)</f>
        <v>STORE10</v>
      </c>
      <c r="H989" s="22">
        <v>3</v>
      </c>
      <c r="I989" s="22">
        <v>909.11</v>
      </c>
      <c r="J989" s="22">
        <v>0.23</v>
      </c>
      <c r="K989" s="22" t="str">
        <v>COD</v>
      </c>
      <c r="L989" s="22">
        <v>2100.0441000000001</v>
      </c>
    </row>
    <row r="990" spans="1:12" x14ac:dyDescent="0.3">
      <c r="A990" s="22" t="s">
        <v>2799</v>
      </c>
      <c r="B990" s="34" cm="1">
        <f t="array" ref="B990:C990">_xlfn.XLOOKUP(A990,Sales_Fact!A990:A2974,Sales_Fact!B990:C2974)</f>
        <v>45542</v>
      </c>
      <c r="C990" s="22" t="str">
        <v>CUST1399</v>
      </c>
      <c r="D990" s="22" t="str">
        <f>VLOOKUP('Combine Products &amp; Sales Facts'!C990,'Customer Details'!A:B,2,0)</f>
        <v>John Donaldson</v>
      </c>
      <c r="E990" s="22" t="str">
        <f>VLOOKUP(C990,Sales_Fact!C:D,2,0)</f>
        <v>PROD66</v>
      </c>
      <c r="F990" s="22" t="str">
        <f>VLOOKUP(E990,Product_Dim!A:C,3,0)</f>
        <v>Beauty</v>
      </c>
      <c r="G990" s="22" t="str" cm="1">
        <f t="array" ref="G990:L990">_xlfn.XLOOKUP(C990,Sales_Fact!C990:C2974,Sales_Fact!E990:J2974)</f>
        <v>STORE1</v>
      </c>
      <c r="H990" s="22">
        <v>4</v>
      </c>
      <c r="I990" s="22">
        <v>996.85</v>
      </c>
      <c r="J990" s="22">
        <v>0.24</v>
      </c>
      <c r="K990" s="22" t="str">
        <v>PayPal</v>
      </c>
      <c r="L990" s="22">
        <v>3030.424</v>
      </c>
    </row>
    <row r="991" spans="1:12" x14ac:dyDescent="0.3">
      <c r="A991" s="22" t="s">
        <v>2800</v>
      </c>
      <c r="B991" s="34" cm="1">
        <f t="array" ref="B991:C991">_xlfn.XLOOKUP(A991,Sales_Fact!A991:A2975,Sales_Fact!B991:C2975)</f>
        <v>45834</v>
      </c>
      <c r="C991" s="22" t="str">
        <v>CUST1300</v>
      </c>
      <c r="D991" s="22" t="str">
        <f>VLOOKUP('Combine Products &amp; Sales Facts'!C991,'Customer Details'!A:B,2,0)</f>
        <v>Matthew Avery</v>
      </c>
      <c r="E991" s="22" t="str">
        <f>VLOOKUP(C991,Sales_Fact!C:D,2,0)</f>
        <v>PROD36</v>
      </c>
      <c r="F991" s="22" t="str">
        <f>VLOOKUP(E991,Product_Dim!A:C,3,0)</f>
        <v>Clothing</v>
      </c>
      <c r="G991" s="22" t="str" cm="1">
        <f t="array" ref="G991:L991">_xlfn.XLOOKUP(C991,Sales_Fact!C991:C2975,Sales_Fact!E991:J2975)</f>
        <v>STORE17</v>
      </c>
      <c r="H991" s="22">
        <v>1</v>
      </c>
      <c r="I991" s="22">
        <v>522.69000000000005</v>
      </c>
      <c r="J991" s="22">
        <v>0.06</v>
      </c>
      <c r="K991" s="22" t="str">
        <v>COD</v>
      </c>
      <c r="L991" s="22">
        <v>491.32860000000011</v>
      </c>
    </row>
    <row r="992" spans="1:12" x14ac:dyDescent="0.3">
      <c r="A992" s="22" t="s">
        <v>2801</v>
      </c>
      <c r="B992" s="34" cm="1">
        <f t="array" ref="B992:C992">_xlfn.XLOOKUP(A992,Sales_Fact!A992:A2976,Sales_Fact!B992:C2976)</f>
        <v>45405</v>
      </c>
      <c r="C992" s="22" t="str">
        <v>CUST1194</v>
      </c>
      <c r="D992" s="22" t="str">
        <f>VLOOKUP('Combine Products &amp; Sales Facts'!C992,'Customer Details'!A:B,2,0)</f>
        <v>Ashley Ferguson</v>
      </c>
      <c r="E992" s="22" t="str">
        <f>VLOOKUP(C992,Sales_Fact!C:D,2,0)</f>
        <v>PROD54</v>
      </c>
      <c r="F992" s="22" t="str">
        <f>VLOOKUP(E992,Product_Dim!A:C,3,0)</f>
        <v>Sports</v>
      </c>
      <c r="G992" s="22" t="str" cm="1">
        <f t="array" ref="G992:L992">_xlfn.XLOOKUP(C992,Sales_Fact!C992:C2976,Sales_Fact!E992:J2976)</f>
        <v>STORE3</v>
      </c>
      <c r="H992" s="22">
        <v>3</v>
      </c>
      <c r="I992" s="22">
        <v>261.05</v>
      </c>
      <c r="J992" s="22">
        <v>0.12</v>
      </c>
      <c r="K992" s="22" t="str">
        <v>PayPal</v>
      </c>
      <c r="L992" s="22">
        <v>689.17200000000014</v>
      </c>
    </row>
    <row r="993" spans="1:12" x14ac:dyDescent="0.3">
      <c r="A993" s="22" t="s">
        <v>2802</v>
      </c>
      <c r="B993" s="34" cm="1">
        <f t="array" ref="B993:C993">_xlfn.XLOOKUP(A993,Sales_Fact!A993:A2977,Sales_Fact!B993:C2977)</f>
        <v>45918</v>
      </c>
      <c r="C993" s="22" t="str">
        <v>CUST1087</v>
      </c>
      <c r="D993" s="22" t="str">
        <f>VLOOKUP('Combine Products &amp; Sales Facts'!C993,'Customer Details'!A:B,2,0)</f>
        <v>Melissa Duffy Md</v>
      </c>
      <c r="E993" s="22" t="str">
        <f>VLOOKUP(C993,Sales_Fact!C:D,2,0)</f>
        <v>PROD76</v>
      </c>
      <c r="F993" s="22" t="str">
        <f>VLOOKUP(E993,Product_Dim!A:C,3,0)</f>
        <v>Electronics</v>
      </c>
      <c r="G993" s="22" t="str" cm="1">
        <f t="array" ref="G993:L993">_xlfn.XLOOKUP(C993,Sales_Fact!C993:C2977,Sales_Fact!E993:J2977)</f>
        <v>STORE17</v>
      </c>
      <c r="H993" s="22">
        <v>3</v>
      </c>
      <c r="I993" s="22">
        <v>644.73</v>
      </c>
      <c r="J993" s="22">
        <v>0.01</v>
      </c>
      <c r="K993" s="22" t="str">
        <v>COD</v>
      </c>
      <c r="L993" s="22">
        <v>1914.8480999999999</v>
      </c>
    </row>
    <row r="994" spans="1:12" x14ac:dyDescent="0.3">
      <c r="A994" s="22" t="s">
        <v>2803</v>
      </c>
      <c r="B994" s="34" cm="1">
        <f t="array" ref="B994:C994">_xlfn.XLOOKUP(A994,Sales_Fact!A994:A2978,Sales_Fact!B994:C2978)</f>
        <v>45217</v>
      </c>
      <c r="C994" s="22" t="str">
        <v>CUST1198</v>
      </c>
      <c r="D994" s="22" t="str">
        <f>VLOOKUP('Combine Products &amp; Sales Facts'!C994,'Customer Details'!A:B,2,0)</f>
        <v>Wanda Snyder</v>
      </c>
      <c r="E994" s="22" t="str">
        <f>VLOOKUP(C994,Sales_Fact!C:D,2,0)</f>
        <v>PROD12</v>
      </c>
      <c r="F994" s="22" t="str">
        <f>VLOOKUP(E994,Product_Dim!A:C,3,0)</f>
        <v>Beauty</v>
      </c>
      <c r="G994" s="22" t="str" cm="1">
        <f t="array" ref="G994:L994">_xlfn.XLOOKUP(C994,Sales_Fact!C994:C2978,Sales_Fact!E994:J2978)</f>
        <v>STORE2</v>
      </c>
      <c r="H994" s="22">
        <v>2</v>
      </c>
      <c r="I994" s="22">
        <v>541.52</v>
      </c>
      <c r="J994" s="22">
        <v>0.26</v>
      </c>
      <c r="K994" s="22" t="str">
        <v>PayPal</v>
      </c>
      <c r="L994" s="22">
        <v>801.44959999999992</v>
      </c>
    </row>
    <row r="995" spans="1:12" x14ac:dyDescent="0.3">
      <c r="A995" s="22" t="s">
        <v>2804</v>
      </c>
      <c r="B995" s="34" cm="1">
        <f t="array" ref="B995:C995">_xlfn.XLOOKUP(A995,Sales_Fact!A995:A2979,Sales_Fact!B995:C2979)</f>
        <v>45259</v>
      </c>
      <c r="C995" s="22" t="str">
        <v>CUST1426</v>
      </c>
      <c r="D995" s="22" t="str">
        <f>VLOOKUP('Combine Products &amp; Sales Facts'!C995,'Customer Details'!A:B,2,0)</f>
        <v>Jeanette Nichols</v>
      </c>
      <c r="E995" s="22" t="str">
        <f>VLOOKUP(C995,Sales_Fact!C:D,2,0)</f>
        <v>PROD63</v>
      </c>
      <c r="F995" s="22" t="str">
        <f>VLOOKUP(E995,Product_Dim!A:C,3,0)</f>
        <v>Beauty</v>
      </c>
      <c r="G995" s="22" t="str" cm="1">
        <f t="array" ref="G995:L995">_xlfn.XLOOKUP(C995,Sales_Fact!C995:C2979,Sales_Fact!E995:J2979)</f>
        <v>STORE10</v>
      </c>
      <c r="H995" s="22">
        <v>1</v>
      </c>
      <c r="I995" s="22">
        <v>395.18</v>
      </c>
      <c r="J995" s="22">
        <v>0.09</v>
      </c>
      <c r="K995" s="22" t="str">
        <v>PayPal</v>
      </c>
      <c r="L995" s="22">
        <v>359.61380000000003</v>
      </c>
    </row>
    <row r="996" spans="1:12" x14ac:dyDescent="0.3">
      <c r="A996" s="22" t="s">
        <v>2805</v>
      </c>
      <c r="B996" s="34" cm="1">
        <f t="array" ref="B996:C996">_xlfn.XLOOKUP(A996,Sales_Fact!A996:A2980,Sales_Fact!B996:C2980)</f>
        <v>45740</v>
      </c>
      <c r="C996" s="22" t="str">
        <v>CUST1100</v>
      </c>
      <c r="D996" s="22" t="str">
        <f>VLOOKUP('Combine Products &amp; Sales Facts'!C996,'Customer Details'!A:B,2,0)</f>
        <v>Diane Watson</v>
      </c>
      <c r="E996" s="22" t="str">
        <f>VLOOKUP(C996,Sales_Fact!C:D,2,0)</f>
        <v>PROD24</v>
      </c>
      <c r="F996" s="22" t="str">
        <f>VLOOKUP(E996,Product_Dim!A:C,3,0)</f>
        <v>Sports</v>
      </c>
      <c r="G996" s="22" t="str" cm="1">
        <f t="array" ref="G996:L996">_xlfn.XLOOKUP(C996,Sales_Fact!C996:C2980,Sales_Fact!E996:J2980)</f>
        <v>STORE8</v>
      </c>
      <c r="H996" s="22">
        <v>4</v>
      </c>
      <c r="I996" s="22">
        <v>56.37</v>
      </c>
      <c r="J996" s="22">
        <v>0.17</v>
      </c>
      <c r="K996" s="22" t="str">
        <v>Credit Card</v>
      </c>
      <c r="L996" s="22">
        <v>187.14840000000001</v>
      </c>
    </row>
    <row r="997" spans="1:12" x14ac:dyDescent="0.3">
      <c r="A997" s="22" t="s">
        <v>2806</v>
      </c>
      <c r="B997" s="34" cm="1">
        <f t="array" ref="B997:C997">_xlfn.XLOOKUP(A997,Sales_Fact!A997:A2981,Sales_Fact!B997:C2981)</f>
        <v>45908</v>
      </c>
      <c r="C997" s="22" t="str">
        <v>CUST1209</v>
      </c>
      <c r="D997" s="22" t="str">
        <f>VLOOKUP('Combine Products &amp; Sales Facts'!C997,'Customer Details'!A:B,2,0)</f>
        <v>Joan Johnson</v>
      </c>
      <c r="E997" s="22" t="str">
        <f>VLOOKUP(C997,Sales_Fact!C:D,2,0)</f>
        <v>PROD42</v>
      </c>
      <c r="F997" s="22" t="str">
        <f>VLOOKUP(E997,Product_Dim!A:C,3,0)</f>
        <v>Electronics</v>
      </c>
      <c r="G997" s="22" t="str" cm="1">
        <f t="array" ref="G997:L997">_xlfn.XLOOKUP(C997,Sales_Fact!C997:C2981,Sales_Fact!E997:J2981)</f>
        <v>STORE9</v>
      </c>
      <c r="H997" s="22">
        <v>4</v>
      </c>
      <c r="I997" s="22">
        <v>202.59</v>
      </c>
      <c r="J997" s="22">
        <v>0.06</v>
      </c>
      <c r="K997" s="22" t="str">
        <v>COD</v>
      </c>
      <c r="L997" s="22">
        <v>761.73839999999996</v>
      </c>
    </row>
    <row r="998" spans="1:12" x14ac:dyDescent="0.3">
      <c r="A998" s="22" t="s">
        <v>2807</v>
      </c>
      <c r="B998" s="34" cm="1">
        <f t="array" ref="B998:C998">_xlfn.XLOOKUP(A998,Sales_Fact!A998:A2982,Sales_Fact!B998:C2982)</f>
        <v>45601</v>
      </c>
      <c r="C998" s="22" t="str">
        <v>CUST1004</v>
      </c>
      <c r="D998" s="22" t="str">
        <f>VLOOKUP('Combine Products &amp; Sales Facts'!C998,'Customer Details'!A:B,2,0)</f>
        <v>Caroline Collins</v>
      </c>
      <c r="E998" s="22" t="str">
        <f>VLOOKUP(C998,Sales_Fact!C:D,2,0)</f>
        <v>PROD47</v>
      </c>
      <c r="F998" s="22" t="str">
        <f>VLOOKUP(E998,Product_Dim!A:C,3,0)</f>
        <v>Beauty</v>
      </c>
      <c r="G998" s="22" t="str" cm="1">
        <f t="array" ref="G998:L998">_xlfn.XLOOKUP(C998,Sales_Fact!C998:C2982,Sales_Fact!E998:J2982)</f>
        <v>STORE5</v>
      </c>
      <c r="H998" s="22">
        <v>2</v>
      </c>
      <c r="I998" s="22">
        <v>358.36</v>
      </c>
      <c r="J998" s="22">
        <v>0.05</v>
      </c>
      <c r="K998" s="22" t="str">
        <v>PayPal</v>
      </c>
      <c r="L998" s="22">
        <v>680.88400000000001</v>
      </c>
    </row>
    <row r="999" spans="1:12" x14ac:dyDescent="0.3">
      <c r="A999" s="22" t="s">
        <v>2808</v>
      </c>
      <c r="B999" s="34" cm="1">
        <f t="array" ref="B999:C999">_xlfn.XLOOKUP(A999,Sales_Fact!A999:A2983,Sales_Fact!B999:C2983)</f>
        <v>45535</v>
      </c>
      <c r="C999" s="22" t="str">
        <v>CUST1072</v>
      </c>
      <c r="D999" s="22" t="str">
        <f>VLOOKUP('Combine Products &amp; Sales Facts'!C999,'Customer Details'!A:B,2,0)</f>
        <v>Tonya Burch</v>
      </c>
      <c r="E999" s="22" t="str">
        <f>VLOOKUP(C999,Sales_Fact!C:D,2,0)</f>
        <v>PROD26</v>
      </c>
      <c r="F999" s="22" t="str">
        <f>VLOOKUP(E999,Product_Dim!A:C,3,0)</f>
        <v>Electronics</v>
      </c>
      <c r="G999" s="22" t="str" cm="1">
        <f t="array" ref="G999:L999">_xlfn.XLOOKUP(C999,Sales_Fact!C999:C2983,Sales_Fact!E999:J2983)</f>
        <v>STORE18</v>
      </c>
      <c r="H999" s="22">
        <v>4</v>
      </c>
      <c r="I999" s="22">
        <v>85.62</v>
      </c>
      <c r="J999" s="22">
        <v>0.28000000000000003</v>
      </c>
      <c r="K999" s="22" t="str">
        <v>COD</v>
      </c>
      <c r="L999" s="22">
        <v>246.5856</v>
      </c>
    </row>
    <row r="1000" spans="1:12" x14ac:dyDescent="0.3">
      <c r="A1000" s="22" t="s">
        <v>2809</v>
      </c>
      <c r="B1000" s="34" cm="1">
        <f t="array" ref="B1000:C1000">_xlfn.XLOOKUP(A1000,Sales_Fact!A1000:A2984,Sales_Fact!B1000:C2984)</f>
        <v>45459</v>
      </c>
      <c r="C1000" s="22" t="str">
        <v>CUST1185</v>
      </c>
      <c r="D1000" s="22" t="str">
        <f>VLOOKUP('Combine Products &amp; Sales Facts'!C1000,'Customer Details'!A:B,2,0)</f>
        <v>Brent Rivas</v>
      </c>
      <c r="E1000" s="22" t="str">
        <f>VLOOKUP(C1000,Sales_Fact!C:D,2,0)</f>
        <v>PROD79</v>
      </c>
      <c r="F1000" s="22" t="str">
        <f>VLOOKUP(E1000,Product_Dim!A:C,3,0)</f>
        <v>Home</v>
      </c>
      <c r="G1000" s="22" t="str" cm="1">
        <f t="array" ref="G1000:L1000">_xlfn.XLOOKUP(C1000,Sales_Fact!C1000:C2984,Sales_Fact!E1000:J2984)</f>
        <v>STORE17</v>
      </c>
      <c r="H1000" s="22">
        <v>4</v>
      </c>
      <c r="I1000" s="22">
        <v>929.26</v>
      </c>
      <c r="J1000" s="22">
        <v>0.23</v>
      </c>
      <c r="K1000" s="22" t="str">
        <v>PayPal</v>
      </c>
      <c r="L1000" s="22">
        <v>2862.1208000000001</v>
      </c>
    </row>
    <row r="1001" spans="1:12" x14ac:dyDescent="0.3">
      <c r="A1001" s="22" t="s">
        <v>2810</v>
      </c>
      <c r="B1001" s="34" cm="1">
        <f t="array" ref="B1001:C1001">_xlfn.XLOOKUP(A1001,Sales_Fact!A1001:A2985,Sales_Fact!B1001:C2985)</f>
        <v>45681</v>
      </c>
      <c r="C1001" s="22" t="str">
        <v>CUST1309</v>
      </c>
      <c r="D1001" s="22" t="str">
        <f>VLOOKUP('Combine Products &amp; Sales Facts'!C1001,'Customer Details'!A:B,2,0)</f>
        <v>Stacy Collins</v>
      </c>
      <c r="E1001" s="22" t="str">
        <f>VLOOKUP(C1001,Sales_Fact!C:D,2,0)</f>
        <v>PROD61</v>
      </c>
      <c r="F1001" s="22" t="str">
        <f>VLOOKUP(E1001,Product_Dim!A:C,3,0)</f>
        <v>Sports</v>
      </c>
      <c r="G1001" s="22" t="str" cm="1">
        <f t="array" ref="G1001:L1001">_xlfn.XLOOKUP(C1001,Sales_Fact!C1001:C2985,Sales_Fact!E1001:J2985)</f>
        <v>STORE13</v>
      </c>
      <c r="H1001" s="22">
        <v>2</v>
      </c>
      <c r="I1001" s="22">
        <v>92.64</v>
      </c>
      <c r="J1001" s="22">
        <v>0.14000000000000001</v>
      </c>
      <c r="K1001" s="22" t="str">
        <v>COD</v>
      </c>
      <c r="L1001" s="22">
        <v>159.3408</v>
      </c>
    </row>
    <row r="1002" spans="1:12" x14ac:dyDescent="0.3">
      <c r="A1002" s="22" t="s">
        <v>2811</v>
      </c>
      <c r="B1002" s="34" cm="1">
        <f t="array" ref="B1002:C1002">_xlfn.XLOOKUP(A1002,Sales_Fact!A1002:A2986,Sales_Fact!B1002:C2986)</f>
        <v>45725</v>
      </c>
      <c r="C1002" s="22" t="str">
        <v>CUST1248</v>
      </c>
      <c r="D1002" s="22" t="str">
        <f>VLOOKUP('Combine Products &amp; Sales Facts'!C1002,'Customer Details'!A:B,2,0)</f>
        <v>Nicholas Webb</v>
      </c>
      <c r="E1002" s="22" t="str">
        <f>VLOOKUP(C1002,Sales_Fact!C:D,2,0)</f>
        <v>PROD87</v>
      </c>
      <c r="F1002" s="22" t="str">
        <f>VLOOKUP(E1002,Product_Dim!A:C,3,0)</f>
        <v>Home</v>
      </c>
      <c r="G1002" s="22" t="str" cm="1">
        <f t="array" ref="G1002:L1002">_xlfn.XLOOKUP(C1002,Sales_Fact!C1002:C2986,Sales_Fact!E1002:J2986)</f>
        <v>STORE4</v>
      </c>
      <c r="H1002" s="22">
        <v>4</v>
      </c>
      <c r="I1002" s="22">
        <v>139.05000000000001</v>
      </c>
      <c r="J1002" s="22">
        <v>0.28999999999999998</v>
      </c>
      <c r="K1002" s="22" t="str">
        <v>COD</v>
      </c>
      <c r="L1002" s="22">
        <v>394.90199999999999</v>
      </c>
    </row>
    <row r="1003" spans="1:12" x14ac:dyDescent="0.3">
      <c r="A1003" s="22" t="s">
        <v>2812</v>
      </c>
      <c r="B1003" s="34" cm="1">
        <f t="array" ref="B1003:C1003">_xlfn.XLOOKUP(A1003,Sales_Fact!A1003:A2987,Sales_Fact!B1003:C2987)</f>
        <v>45461</v>
      </c>
      <c r="C1003" s="22" t="str">
        <v>CUST1140</v>
      </c>
      <c r="D1003" s="22" t="str">
        <f>VLOOKUP('Combine Products &amp; Sales Facts'!C1003,'Customer Details'!A:B,2,0)</f>
        <v>Patty Francis</v>
      </c>
      <c r="E1003" s="22" t="str">
        <f>VLOOKUP(C1003,Sales_Fact!C:D,2,0)</f>
        <v>PROD35</v>
      </c>
      <c r="F1003" s="22" t="str">
        <f>VLOOKUP(E1003,Product_Dim!A:C,3,0)</f>
        <v>Home</v>
      </c>
      <c r="G1003" s="22" t="str" cm="1">
        <f t="array" ref="G1003:L1003">_xlfn.XLOOKUP(C1003,Sales_Fact!C1003:C2987,Sales_Fact!E1003:J2987)</f>
        <v>STORE4</v>
      </c>
      <c r="H1003" s="22">
        <v>3</v>
      </c>
      <c r="I1003" s="22">
        <v>155.87</v>
      </c>
      <c r="J1003" s="22">
        <v>0.03</v>
      </c>
      <c r="K1003" s="22" t="str">
        <v>COD</v>
      </c>
      <c r="L1003" s="22">
        <v>453.58170000000001</v>
      </c>
    </row>
    <row r="1004" spans="1:12" x14ac:dyDescent="0.3">
      <c r="A1004" s="22" t="s">
        <v>2813</v>
      </c>
      <c r="B1004" s="34" cm="1">
        <f t="array" ref="B1004:C1004">_xlfn.XLOOKUP(A1004,Sales_Fact!A1004:A2988,Sales_Fact!B1004:C2988)</f>
        <v>45837</v>
      </c>
      <c r="C1004" s="22" t="str">
        <v>CUST1442</v>
      </c>
      <c r="D1004" s="22" t="str">
        <f>VLOOKUP('Combine Products &amp; Sales Facts'!C1004,'Customer Details'!A:B,2,0)</f>
        <v>Kelli Smith</v>
      </c>
      <c r="E1004" s="22" t="str">
        <f>VLOOKUP(C1004,Sales_Fact!C:D,2,0)</f>
        <v>PROD56</v>
      </c>
      <c r="F1004" s="22" t="str">
        <f>VLOOKUP(E1004,Product_Dim!A:C,3,0)</f>
        <v>Home</v>
      </c>
      <c r="G1004" s="22" t="str" cm="1">
        <f t="array" ref="G1004:L1004">_xlfn.XLOOKUP(C1004,Sales_Fact!C1004:C2988,Sales_Fact!E1004:J2988)</f>
        <v>STORE16</v>
      </c>
      <c r="H1004" s="22">
        <v>4</v>
      </c>
      <c r="I1004" s="22">
        <v>115.42</v>
      </c>
      <c r="J1004" s="22">
        <v>0.03</v>
      </c>
      <c r="K1004" s="22" t="str">
        <v>COD</v>
      </c>
      <c r="L1004" s="22">
        <v>447.82960000000003</v>
      </c>
    </row>
    <row r="1005" spans="1:12" x14ac:dyDescent="0.3">
      <c r="A1005" s="22" t="s">
        <v>2814</v>
      </c>
      <c r="B1005" s="34" cm="1">
        <f t="array" ref="B1005:C1005">_xlfn.XLOOKUP(A1005,Sales_Fact!A1005:A2989,Sales_Fact!B1005:C2989)</f>
        <v>45823</v>
      </c>
      <c r="C1005" s="22" t="str">
        <v>CUST1122</v>
      </c>
      <c r="D1005" s="22" t="str">
        <f>VLOOKUP('Combine Products &amp; Sales Facts'!C1005,'Customer Details'!A:B,2,0)</f>
        <v>Michael Chang</v>
      </c>
      <c r="E1005" s="22" t="str">
        <f>VLOOKUP(C1005,Sales_Fact!C:D,2,0)</f>
        <v>PROD94</v>
      </c>
      <c r="F1005" s="22" t="str">
        <f>VLOOKUP(E1005,Product_Dim!A:C,3,0)</f>
        <v>Beauty</v>
      </c>
      <c r="G1005" s="22" t="str" cm="1">
        <f t="array" ref="G1005:L1005">_xlfn.XLOOKUP(C1005,Sales_Fact!C1005:C2989,Sales_Fact!E1005:J2989)</f>
        <v>STORE6</v>
      </c>
      <c r="H1005" s="22">
        <v>3</v>
      </c>
      <c r="I1005" s="22">
        <v>593.62</v>
      </c>
      <c r="J1005" s="22">
        <v>0.08</v>
      </c>
      <c r="K1005" s="22" t="str">
        <v>Credit Card</v>
      </c>
      <c r="L1005" s="22">
        <v>1638.3912</v>
      </c>
    </row>
    <row r="1006" spans="1:12" x14ac:dyDescent="0.3">
      <c r="A1006" s="22" t="s">
        <v>2815</v>
      </c>
      <c r="B1006" s="34" cm="1">
        <f t="array" ref="B1006:C1006">_xlfn.XLOOKUP(A1006,Sales_Fact!A1006:A2990,Sales_Fact!B1006:C2990)</f>
        <v>45733</v>
      </c>
      <c r="C1006" s="22" t="str">
        <v>CUST1353</v>
      </c>
      <c r="D1006" s="22" t="str">
        <f>VLOOKUP('Combine Products &amp; Sales Facts'!C1006,'Customer Details'!A:B,2,0)</f>
        <v>Laura Green</v>
      </c>
      <c r="E1006" s="22" t="str">
        <f>VLOOKUP(C1006,Sales_Fact!C:D,2,0)</f>
        <v>PROD48</v>
      </c>
      <c r="F1006" s="22" t="str">
        <f>VLOOKUP(E1006,Product_Dim!A:C,3,0)</f>
        <v>Electronics</v>
      </c>
      <c r="G1006" s="22" t="str" cm="1">
        <f t="array" ref="G1006:L1006">_xlfn.XLOOKUP(C1006,Sales_Fact!C1006:C2990,Sales_Fact!E1006:J2990)</f>
        <v>STORE4</v>
      </c>
      <c r="H1006" s="22">
        <v>2</v>
      </c>
      <c r="I1006" s="22">
        <v>825.04</v>
      </c>
      <c r="J1006" s="22">
        <v>0.2</v>
      </c>
      <c r="K1006" s="22" t="str">
        <v>Credit Card</v>
      </c>
      <c r="L1006" s="22">
        <v>1320.0640000000001</v>
      </c>
    </row>
    <row r="1007" spans="1:12" x14ac:dyDescent="0.3">
      <c r="A1007" s="22" t="s">
        <v>2816</v>
      </c>
      <c r="B1007" s="34" cm="1">
        <f t="array" ref="B1007:C1007">_xlfn.XLOOKUP(A1007,Sales_Fact!A1007:A2991,Sales_Fact!B1007:C2991)</f>
        <v>45322</v>
      </c>
      <c r="C1007" s="22" t="str">
        <v>CUST1464</v>
      </c>
      <c r="D1007" s="22" t="str">
        <f>VLOOKUP('Combine Products &amp; Sales Facts'!C1007,'Customer Details'!A:B,2,0)</f>
        <v>David Pierce</v>
      </c>
      <c r="E1007" s="22" t="str">
        <f>VLOOKUP(C1007,Sales_Fact!C:D,2,0)</f>
        <v>PROD33</v>
      </c>
      <c r="F1007" s="22" t="str">
        <f>VLOOKUP(E1007,Product_Dim!A:C,3,0)</f>
        <v>Home</v>
      </c>
      <c r="G1007" s="22" t="str" cm="1">
        <f t="array" ref="G1007:L1007">_xlfn.XLOOKUP(C1007,Sales_Fact!C1007:C2991,Sales_Fact!E1007:J2991)</f>
        <v>STORE13</v>
      </c>
      <c r="H1007" s="22">
        <v>1</v>
      </c>
      <c r="I1007" s="22">
        <v>963.76</v>
      </c>
      <c r="J1007" s="22">
        <v>0.14000000000000001</v>
      </c>
      <c r="K1007" s="22" t="str">
        <v>PayPal</v>
      </c>
      <c r="L1007" s="22">
        <v>828.83359999999993</v>
      </c>
    </row>
    <row r="1008" spans="1:12" x14ac:dyDescent="0.3">
      <c r="A1008" s="22" t="s">
        <v>2817</v>
      </c>
      <c r="B1008" s="34" cm="1">
        <f t="array" ref="B1008:C1008">_xlfn.XLOOKUP(A1008,Sales_Fact!A1008:A2992,Sales_Fact!B1008:C2992)</f>
        <v>45415</v>
      </c>
      <c r="C1008" s="22" t="str">
        <v>CUST1292</v>
      </c>
      <c r="D1008" s="22" t="str">
        <f>VLOOKUP('Combine Products &amp; Sales Facts'!C1008,'Customer Details'!A:B,2,0)</f>
        <v>Ricardo Jones</v>
      </c>
      <c r="E1008" s="22" t="str">
        <f>VLOOKUP(C1008,Sales_Fact!C:D,2,0)</f>
        <v>PROD99</v>
      </c>
      <c r="F1008" s="22" t="str">
        <f>VLOOKUP(E1008,Product_Dim!A:C,3,0)</f>
        <v>Home</v>
      </c>
      <c r="G1008" s="22" t="str" cm="1">
        <f t="array" ref="G1008:L1008">_xlfn.XLOOKUP(C1008,Sales_Fact!C1008:C2992,Sales_Fact!E1008:J2992)</f>
        <v>STORE6</v>
      </c>
      <c r="H1008" s="22">
        <v>1</v>
      </c>
      <c r="I1008" s="22">
        <v>238.24</v>
      </c>
      <c r="J1008" s="22">
        <v>0.12</v>
      </c>
      <c r="K1008" s="22" t="str">
        <v>PayPal</v>
      </c>
      <c r="L1008" s="22">
        <v>209.65119999999999</v>
      </c>
    </row>
    <row r="1009" spans="1:12" x14ac:dyDescent="0.3">
      <c r="A1009" s="22" t="s">
        <v>2818</v>
      </c>
      <c r="B1009" s="34" cm="1">
        <f t="array" ref="B1009:C1009">_xlfn.XLOOKUP(A1009,Sales_Fact!A1009:A2993,Sales_Fact!B1009:C2993)</f>
        <v>45644</v>
      </c>
      <c r="C1009" s="22" t="str">
        <v>CUST1457</v>
      </c>
      <c r="D1009" s="22" t="str">
        <f>VLOOKUP('Combine Products &amp; Sales Facts'!C1009,'Customer Details'!A:B,2,0)</f>
        <v>Christina Robertson</v>
      </c>
      <c r="E1009" s="22" t="str">
        <f>VLOOKUP(C1009,Sales_Fact!C:D,2,0)</f>
        <v>PROD43</v>
      </c>
      <c r="F1009" s="22" t="str">
        <f>VLOOKUP(E1009,Product_Dim!A:C,3,0)</f>
        <v>Electronics</v>
      </c>
      <c r="G1009" s="22" t="str" cm="1">
        <f t="array" ref="G1009:L1009">_xlfn.XLOOKUP(C1009,Sales_Fact!C1009:C2993,Sales_Fact!E1009:J2993)</f>
        <v>STORE16</v>
      </c>
      <c r="H1009" s="22">
        <v>1</v>
      </c>
      <c r="I1009" s="22">
        <v>756.63</v>
      </c>
      <c r="J1009" s="22">
        <v>0.04</v>
      </c>
      <c r="K1009" s="22" t="str">
        <v>PayPal</v>
      </c>
      <c r="L1009" s="22">
        <v>726.36479999999995</v>
      </c>
    </row>
    <row r="1010" spans="1:12" x14ac:dyDescent="0.3">
      <c r="A1010" s="22" t="s">
        <v>2819</v>
      </c>
      <c r="B1010" s="34" cm="1">
        <f t="array" ref="B1010:C1010">_xlfn.XLOOKUP(A1010,Sales_Fact!A1010:A2994,Sales_Fact!B1010:C2994)</f>
        <v>45845</v>
      </c>
      <c r="C1010" s="22" t="str">
        <v>CUST1019</v>
      </c>
      <c r="D1010" s="22" t="str">
        <f>VLOOKUP('Combine Products &amp; Sales Facts'!C1010,'Customer Details'!A:B,2,0)</f>
        <v>Michael Torres</v>
      </c>
      <c r="E1010" s="22" t="str">
        <f>VLOOKUP(C1010,Sales_Fact!C:D,2,0)</f>
        <v>PROD76</v>
      </c>
      <c r="F1010" s="22" t="str">
        <f>VLOOKUP(E1010,Product_Dim!A:C,3,0)</f>
        <v>Electronics</v>
      </c>
      <c r="G1010" s="22" t="str" cm="1">
        <f t="array" ref="G1010:L1010">_xlfn.XLOOKUP(C1010,Sales_Fact!C1010:C2994,Sales_Fact!E1010:J2994)</f>
        <v>STORE7</v>
      </c>
      <c r="H1010" s="22">
        <v>3</v>
      </c>
      <c r="I1010" s="22">
        <v>159.76</v>
      </c>
      <c r="J1010" s="22">
        <v>0.22</v>
      </c>
      <c r="K1010" s="22" t="str">
        <v>Credit Card</v>
      </c>
      <c r="L1010" s="22">
        <v>373.83839999999998</v>
      </c>
    </row>
    <row r="1011" spans="1:12" x14ac:dyDescent="0.3">
      <c r="A1011" s="22" t="s">
        <v>2820</v>
      </c>
      <c r="B1011" s="34" cm="1">
        <f t="array" ref="B1011:C1011">_xlfn.XLOOKUP(A1011,Sales_Fact!A1011:A2995,Sales_Fact!B1011:C2995)</f>
        <v>45354</v>
      </c>
      <c r="C1011" s="22" t="str">
        <v>CUST1368</v>
      </c>
      <c r="D1011" s="22" t="str">
        <f>VLOOKUP('Combine Products &amp; Sales Facts'!C1011,'Customer Details'!A:B,2,0)</f>
        <v>Miranda King</v>
      </c>
      <c r="E1011" s="22" t="str">
        <f>VLOOKUP(C1011,Sales_Fact!C:D,2,0)</f>
        <v>PROD12</v>
      </c>
      <c r="F1011" s="22" t="str">
        <f>VLOOKUP(E1011,Product_Dim!A:C,3,0)</f>
        <v>Beauty</v>
      </c>
      <c r="G1011" s="22" t="str" cm="1">
        <f t="array" ref="G1011:L1011">_xlfn.XLOOKUP(C1011,Sales_Fact!C1011:C2995,Sales_Fact!E1011:J2995)</f>
        <v>STORE8</v>
      </c>
      <c r="H1011" s="22">
        <v>1</v>
      </c>
      <c r="I1011" s="22">
        <v>329.94</v>
      </c>
      <c r="J1011" s="22">
        <v>0.14000000000000001</v>
      </c>
      <c r="K1011" s="22" t="str">
        <v>COD</v>
      </c>
      <c r="L1011" s="22">
        <v>283.7484</v>
      </c>
    </row>
    <row r="1012" spans="1:12" x14ac:dyDescent="0.3">
      <c r="A1012" s="22" t="s">
        <v>2821</v>
      </c>
      <c r="B1012" s="34" cm="1">
        <f t="array" ref="B1012:C1012">_xlfn.XLOOKUP(A1012,Sales_Fact!A1012:A2996,Sales_Fact!B1012:C2996)</f>
        <v>45720</v>
      </c>
      <c r="C1012" s="22" t="str">
        <v>CUST1060</v>
      </c>
      <c r="D1012" s="22" t="str">
        <f>VLOOKUP('Combine Products &amp; Sales Facts'!C1012,'Customer Details'!A:B,2,0)</f>
        <v>Dr. David Smith</v>
      </c>
      <c r="E1012" s="22" t="str">
        <f>VLOOKUP(C1012,Sales_Fact!C:D,2,0)</f>
        <v>PROD38</v>
      </c>
      <c r="F1012" s="22" t="str">
        <f>VLOOKUP(E1012,Product_Dim!A:C,3,0)</f>
        <v>Sports</v>
      </c>
      <c r="G1012" s="22" t="str" cm="1">
        <f t="array" ref="G1012:L1012">_xlfn.XLOOKUP(C1012,Sales_Fact!C1012:C2996,Sales_Fact!E1012:J2996)</f>
        <v>STORE8</v>
      </c>
      <c r="H1012" s="22">
        <v>1</v>
      </c>
      <c r="I1012" s="22">
        <v>234.06</v>
      </c>
      <c r="J1012" s="22">
        <v>0.11</v>
      </c>
      <c r="K1012" s="22" t="str">
        <v>PayPal</v>
      </c>
      <c r="L1012" s="22">
        <v>208.3134</v>
      </c>
    </row>
    <row r="1013" spans="1:12" x14ac:dyDescent="0.3">
      <c r="A1013" s="22" t="s">
        <v>2822</v>
      </c>
      <c r="B1013" s="34" cm="1">
        <f t="array" ref="B1013:C1013">_xlfn.XLOOKUP(A1013,Sales_Fact!A1013:A2997,Sales_Fact!B1013:C2997)</f>
        <v>45278</v>
      </c>
      <c r="C1013" s="22" t="str">
        <v>CUST1317</v>
      </c>
      <c r="D1013" s="22" t="str">
        <f>VLOOKUP('Combine Products &amp; Sales Facts'!C1013,'Customer Details'!A:B,2,0)</f>
        <v>Tiffany Williams</v>
      </c>
      <c r="E1013" s="22" t="str">
        <f>VLOOKUP(C1013,Sales_Fact!C:D,2,0)</f>
        <v>PROD10</v>
      </c>
      <c r="F1013" s="22" t="str">
        <f>VLOOKUP(E1013,Product_Dim!A:C,3,0)</f>
        <v>Home</v>
      </c>
      <c r="G1013" s="22" t="str" cm="1">
        <f t="array" ref="G1013:L1013">_xlfn.XLOOKUP(C1013,Sales_Fact!C1013:C2997,Sales_Fact!E1013:J2997)</f>
        <v>STORE0</v>
      </c>
      <c r="H1013" s="22">
        <v>2</v>
      </c>
      <c r="I1013" s="22">
        <v>773.75</v>
      </c>
      <c r="J1013" s="22">
        <v>0.16</v>
      </c>
      <c r="K1013" s="22" t="str">
        <v>PayPal</v>
      </c>
      <c r="L1013" s="22">
        <v>1299.9000000000001</v>
      </c>
    </row>
    <row r="1014" spans="1:12" x14ac:dyDescent="0.3">
      <c r="A1014" s="22" t="s">
        <v>2823</v>
      </c>
      <c r="B1014" s="34" cm="1">
        <f t="array" ref="B1014:C1014">_xlfn.XLOOKUP(A1014,Sales_Fact!A1014:A2998,Sales_Fact!B1014:C2998)</f>
        <v>45422</v>
      </c>
      <c r="C1014" s="22" t="str">
        <v>CUST1436</v>
      </c>
      <c r="D1014" s="22" t="str">
        <f>VLOOKUP('Combine Products &amp; Sales Facts'!C1014,'Customer Details'!A:B,2,0)</f>
        <v>Sharon Simpson</v>
      </c>
      <c r="E1014" s="22" t="str">
        <f>VLOOKUP(C1014,Sales_Fact!C:D,2,0)</f>
        <v>PROD52</v>
      </c>
      <c r="F1014" s="22" t="str">
        <f>VLOOKUP(E1014,Product_Dim!A:C,3,0)</f>
        <v>Sports</v>
      </c>
      <c r="G1014" s="22" t="str" cm="1">
        <f t="array" ref="G1014:L1014">_xlfn.XLOOKUP(C1014,Sales_Fact!C1014:C2998,Sales_Fact!E1014:J2998)</f>
        <v>STORE18</v>
      </c>
      <c r="H1014" s="22">
        <v>1</v>
      </c>
      <c r="I1014" s="22">
        <v>73.88</v>
      </c>
      <c r="J1014" s="22">
        <v>0.04</v>
      </c>
      <c r="K1014" s="22" t="str">
        <v>Credit Card</v>
      </c>
      <c r="L1014" s="22">
        <v>70.924799999999991</v>
      </c>
    </row>
    <row r="1015" spans="1:12" x14ac:dyDescent="0.3">
      <c r="A1015" s="22" t="s">
        <v>2824</v>
      </c>
      <c r="B1015" s="34" cm="1">
        <f t="array" ref="B1015:C1015">_xlfn.XLOOKUP(A1015,Sales_Fact!A1015:A2999,Sales_Fact!B1015:C2999)</f>
        <v>45337</v>
      </c>
      <c r="C1015" s="22" t="str">
        <v>CUST1005</v>
      </c>
      <c r="D1015" s="22" t="str">
        <f>VLOOKUP('Combine Products &amp; Sales Facts'!C1015,'Customer Details'!A:B,2,0)</f>
        <v>Christine Vaughn</v>
      </c>
      <c r="E1015" s="22" t="str">
        <f>VLOOKUP(C1015,Sales_Fact!C:D,2,0)</f>
        <v>PROD61</v>
      </c>
      <c r="F1015" s="22" t="str">
        <f>VLOOKUP(E1015,Product_Dim!A:C,3,0)</f>
        <v>Sports</v>
      </c>
      <c r="G1015" s="22" t="str" cm="1">
        <f t="array" ref="G1015:L1015">_xlfn.XLOOKUP(C1015,Sales_Fact!C1015:C2999,Sales_Fact!E1015:J2999)</f>
        <v>STORE18</v>
      </c>
      <c r="H1015" s="22">
        <v>1</v>
      </c>
      <c r="I1015" s="22">
        <v>859.3</v>
      </c>
      <c r="J1015" s="22">
        <v>0.16</v>
      </c>
      <c r="K1015" s="22" t="str">
        <v>PayPal</v>
      </c>
      <c r="L1015" s="22">
        <v>721.8119999999999</v>
      </c>
    </row>
    <row r="1016" spans="1:12" x14ac:dyDescent="0.3">
      <c r="A1016" s="22" t="s">
        <v>2825</v>
      </c>
      <c r="B1016" s="34" cm="1">
        <f t="array" ref="B1016:C1016">_xlfn.XLOOKUP(A1016,Sales_Fact!A1016:A3000,Sales_Fact!B1016:C3000)</f>
        <v>45564</v>
      </c>
      <c r="C1016" s="22" t="str">
        <v>CUST1129</v>
      </c>
      <c r="D1016" s="22" t="str">
        <f>VLOOKUP('Combine Products &amp; Sales Facts'!C1016,'Customer Details'!A:B,2,0)</f>
        <v>Jessica Mitchell</v>
      </c>
      <c r="E1016" s="22" t="str">
        <f>VLOOKUP(C1016,Sales_Fact!C:D,2,0)</f>
        <v>PROD91</v>
      </c>
      <c r="F1016" s="22" t="str">
        <f>VLOOKUP(E1016,Product_Dim!A:C,3,0)</f>
        <v>Clothing</v>
      </c>
      <c r="G1016" s="22" t="str" cm="1">
        <f t="array" ref="G1016:L1016">_xlfn.XLOOKUP(C1016,Sales_Fact!C1016:C3000,Sales_Fact!E1016:J3000)</f>
        <v>STORE6</v>
      </c>
      <c r="H1016" s="22">
        <v>4</v>
      </c>
      <c r="I1016" s="22">
        <v>762.43</v>
      </c>
      <c r="J1016" s="22">
        <v>0.05</v>
      </c>
      <c r="K1016" s="22" t="str">
        <v>Credit Card</v>
      </c>
      <c r="L1016" s="22">
        <v>2897.233999999999</v>
      </c>
    </row>
    <row r="1017" spans="1:12" x14ac:dyDescent="0.3">
      <c r="A1017" s="22" t="s">
        <v>2826</v>
      </c>
      <c r="B1017" s="34" cm="1">
        <f t="array" ref="B1017:C1017">_xlfn.XLOOKUP(A1017,Sales_Fact!A1017:A3001,Sales_Fact!B1017:C3001)</f>
        <v>45424</v>
      </c>
      <c r="C1017" s="22" t="str">
        <v>CUST1124</v>
      </c>
      <c r="D1017" s="22" t="str">
        <f>VLOOKUP('Combine Products &amp; Sales Facts'!C1017,'Customer Details'!A:B,2,0)</f>
        <v>Donald Lee</v>
      </c>
      <c r="E1017" s="22" t="str">
        <f>VLOOKUP(C1017,Sales_Fact!C:D,2,0)</f>
        <v>PROD22</v>
      </c>
      <c r="F1017" s="22" t="str">
        <f>VLOOKUP(E1017,Product_Dim!A:C,3,0)</f>
        <v>Sports</v>
      </c>
      <c r="G1017" s="22" t="str" cm="1">
        <f t="array" ref="G1017:L1017">_xlfn.XLOOKUP(C1017,Sales_Fact!C1017:C3001,Sales_Fact!E1017:J3001)</f>
        <v>STORE0</v>
      </c>
      <c r="H1017" s="22">
        <v>1</v>
      </c>
      <c r="I1017" s="22">
        <v>328.51</v>
      </c>
      <c r="J1017" s="22">
        <v>0.2</v>
      </c>
      <c r="K1017" s="22" t="str">
        <v>COD</v>
      </c>
      <c r="L1017" s="22">
        <v>262.80799999999999</v>
      </c>
    </row>
    <row r="1018" spans="1:12" x14ac:dyDescent="0.3">
      <c r="A1018" s="22" t="s">
        <v>2827</v>
      </c>
      <c r="B1018" s="34" cm="1">
        <f t="array" ref="B1018:C1018">_xlfn.XLOOKUP(A1018,Sales_Fact!A1018:A3002,Sales_Fact!B1018:C3002)</f>
        <v>45719</v>
      </c>
      <c r="C1018" s="22" t="str">
        <v>CUST1274</v>
      </c>
      <c r="D1018" s="22" t="str">
        <f>VLOOKUP('Combine Products &amp; Sales Facts'!C1018,'Customer Details'!A:B,2,0)</f>
        <v>Sarah Lane</v>
      </c>
      <c r="E1018" s="22" t="str">
        <f>VLOOKUP(C1018,Sales_Fact!C:D,2,0)</f>
        <v>PROD47</v>
      </c>
      <c r="F1018" s="22" t="str">
        <f>VLOOKUP(E1018,Product_Dim!A:C,3,0)</f>
        <v>Beauty</v>
      </c>
      <c r="G1018" s="22" t="str" cm="1">
        <f t="array" ref="G1018:L1018">_xlfn.XLOOKUP(C1018,Sales_Fact!C1018:C3002,Sales_Fact!E1018:J3002)</f>
        <v>STORE4</v>
      </c>
      <c r="H1018" s="22">
        <v>1</v>
      </c>
      <c r="I1018" s="22">
        <v>34.51</v>
      </c>
      <c r="J1018" s="22">
        <v>0.04</v>
      </c>
      <c r="K1018" s="22" t="str">
        <v>COD</v>
      </c>
      <c r="L1018" s="22">
        <v>33.129600000000003</v>
      </c>
    </row>
    <row r="1019" spans="1:12" x14ac:dyDescent="0.3">
      <c r="A1019" s="22" t="s">
        <v>2828</v>
      </c>
      <c r="B1019" s="34" cm="1">
        <f t="array" ref="B1019:C1019">_xlfn.XLOOKUP(A1019,Sales_Fact!A1019:A3003,Sales_Fact!B1019:C3003)</f>
        <v>45250</v>
      </c>
      <c r="C1019" s="22" t="str">
        <v>CUST1105</v>
      </c>
      <c r="D1019" s="22" t="str">
        <f>VLOOKUP('Combine Products &amp; Sales Facts'!C1019,'Customer Details'!A:B,2,0)</f>
        <v>Lance Baker</v>
      </c>
      <c r="E1019" s="22" t="str">
        <f>VLOOKUP(C1019,Sales_Fact!C:D,2,0)</f>
        <v>PROD39</v>
      </c>
      <c r="F1019" s="22" t="str">
        <f>VLOOKUP(E1019,Product_Dim!A:C,3,0)</f>
        <v>Electronics</v>
      </c>
      <c r="G1019" s="22" t="str" cm="1">
        <f t="array" ref="G1019:L1019">_xlfn.XLOOKUP(C1019,Sales_Fact!C1019:C3003,Sales_Fact!E1019:J3003)</f>
        <v>STORE11</v>
      </c>
      <c r="H1019" s="22">
        <v>3</v>
      </c>
      <c r="I1019" s="22">
        <v>663.73</v>
      </c>
      <c r="J1019" s="22">
        <v>0.06</v>
      </c>
      <c r="K1019" s="22" t="str">
        <v>COD</v>
      </c>
      <c r="L1019" s="22">
        <v>1871.7185999999999</v>
      </c>
    </row>
    <row r="1020" spans="1:12" x14ac:dyDescent="0.3">
      <c r="A1020" s="22" t="s">
        <v>2829</v>
      </c>
      <c r="B1020" s="34" cm="1">
        <f t="array" ref="B1020:C1020">_xlfn.XLOOKUP(A1020,Sales_Fact!A1020:A3004,Sales_Fact!B1020:C3004)</f>
        <v>45479</v>
      </c>
      <c r="C1020" s="22" t="str">
        <v>CUST1246</v>
      </c>
      <c r="D1020" s="22" t="str">
        <f>VLOOKUP('Combine Products &amp; Sales Facts'!C1020,'Customer Details'!A:B,2,0)</f>
        <v>Mary Russell</v>
      </c>
      <c r="E1020" s="22" t="str">
        <f>VLOOKUP(C1020,Sales_Fact!C:D,2,0)</f>
        <v>PROD72</v>
      </c>
      <c r="F1020" s="22" t="str">
        <f>VLOOKUP(E1020,Product_Dim!A:C,3,0)</f>
        <v>Sports</v>
      </c>
      <c r="G1020" s="22" t="str" cm="1">
        <f t="array" ref="G1020:L1020">_xlfn.XLOOKUP(C1020,Sales_Fact!C1020:C3004,Sales_Fact!E1020:J3004)</f>
        <v>STORE9</v>
      </c>
      <c r="H1020" s="22">
        <v>1</v>
      </c>
      <c r="I1020" s="22">
        <v>409.41</v>
      </c>
      <c r="J1020" s="22">
        <v>0.13</v>
      </c>
      <c r="K1020" s="22" t="str">
        <v>PayPal</v>
      </c>
      <c r="L1020" s="22">
        <v>356.18669999999997</v>
      </c>
    </row>
    <row r="1021" spans="1:12" x14ac:dyDescent="0.3">
      <c r="A1021" s="22" t="s">
        <v>2830</v>
      </c>
      <c r="B1021" s="34" cm="1">
        <f t="array" ref="B1021:C1021">_xlfn.XLOOKUP(A1021,Sales_Fact!A1021:A3005,Sales_Fact!B1021:C3005)</f>
        <v>45727</v>
      </c>
      <c r="C1021" s="22" t="str">
        <v>CUST1092</v>
      </c>
      <c r="D1021" s="22" t="str">
        <f>VLOOKUP('Combine Products &amp; Sales Facts'!C1021,'Customer Details'!A:B,2,0)</f>
        <v>Robert Jackson</v>
      </c>
      <c r="E1021" s="22" t="str">
        <f>VLOOKUP(C1021,Sales_Fact!C:D,2,0)</f>
        <v>PROD10</v>
      </c>
      <c r="F1021" s="22" t="str">
        <f>VLOOKUP(E1021,Product_Dim!A:C,3,0)</f>
        <v>Home</v>
      </c>
      <c r="G1021" s="22" t="str" cm="1">
        <f t="array" ref="G1021:L1021">_xlfn.XLOOKUP(C1021,Sales_Fact!C1021:C3005,Sales_Fact!E1021:J3005)</f>
        <v>STORE3</v>
      </c>
      <c r="H1021" s="22">
        <v>3</v>
      </c>
      <c r="I1021" s="22">
        <v>461.03</v>
      </c>
      <c r="J1021" s="22">
        <v>0.11</v>
      </c>
      <c r="K1021" s="22" t="str">
        <v>PayPal</v>
      </c>
      <c r="L1021" s="22">
        <v>1230.9501</v>
      </c>
    </row>
    <row r="1022" spans="1:12" x14ac:dyDescent="0.3">
      <c r="A1022" s="22" t="s">
        <v>2831</v>
      </c>
      <c r="B1022" s="34" cm="1">
        <f t="array" ref="B1022:C1022">_xlfn.XLOOKUP(A1022,Sales_Fact!A1022:A3006,Sales_Fact!B1022:C3006)</f>
        <v>45394</v>
      </c>
      <c r="C1022" s="22" t="str">
        <v>CUST1368</v>
      </c>
      <c r="D1022" s="22" t="str">
        <f>VLOOKUP('Combine Products &amp; Sales Facts'!C1022,'Customer Details'!A:B,2,0)</f>
        <v>Miranda King</v>
      </c>
      <c r="E1022" s="22" t="str">
        <f>VLOOKUP(C1022,Sales_Fact!C:D,2,0)</f>
        <v>PROD12</v>
      </c>
      <c r="F1022" s="22" t="str">
        <f>VLOOKUP(E1022,Product_Dim!A:C,3,0)</f>
        <v>Beauty</v>
      </c>
      <c r="G1022" s="22" t="str" cm="1">
        <f t="array" ref="G1022:L1022">_xlfn.XLOOKUP(C1022,Sales_Fact!C1022:C3006,Sales_Fact!E1022:J3006)</f>
        <v>STORE14</v>
      </c>
      <c r="H1022" s="22">
        <v>2</v>
      </c>
      <c r="I1022" s="22">
        <v>760.14</v>
      </c>
      <c r="J1022" s="22">
        <v>0.02</v>
      </c>
      <c r="K1022" s="22" t="str">
        <v>COD</v>
      </c>
      <c r="L1022" s="22">
        <v>1489.8743999999999</v>
      </c>
    </row>
    <row r="1023" spans="1:12" x14ac:dyDescent="0.3">
      <c r="A1023" s="22" t="s">
        <v>2832</v>
      </c>
      <c r="B1023" s="34" cm="1">
        <f t="array" ref="B1023:C1023">_xlfn.XLOOKUP(A1023,Sales_Fact!A1023:A3007,Sales_Fact!B1023:C3007)</f>
        <v>45773</v>
      </c>
      <c r="C1023" s="22" t="str">
        <v>CUST1278</v>
      </c>
      <c r="D1023" s="22" t="str">
        <f>VLOOKUP('Combine Products &amp; Sales Facts'!C1023,'Customer Details'!A:B,2,0)</f>
        <v>Stephen Fowler</v>
      </c>
      <c r="E1023" s="22" t="str">
        <f>VLOOKUP(C1023,Sales_Fact!C:D,2,0)</f>
        <v>PROD88</v>
      </c>
      <c r="F1023" s="22" t="str">
        <f>VLOOKUP(E1023,Product_Dim!A:C,3,0)</f>
        <v>Sports</v>
      </c>
      <c r="G1023" s="22" t="str" cm="1">
        <f t="array" ref="G1023:L1023">_xlfn.XLOOKUP(C1023,Sales_Fact!C1023:C3007,Sales_Fact!E1023:J3007)</f>
        <v>STORE1</v>
      </c>
      <c r="H1023" s="22">
        <v>3</v>
      </c>
      <c r="I1023" s="22">
        <v>688.76</v>
      </c>
      <c r="J1023" s="22">
        <v>0.12</v>
      </c>
      <c r="K1023" s="22" t="str">
        <v>PayPal</v>
      </c>
      <c r="L1023" s="22">
        <v>1818.3263999999999</v>
      </c>
    </row>
    <row r="1024" spans="1:12" x14ac:dyDescent="0.3">
      <c r="A1024" s="22" t="s">
        <v>2833</v>
      </c>
      <c r="B1024" s="34" cm="1">
        <f t="array" ref="B1024:C1024">_xlfn.XLOOKUP(A1024,Sales_Fact!A1024:A3008,Sales_Fact!B1024:C3008)</f>
        <v>45779</v>
      </c>
      <c r="C1024" s="22" t="str">
        <v>CUST1159</v>
      </c>
      <c r="D1024" s="22" t="str">
        <f>VLOOKUP('Combine Products &amp; Sales Facts'!C1024,'Customer Details'!A:B,2,0)</f>
        <v>Brian Choi</v>
      </c>
      <c r="E1024" s="22" t="str">
        <f>VLOOKUP(C1024,Sales_Fact!C:D,2,0)</f>
        <v>PROD69</v>
      </c>
      <c r="F1024" s="22" t="str">
        <f>VLOOKUP(E1024,Product_Dim!A:C,3,0)</f>
        <v>Clothing</v>
      </c>
      <c r="G1024" s="22" t="str" cm="1">
        <f t="array" ref="G1024:L1024">_xlfn.XLOOKUP(C1024,Sales_Fact!C1024:C3008,Sales_Fact!E1024:J3008)</f>
        <v>STORE9</v>
      </c>
      <c r="H1024" s="22">
        <v>2</v>
      </c>
      <c r="I1024" s="22">
        <v>257.77999999999997</v>
      </c>
      <c r="J1024" s="22">
        <v>0.05</v>
      </c>
      <c r="K1024" s="22" t="str">
        <v>Credit Card</v>
      </c>
      <c r="L1024" s="22">
        <v>489.78199999999993</v>
      </c>
    </row>
    <row r="1025" spans="1:12" x14ac:dyDescent="0.3">
      <c r="A1025" s="22" t="s">
        <v>2834</v>
      </c>
      <c r="B1025" s="34" cm="1">
        <f t="array" ref="B1025:C1025">_xlfn.XLOOKUP(A1025,Sales_Fact!A1025:A3009,Sales_Fact!B1025:C3009)</f>
        <v>45400</v>
      </c>
      <c r="C1025" s="22" t="str">
        <v>CUST1052</v>
      </c>
      <c r="D1025" s="22" t="str">
        <f>VLOOKUP('Combine Products &amp; Sales Facts'!C1025,'Customer Details'!A:B,2,0)</f>
        <v>Debra Liu</v>
      </c>
      <c r="E1025" s="22" t="str">
        <f>VLOOKUP(C1025,Sales_Fact!C:D,2,0)</f>
        <v>PROD51</v>
      </c>
      <c r="F1025" s="22" t="str">
        <f>VLOOKUP(E1025,Product_Dim!A:C,3,0)</f>
        <v>Electronics</v>
      </c>
      <c r="G1025" s="22" t="str" cm="1">
        <f t="array" ref="G1025:L1025">_xlfn.XLOOKUP(C1025,Sales_Fact!C1025:C3009,Sales_Fact!E1025:J3009)</f>
        <v>STORE7</v>
      </c>
      <c r="H1025" s="22">
        <v>2</v>
      </c>
      <c r="I1025" s="22">
        <v>314.29000000000002</v>
      </c>
      <c r="J1025" s="22">
        <v>0.19</v>
      </c>
      <c r="K1025" s="22" t="str">
        <v>COD</v>
      </c>
      <c r="L1025" s="22">
        <v>509.14980000000008</v>
      </c>
    </row>
    <row r="1026" spans="1:12" x14ac:dyDescent="0.3">
      <c r="A1026" s="22" t="s">
        <v>2835</v>
      </c>
      <c r="B1026" s="34" cm="1">
        <f t="array" ref="B1026:C1026">_xlfn.XLOOKUP(A1026,Sales_Fact!A1026:A3010,Sales_Fact!B1026:C3010)</f>
        <v>45520</v>
      </c>
      <c r="C1026" s="22" t="str">
        <v>CUST1155</v>
      </c>
      <c r="D1026" s="22" t="str">
        <f>VLOOKUP('Combine Products &amp; Sales Facts'!C1026,'Customer Details'!A:B,2,0)</f>
        <v>Curtis Haynes</v>
      </c>
      <c r="E1026" s="22" t="str">
        <f>VLOOKUP(C1026,Sales_Fact!C:D,2,0)</f>
        <v>PROD72</v>
      </c>
      <c r="F1026" s="22" t="str">
        <f>VLOOKUP(E1026,Product_Dim!A:C,3,0)</f>
        <v>Sports</v>
      </c>
      <c r="G1026" s="22" t="str" cm="1">
        <f t="array" ref="G1026:L1026">_xlfn.XLOOKUP(C1026,Sales_Fact!C1026:C3010,Sales_Fact!E1026:J3010)</f>
        <v>STORE14</v>
      </c>
      <c r="H1026" s="22">
        <v>3</v>
      </c>
      <c r="I1026" s="22">
        <v>336.09</v>
      </c>
      <c r="J1026" s="22">
        <v>0.01</v>
      </c>
      <c r="K1026" s="22" t="str">
        <v>PayPal</v>
      </c>
      <c r="L1026" s="22">
        <v>998.18729999999994</v>
      </c>
    </row>
    <row r="1027" spans="1:12" x14ac:dyDescent="0.3">
      <c r="A1027" s="22" t="s">
        <v>2836</v>
      </c>
      <c r="B1027" s="34" cm="1">
        <f t="array" ref="B1027:C1027">_xlfn.XLOOKUP(A1027,Sales_Fact!A1027:A3011,Sales_Fact!B1027:C3011)</f>
        <v>45861</v>
      </c>
      <c r="C1027" s="22" t="str">
        <v>CUST1002</v>
      </c>
      <c r="D1027" s="22" t="str">
        <f>VLOOKUP('Combine Products &amp; Sales Facts'!C1027,'Customer Details'!A:B,2,0)</f>
        <v>Dr. Benjamin Price</v>
      </c>
      <c r="E1027" s="22" t="str">
        <f>VLOOKUP(C1027,Sales_Fact!C:D,2,0)</f>
        <v>PROD79</v>
      </c>
      <c r="F1027" s="22" t="str">
        <f>VLOOKUP(E1027,Product_Dim!A:C,3,0)</f>
        <v>Home</v>
      </c>
      <c r="G1027" s="22" t="str" cm="1">
        <f t="array" ref="G1027:L1027">_xlfn.XLOOKUP(C1027,Sales_Fact!C1027:C3011,Sales_Fact!E1027:J3011)</f>
        <v>STORE17</v>
      </c>
      <c r="H1027" s="22">
        <v>3</v>
      </c>
      <c r="I1027" s="22">
        <v>202.07</v>
      </c>
      <c r="J1027" s="22">
        <v>0.23</v>
      </c>
      <c r="K1027" s="22" t="str">
        <v>PayPal</v>
      </c>
      <c r="L1027" s="22">
        <v>466.78170000000011</v>
      </c>
    </row>
    <row r="1028" spans="1:12" x14ac:dyDescent="0.3">
      <c r="A1028" s="22" t="s">
        <v>2837</v>
      </c>
      <c r="B1028" s="34" cm="1">
        <f t="array" ref="B1028:C1028">_xlfn.XLOOKUP(A1028,Sales_Fact!A1028:A3012,Sales_Fact!B1028:C3012)</f>
        <v>45781</v>
      </c>
      <c r="C1028" s="22" t="str">
        <v>CUST1310</v>
      </c>
      <c r="D1028" s="22" t="str">
        <f>VLOOKUP('Combine Products &amp; Sales Facts'!C1028,'Customer Details'!A:B,2,0)</f>
        <v>Kara Dodson</v>
      </c>
      <c r="E1028" s="22" t="str">
        <f>VLOOKUP(C1028,Sales_Fact!C:D,2,0)</f>
        <v>PROD17</v>
      </c>
      <c r="F1028" s="22" t="str">
        <f>VLOOKUP(E1028,Product_Dim!A:C,3,0)</f>
        <v>Sports</v>
      </c>
      <c r="G1028" s="22" t="str" cm="1">
        <f t="array" ref="G1028:L1028">_xlfn.XLOOKUP(C1028,Sales_Fact!C1028:C3012,Sales_Fact!E1028:J3012)</f>
        <v>STORE8</v>
      </c>
      <c r="H1028" s="22">
        <v>2</v>
      </c>
      <c r="I1028" s="22">
        <v>485.25</v>
      </c>
      <c r="J1028" s="22">
        <v>0.28000000000000003</v>
      </c>
      <c r="K1028" s="22" t="str">
        <v>Credit Card</v>
      </c>
      <c r="L1028" s="22">
        <v>698.76</v>
      </c>
    </row>
    <row r="1029" spans="1:12" x14ac:dyDescent="0.3">
      <c r="A1029" s="22" t="s">
        <v>2838</v>
      </c>
      <c r="B1029" s="34" cm="1">
        <f t="array" ref="B1029:C1029">_xlfn.XLOOKUP(A1029,Sales_Fact!A1029:A3013,Sales_Fact!B1029:C3013)</f>
        <v>45906</v>
      </c>
      <c r="C1029" s="22" t="str">
        <v>CUST1171</v>
      </c>
      <c r="D1029" s="22" t="str">
        <f>VLOOKUP('Combine Products &amp; Sales Facts'!C1029,'Customer Details'!A:B,2,0)</f>
        <v>Amy Wilson</v>
      </c>
      <c r="E1029" s="22" t="str">
        <f>VLOOKUP(C1029,Sales_Fact!C:D,2,0)</f>
        <v>PROD90</v>
      </c>
      <c r="F1029" s="22" t="str">
        <f>VLOOKUP(E1029,Product_Dim!A:C,3,0)</f>
        <v>Electronics</v>
      </c>
      <c r="G1029" s="22" t="str" cm="1">
        <f t="array" ref="G1029:L1029">_xlfn.XLOOKUP(C1029,Sales_Fact!C1029:C3013,Sales_Fact!E1029:J3013)</f>
        <v>STORE10</v>
      </c>
      <c r="H1029" s="22">
        <v>4</v>
      </c>
      <c r="I1029" s="22">
        <v>552.38</v>
      </c>
      <c r="J1029" s="22">
        <v>0.1</v>
      </c>
      <c r="K1029" s="22" t="str">
        <v>PayPal</v>
      </c>
      <c r="L1029" s="22">
        <v>1988.568</v>
      </c>
    </row>
    <row r="1030" spans="1:12" x14ac:dyDescent="0.3">
      <c r="A1030" s="22" t="s">
        <v>2839</v>
      </c>
      <c r="B1030" s="34" cm="1">
        <f t="array" ref="B1030:C1030">_xlfn.XLOOKUP(A1030,Sales_Fact!A1030:A3014,Sales_Fact!B1030:C3014)</f>
        <v>45251</v>
      </c>
      <c r="C1030" s="22" t="str">
        <v>CUST1107</v>
      </c>
      <c r="D1030" s="22" t="str">
        <f>VLOOKUP('Combine Products &amp; Sales Facts'!C1030,'Customer Details'!A:B,2,0)</f>
        <v>Erica Carney</v>
      </c>
      <c r="E1030" s="22" t="str">
        <f>VLOOKUP(C1030,Sales_Fact!C:D,2,0)</f>
        <v>PROD75</v>
      </c>
      <c r="F1030" s="22" t="str">
        <f>VLOOKUP(E1030,Product_Dim!A:C,3,0)</f>
        <v>Clothing</v>
      </c>
      <c r="G1030" s="22" t="str" cm="1">
        <f t="array" ref="G1030:L1030">_xlfn.XLOOKUP(C1030,Sales_Fact!C1030:C3014,Sales_Fact!E1030:J3014)</f>
        <v>STORE17</v>
      </c>
      <c r="H1030" s="22">
        <v>4</v>
      </c>
      <c r="I1030" s="22">
        <v>377.26</v>
      </c>
      <c r="J1030" s="22">
        <v>0.22</v>
      </c>
      <c r="K1030" s="22" t="str">
        <v>COD</v>
      </c>
      <c r="L1030" s="22">
        <v>1177.0512000000001</v>
      </c>
    </row>
    <row r="1031" spans="1:12" x14ac:dyDescent="0.3">
      <c r="A1031" s="22" t="s">
        <v>2840</v>
      </c>
      <c r="B1031" s="34" cm="1">
        <f t="array" ref="B1031:C1031">_xlfn.XLOOKUP(A1031,Sales_Fact!A1031:A3015,Sales_Fact!B1031:C3015)</f>
        <v>45257</v>
      </c>
      <c r="C1031" s="22" t="str">
        <v>CUST1053</v>
      </c>
      <c r="D1031" s="22" t="str">
        <f>VLOOKUP('Combine Products &amp; Sales Facts'!C1031,'Customer Details'!A:B,2,0)</f>
        <v>Sharon Brown</v>
      </c>
      <c r="E1031" s="22" t="str">
        <f>VLOOKUP(C1031,Sales_Fact!C:D,2,0)</f>
        <v>PROD37</v>
      </c>
      <c r="F1031" s="22" t="str">
        <f>VLOOKUP(E1031,Product_Dim!A:C,3,0)</f>
        <v>Clothing</v>
      </c>
      <c r="G1031" s="22" t="str" cm="1">
        <f t="array" ref="G1031:L1031">_xlfn.XLOOKUP(C1031,Sales_Fact!C1031:C3015,Sales_Fact!E1031:J3015)</f>
        <v>STORE19</v>
      </c>
      <c r="H1031" s="22">
        <v>4</v>
      </c>
      <c r="I1031" s="22">
        <v>189.07</v>
      </c>
      <c r="J1031" s="22">
        <v>0.1</v>
      </c>
      <c r="K1031" s="22" t="str">
        <v>COD</v>
      </c>
      <c r="L1031" s="22">
        <v>680.65200000000004</v>
      </c>
    </row>
    <row r="1032" spans="1:12" x14ac:dyDescent="0.3">
      <c r="A1032" s="22" t="s">
        <v>2841</v>
      </c>
      <c r="B1032" s="34" cm="1">
        <f t="array" ref="B1032:C1032">_xlfn.XLOOKUP(A1032,Sales_Fact!A1032:A3016,Sales_Fact!B1032:C3016)</f>
        <v>45818</v>
      </c>
      <c r="C1032" s="22" t="str">
        <v>CUST1499</v>
      </c>
      <c r="D1032" s="22" t="str">
        <f>VLOOKUP('Combine Products &amp; Sales Facts'!C1032,'Customer Details'!A:B,2,0)</f>
        <v>Philip Pennington</v>
      </c>
      <c r="E1032" s="22" t="str">
        <f>VLOOKUP(C1032,Sales_Fact!C:D,2,0)</f>
        <v>PROD55</v>
      </c>
      <c r="F1032" s="22" t="str">
        <f>VLOOKUP(E1032,Product_Dim!A:C,3,0)</f>
        <v>Home</v>
      </c>
      <c r="G1032" s="22" t="str" cm="1">
        <f t="array" ref="G1032:L1032">_xlfn.XLOOKUP(C1032,Sales_Fact!C1032:C3016,Sales_Fact!E1032:J3016)</f>
        <v>STORE4</v>
      </c>
      <c r="H1032" s="22">
        <v>3</v>
      </c>
      <c r="I1032" s="22">
        <v>272.27</v>
      </c>
      <c r="J1032" s="22">
        <v>0.01</v>
      </c>
      <c r="K1032" s="22" t="str">
        <v>Credit Card</v>
      </c>
      <c r="L1032" s="22">
        <v>808.64189999999996</v>
      </c>
    </row>
    <row r="1033" spans="1:12" x14ac:dyDescent="0.3">
      <c r="A1033" s="22" t="s">
        <v>2842</v>
      </c>
      <c r="B1033" s="34" cm="1">
        <f t="array" ref="B1033:C1033">_xlfn.XLOOKUP(A1033,Sales_Fact!A1033:A3017,Sales_Fact!B1033:C3017)</f>
        <v>45806</v>
      </c>
      <c r="C1033" s="22" t="str">
        <v>CUST1264</v>
      </c>
      <c r="D1033" s="22" t="str">
        <f>VLOOKUP('Combine Products &amp; Sales Facts'!C1033,'Customer Details'!A:B,2,0)</f>
        <v>Matthew Payne</v>
      </c>
      <c r="E1033" s="22" t="str">
        <f>VLOOKUP(C1033,Sales_Fact!C:D,2,0)</f>
        <v>PROD22</v>
      </c>
      <c r="F1033" s="22" t="str">
        <f>VLOOKUP(E1033,Product_Dim!A:C,3,0)</f>
        <v>Sports</v>
      </c>
      <c r="G1033" s="22" t="str" cm="1">
        <f t="array" ref="G1033:L1033">_xlfn.XLOOKUP(C1033,Sales_Fact!C1033:C3017,Sales_Fact!E1033:J3017)</f>
        <v>STORE11</v>
      </c>
      <c r="H1033" s="22">
        <v>1</v>
      </c>
      <c r="I1033" s="22">
        <v>209.39</v>
      </c>
      <c r="J1033" s="22">
        <v>0.28000000000000003</v>
      </c>
      <c r="K1033" s="22" t="str">
        <v>PayPal</v>
      </c>
      <c r="L1033" s="22">
        <v>150.76079999999999</v>
      </c>
    </row>
    <row r="1034" spans="1:12" x14ac:dyDescent="0.3">
      <c r="A1034" s="22" t="s">
        <v>2843</v>
      </c>
      <c r="B1034" s="34" cm="1">
        <f t="array" ref="B1034:C1034">_xlfn.XLOOKUP(A1034,Sales_Fact!A1034:A3018,Sales_Fact!B1034:C3018)</f>
        <v>45288</v>
      </c>
      <c r="C1034" s="22" t="str">
        <v>CUST1053</v>
      </c>
      <c r="D1034" s="22" t="str">
        <f>VLOOKUP('Combine Products &amp; Sales Facts'!C1034,'Customer Details'!A:B,2,0)</f>
        <v>Sharon Brown</v>
      </c>
      <c r="E1034" s="22" t="str">
        <f>VLOOKUP(C1034,Sales_Fact!C:D,2,0)</f>
        <v>PROD37</v>
      </c>
      <c r="F1034" s="22" t="str">
        <f>VLOOKUP(E1034,Product_Dim!A:C,3,0)</f>
        <v>Clothing</v>
      </c>
      <c r="G1034" s="22" t="str" cm="1">
        <f t="array" ref="G1034:L1034">_xlfn.XLOOKUP(C1034,Sales_Fact!C1034:C3018,Sales_Fact!E1034:J3018)</f>
        <v>STORE9</v>
      </c>
      <c r="H1034" s="22">
        <v>1</v>
      </c>
      <c r="I1034" s="22">
        <v>813.87</v>
      </c>
      <c r="J1034" s="22">
        <v>0.23</v>
      </c>
      <c r="K1034" s="22" t="str">
        <v>Credit Card</v>
      </c>
      <c r="L1034" s="22">
        <v>626.67989999999998</v>
      </c>
    </row>
    <row r="1035" spans="1:12" x14ac:dyDescent="0.3">
      <c r="A1035" s="22" t="s">
        <v>2844</v>
      </c>
      <c r="B1035" s="34" cm="1">
        <f t="array" ref="B1035:C1035">_xlfn.XLOOKUP(A1035,Sales_Fact!A1035:A3019,Sales_Fact!B1035:C3019)</f>
        <v>45783</v>
      </c>
      <c r="C1035" s="22" t="str">
        <v>CUST1257</v>
      </c>
      <c r="D1035" s="22" t="str">
        <f>VLOOKUP('Combine Products &amp; Sales Facts'!C1035,'Customer Details'!A:B,2,0)</f>
        <v>Christopher David</v>
      </c>
      <c r="E1035" s="22" t="str">
        <f>VLOOKUP(C1035,Sales_Fact!C:D,2,0)</f>
        <v>PROD85</v>
      </c>
      <c r="F1035" s="22" t="str">
        <f>VLOOKUP(E1035,Product_Dim!A:C,3,0)</f>
        <v>Clothing</v>
      </c>
      <c r="G1035" s="22" t="str" cm="1">
        <f t="array" ref="G1035:L1035">_xlfn.XLOOKUP(C1035,Sales_Fact!C1035:C3019,Sales_Fact!E1035:J3019)</f>
        <v>STORE0</v>
      </c>
      <c r="H1035" s="22">
        <v>1</v>
      </c>
      <c r="I1035" s="22">
        <v>143.69999999999999</v>
      </c>
      <c r="J1035" s="22">
        <v>0.19</v>
      </c>
      <c r="K1035" s="22" t="str">
        <v>PayPal</v>
      </c>
      <c r="L1035" s="22">
        <v>116.39700000000001</v>
      </c>
    </row>
    <row r="1036" spans="1:12" x14ac:dyDescent="0.3">
      <c r="A1036" s="22" t="s">
        <v>2845</v>
      </c>
      <c r="B1036" s="34" cm="1">
        <f t="array" ref="B1036:C1036">_xlfn.XLOOKUP(A1036,Sales_Fact!A1036:A3020,Sales_Fact!B1036:C3020)</f>
        <v>45385</v>
      </c>
      <c r="C1036" s="22" t="str">
        <v>CUST1470</v>
      </c>
      <c r="D1036" s="22" t="str">
        <f>VLOOKUP('Combine Products &amp; Sales Facts'!C1036,'Customer Details'!A:B,2,0)</f>
        <v>Manuel Fisher</v>
      </c>
      <c r="E1036" s="22" t="str">
        <f>VLOOKUP(C1036,Sales_Fact!C:D,2,0)</f>
        <v>PROD59</v>
      </c>
      <c r="F1036" s="22" t="str">
        <f>VLOOKUP(E1036,Product_Dim!A:C,3,0)</f>
        <v>Beauty</v>
      </c>
      <c r="G1036" s="22" t="str" cm="1">
        <f t="array" ref="G1036:L1036">_xlfn.XLOOKUP(C1036,Sales_Fact!C1036:C3020,Sales_Fact!E1036:J3020)</f>
        <v>STORE1</v>
      </c>
      <c r="H1036" s="22">
        <v>4</v>
      </c>
      <c r="I1036" s="22">
        <v>837.34</v>
      </c>
      <c r="J1036" s="22">
        <v>0.05</v>
      </c>
      <c r="K1036" s="22" t="str">
        <v>PayPal</v>
      </c>
      <c r="L1036" s="22">
        <v>3181.8919999999998</v>
      </c>
    </row>
    <row r="1037" spans="1:12" x14ac:dyDescent="0.3">
      <c r="A1037" s="22" t="s">
        <v>2846</v>
      </c>
      <c r="B1037" s="34" cm="1">
        <f t="array" ref="B1037:C1037">_xlfn.XLOOKUP(A1037,Sales_Fact!A1037:A3021,Sales_Fact!B1037:C3021)</f>
        <v>45878</v>
      </c>
      <c r="C1037" s="22" t="str">
        <v>CUST1120</v>
      </c>
      <c r="D1037" s="22" t="str">
        <f>VLOOKUP('Combine Products &amp; Sales Facts'!C1037,'Customer Details'!A:B,2,0)</f>
        <v>Jacob Hopkins</v>
      </c>
      <c r="E1037" s="22" t="str">
        <f>VLOOKUP(C1037,Sales_Fact!C:D,2,0)</f>
        <v>PROD73</v>
      </c>
      <c r="F1037" s="22" t="str">
        <f>VLOOKUP(E1037,Product_Dim!A:C,3,0)</f>
        <v>Sports</v>
      </c>
      <c r="G1037" s="22" t="str" cm="1">
        <f t="array" ref="G1037:L1037">_xlfn.XLOOKUP(C1037,Sales_Fact!C1037:C3021,Sales_Fact!E1037:J3021)</f>
        <v>STORE19</v>
      </c>
      <c r="H1037" s="22">
        <v>1</v>
      </c>
      <c r="I1037" s="22">
        <v>151.66</v>
      </c>
      <c r="J1037" s="22">
        <v>0.16</v>
      </c>
      <c r="K1037" s="22" t="str">
        <v>COD</v>
      </c>
      <c r="L1037" s="22">
        <v>127.3944</v>
      </c>
    </row>
    <row r="1038" spans="1:12" x14ac:dyDescent="0.3">
      <c r="A1038" s="22" t="s">
        <v>2847</v>
      </c>
      <c r="B1038" s="34" cm="1">
        <f t="array" ref="B1038:C1038">_xlfn.XLOOKUP(A1038,Sales_Fact!A1038:A3022,Sales_Fact!B1038:C3022)</f>
        <v>45720</v>
      </c>
      <c r="C1038" s="22" t="str">
        <v>CUST1499</v>
      </c>
      <c r="D1038" s="22" t="str">
        <f>VLOOKUP('Combine Products &amp; Sales Facts'!C1038,'Customer Details'!A:B,2,0)</f>
        <v>Philip Pennington</v>
      </c>
      <c r="E1038" s="22" t="str">
        <f>VLOOKUP(C1038,Sales_Fact!C:D,2,0)</f>
        <v>PROD55</v>
      </c>
      <c r="F1038" s="22" t="str">
        <f>VLOOKUP(E1038,Product_Dim!A:C,3,0)</f>
        <v>Home</v>
      </c>
      <c r="G1038" s="22" t="str" cm="1">
        <f t="array" ref="G1038:L1038">_xlfn.XLOOKUP(C1038,Sales_Fact!C1038:C3022,Sales_Fact!E1038:J3022)</f>
        <v>STORE8</v>
      </c>
      <c r="H1038" s="22">
        <v>3</v>
      </c>
      <c r="I1038" s="22">
        <v>961.4</v>
      </c>
      <c r="J1038" s="22">
        <v>0.02</v>
      </c>
      <c r="K1038" s="22" t="str">
        <v>PayPal</v>
      </c>
      <c r="L1038" s="22">
        <v>2826.5160000000001</v>
      </c>
    </row>
    <row r="1039" spans="1:12" x14ac:dyDescent="0.3">
      <c r="A1039" s="22" t="s">
        <v>2848</v>
      </c>
      <c r="B1039" s="34" cm="1">
        <f t="array" ref="B1039:C1039">_xlfn.XLOOKUP(A1039,Sales_Fact!A1039:A3023,Sales_Fact!B1039:C3023)</f>
        <v>45503</v>
      </c>
      <c r="C1039" s="22" t="str">
        <v>CUST1370</v>
      </c>
      <c r="D1039" s="22" t="str">
        <f>VLOOKUP('Combine Products &amp; Sales Facts'!C1039,'Customer Details'!A:B,2,0)</f>
        <v>James Holloway Jr.</v>
      </c>
      <c r="E1039" s="22" t="str">
        <f>VLOOKUP(C1039,Sales_Fact!C:D,2,0)</f>
        <v>PROD37</v>
      </c>
      <c r="F1039" s="22" t="str">
        <f>VLOOKUP(E1039,Product_Dim!A:C,3,0)</f>
        <v>Clothing</v>
      </c>
      <c r="G1039" s="22" t="str" cm="1">
        <f t="array" ref="G1039:L1039">_xlfn.XLOOKUP(C1039,Sales_Fact!C1039:C3023,Sales_Fact!E1039:J3023)</f>
        <v>STORE18</v>
      </c>
      <c r="H1039" s="22">
        <v>4</v>
      </c>
      <c r="I1039" s="22">
        <v>475.98</v>
      </c>
      <c r="J1039" s="22">
        <v>0.19</v>
      </c>
      <c r="K1039" s="22" t="str">
        <v>PayPal</v>
      </c>
      <c r="L1039" s="22">
        <v>1542.1751999999999</v>
      </c>
    </row>
    <row r="1040" spans="1:12" x14ac:dyDescent="0.3">
      <c r="A1040" s="22" t="s">
        <v>2849</v>
      </c>
      <c r="B1040" s="34" cm="1">
        <f t="array" ref="B1040:C1040">_xlfn.XLOOKUP(A1040,Sales_Fact!A1040:A3024,Sales_Fact!B1040:C3024)</f>
        <v>45551</v>
      </c>
      <c r="C1040" s="22" t="str">
        <v>CUST1380</v>
      </c>
      <c r="D1040" s="22" t="str">
        <f>VLOOKUP('Combine Products &amp; Sales Facts'!C1040,'Customer Details'!A:B,2,0)</f>
        <v>Shelley Ponce</v>
      </c>
      <c r="E1040" s="22" t="str">
        <f>VLOOKUP(C1040,Sales_Fact!C:D,2,0)</f>
        <v>PROD98</v>
      </c>
      <c r="F1040" s="22" t="str">
        <f>VLOOKUP(E1040,Product_Dim!A:C,3,0)</f>
        <v>Electronics</v>
      </c>
      <c r="G1040" s="22" t="str" cm="1">
        <f t="array" ref="G1040:L1040">_xlfn.XLOOKUP(C1040,Sales_Fact!C1040:C3024,Sales_Fact!E1040:J3024)</f>
        <v>STORE15</v>
      </c>
      <c r="H1040" s="22">
        <v>4</v>
      </c>
      <c r="I1040" s="22">
        <v>132.88999999999999</v>
      </c>
      <c r="J1040" s="22">
        <v>0.12</v>
      </c>
      <c r="K1040" s="22" t="str">
        <v>Credit Card</v>
      </c>
      <c r="L1040" s="22">
        <v>467.77280000000002</v>
      </c>
    </row>
    <row r="1041" spans="1:12" x14ac:dyDescent="0.3">
      <c r="A1041" s="22" t="s">
        <v>2850</v>
      </c>
      <c r="B1041" s="34" cm="1">
        <f t="array" ref="B1041:C1041">_xlfn.XLOOKUP(A1041,Sales_Fact!A1041:A3025,Sales_Fact!B1041:C3025)</f>
        <v>45850</v>
      </c>
      <c r="C1041" s="22" t="str">
        <v>CUST1437</v>
      </c>
      <c r="D1041" s="22" t="str">
        <f>VLOOKUP('Combine Products &amp; Sales Facts'!C1041,'Customer Details'!A:B,2,0)</f>
        <v>Melinda Rivera</v>
      </c>
      <c r="E1041" s="22" t="str">
        <f>VLOOKUP(C1041,Sales_Fact!C:D,2,0)</f>
        <v>PROD88</v>
      </c>
      <c r="F1041" s="22" t="str">
        <f>VLOOKUP(E1041,Product_Dim!A:C,3,0)</f>
        <v>Sports</v>
      </c>
      <c r="G1041" s="22" t="str" cm="1">
        <f t="array" ref="G1041:L1041">_xlfn.XLOOKUP(C1041,Sales_Fact!C1041:C3025,Sales_Fact!E1041:J3025)</f>
        <v>STORE12</v>
      </c>
      <c r="H1041" s="22">
        <v>3</v>
      </c>
      <c r="I1041" s="22">
        <v>471.31</v>
      </c>
      <c r="J1041" s="22">
        <v>0</v>
      </c>
      <c r="K1041" s="22" t="str">
        <v>PayPal</v>
      </c>
      <c r="L1041" s="22">
        <v>1413.93</v>
      </c>
    </row>
    <row r="1042" spans="1:12" x14ac:dyDescent="0.3">
      <c r="A1042" s="22" t="s">
        <v>2851</v>
      </c>
      <c r="B1042" s="34" cm="1">
        <f t="array" ref="B1042:C1042">_xlfn.XLOOKUP(A1042,Sales_Fact!A1042:A3026,Sales_Fact!B1042:C3026)</f>
        <v>45441</v>
      </c>
      <c r="C1042" s="22" t="str">
        <v>CUST1464</v>
      </c>
      <c r="D1042" s="22" t="str">
        <f>VLOOKUP('Combine Products &amp; Sales Facts'!C1042,'Customer Details'!A:B,2,0)</f>
        <v>David Pierce</v>
      </c>
      <c r="E1042" s="22" t="str">
        <f>VLOOKUP(C1042,Sales_Fact!C:D,2,0)</f>
        <v>PROD33</v>
      </c>
      <c r="F1042" s="22" t="str">
        <f>VLOOKUP(E1042,Product_Dim!A:C,3,0)</f>
        <v>Home</v>
      </c>
      <c r="G1042" s="22" t="str" cm="1">
        <f t="array" ref="G1042:L1042">_xlfn.XLOOKUP(C1042,Sales_Fact!C1042:C3026,Sales_Fact!E1042:J3026)</f>
        <v>STORE14</v>
      </c>
      <c r="H1042" s="22">
        <v>2</v>
      </c>
      <c r="I1042" s="22">
        <v>720.32</v>
      </c>
      <c r="J1042" s="22">
        <v>0.26</v>
      </c>
      <c r="K1042" s="22" t="str">
        <v>Credit Card</v>
      </c>
      <c r="L1042" s="22">
        <v>1066.0735999999999</v>
      </c>
    </row>
    <row r="1043" spans="1:12" x14ac:dyDescent="0.3">
      <c r="A1043" s="22" t="s">
        <v>2852</v>
      </c>
      <c r="B1043" s="34" cm="1">
        <f t="array" ref="B1043:C1043">_xlfn.XLOOKUP(A1043,Sales_Fact!A1043:A3027,Sales_Fact!B1043:C3027)</f>
        <v>45431</v>
      </c>
      <c r="C1043" s="22" t="str">
        <v>CUST1075</v>
      </c>
      <c r="D1043" s="22" t="str">
        <f>VLOOKUP('Combine Products &amp; Sales Facts'!C1043,'Customer Details'!A:B,2,0)</f>
        <v>Rhonda Morales</v>
      </c>
      <c r="E1043" s="22" t="str">
        <f>VLOOKUP(C1043,Sales_Fact!C:D,2,0)</f>
        <v>PROD16</v>
      </c>
      <c r="F1043" s="22" t="str">
        <f>VLOOKUP(E1043,Product_Dim!A:C,3,0)</f>
        <v>Beauty</v>
      </c>
      <c r="G1043" s="22" t="str" cm="1">
        <f t="array" ref="G1043:L1043">_xlfn.XLOOKUP(C1043,Sales_Fact!C1043:C3027,Sales_Fact!E1043:J3027)</f>
        <v>STORE18</v>
      </c>
      <c r="H1043" s="22">
        <v>4</v>
      </c>
      <c r="I1043" s="22">
        <v>99.92</v>
      </c>
      <c r="J1043" s="22">
        <v>0.11</v>
      </c>
      <c r="K1043" s="22" t="str">
        <v>COD</v>
      </c>
      <c r="L1043" s="22">
        <v>355.71519999999998</v>
      </c>
    </row>
    <row r="1044" spans="1:12" x14ac:dyDescent="0.3">
      <c r="A1044" s="22" t="s">
        <v>2853</v>
      </c>
      <c r="B1044" s="34" cm="1">
        <f t="array" ref="B1044:C1044">_xlfn.XLOOKUP(A1044,Sales_Fact!A1044:A3028,Sales_Fact!B1044:C3028)</f>
        <v>45873</v>
      </c>
      <c r="C1044" s="22" t="str">
        <v>CUST1067</v>
      </c>
      <c r="D1044" s="22" t="str">
        <f>VLOOKUP('Combine Products &amp; Sales Facts'!C1044,'Customer Details'!A:B,2,0)</f>
        <v>Amber Mcclain</v>
      </c>
      <c r="E1044" s="22" t="str">
        <f>VLOOKUP(C1044,Sales_Fact!C:D,2,0)</f>
        <v>PROD46</v>
      </c>
      <c r="F1044" s="22" t="str">
        <f>VLOOKUP(E1044,Product_Dim!A:C,3,0)</f>
        <v>Clothing</v>
      </c>
      <c r="G1044" s="22" t="str" cm="1">
        <f t="array" ref="G1044:L1044">_xlfn.XLOOKUP(C1044,Sales_Fact!C1044:C3028,Sales_Fact!E1044:J3028)</f>
        <v>STORE3</v>
      </c>
      <c r="H1044" s="22">
        <v>3</v>
      </c>
      <c r="I1044" s="22">
        <v>900.63</v>
      </c>
      <c r="J1044" s="22">
        <v>0.11</v>
      </c>
      <c r="K1044" s="22" t="str">
        <v>COD</v>
      </c>
      <c r="L1044" s="22">
        <v>2404.6821</v>
      </c>
    </row>
    <row r="1045" spans="1:12" x14ac:dyDescent="0.3">
      <c r="A1045" s="22" t="s">
        <v>2854</v>
      </c>
      <c r="B1045" s="34" cm="1">
        <f t="array" ref="B1045:C1045">_xlfn.XLOOKUP(A1045,Sales_Fact!A1045:A3029,Sales_Fact!B1045:C3029)</f>
        <v>45629</v>
      </c>
      <c r="C1045" s="22" t="str">
        <v>CUST1442</v>
      </c>
      <c r="D1045" s="22" t="str">
        <f>VLOOKUP('Combine Products &amp; Sales Facts'!C1045,'Customer Details'!A:B,2,0)</f>
        <v>Kelli Smith</v>
      </c>
      <c r="E1045" s="22" t="str">
        <f>VLOOKUP(C1045,Sales_Fact!C:D,2,0)</f>
        <v>PROD56</v>
      </c>
      <c r="F1045" s="22" t="str">
        <f>VLOOKUP(E1045,Product_Dim!A:C,3,0)</f>
        <v>Home</v>
      </c>
      <c r="G1045" s="22" t="str" cm="1">
        <f t="array" ref="G1045:L1045">_xlfn.XLOOKUP(C1045,Sales_Fact!C1045:C3029,Sales_Fact!E1045:J3029)</f>
        <v>STORE8</v>
      </c>
      <c r="H1045" s="22">
        <v>1</v>
      </c>
      <c r="I1045" s="22">
        <v>681.72</v>
      </c>
      <c r="J1045" s="22">
        <v>0.11</v>
      </c>
      <c r="K1045" s="22" t="str">
        <v>PayPal</v>
      </c>
      <c r="L1045" s="22">
        <v>606.73080000000004</v>
      </c>
    </row>
    <row r="1046" spans="1:12" x14ac:dyDescent="0.3">
      <c r="A1046" s="22" t="s">
        <v>2855</v>
      </c>
      <c r="B1046" s="34" cm="1">
        <f t="array" ref="B1046:C1046">_xlfn.XLOOKUP(A1046,Sales_Fact!A1046:A3030,Sales_Fact!B1046:C3030)</f>
        <v>45222</v>
      </c>
      <c r="C1046" s="22" t="str">
        <v>CUST1009</v>
      </c>
      <c r="D1046" s="22" t="str">
        <f>VLOOKUP('Combine Products &amp; Sales Facts'!C1046,'Customer Details'!A:B,2,0)</f>
        <v>Ms. Maria Leach</v>
      </c>
      <c r="E1046" s="22" t="str">
        <f>VLOOKUP(C1046,Sales_Fact!C:D,2,0)</f>
        <v>PROD78</v>
      </c>
      <c r="F1046" s="22" t="str">
        <f>VLOOKUP(E1046,Product_Dim!A:C,3,0)</f>
        <v>Home</v>
      </c>
      <c r="G1046" s="22" t="str" cm="1">
        <f t="array" ref="G1046:L1046">_xlfn.XLOOKUP(C1046,Sales_Fact!C1046:C3030,Sales_Fact!E1046:J3030)</f>
        <v>STORE13</v>
      </c>
      <c r="H1046" s="22">
        <v>2</v>
      </c>
      <c r="I1046" s="22">
        <v>838.22</v>
      </c>
      <c r="J1046" s="22">
        <v>0.3</v>
      </c>
      <c r="K1046" s="22" t="str">
        <v>Credit Card</v>
      </c>
      <c r="L1046" s="22">
        <v>1173.508</v>
      </c>
    </row>
    <row r="1047" spans="1:12" x14ac:dyDescent="0.3">
      <c r="A1047" s="22" t="s">
        <v>2856</v>
      </c>
      <c r="B1047" s="34" cm="1">
        <f t="array" ref="B1047:C1047">_xlfn.XLOOKUP(A1047,Sales_Fact!A1047:A3031,Sales_Fact!B1047:C3031)</f>
        <v>45797</v>
      </c>
      <c r="C1047" s="22" t="str">
        <v>CUST1194</v>
      </c>
      <c r="D1047" s="22" t="str">
        <f>VLOOKUP('Combine Products &amp; Sales Facts'!C1047,'Customer Details'!A:B,2,0)</f>
        <v>Ashley Ferguson</v>
      </c>
      <c r="E1047" s="22" t="str">
        <f>VLOOKUP(C1047,Sales_Fact!C:D,2,0)</f>
        <v>PROD54</v>
      </c>
      <c r="F1047" s="22" t="str">
        <f>VLOOKUP(E1047,Product_Dim!A:C,3,0)</f>
        <v>Sports</v>
      </c>
      <c r="G1047" s="22" t="str" cm="1">
        <f t="array" ref="G1047:L1047">_xlfn.XLOOKUP(C1047,Sales_Fact!C1047:C3031,Sales_Fact!E1047:J3031)</f>
        <v>STORE12</v>
      </c>
      <c r="H1047" s="22">
        <v>2</v>
      </c>
      <c r="I1047" s="22">
        <v>816.22</v>
      </c>
      <c r="J1047" s="22">
        <v>0.27</v>
      </c>
      <c r="K1047" s="22" t="str">
        <v>Credit Card</v>
      </c>
      <c r="L1047" s="22">
        <v>1191.6812</v>
      </c>
    </row>
    <row r="1048" spans="1:12" x14ac:dyDescent="0.3">
      <c r="A1048" s="22" t="s">
        <v>2857</v>
      </c>
      <c r="B1048" s="34" cm="1">
        <f t="array" ref="B1048:C1048">_xlfn.XLOOKUP(A1048,Sales_Fact!A1048:A3032,Sales_Fact!B1048:C3032)</f>
        <v>45554</v>
      </c>
      <c r="C1048" s="22" t="str">
        <v>CUST1380</v>
      </c>
      <c r="D1048" s="22" t="str">
        <f>VLOOKUP('Combine Products &amp; Sales Facts'!C1048,'Customer Details'!A:B,2,0)</f>
        <v>Shelley Ponce</v>
      </c>
      <c r="E1048" s="22" t="str">
        <f>VLOOKUP(C1048,Sales_Fact!C:D,2,0)</f>
        <v>PROD98</v>
      </c>
      <c r="F1048" s="22" t="str">
        <f>VLOOKUP(E1048,Product_Dim!A:C,3,0)</f>
        <v>Electronics</v>
      </c>
      <c r="G1048" s="22" t="str" cm="1">
        <f t="array" ref="G1048:L1048">_xlfn.XLOOKUP(C1048,Sales_Fact!C1048:C3032,Sales_Fact!E1048:J3032)</f>
        <v>STORE7</v>
      </c>
      <c r="H1048" s="22">
        <v>2</v>
      </c>
      <c r="I1048" s="22">
        <v>654.12</v>
      </c>
      <c r="J1048" s="22">
        <v>0.27</v>
      </c>
      <c r="K1048" s="22" t="str">
        <v>PayPal</v>
      </c>
      <c r="L1048" s="22">
        <v>955.01519999999994</v>
      </c>
    </row>
    <row r="1049" spans="1:12" x14ac:dyDescent="0.3">
      <c r="A1049" s="22" t="s">
        <v>2858</v>
      </c>
      <c r="B1049" s="34" cm="1">
        <f t="array" ref="B1049:C1049">_xlfn.XLOOKUP(A1049,Sales_Fact!A1049:A3033,Sales_Fact!B1049:C3033)</f>
        <v>45385</v>
      </c>
      <c r="C1049" s="22" t="str">
        <v>CUST1105</v>
      </c>
      <c r="D1049" s="22" t="str">
        <f>VLOOKUP('Combine Products &amp; Sales Facts'!C1049,'Customer Details'!A:B,2,0)</f>
        <v>Lance Baker</v>
      </c>
      <c r="E1049" s="22" t="str">
        <f>VLOOKUP(C1049,Sales_Fact!C:D,2,0)</f>
        <v>PROD39</v>
      </c>
      <c r="F1049" s="22" t="str">
        <f>VLOOKUP(E1049,Product_Dim!A:C,3,0)</f>
        <v>Electronics</v>
      </c>
      <c r="G1049" s="22" t="str" cm="1">
        <f t="array" ref="G1049:L1049">_xlfn.XLOOKUP(C1049,Sales_Fact!C1049:C3033,Sales_Fact!E1049:J3033)</f>
        <v>STORE13</v>
      </c>
      <c r="H1049" s="22">
        <v>4</v>
      </c>
      <c r="I1049" s="22">
        <v>528.22</v>
      </c>
      <c r="J1049" s="22">
        <v>0.2</v>
      </c>
      <c r="K1049" s="22" t="str">
        <v>PayPal</v>
      </c>
      <c r="L1049" s="22">
        <v>1690.3040000000001</v>
      </c>
    </row>
    <row r="1050" spans="1:12" x14ac:dyDescent="0.3">
      <c r="A1050" s="22" t="s">
        <v>2859</v>
      </c>
      <c r="B1050" s="34" cm="1">
        <f t="array" ref="B1050:C1050">_xlfn.XLOOKUP(A1050,Sales_Fact!A1050:A3034,Sales_Fact!B1050:C3034)</f>
        <v>45704</v>
      </c>
      <c r="C1050" s="22" t="str">
        <v>CUST1221</v>
      </c>
      <c r="D1050" s="22" t="str">
        <f>VLOOKUP('Combine Products &amp; Sales Facts'!C1050,'Customer Details'!A:B,2,0)</f>
        <v>Lisa Young</v>
      </c>
      <c r="E1050" s="22" t="str">
        <f>VLOOKUP(C1050,Sales_Fact!C:D,2,0)</f>
        <v>PROD83</v>
      </c>
      <c r="F1050" s="22" t="str">
        <f>VLOOKUP(E1050,Product_Dim!A:C,3,0)</f>
        <v>Beauty</v>
      </c>
      <c r="G1050" s="22" t="str" cm="1">
        <f t="array" ref="G1050:L1050">_xlfn.XLOOKUP(C1050,Sales_Fact!C1050:C3034,Sales_Fact!E1050:J3034)</f>
        <v>STORE7</v>
      </c>
      <c r="H1050" s="22">
        <v>4</v>
      </c>
      <c r="I1050" s="22">
        <v>36.72</v>
      </c>
      <c r="J1050" s="22">
        <v>7.0000000000000007E-2</v>
      </c>
      <c r="K1050" s="22" t="str">
        <v>COD</v>
      </c>
      <c r="L1050" s="22">
        <v>136.5984</v>
      </c>
    </row>
    <row r="1051" spans="1:12" x14ac:dyDescent="0.3">
      <c r="A1051" s="22" t="s">
        <v>2860</v>
      </c>
      <c r="B1051" s="34" cm="1">
        <f t="array" ref="B1051:C1051">_xlfn.XLOOKUP(A1051,Sales_Fact!A1051:A3035,Sales_Fact!B1051:C3035)</f>
        <v>45545</v>
      </c>
      <c r="C1051" s="22" t="str">
        <v>CUST1370</v>
      </c>
      <c r="D1051" s="22" t="str">
        <f>VLOOKUP('Combine Products &amp; Sales Facts'!C1051,'Customer Details'!A:B,2,0)</f>
        <v>James Holloway Jr.</v>
      </c>
      <c r="E1051" s="22" t="str">
        <f>VLOOKUP(C1051,Sales_Fact!C:D,2,0)</f>
        <v>PROD37</v>
      </c>
      <c r="F1051" s="22" t="str">
        <f>VLOOKUP(E1051,Product_Dim!A:C,3,0)</f>
        <v>Clothing</v>
      </c>
      <c r="G1051" s="22" t="str" cm="1">
        <f t="array" ref="G1051:L1051">_xlfn.XLOOKUP(C1051,Sales_Fact!C1051:C3035,Sales_Fact!E1051:J3035)</f>
        <v>STORE19</v>
      </c>
      <c r="H1051" s="22">
        <v>2</v>
      </c>
      <c r="I1051" s="22">
        <v>705.97</v>
      </c>
      <c r="J1051" s="22">
        <v>0.1</v>
      </c>
      <c r="K1051" s="22" t="str">
        <v>PayPal</v>
      </c>
      <c r="L1051" s="22">
        <v>1270.7460000000001</v>
      </c>
    </row>
    <row r="1052" spans="1:12" x14ac:dyDescent="0.3">
      <c r="A1052" s="22" t="s">
        <v>2861</v>
      </c>
      <c r="B1052" s="34" cm="1">
        <f t="array" ref="B1052:C1052">_xlfn.XLOOKUP(A1052,Sales_Fact!A1052:A3036,Sales_Fact!B1052:C3036)</f>
        <v>45736</v>
      </c>
      <c r="C1052" s="22" t="str">
        <v>CUST1023</v>
      </c>
      <c r="D1052" s="22" t="str">
        <f>VLOOKUP('Combine Products &amp; Sales Facts'!C1052,'Customer Details'!A:B,2,0)</f>
        <v>Jonathan Steele</v>
      </c>
      <c r="E1052" s="22" t="str">
        <f>VLOOKUP(C1052,Sales_Fact!C:D,2,0)</f>
        <v>PROD68</v>
      </c>
      <c r="F1052" s="22" t="str">
        <f>VLOOKUP(E1052,Product_Dim!A:C,3,0)</f>
        <v>Home</v>
      </c>
      <c r="G1052" s="22" t="str" cm="1">
        <f t="array" ref="G1052:L1052">_xlfn.XLOOKUP(C1052,Sales_Fact!C1052:C3036,Sales_Fact!E1052:J3036)</f>
        <v>STORE1</v>
      </c>
      <c r="H1052" s="22">
        <v>2</v>
      </c>
      <c r="I1052" s="22">
        <v>994.29</v>
      </c>
      <c r="J1052" s="22">
        <v>0.01</v>
      </c>
      <c r="K1052" s="22" t="str">
        <v>PayPal</v>
      </c>
      <c r="L1052" s="22">
        <v>1968.6941999999999</v>
      </c>
    </row>
    <row r="1053" spans="1:12" x14ac:dyDescent="0.3">
      <c r="A1053" s="22" t="s">
        <v>2862</v>
      </c>
      <c r="B1053" s="34" cm="1">
        <f t="array" ref="B1053:C1053">_xlfn.XLOOKUP(A1053,Sales_Fact!A1053:A3037,Sales_Fact!B1053:C3037)</f>
        <v>45608</v>
      </c>
      <c r="C1053" s="22" t="str">
        <v>CUST1421</v>
      </c>
      <c r="D1053" s="22" t="str">
        <f>VLOOKUP('Combine Products &amp; Sales Facts'!C1053,'Customer Details'!A:B,2,0)</f>
        <v>Holly Robinson</v>
      </c>
      <c r="E1053" s="22" t="str">
        <f>VLOOKUP(C1053,Sales_Fact!C:D,2,0)</f>
        <v>PROD81</v>
      </c>
      <c r="F1053" s="22" t="str">
        <f>VLOOKUP(E1053,Product_Dim!A:C,3,0)</f>
        <v>Sports</v>
      </c>
      <c r="G1053" s="22" t="str" cm="1">
        <f t="array" ref="G1053:L1053">_xlfn.XLOOKUP(C1053,Sales_Fact!C1053:C3037,Sales_Fact!E1053:J3037)</f>
        <v>STORE18</v>
      </c>
      <c r="H1053" s="22">
        <v>1</v>
      </c>
      <c r="I1053" s="22">
        <v>909.04</v>
      </c>
      <c r="J1053" s="22">
        <v>0.11</v>
      </c>
      <c r="K1053" s="22" t="str">
        <v>Credit Card</v>
      </c>
      <c r="L1053" s="22">
        <v>809.04560000000004</v>
      </c>
    </row>
    <row r="1054" spans="1:12" x14ac:dyDescent="0.3">
      <c r="A1054" s="22" t="s">
        <v>2863</v>
      </c>
      <c r="B1054" s="34" cm="1">
        <f t="array" ref="B1054:C1054">_xlfn.XLOOKUP(A1054,Sales_Fact!A1054:A3038,Sales_Fact!B1054:C3038)</f>
        <v>45334</v>
      </c>
      <c r="C1054" s="22" t="str">
        <v>CUST1349</v>
      </c>
      <c r="D1054" s="22" t="str">
        <f>VLOOKUP('Combine Products &amp; Sales Facts'!C1054,'Customer Details'!A:B,2,0)</f>
        <v>Heather Valenzuela</v>
      </c>
      <c r="E1054" s="22" t="str">
        <f>VLOOKUP(C1054,Sales_Fact!C:D,2,0)</f>
        <v>PROD71</v>
      </c>
      <c r="F1054" s="22" t="str">
        <f>VLOOKUP(E1054,Product_Dim!A:C,3,0)</f>
        <v>Beauty</v>
      </c>
      <c r="G1054" s="22" t="str" cm="1">
        <f t="array" ref="G1054:L1054">_xlfn.XLOOKUP(C1054,Sales_Fact!C1054:C3038,Sales_Fact!E1054:J3038)</f>
        <v>STORE11</v>
      </c>
      <c r="H1054" s="22">
        <v>1</v>
      </c>
      <c r="I1054" s="22">
        <v>164.73</v>
      </c>
      <c r="J1054" s="22">
        <v>0.12</v>
      </c>
      <c r="K1054" s="22" t="str">
        <v>PayPal</v>
      </c>
      <c r="L1054" s="22">
        <v>144.9624</v>
      </c>
    </row>
    <row r="1055" spans="1:12" x14ac:dyDescent="0.3">
      <c r="A1055" s="22" t="s">
        <v>2864</v>
      </c>
      <c r="B1055" s="34" cm="1">
        <f t="array" ref="B1055:C1055">_xlfn.XLOOKUP(A1055,Sales_Fact!A1055:A3039,Sales_Fact!B1055:C3039)</f>
        <v>45690</v>
      </c>
      <c r="C1055" s="22" t="str">
        <v>CUST1062</v>
      </c>
      <c r="D1055" s="22" t="str">
        <f>VLOOKUP('Combine Products &amp; Sales Facts'!C1055,'Customer Details'!A:B,2,0)</f>
        <v>James Bean</v>
      </c>
      <c r="E1055" s="22" t="str">
        <f>VLOOKUP(C1055,Sales_Fact!C:D,2,0)</f>
        <v>PROD84</v>
      </c>
      <c r="F1055" s="22" t="str">
        <f>VLOOKUP(E1055,Product_Dim!A:C,3,0)</f>
        <v>Home</v>
      </c>
      <c r="G1055" s="22" t="str" cm="1">
        <f t="array" ref="G1055:L1055">_xlfn.XLOOKUP(C1055,Sales_Fact!C1055:C3039,Sales_Fact!E1055:J3039)</f>
        <v>STORE7</v>
      </c>
      <c r="H1055" s="22">
        <v>2</v>
      </c>
      <c r="I1055" s="22">
        <v>606.35</v>
      </c>
      <c r="J1055" s="22">
        <v>0.16</v>
      </c>
      <c r="K1055" s="22" t="str">
        <v>COD</v>
      </c>
      <c r="L1055" s="22">
        <v>1018.668</v>
      </c>
    </row>
    <row r="1056" spans="1:12" x14ac:dyDescent="0.3">
      <c r="A1056" s="22" t="s">
        <v>2865</v>
      </c>
      <c r="B1056" s="34" cm="1">
        <f t="array" ref="B1056:C1056">_xlfn.XLOOKUP(A1056,Sales_Fact!A1056:A3040,Sales_Fact!B1056:C3040)</f>
        <v>45481</v>
      </c>
      <c r="C1056" s="22" t="str">
        <v>CUST1163</v>
      </c>
      <c r="D1056" s="22" t="str">
        <f>VLOOKUP('Combine Products &amp; Sales Facts'!C1056,'Customer Details'!A:B,2,0)</f>
        <v>Joseph Jones</v>
      </c>
      <c r="E1056" s="22" t="str">
        <f>VLOOKUP(C1056,Sales_Fact!C:D,2,0)</f>
        <v>PROD97</v>
      </c>
      <c r="F1056" s="22" t="str">
        <f>VLOOKUP(E1056,Product_Dim!A:C,3,0)</f>
        <v>Sports</v>
      </c>
      <c r="G1056" s="22" t="str" cm="1">
        <f t="array" ref="G1056:L1056">_xlfn.XLOOKUP(C1056,Sales_Fact!C1056:C3040,Sales_Fact!E1056:J3040)</f>
        <v>STORE4</v>
      </c>
      <c r="H1056" s="22">
        <v>3</v>
      </c>
      <c r="I1056" s="22">
        <v>904.19</v>
      </c>
      <c r="J1056" s="22">
        <v>0.09</v>
      </c>
      <c r="K1056" s="22" t="str">
        <v>Credit Card</v>
      </c>
      <c r="L1056" s="22">
        <v>2468.4387000000002</v>
      </c>
    </row>
    <row r="1057" spans="1:12" x14ac:dyDescent="0.3">
      <c r="A1057" s="22" t="s">
        <v>2866</v>
      </c>
      <c r="B1057" s="34" cm="1">
        <f t="array" ref="B1057:C1057">_xlfn.XLOOKUP(A1057,Sales_Fact!A1057:A3041,Sales_Fact!B1057:C3041)</f>
        <v>45576</v>
      </c>
      <c r="C1057" s="22" t="str">
        <v>CUST1151</v>
      </c>
      <c r="D1057" s="22" t="str">
        <f>VLOOKUP('Combine Products &amp; Sales Facts'!C1057,'Customer Details'!A:B,2,0)</f>
        <v>Michael Davies</v>
      </c>
      <c r="E1057" s="22" t="str">
        <f>VLOOKUP(C1057,Sales_Fact!C:D,2,0)</f>
        <v>PROD24</v>
      </c>
      <c r="F1057" s="22" t="str">
        <f>VLOOKUP(E1057,Product_Dim!A:C,3,0)</f>
        <v>Sports</v>
      </c>
      <c r="G1057" s="22" t="str" cm="1">
        <f t="array" ref="G1057:L1057">_xlfn.XLOOKUP(C1057,Sales_Fact!C1057:C3041,Sales_Fact!E1057:J3041)</f>
        <v>STORE2</v>
      </c>
      <c r="H1057" s="22">
        <v>4</v>
      </c>
      <c r="I1057" s="22">
        <v>694.61</v>
      </c>
      <c r="J1057" s="22">
        <v>0.18</v>
      </c>
      <c r="K1057" s="22" t="str">
        <v>COD</v>
      </c>
      <c r="L1057" s="22">
        <v>2278.3208</v>
      </c>
    </row>
    <row r="1058" spans="1:12" x14ac:dyDescent="0.3">
      <c r="A1058" s="22" t="s">
        <v>2867</v>
      </c>
      <c r="B1058" s="34" cm="1">
        <f t="array" ref="B1058:C1058">_xlfn.XLOOKUP(A1058,Sales_Fact!A1058:A3042,Sales_Fact!B1058:C3042)</f>
        <v>45215</v>
      </c>
      <c r="C1058" s="22" t="str">
        <v>CUST1225</v>
      </c>
      <c r="D1058" s="22" t="str">
        <f>VLOOKUP('Combine Products &amp; Sales Facts'!C1058,'Customer Details'!A:B,2,0)</f>
        <v>Elizabeth Stanley</v>
      </c>
      <c r="E1058" s="22" t="str">
        <f>VLOOKUP(C1058,Sales_Fact!C:D,2,0)</f>
        <v>PROD19</v>
      </c>
      <c r="F1058" s="22" t="str">
        <f>VLOOKUP(E1058,Product_Dim!A:C,3,0)</f>
        <v>Sports</v>
      </c>
      <c r="G1058" s="22" t="str" cm="1">
        <f t="array" ref="G1058:L1058">_xlfn.XLOOKUP(C1058,Sales_Fact!C1058:C3042,Sales_Fact!E1058:J3042)</f>
        <v>STORE2</v>
      </c>
      <c r="H1058" s="22">
        <v>4</v>
      </c>
      <c r="I1058" s="22">
        <v>753.83</v>
      </c>
      <c r="J1058" s="22">
        <v>0.24</v>
      </c>
      <c r="K1058" s="22" t="str">
        <v>Credit Card</v>
      </c>
      <c r="L1058" s="22">
        <v>2291.6432</v>
      </c>
    </row>
    <row r="1059" spans="1:12" x14ac:dyDescent="0.3">
      <c r="A1059" s="22" t="s">
        <v>2868</v>
      </c>
      <c r="B1059" s="34" cm="1">
        <f t="array" ref="B1059:C1059">_xlfn.XLOOKUP(A1059,Sales_Fact!A1059:A3043,Sales_Fact!B1059:C3043)</f>
        <v>45653</v>
      </c>
      <c r="C1059" s="22" t="str">
        <v>CUST1197</v>
      </c>
      <c r="D1059" s="22" t="str">
        <f>VLOOKUP('Combine Products &amp; Sales Facts'!C1059,'Customer Details'!A:B,2,0)</f>
        <v>Andrea Jacobs</v>
      </c>
      <c r="E1059" s="22" t="str">
        <f>VLOOKUP(C1059,Sales_Fact!C:D,2,0)</f>
        <v>PROD37</v>
      </c>
      <c r="F1059" s="22" t="str">
        <f>VLOOKUP(E1059,Product_Dim!A:C,3,0)</f>
        <v>Clothing</v>
      </c>
      <c r="G1059" s="22" t="str" cm="1">
        <f t="array" ref="G1059:L1059">_xlfn.XLOOKUP(C1059,Sales_Fact!C1059:C3043,Sales_Fact!E1059:J3043)</f>
        <v>STORE8</v>
      </c>
      <c r="H1059" s="22">
        <v>1</v>
      </c>
      <c r="I1059" s="22">
        <v>66.22</v>
      </c>
      <c r="J1059" s="22">
        <v>0.02</v>
      </c>
      <c r="K1059" s="22" t="str">
        <v>Credit Card</v>
      </c>
      <c r="L1059" s="22">
        <v>64.895600000000002</v>
      </c>
    </row>
    <row r="1060" spans="1:12" x14ac:dyDescent="0.3">
      <c r="A1060" s="22" t="s">
        <v>2869</v>
      </c>
      <c r="B1060" s="34" cm="1">
        <f t="array" ref="B1060:C1060">_xlfn.XLOOKUP(A1060,Sales_Fact!A1060:A3044,Sales_Fact!B1060:C3044)</f>
        <v>45241</v>
      </c>
      <c r="C1060" s="22" t="str">
        <v>CUST1337</v>
      </c>
      <c r="D1060" s="22" t="str">
        <f>VLOOKUP('Combine Products &amp; Sales Facts'!C1060,'Customer Details'!A:B,2,0)</f>
        <v>Carol Lewis</v>
      </c>
      <c r="E1060" s="22" t="str">
        <f>VLOOKUP(C1060,Sales_Fact!C:D,2,0)</f>
        <v>PROD71</v>
      </c>
      <c r="F1060" s="22" t="str">
        <f>VLOOKUP(E1060,Product_Dim!A:C,3,0)</f>
        <v>Beauty</v>
      </c>
      <c r="G1060" s="22" t="str" cm="1">
        <f t="array" ref="G1060:L1060">_xlfn.XLOOKUP(C1060,Sales_Fact!C1060:C3044,Sales_Fact!E1060:J3044)</f>
        <v>STORE14</v>
      </c>
      <c r="H1060" s="22">
        <v>2</v>
      </c>
      <c r="I1060" s="22">
        <v>891.8</v>
      </c>
      <c r="J1060" s="22">
        <v>0.28999999999999998</v>
      </c>
      <c r="K1060" s="22" t="str">
        <v>COD</v>
      </c>
      <c r="L1060" s="22">
        <v>1266.356</v>
      </c>
    </row>
    <row r="1061" spans="1:12" x14ac:dyDescent="0.3">
      <c r="A1061" s="22" t="s">
        <v>2870</v>
      </c>
      <c r="B1061" s="34" cm="1">
        <f t="array" ref="B1061:C1061">_xlfn.XLOOKUP(A1061,Sales_Fact!A1061:A3045,Sales_Fact!B1061:C3045)</f>
        <v>45428</v>
      </c>
      <c r="C1061" s="22" t="str">
        <v>CUST1363</v>
      </c>
      <c r="D1061" s="22" t="str">
        <f>VLOOKUP('Combine Products &amp; Sales Facts'!C1061,'Customer Details'!A:B,2,0)</f>
        <v>Elizabeth Smith</v>
      </c>
      <c r="E1061" s="22" t="str">
        <f>VLOOKUP(C1061,Sales_Fact!C:D,2,0)</f>
        <v>PROD91</v>
      </c>
      <c r="F1061" s="22" t="str">
        <f>VLOOKUP(E1061,Product_Dim!A:C,3,0)</f>
        <v>Clothing</v>
      </c>
      <c r="G1061" s="22" t="str" cm="1">
        <f t="array" ref="G1061:L1061">_xlfn.XLOOKUP(C1061,Sales_Fact!C1061:C3045,Sales_Fact!E1061:J3045)</f>
        <v>STORE9</v>
      </c>
      <c r="H1061" s="22">
        <v>4</v>
      </c>
      <c r="I1061" s="22">
        <v>255.48</v>
      </c>
      <c r="J1061" s="22">
        <v>0.03</v>
      </c>
      <c r="K1061" s="22" t="str">
        <v>COD</v>
      </c>
      <c r="L1061" s="22">
        <v>991.26239999999996</v>
      </c>
    </row>
    <row r="1062" spans="1:12" x14ac:dyDescent="0.3">
      <c r="A1062" s="22" t="s">
        <v>2871</v>
      </c>
      <c r="B1062" s="34" cm="1">
        <f t="array" ref="B1062:C1062">_xlfn.XLOOKUP(A1062,Sales_Fact!A1062:A3046,Sales_Fact!B1062:C3046)</f>
        <v>45593</v>
      </c>
      <c r="C1062" s="22" t="str">
        <v>CUST1301</v>
      </c>
      <c r="D1062" s="22" t="str">
        <f>VLOOKUP('Combine Products &amp; Sales Facts'!C1062,'Customer Details'!A:B,2,0)</f>
        <v>Ryan Kane</v>
      </c>
      <c r="E1062" s="22" t="str">
        <f>VLOOKUP(C1062,Sales_Fact!C:D,2,0)</f>
        <v>PROD84</v>
      </c>
      <c r="F1062" s="22" t="str">
        <f>VLOOKUP(E1062,Product_Dim!A:C,3,0)</f>
        <v>Home</v>
      </c>
      <c r="G1062" s="22" t="str" cm="1">
        <f t="array" ref="G1062:L1062">_xlfn.XLOOKUP(C1062,Sales_Fact!C1062:C3046,Sales_Fact!E1062:J3046)</f>
        <v>STORE17</v>
      </c>
      <c r="H1062" s="22">
        <v>4</v>
      </c>
      <c r="I1062" s="22">
        <v>604.87</v>
      </c>
      <c r="J1062" s="22">
        <v>0.28000000000000003</v>
      </c>
      <c r="K1062" s="22" t="str">
        <v>PayPal</v>
      </c>
      <c r="L1062" s="22">
        <v>1742.0255999999999</v>
      </c>
    </row>
    <row r="1063" spans="1:12" x14ac:dyDescent="0.3">
      <c r="A1063" s="22" t="s">
        <v>2872</v>
      </c>
      <c r="B1063" s="34" cm="1">
        <f t="array" ref="B1063:C1063">_xlfn.XLOOKUP(A1063,Sales_Fact!A1063:A3047,Sales_Fact!B1063:C3047)</f>
        <v>45370</v>
      </c>
      <c r="C1063" s="22" t="str">
        <v>CUST1045</v>
      </c>
      <c r="D1063" s="22" t="str">
        <f>VLOOKUP('Combine Products &amp; Sales Facts'!C1063,'Customer Details'!A:B,2,0)</f>
        <v>Jordan Jackson Dds</v>
      </c>
      <c r="E1063" s="22" t="str">
        <f>VLOOKUP(C1063,Sales_Fact!C:D,2,0)</f>
        <v>PROD33</v>
      </c>
      <c r="F1063" s="22" t="str">
        <f>VLOOKUP(E1063,Product_Dim!A:C,3,0)</f>
        <v>Home</v>
      </c>
      <c r="G1063" s="22" t="str" cm="1">
        <f t="array" ref="G1063:L1063">_xlfn.XLOOKUP(C1063,Sales_Fact!C1063:C3047,Sales_Fact!E1063:J3047)</f>
        <v>STORE17</v>
      </c>
      <c r="H1063" s="22">
        <v>3</v>
      </c>
      <c r="I1063" s="22">
        <v>623.82000000000005</v>
      </c>
      <c r="J1063" s="22">
        <v>0.13</v>
      </c>
      <c r="K1063" s="22" t="str">
        <v>COD</v>
      </c>
      <c r="L1063" s="22">
        <v>1628.1702</v>
      </c>
    </row>
    <row r="1064" spans="1:12" x14ac:dyDescent="0.3">
      <c r="A1064" s="22" t="s">
        <v>2873</v>
      </c>
      <c r="B1064" s="34" cm="1">
        <f t="array" ref="B1064:C1064">_xlfn.XLOOKUP(A1064,Sales_Fact!A1064:A3048,Sales_Fact!B1064:C3048)</f>
        <v>45882</v>
      </c>
      <c r="C1064" s="22" t="str">
        <v>CUST1138</v>
      </c>
      <c r="D1064" s="22" t="str">
        <f>VLOOKUP('Combine Products &amp; Sales Facts'!C1064,'Customer Details'!A:B,2,0)</f>
        <v>Sean Roth</v>
      </c>
      <c r="E1064" s="22" t="str">
        <f>VLOOKUP(C1064,Sales_Fact!C:D,2,0)</f>
        <v>PROD46</v>
      </c>
      <c r="F1064" s="22" t="str">
        <f>VLOOKUP(E1064,Product_Dim!A:C,3,0)</f>
        <v>Clothing</v>
      </c>
      <c r="G1064" s="22" t="str" cm="1">
        <f t="array" ref="G1064:L1064">_xlfn.XLOOKUP(C1064,Sales_Fact!C1064:C3048,Sales_Fact!E1064:J3048)</f>
        <v>STORE16</v>
      </c>
      <c r="H1064" s="22">
        <v>3</v>
      </c>
      <c r="I1064" s="22">
        <v>575.24</v>
      </c>
      <c r="J1064" s="22">
        <v>0.12</v>
      </c>
      <c r="K1064" s="22" t="str">
        <v>COD</v>
      </c>
      <c r="L1064" s="22">
        <v>1518.6335999999999</v>
      </c>
    </row>
    <row r="1065" spans="1:12" x14ac:dyDescent="0.3">
      <c r="A1065" s="22" t="s">
        <v>2874</v>
      </c>
      <c r="B1065" s="34" cm="1">
        <f t="array" ref="B1065:C1065">_xlfn.XLOOKUP(A1065,Sales_Fact!A1065:A3049,Sales_Fact!B1065:C3049)</f>
        <v>45878</v>
      </c>
      <c r="C1065" s="22" t="str">
        <v>CUST1414</v>
      </c>
      <c r="D1065" s="22" t="str">
        <f>VLOOKUP('Combine Products &amp; Sales Facts'!C1065,'Customer Details'!A:B,2,0)</f>
        <v>Melissa Valentine</v>
      </c>
      <c r="E1065" s="22" t="str">
        <f>VLOOKUP(C1065,Sales_Fact!C:D,2,0)</f>
        <v>PROD4</v>
      </c>
      <c r="F1065" s="22" t="str">
        <f>VLOOKUP(E1065,Product_Dim!A:C,3,0)</f>
        <v>Clothing</v>
      </c>
      <c r="G1065" s="22" t="str" cm="1">
        <f t="array" ref="G1065:L1065">_xlfn.XLOOKUP(C1065,Sales_Fact!C1065:C3049,Sales_Fact!E1065:J3049)</f>
        <v>STORE11</v>
      </c>
      <c r="H1065" s="22">
        <v>1</v>
      </c>
      <c r="I1065" s="22">
        <v>769.4</v>
      </c>
      <c r="J1065" s="22">
        <v>0.16</v>
      </c>
      <c r="K1065" s="22" t="str">
        <v>Credit Card</v>
      </c>
      <c r="L1065" s="22">
        <v>646.29599999999994</v>
      </c>
    </row>
    <row r="1066" spans="1:12" x14ac:dyDescent="0.3">
      <c r="A1066" s="22" t="s">
        <v>2875</v>
      </c>
      <c r="B1066" s="34" cm="1">
        <f t="array" ref="B1066:C1066">_xlfn.XLOOKUP(A1066,Sales_Fact!A1066:A3050,Sales_Fact!B1066:C3050)</f>
        <v>45420</v>
      </c>
      <c r="C1066" s="22" t="str">
        <v>CUST1329</v>
      </c>
      <c r="D1066" s="22" t="str">
        <f>VLOOKUP('Combine Products &amp; Sales Facts'!C1066,'Customer Details'!A:B,2,0)</f>
        <v>Victor Mcintosh</v>
      </c>
      <c r="E1066" s="22" t="str">
        <f>VLOOKUP(C1066,Sales_Fact!C:D,2,0)</f>
        <v>PROD57</v>
      </c>
      <c r="F1066" s="22" t="str">
        <f>VLOOKUP(E1066,Product_Dim!A:C,3,0)</f>
        <v>Sports</v>
      </c>
      <c r="G1066" s="22" t="str" cm="1">
        <f t="array" ref="G1066:L1066">_xlfn.XLOOKUP(C1066,Sales_Fact!C1066:C3050,Sales_Fact!E1066:J3050)</f>
        <v>STORE17</v>
      </c>
      <c r="H1066" s="22">
        <v>1</v>
      </c>
      <c r="I1066" s="22">
        <v>227.28</v>
      </c>
      <c r="J1066" s="22">
        <v>0.13</v>
      </c>
      <c r="K1066" s="22" t="str">
        <v>COD</v>
      </c>
      <c r="L1066" s="22">
        <v>197.7336</v>
      </c>
    </row>
    <row r="1067" spans="1:12" x14ac:dyDescent="0.3">
      <c r="A1067" s="22" t="s">
        <v>2876</v>
      </c>
      <c r="B1067" s="34" cm="1">
        <f t="array" ref="B1067:C1067">_xlfn.XLOOKUP(A1067,Sales_Fact!A1067:A3051,Sales_Fact!B1067:C3051)</f>
        <v>45361</v>
      </c>
      <c r="C1067" s="22" t="str">
        <v>CUST1051</v>
      </c>
      <c r="D1067" s="22" t="str">
        <f>VLOOKUP('Combine Products &amp; Sales Facts'!C1067,'Customer Details'!A:B,2,0)</f>
        <v>Sarah Rodgers</v>
      </c>
      <c r="E1067" s="22" t="str">
        <f>VLOOKUP(C1067,Sales_Fact!C:D,2,0)</f>
        <v>PROD21</v>
      </c>
      <c r="F1067" s="22" t="str">
        <f>VLOOKUP(E1067,Product_Dim!A:C,3,0)</f>
        <v>Home</v>
      </c>
      <c r="G1067" s="22" t="str" cm="1">
        <f t="array" ref="G1067:L1067">_xlfn.XLOOKUP(C1067,Sales_Fact!C1067:C3051,Sales_Fact!E1067:J3051)</f>
        <v>STORE17</v>
      </c>
      <c r="H1067" s="22">
        <v>4</v>
      </c>
      <c r="I1067" s="22">
        <v>127.58</v>
      </c>
      <c r="J1067" s="22">
        <v>0.15</v>
      </c>
      <c r="K1067" s="22" t="str">
        <v>Credit Card</v>
      </c>
      <c r="L1067" s="22">
        <v>433.77199999999999</v>
      </c>
    </row>
    <row r="1068" spans="1:12" x14ac:dyDescent="0.3">
      <c r="A1068" s="22" t="s">
        <v>2877</v>
      </c>
      <c r="B1068" s="34" cm="1">
        <f t="array" ref="B1068:C1068">_xlfn.XLOOKUP(A1068,Sales_Fact!A1068:A3052,Sales_Fact!B1068:C3052)</f>
        <v>45702</v>
      </c>
      <c r="C1068" s="22" t="str">
        <v>CUST1418</v>
      </c>
      <c r="D1068" s="22" t="str">
        <f>VLOOKUP('Combine Products &amp; Sales Facts'!C1068,'Customer Details'!A:B,2,0)</f>
        <v>Luke Parks</v>
      </c>
      <c r="E1068" s="22" t="str">
        <f>VLOOKUP(C1068,Sales_Fact!C:D,2,0)</f>
        <v>PROD89</v>
      </c>
      <c r="F1068" s="22" t="str">
        <f>VLOOKUP(E1068,Product_Dim!A:C,3,0)</f>
        <v>Beauty</v>
      </c>
      <c r="G1068" s="22" t="str" cm="1">
        <f t="array" ref="G1068:L1068">_xlfn.XLOOKUP(C1068,Sales_Fact!C1068:C3052,Sales_Fact!E1068:J3052)</f>
        <v>STORE3</v>
      </c>
      <c r="H1068" s="22">
        <v>1</v>
      </c>
      <c r="I1068" s="22">
        <v>793.21</v>
      </c>
      <c r="J1068" s="22">
        <v>0.09</v>
      </c>
      <c r="K1068" s="22" t="str">
        <v>Credit Card</v>
      </c>
      <c r="L1068" s="22">
        <v>721.8211</v>
      </c>
    </row>
    <row r="1069" spans="1:12" x14ac:dyDescent="0.3">
      <c r="A1069" s="22" t="s">
        <v>2878</v>
      </c>
      <c r="B1069" s="34" cm="1">
        <f t="array" ref="B1069:C1069">_xlfn.XLOOKUP(A1069,Sales_Fact!A1069:A3053,Sales_Fact!B1069:C3053)</f>
        <v>45871</v>
      </c>
      <c r="C1069" s="22" t="str">
        <v>CUST1301</v>
      </c>
      <c r="D1069" s="22" t="str">
        <f>VLOOKUP('Combine Products &amp; Sales Facts'!C1069,'Customer Details'!A:B,2,0)</f>
        <v>Ryan Kane</v>
      </c>
      <c r="E1069" s="22" t="str">
        <f>VLOOKUP(C1069,Sales_Fact!C:D,2,0)</f>
        <v>PROD84</v>
      </c>
      <c r="F1069" s="22" t="str">
        <f>VLOOKUP(E1069,Product_Dim!A:C,3,0)</f>
        <v>Home</v>
      </c>
      <c r="G1069" s="22" t="str" cm="1">
        <f t="array" ref="G1069:L1069">_xlfn.XLOOKUP(C1069,Sales_Fact!C1069:C3053,Sales_Fact!E1069:J3053)</f>
        <v>STORE12</v>
      </c>
      <c r="H1069" s="22">
        <v>3</v>
      </c>
      <c r="I1069" s="22">
        <v>435.61</v>
      </c>
      <c r="J1069" s="22">
        <v>0.03</v>
      </c>
      <c r="K1069" s="22" t="str">
        <v>PayPal</v>
      </c>
      <c r="L1069" s="22">
        <v>1267.6251</v>
      </c>
    </row>
    <row r="1070" spans="1:12" x14ac:dyDescent="0.3">
      <c r="A1070" s="22" t="s">
        <v>2879</v>
      </c>
      <c r="B1070" s="34" cm="1">
        <f t="array" ref="B1070:C1070">_xlfn.XLOOKUP(A1070,Sales_Fact!A1070:A3054,Sales_Fact!B1070:C3054)</f>
        <v>45531</v>
      </c>
      <c r="C1070" s="22" t="str">
        <v>CUST1385</v>
      </c>
      <c r="D1070" s="22" t="str">
        <f>VLOOKUP('Combine Products &amp; Sales Facts'!C1070,'Customer Details'!A:B,2,0)</f>
        <v>Tammy Brennan</v>
      </c>
      <c r="E1070" s="22" t="str">
        <f>VLOOKUP(C1070,Sales_Fact!C:D,2,0)</f>
        <v>PROD68</v>
      </c>
      <c r="F1070" s="22" t="str">
        <f>VLOOKUP(E1070,Product_Dim!A:C,3,0)</f>
        <v>Home</v>
      </c>
      <c r="G1070" s="22" t="str" cm="1">
        <f t="array" ref="G1070:L1070">_xlfn.XLOOKUP(C1070,Sales_Fact!C1070:C3054,Sales_Fact!E1070:J3054)</f>
        <v>STORE16</v>
      </c>
      <c r="H1070" s="22">
        <v>1</v>
      </c>
      <c r="I1070" s="22">
        <v>850.06</v>
      </c>
      <c r="J1070" s="22">
        <v>0.28999999999999998</v>
      </c>
      <c r="K1070" s="22" t="str">
        <v>PayPal</v>
      </c>
      <c r="L1070" s="22">
        <v>603.54259999999988</v>
      </c>
    </row>
    <row r="1071" spans="1:12" x14ac:dyDescent="0.3">
      <c r="A1071" s="22" t="s">
        <v>2880</v>
      </c>
      <c r="B1071" s="34" cm="1">
        <f t="array" ref="B1071:C1071">_xlfn.XLOOKUP(A1071,Sales_Fact!A1071:A3055,Sales_Fact!B1071:C3055)</f>
        <v>45330</v>
      </c>
      <c r="C1071" s="22" t="str">
        <v>CUST1347</v>
      </c>
      <c r="D1071" s="22" t="str">
        <f>VLOOKUP('Combine Products &amp; Sales Facts'!C1071,'Customer Details'!A:B,2,0)</f>
        <v>Justin Mason Dds</v>
      </c>
      <c r="E1071" s="22" t="str">
        <f>VLOOKUP(C1071,Sales_Fact!C:D,2,0)</f>
        <v>PROD37</v>
      </c>
      <c r="F1071" s="22" t="str">
        <f>VLOOKUP(E1071,Product_Dim!A:C,3,0)</f>
        <v>Clothing</v>
      </c>
      <c r="G1071" s="22" t="str" cm="1">
        <f t="array" ref="G1071:L1071">_xlfn.XLOOKUP(C1071,Sales_Fact!C1071:C3055,Sales_Fact!E1071:J3055)</f>
        <v>STORE16</v>
      </c>
      <c r="H1071" s="22">
        <v>2</v>
      </c>
      <c r="I1071" s="22">
        <v>753.92</v>
      </c>
      <c r="J1071" s="22">
        <v>0.17</v>
      </c>
      <c r="K1071" s="22" t="str">
        <v>PayPal</v>
      </c>
      <c r="L1071" s="22">
        <v>1251.5072</v>
      </c>
    </row>
    <row r="1072" spans="1:12" x14ac:dyDescent="0.3">
      <c r="A1072" s="22" t="s">
        <v>2881</v>
      </c>
      <c r="B1072" s="34" cm="1">
        <f t="array" ref="B1072:C1072">_xlfn.XLOOKUP(A1072,Sales_Fact!A1072:A3056,Sales_Fact!B1072:C3056)</f>
        <v>45311</v>
      </c>
      <c r="C1072" s="22" t="str">
        <v>CUST1488</v>
      </c>
      <c r="D1072" s="22" t="str">
        <f>VLOOKUP('Combine Products &amp; Sales Facts'!C1072,'Customer Details'!A:B,2,0)</f>
        <v>Zachary Andrade</v>
      </c>
      <c r="E1072" s="22" t="str">
        <f>VLOOKUP(C1072,Sales_Fact!C:D,2,0)</f>
        <v>PROD78</v>
      </c>
      <c r="F1072" s="22" t="str">
        <f>VLOOKUP(E1072,Product_Dim!A:C,3,0)</f>
        <v>Home</v>
      </c>
      <c r="G1072" s="22" t="str" cm="1">
        <f t="array" ref="G1072:L1072">_xlfn.XLOOKUP(C1072,Sales_Fact!C1072:C3056,Sales_Fact!E1072:J3056)</f>
        <v>STORE13</v>
      </c>
      <c r="H1072" s="22">
        <v>3</v>
      </c>
      <c r="I1072" s="22">
        <v>408.99</v>
      </c>
      <c r="J1072" s="22">
        <v>0.27</v>
      </c>
      <c r="K1072" s="22" t="str">
        <v>PayPal</v>
      </c>
      <c r="L1072" s="22">
        <v>895.68809999999996</v>
      </c>
    </row>
    <row r="1073" spans="1:12" x14ac:dyDescent="0.3">
      <c r="A1073" s="22" t="s">
        <v>2882</v>
      </c>
      <c r="B1073" s="34" cm="1">
        <f t="array" ref="B1073:C1073">_xlfn.XLOOKUP(A1073,Sales_Fact!A1073:A3057,Sales_Fact!B1073:C3057)</f>
        <v>45567</v>
      </c>
      <c r="C1073" s="22" t="str">
        <v>CUST1285</v>
      </c>
      <c r="D1073" s="22" t="str">
        <f>VLOOKUP('Combine Products &amp; Sales Facts'!C1073,'Customer Details'!A:B,2,0)</f>
        <v>Donna Guerra</v>
      </c>
      <c r="E1073" s="22" t="str">
        <f>VLOOKUP(C1073,Sales_Fact!C:D,2,0)</f>
        <v>PROD6</v>
      </c>
      <c r="F1073" s="22" t="str">
        <f>VLOOKUP(E1073,Product_Dim!A:C,3,0)</f>
        <v>Beauty</v>
      </c>
      <c r="G1073" s="22" t="str" cm="1">
        <f t="array" ref="G1073:L1073">_xlfn.XLOOKUP(C1073,Sales_Fact!C1073:C3057,Sales_Fact!E1073:J3057)</f>
        <v>STORE5</v>
      </c>
      <c r="H1073" s="22">
        <v>3</v>
      </c>
      <c r="I1073" s="22">
        <v>404.5</v>
      </c>
      <c r="J1073" s="22">
        <v>0.22</v>
      </c>
      <c r="K1073" s="22" t="str">
        <v>PayPal</v>
      </c>
      <c r="L1073" s="22">
        <v>946.53000000000009</v>
      </c>
    </row>
    <row r="1074" spans="1:12" x14ac:dyDescent="0.3">
      <c r="A1074" s="22" t="s">
        <v>2883</v>
      </c>
      <c r="B1074" s="34" cm="1">
        <f t="array" ref="B1074:C1074">_xlfn.XLOOKUP(A1074,Sales_Fact!A1074:A3058,Sales_Fact!B1074:C3058)</f>
        <v>45239</v>
      </c>
      <c r="C1074" s="22" t="str">
        <v>CUST1380</v>
      </c>
      <c r="D1074" s="22" t="str">
        <f>VLOOKUP('Combine Products &amp; Sales Facts'!C1074,'Customer Details'!A:B,2,0)</f>
        <v>Shelley Ponce</v>
      </c>
      <c r="E1074" s="22" t="str">
        <f>VLOOKUP(C1074,Sales_Fact!C:D,2,0)</f>
        <v>PROD98</v>
      </c>
      <c r="F1074" s="22" t="str">
        <f>VLOOKUP(E1074,Product_Dim!A:C,3,0)</f>
        <v>Electronics</v>
      </c>
      <c r="G1074" s="22" t="str" cm="1">
        <f t="array" ref="G1074:L1074">_xlfn.XLOOKUP(C1074,Sales_Fact!C1074:C3058,Sales_Fact!E1074:J3058)</f>
        <v>STORE3</v>
      </c>
      <c r="H1074" s="22">
        <v>3</v>
      </c>
      <c r="I1074" s="22">
        <v>717.81</v>
      </c>
      <c r="J1074" s="22">
        <v>0.17</v>
      </c>
      <c r="K1074" s="22" t="str">
        <v>COD</v>
      </c>
      <c r="L1074" s="22">
        <v>1787.3469</v>
      </c>
    </row>
    <row r="1075" spans="1:12" x14ac:dyDescent="0.3">
      <c r="A1075" s="22" t="s">
        <v>2884</v>
      </c>
      <c r="B1075" s="34" cm="1">
        <f t="array" ref="B1075:C1075">_xlfn.XLOOKUP(A1075,Sales_Fact!A1075:A3059,Sales_Fact!B1075:C3059)</f>
        <v>45284</v>
      </c>
      <c r="C1075" s="22" t="str">
        <v>CUST1251</v>
      </c>
      <c r="D1075" s="22" t="str">
        <f>VLOOKUP('Combine Products &amp; Sales Facts'!C1075,'Customer Details'!A:B,2,0)</f>
        <v>Tyler Garner</v>
      </c>
      <c r="E1075" s="22" t="str">
        <f>VLOOKUP(C1075,Sales_Fact!C:D,2,0)</f>
        <v>PROD9</v>
      </c>
      <c r="F1075" s="22" t="str">
        <f>VLOOKUP(E1075,Product_Dim!A:C,3,0)</f>
        <v>Sports</v>
      </c>
      <c r="G1075" s="22" t="str" cm="1">
        <f t="array" ref="G1075:L1075">_xlfn.XLOOKUP(C1075,Sales_Fact!C1075:C3059,Sales_Fact!E1075:J3059)</f>
        <v>STORE1</v>
      </c>
      <c r="H1075" s="22">
        <v>3</v>
      </c>
      <c r="I1075" s="22">
        <v>204.77</v>
      </c>
      <c r="J1075" s="22">
        <v>0.14000000000000001</v>
      </c>
      <c r="K1075" s="22" t="str">
        <v>Credit Card</v>
      </c>
      <c r="L1075" s="22">
        <v>528.3066</v>
      </c>
    </row>
    <row r="1076" spans="1:12" x14ac:dyDescent="0.3">
      <c r="A1076" s="22" t="s">
        <v>2885</v>
      </c>
      <c r="B1076" s="34" cm="1">
        <f t="array" ref="B1076:C1076">_xlfn.XLOOKUP(A1076,Sales_Fact!A1076:A3060,Sales_Fact!B1076:C3060)</f>
        <v>45686</v>
      </c>
      <c r="C1076" s="22" t="str">
        <v>CUST1039</v>
      </c>
      <c r="D1076" s="22" t="str">
        <f>VLOOKUP('Combine Products &amp; Sales Facts'!C1076,'Customer Details'!A:B,2,0)</f>
        <v>Tonya Reynolds</v>
      </c>
      <c r="E1076" s="22" t="str">
        <f>VLOOKUP(C1076,Sales_Fact!C:D,2,0)</f>
        <v>PROD74</v>
      </c>
      <c r="F1076" s="22" t="str">
        <f>VLOOKUP(E1076,Product_Dim!A:C,3,0)</f>
        <v>Electronics</v>
      </c>
      <c r="G1076" s="22" t="str" cm="1">
        <f t="array" ref="G1076:L1076">_xlfn.XLOOKUP(C1076,Sales_Fact!C1076:C3060,Sales_Fact!E1076:J3060)</f>
        <v>STORE18</v>
      </c>
      <c r="H1076" s="22">
        <v>4</v>
      </c>
      <c r="I1076" s="22">
        <v>106.23</v>
      </c>
      <c r="J1076" s="22">
        <v>0.28000000000000003</v>
      </c>
      <c r="K1076" s="22" t="str">
        <v>COD</v>
      </c>
      <c r="L1076" s="22">
        <v>305.94240000000002</v>
      </c>
    </row>
    <row r="1077" spans="1:12" x14ac:dyDescent="0.3">
      <c r="A1077" s="22" t="s">
        <v>2886</v>
      </c>
      <c r="B1077" s="34" cm="1">
        <f t="array" ref="B1077:C1077">_xlfn.XLOOKUP(A1077,Sales_Fact!A1077:A3061,Sales_Fact!B1077:C3061)</f>
        <v>45824</v>
      </c>
      <c r="C1077" s="22" t="str">
        <v>CUST1325</v>
      </c>
      <c r="D1077" s="22" t="str">
        <f>VLOOKUP('Combine Products &amp; Sales Facts'!C1077,'Customer Details'!A:B,2,0)</f>
        <v>Andrew Smith</v>
      </c>
      <c r="E1077" s="22" t="str">
        <f>VLOOKUP(C1077,Sales_Fact!C:D,2,0)</f>
        <v>PROD54</v>
      </c>
      <c r="F1077" s="22" t="str">
        <f>VLOOKUP(E1077,Product_Dim!A:C,3,0)</f>
        <v>Sports</v>
      </c>
      <c r="G1077" s="22" t="str" cm="1">
        <f t="array" ref="G1077:L1077">_xlfn.XLOOKUP(C1077,Sales_Fact!C1077:C3061,Sales_Fact!E1077:J3061)</f>
        <v>STORE5</v>
      </c>
      <c r="H1077" s="22">
        <v>2</v>
      </c>
      <c r="I1077" s="22">
        <v>769.48</v>
      </c>
      <c r="J1077" s="22">
        <v>0.11</v>
      </c>
      <c r="K1077" s="22" t="str">
        <v>PayPal</v>
      </c>
      <c r="L1077" s="22">
        <v>1369.6744000000001</v>
      </c>
    </row>
    <row r="1078" spans="1:12" x14ac:dyDescent="0.3">
      <c r="A1078" s="22" t="s">
        <v>2887</v>
      </c>
      <c r="B1078" s="34" cm="1">
        <f t="array" ref="B1078:C1078">_xlfn.XLOOKUP(A1078,Sales_Fact!A1078:A3062,Sales_Fact!B1078:C3062)</f>
        <v>45867</v>
      </c>
      <c r="C1078" s="22" t="str">
        <v>CUST1255</v>
      </c>
      <c r="D1078" s="22" t="str">
        <f>VLOOKUP('Combine Products &amp; Sales Facts'!C1078,'Customer Details'!A:B,2,0)</f>
        <v>Damon Perez</v>
      </c>
      <c r="E1078" s="22" t="str">
        <f>VLOOKUP(C1078,Sales_Fact!C:D,2,0)</f>
        <v>PROD72</v>
      </c>
      <c r="F1078" s="22" t="str">
        <f>VLOOKUP(E1078,Product_Dim!A:C,3,0)</f>
        <v>Sports</v>
      </c>
      <c r="G1078" s="22" t="str" cm="1">
        <f t="array" ref="G1078:L1078">_xlfn.XLOOKUP(C1078,Sales_Fact!C1078:C3062,Sales_Fact!E1078:J3062)</f>
        <v>STORE13</v>
      </c>
      <c r="H1078" s="22">
        <v>2</v>
      </c>
      <c r="I1078" s="22">
        <v>714.21</v>
      </c>
      <c r="J1078" s="22">
        <v>0.14000000000000001</v>
      </c>
      <c r="K1078" s="22" t="str">
        <v>Credit Card</v>
      </c>
      <c r="L1078" s="22">
        <v>1228.4412</v>
      </c>
    </row>
    <row r="1079" spans="1:12" x14ac:dyDescent="0.3">
      <c r="A1079" s="22" t="s">
        <v>2888</v>
      </c>
      <c r="B1079" s="34" cm="1">
        <f t="array" ref="B1079:C1079">_xlfn.XLOOKUP(A1079,Sales_Fact!A1079:A3063,Sales_Fact!B1079:C3063)</f>
        <v>45578</v>
      </c>
      <c r="C1079" s="22" t="str">
        <v>CUST1271</v>
      </c>
      <c r="D1079" s="22" t="str">
        <f>VLOOKUP('Combine Products &amp; Sales Facts'!C1079,'Customer Details'!A:B,2,0)</f>
        <v>Daisy Johnson Dds</v>
      </c>
      <c r="E1079" s="22" t="str">
        <f>VLOOKUP(C1079,Sales_Fact!C:D,2,0)</f>
        <v>PROD74</v>
      </c>
      <c r="F1079" s="22" t="str">
        <f>VLOOKUP(E1079,Product_Dim!A:C,3,0)</f>
        <v>Electronics</v>
      </c>
      <c r="G1079" s="22" t="str" cm="1">
        <f t="array" ref="G1079:L1079">_xlfn.XLOOKUP(C1079,Sales_Fact!C1079:C3063,Sales_Fact!E1079:J3063)</f>
        <v>STORE15</v>
      </c>
      <c r="H1079" s="22">
        <v>4</v>
      </c>
      <c r="I1079" s="22">
        <v>632.24</v>
      </c>
      <c r="J1079" s="22">
        <v>0.25</v>
      </c>
      <c r="K1079" s="22" t="str">
        <v>PayPal</v>
      </c>
      <c r="L1079" s="22">
        <v>1896.72</v>
      </c>
    </row>
    <row r="1080" spans="1:12" x14ac:dyDescent="0.3">
      <c r="A1080" s="22" t="s">
        <v>2889</v>
      </c>
      <c r="B1080" s="34" cm="1">
        <f t="array" ref="B1080:C1080">_xlfn.XLOOKUP(A1080,Sales_Fact!A1080:A3064,Sales_Fact!B1080:C3064)</f>
        <v>45575</v>
      </c>
      <c r="C1080" s="22" t="str">
        <v>CUST1161</v>
      </c>
      <c r="D1080" s="22" t="str">
        <f>VLOOKUP('Combine Products &amp; Sales Facts'!C1080,'Customer Details'!A:B,2,0)</f>
        <v>Cynthia Morris</v>
      </c>
      <c r="E1080" s="22" t="str">
        <f>VLOOKUP(C1080,Sales_Fact!C:D,2,0)</f>
        <v>PROD97</v>
      </c>
      <c r="F1080" s="22" t="str">
        <f>VLOOKUP(E1080,Product_Dim!A:C,3,0)</f>
        <v>Sports</v>
      </c>
      <c r="G1080" s="22" t="str" cm="1">
        <f t="array" ref="G1080:L1080">_xlfn.XLOOKUP(C1080,Sales_Fact!C1080:C3064,Sales_Fact!E1080:J3064)</f>
        <v>STORE3</v>
      </c>
      <c r="H1080" s="22">
        <v>2</v>
      </c>
      <c r="I1080" s="22">
        <v>845.27</v>
      </c>
      <c r="J1080" s="22">
        <v>0.18</v>
      </c>
      <c r="K1080" s="22" t="str">
        <v>PayPal</v>
      </c>
      <c r="L1080" s="22">
        <v>1386.2428</v>
      </c>
    </row>
    <row r="1081" spans="1:12" x14ac:dyDescent="0.3">
      <c r="A1081" s="22" t="s">
        <v>2890</v>
      </c>
      <c r="B1081" s="34" cm="1">
        <f t="array" ref="B1081:C1081">_xlfn.XLOOKUP(A1081,Sales_Fact!A1081:A3065,Sales_Fact!B1081:C3065)</f>
        <v>45816</v>
      </c>
      <c r="C1081" s="22" t="str">
        <v>CUST1497</v>
      </c>
      <c r="D1081" s="22" t="str">
        <f>VLOOKUP('Combine Products &amp; Sales Facts'!C1081,'Customer Details'!A:B,2,0)</f>
        <v>Sarah Marsh</v>
      </c>
      <c r="E1081" s="22" t="str">
        <f>VLOOKUP(C1081,Sales_Fact!C:D,2,0)</f>
        <v>PROD33</v>
      </c>
      <c r="F1081" s="22" t="str">
        <f>VLOOKUP(E1081,Product_Dim!A:C,3,0)</f>
        <v>Home</v>
      </c>
      <c r="G1081" s="22" t="str" cm="1">
        <f t="array" ref="G1081:L1081">_xlfn.XLOOKUP(C1081,Sales_Fact!C1081:C3065,Sales_Fact!E1081:J3065)</f>
        <v>STORE13</v>
      </c>
      <c r="H1081" s="22">
        <v>1</v>
      </c>
      <c r="I1081" s="22">
        <v>575.94000000000005</v>
      </c>
      <c r="J1081" s="22">
        <v>0.17</v>
      </c>
      <c r="K1081" s="22" t="str">
        <v>Credit Card</v>
      </c>
      <c r="L1081" s="22">
        <v>478.03019999999998</v>
      </c>
    </row>
    <row r="1082" spans="1:12" x14ac:dyDescent="0.3">
      <c r="A1082" s="22" t="s">
        <v>2891</v>
      </c>
      <c r="B1082" s="34" cm="1">
        <f t="array" ref="B1082:C1082">_xlfn.XLOOKUP(A1082,Sales_Fact!A1082:A3066,Sales_Fact!B1082:C3066)</f>
        <v>45620</v>
      </c>
      <c r="C1082" s="22" t="str">
        <v>CUST1251</v>
      </c>
      <c r="D1082" s="22" t="str">
        <f>VLOOKUP('Combine Products &amp; Sales Facts'!C1082,'Customer Details'!A:B,2,0)</f>
        <v>Tyler Garner</v>
      </c>
      <c r="E1082" s="22" t="str">
        <f>VLOOKUP(C1082,Sales_Fact!C:D,2,0)</f>
        <v>PROD9</v>
      </c>
      <c r="F1082" s="22" t="str">
        <f>VLOOKUP(E1082,Product_Dim!A:C,3,0)</f>
        <v>Sports</v>
      </c>
      <c r="G1082" s="22" t="str" cm="1">
        <f t="array" ref="G1082:L1082">_xlfn.XLOOKUP(C1082,Sales_Fact!C1082:C3066,Sales_Fact!E1082:J3066)</f>
        <v>STORE15</v>
      </c>
      <c r="H1082" s="22">
        <v>1</v>
      </c>
      <c r="I1082" s="22">
        <v>907.97</v>
      </c>
      <c r="J1082" s="22">
        <v>0.26</v>
      </c>
      <c r="K1082" s="22" t="str">
        <v>COD</v>
      </c>
      <c r="L1082" s="22">
        <v>671.89779999999996</v>
      </c>
    </row>
    <row r="1083" spans="1:12" x14ac:dyDescent="0.3">
      <c r="A1083" s="22" t="s">
        <v>2892</v>
      </c>
      <c r="B1083" s="34" cm="1">
        <f t="array" ref="B1083:C1083">_xlfn.XLOOKUP(A1083,Sales_Fact!A1083:A3067,Sales_Fact!B1083:C3067)</f>
        <v>45695</v>
      </c>
      <c r="C1083" s="22" t="str">
        <v>CUST1266</v>
      </c>
      <c r="D1083" s="22" t="str">
        <f>VLOOKUP('Combine Products &amp; Sales Facts'!C1083,'Customer Details'!A:B,2,0)</f>
        <v>Cynthia Payne</v>
      </c>
      <c r="E1083" s="22" t="str">
        <f>VLOOKUP(C1083,Sales_Fact!C:D,2,0)</f>
        <v>PROD15</v>
      </c>
      <c r="F1083" s="22" t="str">
        <f>VLOOKUP(E1083,Product_Dim!A:C,3,0)</f>
        <v>Electronics</v>
      </c>
      <c r="G1083" s="22" t="str" cm="1">
        <f t="array" ref="G1083:L1083">_xlfn.XLOOKUP(C1083,Sales_Fact!C1083:C3067,Sales_Fact!E1083:J3067)</f>
        <v>STORE12</v>
      </c>
      <c r="H1083" s="22">
        <v>1</v>
      </c>
      <c r="I1083" s="22">
        <v>99.35</v>
      </c>
      <c r="J1083" s="22">
        <v>0.08</v>
      </c>
      <c r="K1083" s="22" t="str">
        <v>COD</v>
      </c>
      <c r="L1083" s="22">
        <v>91.402000000000001</v>
      </c>
    </row>
    <row r="1084" spans="1:12" x14ac:dyDescent="0.3">
      <c r="A1084" s="22" t="s">
        <v>2893</v>
      </c>
      <c r="B1084" s="34" cm="1">
        <f t="array" ref="B1084:C1084">_xlfn.XLOOKUP(A1084,Sales_Fact!A1084:A3068,Sales_Fact!B1084:C3068)</f>
        <v>45596</v>
      </c>
      <c r="C1084" s="22" t="str">
        <v>CUST1071</v>
      </c>
      <c r="D1084" s="22" t="str">
        <f>VLOOKUP('Combine Products &amp; Sales Facts'!C1084,'Customer Details'!A:B,2,0)</f>
        <v>Andrea Perez</v>
      </c>
      <c r="E1084" s="22" t="str">
        <f>VLOOKUP(C1084,Sales_Fact!C:D,2,0)</f>
        <v>PROD83</v>
      </c>
      <c r="F1084" s="22" t="str">
        <f>VLOOKUP(E1084,Product_Dim!A:C,3,0)</f>
        <v>Beauty</v>
      </c>
      <c r="G1084" s="22" t="str" cm="1">
        <f t="array" ref="G1084:L1084">_xlfn.XLOOKUP(C1084,Sales_Fact!C1084:C3068,Sales_Fact!E1084:J3068)</f>
        <v>STORE3</v>
      </c>
      <c r="H1084" s="22">
        <v>2</v>
      </c>
      <c r="I1084" s="22">
        <v>374.42</v>
      </c>
      <c r="J1084" s="22">
        <v>0.21</v>
      </c>
      <c r="K1084" s="22" t="str">
        <v>COD</v>
      </c>
      <c r="L1084" s="22">
        <v>591.58360000000005</v>
      </c>
    </row>
    <row r="1085" spans="1:12" x14ac:dyDescent="0.3">
      <c r="A1085" s="22" t="s">
        <v>2894</v>
      </c>
      <c r="B1085" s="34" cm="1">
        <f t="array" ref="B1085:C1085">_xlfn.XLOOKUP(A1085,Sales_Fact!A1085:A3069,Sales_Fact!B1085:C3069)</f>
        <v>45869</v>
      </c>
      <c r="C1085" s="22" t="str">
        <v>CUST1481</v>
      </c>
      <c r="D1085" s="22" t="str">
        <f>VLOOKUP('Combine Products &amp; Sales Facts'!C1085,'Customer Details'!A:B,2,0)</f>
        <v>Bryan Tran</v>
      </c>
      <c r="E1085" s="22" t="str">
        <f>VLOOKUP(C1085,Sales_Fact!C:D,2,0)</f>
        <v>PROD62</v>
      </c>
      <c r="F1085" s="22" t="str">
        <f>VLOOKUP(E1085,Product_Dim!A:C,3,0)</f>
        <v>Electronics</v>
      </c>
      <c r="G1085" s="22" t="str" cm="1">
        <f t="array" ref="G1085:L1085">_xlfn.XLOOKUP(C1085,Sales_Fact!C1085:C3069,Sales_Fact!E1085:J3069)</f>
        <v>STORE15</v>
      </c>
      <c r="H1085" s="22">
        <v>3</v>
      </c>
      <c r="I1085" s="22">
        <v>248.43</v>
      </c>
      <c r="J1085" s="22">
        <v>0.24</v>
      </c>
      <c r="K1085" s="22" t="str">
        <v>COD</v>
      </c>
      <c r="L1085" s="22">
        <v>566.42039999999997</v>
      </c>
    </row>
    <row r="1086" spans="1:12" x14ac:dyDescent="0.3">
      <c r="A1086" s="22" t="s">
        <v>2895</v>
      </c>
      <c r="B1086" s="34" cm="1">
        <f t="array" ref="B1086:C1086">_xlfn.XLOOKUP(A1086,Sales_Fact!A1086:A3070,Sales_Fact!B1086:C3070)</f>
        <v>45631</v>
      </c>
      <c r="C1086" s="22" t="str">
        <v>CUST1468</v>
      </c>
      <c r="D1086" s="22" t="str">
        <f>VLOOKUP('Combine Products &amp; Sales Facts'!C1086,'Customer Details'!A:B,2,0)</f>
        <v>Gregory Curtis</v>
      </c>
      <c r="E1086" s="22" t="str">
        <f>VLOOKUP(C1086,Sales_Fact!C:D,2,0)</f>
        <v>PROD75</v>
      </c>
      <c r="F1086" s="22" t="str">
        <f>VLOOKUP(E1086,Product_Dim!A:C,3,0)</f>
        <v>Clothing</v>
      </c>
      <c r="G1086" s="22" t="str" cm="1">
        <f t="array" ref="G1086:L1086">_xlfn.XLOOKUP(C1086,Sales_Fact!C1086:C3070,Sales_Fact!E1086:J3070)</f>
        <v>STORE1</v>
      </c>
      <c r="H1086" s="22">
        <v>1</v>
      </c>
      <c r="I1086" s="22">
        <v>784.46</v>
      </c>
      <c r="J1086" s="22">
        <v>0.14000000000000001</v>
      </c>
      <c r="K1086" s="22" t="str">
        <v>COD</v>
      </c>
      <c r="L1086" s="22">
        <v>674.63560000000007</v>
      </c>
    </row>
    <row r="1087" spans="1:12" x14ac:dyDescent="0.3">
      <c r="A1087" s="22" t="s">
        <v>2896</v>
      </c>
      <c r="B1087" s="34" cm="1">
        <f t="array" ref="B1087:C1087">_xlfn.XLOOKUP(A1087,Sales_Fact!A1087:A3071,Sales_Fact!B1087:C3071)</f>
        <v>45379</v>
      </c>
      <c r="C1087" s="22" t="str">
        <v>CUST1259</v>
      </c>
      <c r="D1087" s="22" t="str">
        <f>VLOOKUP('Combine Products &amp; Sales Facts'!C1087,'Customer Details'!A:B,2,0)</f>
        <v>Beth Allen</v>
      </c>
      <c r="E1087" s="22" t="str">
        <f>VLOOKUP(C1087,Sales_Fact!C:D,2,0)</f>
        <v>PROD13</v>
      </c>
      <c r="F1087" s="22" t="str">
        <f>VLOOKUP(E1087,Product_Dim!A:C,3,0)</f>
        <v>Electronics</v>
      </c>
      <c r="G1087" s="22" t="str" cm="1">
        <f t="array" ref="G1087:L1087">_xlfn.XLOOKUP(C1087,Sales_Fact!C1087:C3071,Sales_Fact!E1087:J3071)</f>
        <v>STORE10</v>
      </c>
      <c r="H1087" s="22">
        <v>3</v>
      </c>
      <c r="I1087" s="22">
        <v>70.88</v>
      </c>
      <c r="J1087" s="22">
        <v>0.27</v>
      </c>
      <c r="K1087" s="22" t="str">
        <v>COD</v>
      </c>
      <c r="L1087" s="22">
        <v>155.22720000000001</v>
      </c>
    </row>
    <row r="1088" spans="1:12" x14ac:dyDescent="0.3">
      <c r="A1088" s="22" t="s">
        <v>2897</v>
      </c>
      <c r="B1088" s="34" cm="1">
        <f t="array" ref="B1088:C1088">_xlfn.XLOOKUP(A1088,Sales_Fact!A1088:A3072,Sales_Fact!B1088:C3072)</f>
        <v>45641</v>
      </c>
      <c r="C1088" s="22" t="str">
        <v>CUST1110</v>
      </c>
      <c r="D1088" s="22" t="str">
        <f>VLOOKUP('Combine Products &amp; Sales Facts'!C1088,'Customer Details'!A:B,2,0)</f>
        <v>Ashley Griffin</v>
      </c>
      <c r="E1088" s="22" t="str">
        <f>VLOOKUP(C1088,Sales_Fact!C:D,2,0)</f>
        <v>PROD8</v>
      </c>
      <c r="F1088" s="22" t="str">
        <f>VLOOKUP(E1088,Product_Dim!A:C,3,0)</f>
        <v>Electronics</v>
      </c>
      <c r="G1088" s="22" t="str" cm="1">
        <f t="array" ref="G1088:L1088">_xlfn.XLOOKUP(C1088,Sales_Fact!C1088:C3072,Sales_Fact!E1088:J3072)</f>
        <v>STORE1</v>
      </c>
      <c r="H1088" s="22">
        <v>3</v>
      </c>
      <c r="I1088" s="22">
        <v>324.29000000000002</v>
      </c>
      <c r="J1088" s="22">
        <v>0.16</v>
      </c>
      <c r="K1088" s="22" t="str">
        <v>COD</v>
      </c>
      <c r="L1088" s="22">
        <v>817.21080000000006</v>
      </c>
    </row>
    <row r="1089" spans="1:12" x14ac:dyDescent="0.3">
      <c r="A1089" s="22" t="s">
        <v>2898</v>
      </c>
      <c r="B1089" s="34" cm="1">
        <f t="array" ref="B1089:C1089">_xlfn.XLOOKUP(A1089,Sales_Fact!A1089:A3073,Sales_Fact!B1089:C3073)</f>
        <v>45842</v>
      </c>
      <c r="C1089" s="22" t="str">
        <v>CUST1141</v>
      </c>
      <c r="D1089" s="22" t="str">
        <f>VLOOKUP('Combine Products &amp; Sales Facts'!C1089,'Customer Details'!A:B,2,0)</f>
        <v>Cristian Wright</v>
      </c>
      <c r="E1089" s="22" t="str">
        <f>VLOOKUP(C1089,Sales_Fact!C:D,2,0)</f>
        <v>PROD21</v>
      </c>
      <c r="F1089" s="22" t="str">
        <f>VLOOKUP(E1089,Product_Dim!A:C,3,0)</f>
        <v>Home</v>
      </c>
      <c r="G1089" s="22" t="str" cm="1">
        <f t="array" ref="G1089:L1089">_xlfn.XLOOKUP(C1089,Sales_Fact!C1089:C3073,Sales_Fact!E1089:J3073)</f>
        <v>STORE3</v>
      </c>
      <c r="H1089" s="22">
        <v>4</v>
      </c>
      <c r="I1089" s="22">
        <v>243.92</v>
      </c>
      <c r="J1089" s="22">
        <v>0.02</v>
      </c>
      <c r="K1089" s="22" t="str">
        <v>PayPal</v>
      </c>
      <c r="L1089" s="22">
        <v>956.16639999999995</v>
      </c>
    </row>
    <row r="1090" spans="1:12" x14ac:dyDescent="0.3">
      <c r="A1090" s="22" t="s">
        <v>2899</v>
      </c>
      <c r="B1090" s="34" cm="1">
        <f t="array" ref="B1090:C1090">_xlfn.XLOOKUP(A1090,Sales_Fact!A1090:A3074,Sales_Fact!B1090:C3074)</f>
        <v>45257</v>
      </c>
      <c r="C1090" s="22" t="str">
        <v>CUST1375</v>
      </c>
      <c r="D1090" s="22" t="str">
        <f>VLOOKUP('Combine Products &amp; Sales Facts'!C1090,'Customer Details'!A:B,2,0)</f>
        <v>Joshua Bell</v>
      </c>
      <c r="E1090" s="22" t="str">
        <f>VLOOKUP(C1090,Sales_Fact!C:D,2,0)</f>
        <v>PROD28</v>
      </c>
      <c r="F1090" s="22" t="str">
        <f>VLOOKUP(E1090,Product_Dim!A:C,3,0)</f>
        <v>Sports</v>
      </c>
      <c r="G1090" s="22" t="str" cm="1">
        <f t="array" ref="G1090:L1090">_xlfn.XLOOKUP(C1090,Sales_Fact!C1090:C3074,Sales_Fact!E1090:J3074)</f>
        <v>STORE13</v>
      </c>
      <c r="H1090" s="22">
        <v>1</v>
      </c>
      <c r="I1090" s="22">
        <v>664.35</v>
      </c>
      <c r="J1090" s="22">
        <v>0</v>
      </c>
      <c r="K1090" s="22" t="str">
        <v>Credit Card</v>
      </c>
      <c r="L1090" s="22">
        <v>664.35</v>
      </c>
    </row>
    <row r="1091" spans="1:12" x14ac:dyDescent="0.3">
      <c r="A1091" s="22" t="s">
        <v>2900</v>
      </c>
      <c r="B1091" s="34" cm="1">
        <f t="array" ref="B1091:C1091">_xlfn.XLOOKUP(A1091,Sales_Fact!A1091:A3075,Sales_Fact!B1091:C3075)</f>
        <v>45468</v>
      </c>
      <c r="C1091" s="22" t="str">
        <v>CUST1384</v>
      </c>
      <c r="D1091" s="22" t="str">
        <f>VLOOKUP('Combine Products &amp; Sales Facts'!C1091,'Customer Details'!A:B,2,0)</f>
        <v>Andrew Mason</v>
      </c>
      <c r="E1091" s="22" t="str">
        <f>VLOOKUP(C1091,Sales_Fact!C:D,2,0)</f>
        <v>PROD74</v>
      </c>
      <c r="F1091" s="22" t="str">
        <f>VLOOKUP(E1091,Product_Dim!A:C,3,0)</f>
        <v>Electronics</v>
      </c>
      <c r="G1091" s="22" t="str" cm="1">
        <f t="array" ref="G1091:L1091">_xlfn.XLOOKUP(C1091,Sales_Fact!C1091:C3075,Sales_Fact!E1091:J3075)</f>
        <v>STORE10</v>
      </c>
      <c r="H1091" s="22">
        <v>2</v>
      </c>
      <c r="I1091" s="22">
        <v>218.07</v>
      </c>
      <c r="J1091" s="22">
        <v>0.19</v>
      </c>
      <c r="K1091" s="22" t="str">
        <v>PayPal</v>
      </c>
      <c r="L1091" s="22">
        <v>353.27339999999998</v>
      </c>
    </row>
    <row r="1092" spans="1:12" x14ac:dyDescent="0.3">
      <c r="A1092" s="22" t="s">
        <v>2901</v>
      </c>
      <c r="B1092" s="34" cm="1">
        <f t="array" ref="B1092:C1092">_xlfn.XLOOKUP(A1092,Sales_Fact!A1092:A3076,Sales_Fact!B1092:C3076)</f>
        <v>45228</v>
      </c>
      <c r="C1092" s="22" t="str">
        <v>CUST1383</v>
      </c>
      <c r="D1092" s="22" t="str">
        <f>VLOOKUP('Combine Products &amp; Sales Facts'!C1092,'Customer Details'!A:B,2,0)</f>
        <v>Kristine Higgins</v>
      </c>
      <c r="E1092" s="22" t="str">
        <f>VLOOKUP(C1092,Sales_Fact!C:D,2,0)</f>
        <v>PROD58</v>
      </c>
      <c r="F1092" s="22" t="str">
        <f>VLOOKUP(E1092,Product_Dim!A:C,3,0)</f>
        <v>Clothing</v>
      </c>
      <c r="G1092" s="22" t="str" cm="1">
        <f t="array" ref="G1092:L1092">_xlfn.XLOOKUP(C1092,Sales_Fact!C1092:C3076,Sales_Fact!E1092:J3076)</f>
        <v>STORE3</v>
      </c>
      <c r="H1092" s="22">
        <v>4</v>
      </c>
      <c r="I1092" s="22">
        <v>921.83</v>
      </c>
      <c r="J1092" s="22">
        <v>0.27</v>
      </c>
      <c r="K1092" s="22" t="str">
        <v>Credit Card</v>
      </c>
      <c r="L1092" s="22">
        <v>2691.7435999999998</v>
      </c>
    </row>
    <row r="1093" spans="1:12" x14ac:dyDescent="0.3">
      <c r="A1093" s="22" t="s">
        <v>2902</v>
      </c>
      <c r="B1093" s="34" cm="1">
        <f t="array" ref="B1093:C1093">_xlfn.XLOOKUP(A1093,Sales_Fact!A1093:A3077,Sales_Fact!B1093:C3077)</f>
        <v>45661</v>
      </c>
      <c r="C1093" s="22" t="str">
        <v>CUST1168</v>
      </c>
      <c r="D1093" s="22" t="str">
        <f>VLOOKUP('Combine Products &amp; Sales Facts'!C1093,'Customer Details'!A:B,2,0)</f>
        <v>Daniel Contreras</v>
      </c>
      <c r="E1093" s="22" t="str">
        <f>VLOOKUP(C1093,Sales_Fact!C:D,2,0)</f>
        <v>PROD72</v>
      </c>
      <c r="F1093" s="22" t="str">
        <f>VLOOKUP(E1093,Product_Dim!A:C,3,0)</f>
        <v>Sports</v>
      </c>
      <c r="G1093" s="22" t="str" cm="1">
        <f t="array" ref="G1093:L1093">_xlfn.XLOOKUP(C1093,Sales_Fact!C1093:C3077,Sales_Fact!E1093:J3077)</f>
        <v>STORE1</v>
      </c>
      <c r="H1093" s="22">
        <v>3</v>
      </c>
      <c r="I1093" s="22">
        <v>326.2</v>
      </c>
      <c r="J1093" s="22">
        <v>0.22</v>
      </c>
      <c r="K1093" s="22" t="str">
        <v>COD</v>
      </c>
      <c r="L1093" s="22">
        <v>763.30799999999999</v>
      </c>
    </row>
    <row r="1094" spans="1:12" x14ac:dyDescent="0.3">
      <c r="A1094" s="22" t="s">
        <v>2903</v>
      </c>
      <c r="B1094" s="34" cm="1">
        <f t="array" ref="B1094:C1094">_xlfn.XLOOKUP(A1094,Sales_Fact!A1094:A3078,Sales_Fact!B1094:C3078)</f>
        <v>45701</v>
      </c>
      <c r="C1094" s="22" t="str">
        <v>CUST1458</v>
      </c>
      <c r="D1094" s="22" t="str">
        <f>VLOOKUP('Combine Products &amp; Sales Facts'!C1094,'Customer Details'!A:B,2,0)</f>
        <v>Kelly Garrett</v>
      </c>
      <c r="E1094" s="22" t="str">
        <f>VLOOKUP(C1094,Sales_Fact!C:D,2,0)</f>
        <v>PROD2</v>
      </c>
      <c r="F1094" s="22" t="str">
        <f>VLOOKUP(E1094,Product_Dim!A:C,3,0)</f>
        <v>Clothing</v>
      </c>
      <c r="G1094" s="22" t="str" cm="1">
        <f t="array" ref="G1094:L1094">_xlfn.XLOOKUP(C1094,Sales_Fact!C1094:C3078,Sales_Fact!E1094:J3078)</f>
        <v>STORE19</v>
      </c>
      <c r="H1094" s="22">
        <v>1</v>
      </c>
      <c r="I1094" s="22">
        <v>244.25</v>
      </c>
      <c r="J1094" s="22">
        <v>0.09</v>
      </c>
      <c r="K1094" s="22" t="str">
        <v>PayPal</v>
      </c>
      <c r="L1094" s="22">
        <v>222.26750000000001</v>
      </c>
    </row>
    <row r="1095" spans="1:12" x14ac:dyDescent="0.3">
      <c r="A1095" s="22" t="s">
        <v>2904</v>
      </c>
      <c r="B1095" s="34" cm="1">
        <f t="array" ref="B1095:C1095">_xlfn.XLOOKUP(A1095,Sales_Fact!A1095:A3079,Sales_Fact!B1095:C3079)</f>
        <v>45448</v>
      </c>
      <c r="C1095" s="22" t="str">
        <v>CUST1369</v>
      </c>
      <c r="D1095" s="22" t="str">
        <f>VLOOKUP('Combine Products &amp; Sales Facts'!C1095,'Customer Details'!A:B,2,0)</f>
        <v>Gregory Allen</v>
      </c>
      <c r="E1095" s="22" t="str">
        <f>VLOOKUP(C1095,Sales_Fact!C:D,2,0)</f>
        <v>PROD33</v>
      </c>
      <c r="F1095" s="22" t="str">
        <f>VLOOKUP(E1095,Product_Dim!A:C,3,0)</f>
        <v>Home</v>
      </c>
      <c r="G1095" s="22" t="str" cm="1">
        <f t="array" ref="G1095:L1095">_xlfn.XLOOKUP(C1095,Sales_Fact!C1095:C3079,Sales_Fact!E1095:J3079)</f>
        <v>STORE10</v>
      </c>
      <c r="H1095" s="22">
        <v>3</v>
      </c>
      <c r="I1095" s="22">
        <v>808.87</v>
      </c>
      <c r="J1095" s="22">
        <v>0.12</v>
      </c>
      <c r="K1095" s="22" t="str">
        <v>COD</v>
      </c>
      <c r="L1095" s="22">
        <v>2135.4168</v>
      </c>
    </row>
    <row r="1096" spans="1:12" x14ac:dyDescent="0.3">
      <c r="A1096" s="22" t="s">
        <v>2905</v>
      </c>
      <c r="B1096" s="34" cm="1">
        <f t="array" ref="B1096:C1096">_xlfn.XLOOKUP(A1096,Sales_Fact!A1096:A3080,Sales_Fact!B1096:C3080)</f>
        <v>45387</v>
      </c>
      <c r="C1096" s="22" t="str">
        <v>CUST1338</v>
      </c>
      <c r="D1096" s="22" t="str">
        <f>VLOOKUP('Combine Products &amp; Sales Facts'!C1096,'Customer Details'!A:B,2,0)</f>
        <v>Jasmine Snyder</v>
      </c>
      <c r="E1096" s="22" t="str">
        <f>VLOOKUP(C1096,Sales_Fact!C:D,2,0)</f>
        <v>PROD86</v>
      </c>
      <c r="F1096" s="22" t="str">
        <f>VLOOKUP(E1096,Product_Dim!A:C,3,0)</f>
        <v>Home</v>
      </c>
      <c r="G1096" s="22" t="str" cm="1">
        <f t="array" ref="G1096:L1096">_xlfn.XLOOKUP(C1096,Sales_Fact!C1096:C3080,Sales_Fact!E1096:J3080)</f>
        <v>STORE2</v>
      </c>
      <c r="H1096" s="22">
        <v>3</v>
      </c>
      <c r="I1096" s="22">
        <v>826.15</v>
      </c>
      <c r="J1096" s="22">
        <v>0</v>
      </c>
      <c r="K1096" s="22" t="str">
        <v>PayPal</v>
      </c>
      <c r="L1096" s="22">
        <v>2478.4499999999998</v>
      </c>
    </row>
    <row r="1097" spans="1:12" x14ac:dyDescent="0.3">
      <c r="A1097" s="22" t="s">
        <v>2906</v>
      </c>
      <c r="B1097" s="34" cm="1">
        <f t="array" ref="B1097:C1097">_xlfn.XLOOKUP(A1097,Sales_Fact!A1097:A3081,Sales_Fact!B1097:C3081)</f>
        <v>45652</v>
      </c>
      <c r="C1097" s="22" t="str">
        <v>CUST1187</v>
      </c>
      <c r="D1097" s="22" t="str">
        <f>VLOOKUP('Combine Products &amp; Sales Facts'!C1097,'Customer Details'!A:B,2,0)</f>
        <v>Dr. Suzanne Bullock</v>
      </c>
      <c r="E1097" s="22" t="str">
        <f>VLOOKUP(C1097,Sales_Fact!C:D,2,0)</f>
        <v>PROD13</v>
      </c>
      <c r="F1097" s="22" t="str">
        <f>VLOOKUP(E1097,Product_Dim!A:C,3,0)</f>
        <v>Electronics</v>
      </c>
      <c r="G1097" s="22" t="str" cm="1">
        <f t="array" ref="G1097:L1097">_xlfn.XLOOKUP(C1097,Sales_Fact!C1097:C3081,Sales_Fact!E1097:J3081)</f>
        <v>STORE19</v>
      </c>
      <c r="H1097" s="22">
        <v>3</v>
      </c>
      <c r="I1097" s="22">
        <v>631.20000000000005</v>
      </c>
      <c r="J1097" s="22">
        <v>0.24</v>
      </c>
      <c r="K1097" s="22" t="str">
        <v>Credit Card</v>
      </c>
      <c r="L1097" s="22">
        <v>1439.136</v>
      </c>
    </row>
    <row r="1098" spans="1:12" x14ac:dyDescent="0.3">
      <c r="A1098" s="22" t="s">
        <v>2907</v>
      </c>
      <c r="B1098" s="34" cm="1">
        <f t="array" ref="B1098:C1098">_xlfn.XLOOKUP(A1098,Sales_Fact!A1098:A3082,Sales_Fact!B1098:C3082)</f>
        <v>45316</v>
      </c>
      <c r="C1098" s="22" t="str">
        <v>CUST1274</v>
      </c>
      <c r="D1098" s="22" t="str">
        <f>VLOOKUP('Combine Products &amp; Sales Facts'!C1098,'Customer Details'!A:B,2,0)</f>
        <v>Sarah Lane</v>
      </c>
      <c r="E1098" s="22" t="str">
        <f>VLOOKUP(C1098,Sales_Fact!C:D,2,0)</f>
        <v>PROD47</v>
      </c>
      <c r="F1098" s="22" t="str">
        <f>VLOOKUP(E1098,Product_Dim!A:C,3,0)</f>
        <v>Beauty</v>
      </c>
      <c r="G1098" s="22" t="str" cm="1">
        <f t="array" ref="G1098:L1098">_xlfn.XLOOKUP(C1098,Sales_Fact!C1098:C3082,Sales_Fact!E1098:J3082)</f>
        <v>STORE10</v>
      </c>
      <c r="H1098" s="22">
        <v>1</v>
      </c>
      <c r="I1098" s="22">
        <v>937.01</v>
      </c>
      <c r="J1098" s="22">
        <v>7.0000000000000007E-2</v>
      </c>
      <c r="K1098" s="22" t="str">
        <v>Credit Card</v>
      </c>
      <c r="L1098" s="22">
        <v>871.41929999999991</v>
      </c>
    </row>
    <row r="1099" spans="1:12" x14ac:dyDescent="0.3">
      <c r="A1099" s="22" t="s">
        <v>2908</v>
      </c>
      <c r="B1099" s="34" cm="1">
        <f t="array" ref="B1099:C1099">_xlfn.XLOOKUP(A1099,Sales_Fact!A1099:A3083,Sales_Fact!B1099:C3083)</f>
        <v>45316</v>
      </c>
      <c r="C1099" s="22" t="str">
        <v>CUST1151</v>
      </c>
      <c r="D1099" s="22" t="str">
        <f>VLOOKUP('Combine Products &amp; Sales Facts'!C1099,'Customer Details'!A:B,2,0)</f>
        <v>Michael Davies</v>
      </c>
      <c r="E1099" s="22" t="str">
        <f>VLOOKUP(C1099,Sales_Fact!C:D,2,0)</f>
        <v>PROD24</v>
      </c>
      <c r="F1099" s="22" t="str">
        <f>VLOOKUP(E1099,Product_Dim!A:C,3,0)</f>
        <v>Sports</v>
      </c>
      <c r="G1099" s="22" t="str" cm="1">
        <f t="array" ref="G1099:L1099">_xlfn.XLOOKUP(C1099,Sales_Fact!C1099:C3083,Sales_Fact!E1099:J3083)</f>
        <v>STORE5</v>
      </c>
      <c r="H1099" s="22">
        <v>2</v>
      </c>
      <c r="I1099" s="22">
        <v>644</v>
      </c>
      <c r="J1099" s="22">
        <v>0.04</v>
      </c>
      <c r="K1099" s="22" t="str">
        <v>PayPal</v>
      </c>
      <c r="L1099" s="22">
        <v>1236.48</v>
      </c>
    </row>
    <row r="1100" spans="1:12" x14ac:dyDescent="0.3">
      <c r="A1100" s="22" t="s">
        <v>2909</v>
      </c>
      <c r="B1100" s="34" cm="1">
        <f t="array" ref="B1100:C1100">_xlfn.XLOOKUP(A1100,Sales_Fact!A1100:A3084,Sales_Fact!B1100:C3084)</f>
        <v>45888</v>
      </c>
      <c r="C1100" s="22" t="str">
        <v>CUST1094</v>
      </c>
      <c r="D1100" s="22" t="str">
        <f>VLOOKUP('Combine Products &amp; Sales Facts'!C1100,'Customer Details'!A:B,2,0)</f>
        <v>David Patterson</v>
      </c>
      <c r="E1100" s="22" t="str">
        <f>VLOOKUP(C1100,Sales_Fact!C:D,2,0)</f>
        <v>PROD39</v>
      </c>
      <c r="F1100" s="22" t="str">
        <f>VLOOKUP(E1100,Product_Dim!A:C,3,0)</f>
        <v>Electronics</v>
      </c>
      <c r="G1100" s="22" t="str" cm="1">
        <f t="array" ref="G1100:L1100">_xlfn.XLOOKUP(C1100,Sales_Fact!C1100:C3084,Sales_Fact!E1100:J3084)</f>
        <v>STORE5</v>
      </c>
      <c r="H1100" s="22">
        <v>3</v>
      </c>
      <c r="I1100" s="22">
        <v>629.58000000000004</v>
      </c>
      <c r="J1100" s="22">
        <v>0.05</v>
      </c>
      <c r="K1100" s="22" t="str">
        <v>Credit Card</v>
      </c>
      <c r="L1100" s="22">
        <v>1794.3030000000001</v>
      </c>
    </row>
    <row r="1101" spans="1:12" x14ac:dyDescent="0.3">
      <c r="A1101" s="22" t="s">
        <v>2910</v>
      </c>
      <c r="B1101" s="34" cm="1">
        <f t="array" ref="B1101:C1101">_xlfn.XLOOKUP(A1101,Sales_Fact!A1101:A3085,Sales_Fact!B1101:C3085)</f>
        <v>45791</v>
      </c>
      <c r="C1101" s="22" t="str">
        <v>CUST1466</v>
      </c>
      <c r="D1101" s="22" t="str">
        <f>VLOOKUP('Combine Products &amp; Sales Facts'!C1101,'Customer Details'!A:B,2,0)</f>
        <v>Cynthia Parrish</v>
      </c>
      <c r="E1101" s="22" t="str">
        <f>VLOOKUP(C1101,Sales_Fact!C:D,2,0)</f>
        <v>PROD48</v>
      </c>
      <c r="F1101" s="22" t="str">
        <f>VLOOKUP(E1101,Product_Dim!A:C,3,0)</f>
        <v>Electronics</v>
      </c>
      <c r="G1101" s="22" t="str" cm="1">
        <f t="array" ref="G1101:L1101">_xlfn.XLOOKUP(C1101,Sales_Fact!C1101:C3085,Sales_Fact!E1101:J3085)</f>
        <v>STORE2</v>
      </c>
      <c r="H1101" s="22">
        <v>2</v>
      </c>
      <c r="I1101" s="22">
        <v>121.52</v>
      </c>
      <c r="J1101" s="22">
        <v>0.18</v>
      </c>
      <c r="K1101" s="22" t="str">
        <v>COD</v>
      </c>
      <c r="L1101" s="22">
        <v>199.2928</v>
      </c>
    </row>
    <row r="1102" spans="1:12" x14ac:dyDescent="0.3">
      <c r="A1102" s="22" t="s">
        <v>2911</v>
      </c>
      <c r="B1102" s="34" cm="1">
        <f t="array" ref="B1102:C1102">_xlfn.XLOOKUP(A1102,Sales_Fact!A1102:A3086,Sales_Fact!B1102:C3086)</f>
        <v>45420</v>
      </c>
      <c r="C1102" s="22" t="str">
        <v>CUST1401</v>
      </c>
      <c r="D1102" s="22" t="str">
        <f>VLOOKUP('Combine Products &amp; Sales Facts'!C1102,'Customer Details'!A:B,2,0)</f>
        <v>Terry Moses</v>
      </c>
      <c r="E1102" s="22" t="str">
        <f>VLOOKUP(C1102,Sales_Fact!C:D,2,0)</f>
        <v>PROD34</v>
      </c>
      <c r="F1102" s="22" t="str">
        <f>VLOOKUP(E1102,Product_Dim!A:C,3,0)</f>
        <v>Electronics</v>
      </c>
      <c r="G1102" s="22" t="str" cm="1">
        <f t="array" ref="G1102:L1102">_xlfn.XLOOKUP(C1102,Sales_Fact!C1102:C3086,Sales_Fact!E1102:J3086)</f>
        <v>STORE19</v>
      </c>
      <c r="H1102" s="22">
        <v>2</v>
      </c>
      <c r="I1102" s="22">
        <v>549.83000000000004</v>
      </c>
      <c r="J1102" s="22">
        <v>7.0000000000000007E-2</v>
      </c>
      <c r="K1102" s="22" t="str">
        <v>PayPal</v>
      </c>
      <c r="L1102" s="22">
        <v>1022.6838</v>
      </c>
    </row>
    <row r="1103" spans="1:12" x14ac:dyDescent="0.3">
      <c r="A1103" s="22" t="s">
        <v>2912</v>
      </c>
      <c r="B1103" s="34" cm="1">
        <f t="array" ref="B1103:C1103">_xlfn.XLOOKUP(A1103,Sales_Fact!A1103:A3087,Sales_Fact!B1103:C3087)</f>
        <v>45219</v>
      </c>
      <c r="C1103" s="22" t="str">
        <v>CUST1140</v>
      </c>
      <c r="D1103" s="22" t="str">
        <f>VLOOKUP('Combine Products &amp; Sales Facts'!C1103,'Customer Details'!A:B,2,0)</f>
        <v>Patty Francis</v>
      </c>
      <c r="E1103" s="22" t="str">
        <f>VLOOKUP(C1103,Sales_Fact!C:D,2,0)</f>
        <v>PROD35</v>
      </c>
      <c r="F1103" s="22" t="str">
        <f>VLOOKUP(E1103,Product_Dim!A:C,3,0)</f>
        <v>Home</v>
      </c>
      <c r="G1103" s="22" t="str" cm="1">
        <f t="array" ref="G1103:L1103">_xlfn.XLOOKUP(C1103,Sales_Fact!C1103:C3087,Sales_Fact!E1103:J3087)</f>
        <v>STORE8</v>
      </c>
      <c r="H1103" s="22">
        <v>3</v>
      </c>
      <c r="I1103" s="22">
        <v>278.38</v>
      </c>
      <c r="J1103" s="22">
        <v>0.03</v>
      </c>
      <c r="K1103" s="22" t="str">
        <v>Credit Card</v>
      </c>
      <c r="L1103" s="22">
        <v>810.08579999999995</v>
      </c>
    </row>
    <row r="1104" spans="1:12" x14ac:dyDescent="0.3">
      <c r="A1104" s="22" t="s">
        <v>2913</v>
      </c>
      <c r="B1104" s="34" cm="1">
        <f t="array" ref="B1104:C1104">_xlfn.XLOOKUP(A1104,Sales_Fact!A1104:A3088,Sales_Fact!B1104:C3088)</f>
        <v>45510</v>
      </c>
      <c r="C1104" s="22" t="str">
        <v>CUST1437</v>
      </c>
      <c r="D1104" s="22" t="str">
        <f>VLOOKUP('Combine Products &amp; Sales Facts'!C1104,'Customer Details'!A:B,2,0)</f>
        <v>Melinda Rivera</v>
      </c>
      <c r="E1104" s="22" t="str">
        <f>VLOOKUP(C1104,Sales_Fact!C:D,2,0)</f>
        <v>PROD88</v>
      </c>
      <c r="F1104" s="22" t="str">
        <f>VLOOKUP(E1104,Product_Dim!A:C,3,0)</f>
        <v>Sports</v>
      </c>
      <c r="G1104" s="22" t="str" cm="1">
        <f t="array" ref="G1104:L1104">_xlfn.XLOOKUP(C1104,Sales_Fact!C1104:C3088,Sales_Fact!E1104:J3088)</f>
        <v>STORE3</v>
      </c>
      <c r="H1104" s="22">
        <v>4</v>
      </c>
      <c r="I1104" s="22">
        <v>723.66</v>
      </c>
      <c r="J1104" s="22">
        <v>0.03</v>
      </c>
      <c r="K1104" s="22" t="str">
        <v>PayPal</v>
      </c>
      <c r="L1104" s="22">
        <v>2807.8008</v>
      </c>
    </row>
    <row r="1105" spans="1:12" x14ac:dyDescent="0.3">
      <c r="A1105" s="22" t="s">
        <v>2914</v>
      </c>
      <c r="B1105" s="34" cm="1">
        <f t="array" ref="B1105:C1105">_xlfn.XLOOKUP(A1105,Sales_Fact!A1105:A3089,Sales_Fact!B1105:C3089)</f>
        <v>45687</v>
      </c>
      <c r="C1105" s="22" t="str">
        <v>CUST1205</v>
      </c>
      <c r="D1105" s="22" t="str">
        <f>VLOOKUP('Combine Products &amp; Sales Facts'!C1105,'Customer Details'!A:B,2,0)</f>
        <v>Michelle Carpenter</v>
      </c>
      <c r="E1105" s="22" t="str">
        <f>VLOOKUP(C1105,Sales_Fact!C:D,2,0)</f>
        <v>PROD84</v>
      </c>
      <c r="F1105" s="22" t="str">
        <f>VLOOKUP(E1105,Product_Dim!A:C,3,0)</f>
        <v>Home</v>
      </c>
      <c r="G1105" s="22" t="str" cm="1">
        <f t="array" ref="G1105:L1105">_xlfn.XLOOKUP(C1105,Sales_Fact!C1105:C3089,Sales_Fact!E1105:J3089)</f>
        <v>STORE9</v>
      </c>
      <c r="H1105" s="22">
        <v>1</v>
      </c>
      <c r="I1105" s="22">
        <v>724.74</v>
      </c>
      <c r="J1105" s="22">
        <v>0.15</v>
      </c>
      <c r="K1105" s="22" t="str">
        <v>PayPal</v>
      </c>
      <c r="L1105" s="22">
        <v>616.029</v>
      </c>
    </row>
    <row r="1106" spans="1:12" x14ac:dyDescent="0.3">
      <c r="A1106" s="22" t="s">
        <v>2915</v>
      </c>
      <c r="B1106" s="34" cm="1">
        <f t="array" ref="B1106:C1106">_xlfn.XLOOKUP(A1106,Sales_Fact!A1106:A3090,Sales_Fact!B1106:C3090)</f>
        <v>45271</v>
      </c>
      <c r="C1106" s="22" t="str">
        <v>CUST1455</v>
      </c>
      <c r="D1106" s="22" t="str">
        <f>VLOOKUP('Combine Products &amp; Sales Facts'!C1106,'Customer Details'!A:B,2,0)</f>
        <v>Tyler Weber</v>
      </c>
      <c r="E1106" s="22" t="str">
        <f>VLOOKUP(C1106,Sales_Fact!C:D,2,0)</f>
        <v>PROD83</v>
      </c>
      <c r="F1106" s="22" t="str">
        <f>VLOOKUP(E1106,Product_Dim!A:C,3,0)</f>
        <v>Beauty</v>
      </c>
      <c r="G1106" s="22" t="str" cm="1">
        <f t="array" ref="G1106:L1106">_xlfn.XLOOKUP(C1106,Sales_Fact!C1106:C3090,Sales_Fact!E1106:J3090)</f>
        <v>STORE4</v>
      </c>
      <c r="H1106" s="22">
        <v>2</v>
      </c>
      <c r="I1106" s="22">
        <v>961.84</v>
      </c>
      <c r="J1106" s="22">
        <v>0.25</v>
      </c>
      <c r="K1106" s="22" t="str">
        <v>PayPal</v>
      </c>
      <c r="L1106" s="22">
        <v>1442.76</v>
      </c>
    </row>
    <row r="1107" spans="1:12" x14ac:dyDescent="0.3">
      <c r="A1107" s="22" t="s">
        <v>2916</v>
      </c>
      <c r="B1107" s="34" cm="1">
        <f t="array" ref="B1107:C1107">_xlfn.XLOOKUP(A1107,Sales_Fact!A1107:A3091,Sales_Fact!B1107:C3091)</f>
        <v>45446</v>
      </c>
      <c r="C1107" s="22" t="str">
        <v>CUST1020</v>
      </c>
      <c r="D1107" s="22" t="str">
        <f>VLOOKUP('Combine Products &amp; Sales Facts'!C1107,'Customer Details'!A:B,2,0)</f>
        <v>Bridget Allen</v>
      </c>
      <c r="E1107" s="22" t="str">
        <f>VLOOKUP(C1107,Sales_Fact!C:D,2,0)</f>
        <v>PROD70</v>
      </c>
      <c r="F1107" s="22" t="str">
        <f>VLOOKUP(E1107,Product_Dim!A:C,3,0)</f>
        <v>Home</v>
      </c>
      <c r="G1107" s="22" t="str" cm="1">
        <f t="array" ref="G1107:L1107">_xlfn.XLOOKUP(C1107,Sales_Fact!C1107:C3091,Sales_Fact!E1107:J3091)</f>
        <v>STORE16</v>
      </c>
      <c r="H1107" s="22">
        <v>4</v>
      </c>
      <c r="I1107" s="22">
        <v>21.12</v>
      </c>
      <c r="J1107" s="22">
        <v>0.18</v>
      </c>
      <c r="K1107" s="22" t="str">
        <v>COD</v>
      </c>
      <c r="L1107" s="22">
        <v>69.273600000000002</v>
      </c>
    </row>
    <row r="1108" spans="1:12" x14ac:dyDescent="0.3">
      <c r="A1108" s="22" t="s">
        <v>2917</v>
      </c>
      <c r="B1108" s="34" cm="1">
        <f t="array" ref="B1108:C1108">_xlfn.XLOOKUP(A1108,Sales_Fact!A1108:A3092,Sales_Fact!B1108:C3092)</f>
        <v>45579</v>
      </c>
      <c r="C1108" s="22" t="str">
        <v>CUST1319</v>
      </c>
      <c r="D1108" s="22" t="str">
        <f>VLOOKUP('Combine Products &amp; Sales Facts'!C1108,'Customer Details'!A:B,2,0)</f>
        <v>Casey Simpson</v>
      </c>
      <c r="E1108" s="22" t="str">
        <f>VLOOKUP(C1108,Sales_Fact!C:D,2,0)</f>
        <v>PROD49</v>
      </c>
      <c r="F1108" s="22" t="str">
        <f>VLOOKUP(E1108,Product_Dim!A:C,3,0)</f>
        <v>Beauty</v>
      </c>
      <c r="G1108" s="22" t="str" cm="1">
        <f t="array" ref="G1108:L1108">_xlfn.XLOOKUP(C1108,Sales_Fact!C1108:C3092,Sales_Fact!E1108:J3092)</f>
        <v>STORE4</v>
      </c>
      <c r="H1108" s="22">
        <v>3</v>
      </c>
      <c r="I1108" s="22">
        <v>819.93</v>
      </c>
      <c r="J1108" s="22">
        <v>0.08</v>
      </c>
      <c r="K1108" s="22" t="str">
        <v>PayPal</v>
      </c>
      <c r="L1108" s="22">
        <v>2263.0068000000001</v>
      </c>
    </row>
    <row r="1109" spans="1:12" x14ac:dyDescent="0.3">
      <c r="A1109" s="22" t="s">
        <v>2918</v>
      </c>
      <c r="B1109" s="34" cm="1">
        <f t="array" ref="B1109:C1109">_xlfn.XLOOKUP(A1109,Sales_Fact!A1109:A3093,Sales_Fact!B1109:C3093)</f>
        <v>45725</v>
      </c>
      <c r="C1109" s="22" t="str">
        <v>CUST1294</v>
      </c>
      <c r="D1109" s="22" t="str">
        <f>VLOOKUP('Combine Products &amp; Sales Facts'!C1109,'Customer Details'!A:B,2,0)</f>
        <v>Lisa Chandler</v>
      </c>
      <c r="E1109" s="22" t="str">
        <f>VLOOKUP(C1109,Sales_Fact!C:D,2,0)</f>
        <v>PROD82</v>
      </c>
      <c r="F1109" s="22" t="str">
        <f>VLOOKUP(E1109,Product_Dim!A:C,3,0)</f>
        <v>Sports</v>
      </c>
      <c r="G1109" s="22" t="str" cm="1">
        <f t="array" ref="G1109:L1109">_xlfn.XLOOKUP(C1109,Sales_Fact!C1109:C3093,Sales_Fact!E1109:J3093)</f>
        <v>STORE0</v>
      </c>
      <c r="H1109" s="22">
        <v>2</v>
      </c>
      <c r="I1109" s="22">
        <v>700.95</v>
      </c>
      <c r="J1109" s="22">
        <v>0.18</v>
      </c>
      <c r="K1109" s="22" t="str">
        <v>Credit Card</v>
      </c>
      <c r="L1109" s="22">
        <v>1149.558</v>
      </c>
    </row>
    <row r="1110" spans="1:12" x14ac:dyDescent="0.3">
      <c r="A1110" s="22" t="s">
        <v>2919</v>
      </c>
      <c r="B1110" s="34" cm="1">
        <f t="array" ref="B1110:C1110">_xlfn.XLOOKUP(A1110,Sales_Fact!A1110:A3094,Sales_Fact!B1110:C3094)</f>
        <v>45910</v>
      </c>
      <c r="C1110" s="22" t="str">
        <v>CUST1141</v>
      </c>
      <c r="D1110" s="22" t="str">
        <f>VLOOKUP('Combine Products &amp; Sales Facts'!C1110,'Customer Details'!A:B,2,0)</f>
        <v>Cristian Wright</v>
      </c>
      <c r="E1110" s="22" t="str">
        <f>VLOOKUP(C1110,Sales_Fact!C:D,2,0)</f>
        <v>PROD21</v>
      </c>
      <c r="F1110" s="22" t="str">
        <f>VLOOKUP(E1110,Product_Dim!A:C,3,0)</f>
        <v>Home</v>
      </c>
      <c r="G1110" s="22" t="str" cm="1">
        <f t="array" ref="G1110:L1110">_xlfn.XLOOKUP(C1110,Sales_Fact!C1110:C3094,Sales_Fact!E1110:J3094)</f>
        <v>STORE14</v>
      </c>
      <c r="H1110" s="22">
        <v>2</v>
      </c>
      <c r="I1110" s="22">
        <v>456.38</v>
      </c>
      <c r="J1110" s="22">
        <v>0.12</v>
      </c>
      <c r="K1110" s="22" t="str">
        <v>Credit Card</v>
      </c>
      <c r="L1110" s="22">
        <v>803.22879999999998</v>
      </c>
    </row>
    <row r="1111" spans="1:12" x14ac:dyDescent="0.3">
      <c r="A1111" s="22" t="s">
        <v>2920</v>
      </c>
      <c r="B1111" s="34" cm="1">
        <f t="array" ref="B1111:C1111">_xlfn.XLOOKUP(A1111,Sales_Fact!A1111:A3095,Sales_Fact!B1111:C3095)</f>
        <v>45447</v>
      </c>
      <c r="C1111" s="22" t="str">
        <v>CUST1361</v>
      </c>
      <c r="D1111" s="22" t="str">
        <f>VLOOKUP('Combine Products &amp; Sales Facts'!C1111,'Customer Details'!A:B,2,0)</f>
        <v>Natalie Johnson</v>
      </c>
      <c r="E1111" s="22" t="str">
        <f>VLOOKUP(C1111,Sales_Fact!C:D,2,0)</f>
        <v>PROD76</v>
      </c>
      <c r="F1111" s="22" t="str">
        <f>VLOOKUP(E1111,Product_Dim!A:C,3,0)</f>
        <v>Electronics</v>
      </c>
      <c r="G1111" s="22" t="str" cm="1">
        <f t="array" ref="G1111:L1111">_xlfn.XLOOKUP(C1111,Sales_Fact!C1111:C3095,Sales_Fact!E1111:J3095)</f>
        <v>STORE14</v>
      </c>
      <c r="H1111" s="22">
        <v>3</v>
      </c>
      <c r="I1111" s="22">
        <v>291.05</v>
      </c>
      <c r="J1111" s="22">
        <v>0.3</v>
      </c>
      <c r="K1111" s="22" t="str">
        <v>Credit Card</v>
      </c>
      <c r="L1111" s="22">
        <v>611.20500000000004</v>
      </c>
    </row>
    <row r="1112" spans="1:12" x14ac:dyDescent="0.3">
      <c r="A1112" s="22" t="s">
        <v>2921</v>
      </c>
      <c r="B1112" s="34" cm="1">
        <f t="array" ref="B1112:C1112">_xlfn.XLOOKUP(A1112,Sales_Fact!A1112:A3096,Sales_Fact!B1112:C3096)</f>
        <v>45307</v>
      </c>
      <c r="C1112" s="22" t="str">
        <v>CUST1233</v>
      </c>
      <c r="D1112" s="22" t="str">
        <f>VLOOKUP('Combine Products &amp; Sales Facts'!C1112,'Customer Details'!A:B,2,0)</f>
        <v>Michelle Gonzalez</v>
      </c>
      <c r="E1112" s="22" t="str">
        <f>VLOOKUP(C1112,Sales_Fact!C:D,2,0)</f>
        <v>PROD88</v>
      </c>
      <c r="F1112" s="22" t="str">
        <f>VLOOKUP(E1112,Product_Dim!A:C,3,0)</f>
        <v>Sports</v>
      </c>
      <c r="G1112" s="22" t="str" cm="1">
        <f t="array" ref="G1112:L1112">_xlfn.XLOOKUP(C1112,Sales_Fact!C1112:C3096,Sales_Fact!E1112:J3096)</f>
        <v>STORE15</v>
      </c>
      <c r="H1112" s="22">
        <v>2</v>
      </c>
      <c r="I1112" s="22">
        <v>463.52</v>
      </c>
      <c r="J1112" s="22">
        <v>0.27</v>
      </c>
      <c r="K1112" s="22" t="str">
        <v>PayPal</v>
      </c>
      <c r="L1112" s="22">
        <v>676.73919999999998</v>
      </c>
    </row>
    <row r="1113" spans="1:12" x14ac:dyDescent="0.3">
      <c r="A1113" s="22" t="s">
        <v>2922</v>
      </c>
      <c r="B1113" s="34" cm="1">
        <f t="array" ref="B1113:C1113">_xlfn.XLOOKUP(A1113,Sales_Fact!A1113:A3097,Sales_Fact!B1113:C3097)</f>
        <v>45653</v>
      </c>
      <c r="C1113" s="22" t="str">
        <v>CUST1379</v>
      </c>
      <c r="D1113" s="22" t="str">
        <f>VLOOKUP('Combine Products &amp; Sales Facts'!C1113,'Customer Details'!A:B,2,0)</f>
        <v>Tanya Lopez</v>
      </c>
      <c r="E1113" s="22" t="str">
        <f>VLOOKUP(C1113,Sales_Fact!C:D,2,0)</f>
        <v>PROD20</v>
      </c>
      <c r="F1113" s="22" t="str">
        <f>VLOOKUP(E1113,Product_Dim!A:C,3,0)</f>
        <v>Sports</v>
      </c>
      <c r="G1113" s="22" t="str" cm="1">
        <f t="array" ref="G1113:L1113">_xlfn.XLOOKUP(C1113,Sales_Fact!C1113:C3097,Sales_Fact!E1113:J3097)</f>
        <v>STORE17</v>
      </c>
      <c r="H1113" s="22">
        <v>3</v>
      </c>
      <c r="I1113" s="22">
        <v>241.64</v>
      </c>
      <c r="J1113" s="22">
        <v>0.28999999999999998</v>
      </c>
      <c r="K1113" s="22" t="str">
        <v>PayPal</v>
      </c>
      <c r="L1113" s="22">
        <v>514.69319999999993</v>
      </c>
    </row>
    <row r="1114" spans="1:12" x14ac:dyDescent="0.3">
      <c r="A1114" s="22" t="s">
        <v>2923</v>
      </c>
      <c r="B1114" s="34" cm="1">
        <f t="array" ref="B1114:C1114">_xlfn.XLOOKUP(A1114,Sales_Fact!A1114:A3098,Sales_Fact!B1114:C3098)</f>
        <v>45817</v>
      </c>
      <c r="C1114" s="22" t="str">
        <v>CUST1483</v>
      </c>
      <c r="D1114" s="22" t="str">
        <f>VLOOKUP('Combine Products &amp; Sales Facts'!C1114,'Customer Details'!A:B,2,0)</f>
        <v>Sarah Smith</v>
      </c>
      <c r="E1114" s="22" t="str">
        <f>VLOOKUP(C1114,Sales_Fact!C:D,2,0)</f>
        <v>PROD12</v>
      </c>
      <c r="F1114" s="22" t="str">
        <f>VLOOKUP(E1114,Product_Dim!A:C,3,0)</f>
        <v>Beauty</v>
      </c>
      <c r="G1114" s="22" t="str" cm="1">
        <f t="array" ref="G1114:L1114">_xlfn.XLOOKUP(C1114,Sales_Fact!C1114:C3098,Sales_Fact!E1114:J3098)</f>
        <v>STORE10</v>
      </c>
      <c r="H1114" s="22">
        <v>2</v>
      </c>
      <c r="I1114" s="22">
        <v>47.86</v>
      </c>
      <c r="J1114" s="22">
        <v>0.03</v>
      </c>
      <c r="K1114" s="22" t="str">
        <v>PayPal</v>
      </c>
      <c r="L1114" s="22">
        <v>92.848399999999998</v>
      </c>
    </row>
    <row r="1115" spans="1:12" x14ac:dyDescent="0.3">
      <c r="A1115" s="22" t="s">
        <v>2924</v>
      </c>
      <c r="B1115" s="34" cm="1">
        <f t="array" ref="B1115:C1115">_xlfn.XLOOKUP(A1115,Sales_Fact!A1115:A3099,Sales_Fact!B1115:C3099)</f>
        <v>45509</v>
      </c>
      <c r="C1115" s="22" t="str">
        <v>CUST1344</v>
      </c>
      <c r="D1115" s="22" t="str">
        <f>VLOOKUP('Combine Products &amp; Sales Facts'!C1115,'Customer Details'!A:B,2,0)</f>
        <v>Evelyn Brown</v>
      </c>
      <c r="E1115" s="22" t="str">
        <f>VLOOKUP(C1115,Sales_Fact!C:D,2,0)</f>
        <v>PROD89</v>
      </c>
      <c r="F1115" s="22" t="str">
        <f>VLOOKUP(E1115,Product_Dim!A:C,3,0)</f>
        <v>Beauty</v>
      </c>
      <c r="G1115" s="22" t="str" cm="1">
        <f t="array" ref="G1115:L1115">_xlfn.XLOOKUP(C1115,Sales_Fact!C1115:C3099,Sales_Fact!E1115:J3099)</f>
        <v>STORE3</v>
      </c>
      <c r="H1115" s="22">
        <v>1</v>
      </c>
      <c r="I1115" s="22">
        <v>805.07</v>
      </c>
      <c r="J1115" s="22">
        <v>0.06</v>
      </c>
      <c r="K1115" s="22" t="str">
        <v>COD</v>
      </c>
      <c r="L1115" s="22">
        <v>756.76580000000001</v>
      </c>
    </row>
    <row r="1116" spans="1:12" x14ac:dyDescent="0.3">
      <c r="A1116" s="22" t="s">
        <v>2925</v>
      </c>
      <c r="B1116" s="34" cm="1">
        <f t="array" ref="B1116:C1116">_xlfn.XLOOKUP(A1116,Sales_Fact!A1116:A3100,Sales_Fact!B1116:C3100)</f>
        <v>45753</v>
      </c>
      <c r="C1116" s="22" t="str">
        <v>CUST1373</v>
      </c>
      <c r="D1116" s="22" t="str">
        <f>VLOOKUP('Combine Products &amp; Sales Facts'!C1116,'Customer Details'!A:B,2,0)</f>
        <v>James Orozco</v>
      </c>
      <c r="E1116" s="22" t="str">
        <f>VLOOKUP(C1116,Sales_Fact!C:D,2,0)</f>
        <v>PROD72</v>
      </c>
      <c r="F1116" s="22" t="str">
        <f>VLOOKUP(E1116,Product_Dim!A:C,3,0)</f>
        <v>Sports</v>
      </c>
      <c r="G1116" s="22" t="str" cm="1">
        <f t="array" ref="G1116:L1116">_xlfn.XLOOKUP(C1116,Sales_Fact!C1116:C3100,Sales_Fact!E1116:J3100)</f>
        <v>STORE1</v>
      </c>
      <c r="H1116" s="22">
        <v>3</v>
      </c>
      <c r="I1116" s="22">
        <v>848.48</v>
      </c>
      <c r="J1116" s="22">
        <v>0</v>
      </c>
      <c r="K1116" s="22" t="str">
        <v>COD</v>
      </c>
      <c r="L1116" s="22">
        <v>2545.44</v>
      </c>
    </row>
    <row r="1117" spans="1:12" x14ac:dyDescent="0.3">
      <c r="A1117" s="22" t="s">
        <v>2926</v>
      </c>
      <c r="B1117" s="34" cm="1">
        <f t="array" ref="B1117:C1117">_xlfn.XLOOKUP(A1117,Sales_Fact!A1117:A3101,Sales_Fact!B1117:C3101)</f>
        <v>45512</v>
      </c>
      <c r="C1117" s="22" t="str">
        <v>CUST1244</v>
      </c>
      <c r="D1117" s="22" t="str">
        <f>VLOOKUP('Combine Products &amp; Sales Facts'!C1117,'Customer Details'!A:B,2,0)</f>
        <v>Nancy Page</v>
      </c>
      <c r="E1117" s="22" t="str">
        <f>VLOOKUP(C1117,Sales_Fact!C:D,2,0)</f>
        <v>PROD50</v>
      </c>
      <c r="F1117" s="22" t="str">
        <f>VLOOKUP(E1117,Product_Dim!A:C,3,0)</f>
        <v>Sports</v>
      </c>
      <c r="G1117" s="22" t="str" cm="1">
        <f t="array" ref="G1117:L1117">_xlfn.XLOOKUP(C1117,Sales_Fact!C1117:C3101,Sales_Fact!E1117:J3101)</f>
        <v>STORE8</v>
      </c>
      <c r="H1117" s="22">
        <v>2</v>
      </c>
      <c r="I1117" s="22">
        <v>568.95000000000005</v>
      </c>
      <c r="J1117" s="22">
        <v>0.22</v>
      </c>
      <c r="K1117" s="22" t="str">
        <v>Credit Card</v>
      </c>
      <c r="L1117" s="22">
        <v>887.56200000000013</v>
      </c>
    </row>
    <row r="1118" spans="1:12" x14ac:dyDescent="0.3">
      <c r="A1118" s="22" t="s">
        <v>2927</v>
      </c>
      <c r="B1118" s="34" cm="1">
        <f t="array" ref="B1118:C1118">_xlfn.XLOOKUP(A1118,Sales_Fact!A1118:A3102,Sales_Fact!B1118:C3102)</f>
        <v>45764</v>
      </c>
      <c r="C1118" s="22" t="str">
        <v>CUST1162</v>
      </c>
      <c r="D1118" s="22" t="str">
        <f>VLOOKUP('Combine Products &amp; Sales Facts'!C1118,'Customer Details'!A:B,2,0)</f>
        <v>Mariah Brown</v>
      </c>
      <c r="E1118" s="22" t="str">
        <f>VLOOKUP(C1118,Sales_Fact!C:D,2,0)</f>
        <v>PROD99</v>
      </c>
      <c r="F1118" s="22" t="str">
        <f>VLOOKUP(E1118,Product_Dim!A:C,3,0)</f>
        <v>Home</v>
      </c>
      <c r="G1118" s="22" t="str" cm="1">
        <f t="array" ref="G1118:L1118">_xlfn.XLOOKUP(C1118,Sales_Fact!C1118:C3102,Sales_Fact!E1118:J3102)</f>
        <v>STORE11</v>
      </c>
      <c r="H1118" s="22">
        <v>3</v>
      </c>
      <c r="I1118" s="22">
        <v>269.83999999999997</v>
      </c>
      <c r="J1118" s="22">
        <v>0.05</v>
      </c>
      <c r="K1118" s="22" t="str">
        <v>PayPal</v>
      </c>
      <c r="L1118" s="22">
        <v>769.04399999999998</v>
      </c>
    </row>
    <row r="1119" spans="1:12" x14ac:dyDescent="0.3">
      <c r="A1119" s="22" t="s">
        <v>2928</v>
      </c>
      <c r="B1119" s="34" cm="1">
        <f t="array" ref="B1119:C1119">_xlfn.XLOOKUP(A1119,Sales_Fact!A1119:A3103,Sales_Fact!B1119:C3103)</f>
        <v>45746</v>
      </c>
      <c r="C1119" s="22" t="str">
        <v>CUST1309</v>
      </c>
      <c r="D1119" s="22" t="str">
        <f>VLOOKUP('Combine Products &amp; Sales Facts'!C1119,'Customer Details'!A:B,2,0)</f>
        <v>Stacy Collins</v>
      </c>
      <c r="E1119" s="22" t="str">
        <f>VLOOKUP(C1119,Sales_Fact!C:D,2,0)</f>
        <v>PROD61</v>
      </c>
      <c r="F1119" s="22" t="str">
        <f>VLOOKUP(E1119,Product_Dim!A:C,3,0)</f>
        <v>Sports</v>
      </c>
      <c r="G1119" s="22" t="str" cm="1">
        <f t="array" ref="G1119:L1119">_xlfn.XLOOKUP(C1119,Sales_Fact!C1119:C3103,Sales_Fact!E1119:J3103)</f>
        <v>STORE13</v>
      </c>
      <c r="H1119" s="22">
        <v>4</v>
      </c>
      <c r="I1119" s="22">
        <v>267.36</v>
      </c>
      <c r="J1119" s="22">
        <v>0.27</v>
      </c>
      <c r="K1119" s="22" t="str">
        <v>PayPal</v>
      </c>
      <c r="L1119" s="22">
        <v>780.69119999999998</v>
      </c>
    </row>
    <row r="1120" spans="1:12" x14ac:dyDescent="0.3">
      <c r="A1120" s="22" t="s">
        <v>2929</v>
      </c>
      <c r="B1120" s="34" cm="1">
        <f t="array" ref="B1120:C1120">_xlfn.XLOOKUP(A1120,Sales_Fact!A1120:A3104,Sales_Fact!B1120:C3104)</f>
        <v>45647</v>
      </c>
      <c r="C1120" s="22" t="str">
        <v>CUST1114</v>
      </c>
      <c r="D1120" s="22" t="str">
        <f>VLOOKUP('Combine Products &amp; Sales Facts'!C1120,'Customer Details'!A:B,2,0)</f>
        <v>Ryan Hernandez</v>
      </c>
      <c r="E1120" s="22" t="str">
        <f>VLOOKUP(C1120,Sales_Fact!C:D,2,0)</f>
        <v>PROD59</v>
      </c>
      <c r="F1120" s="22" t="str">
        <f>VLOOKUP(E1120,Product_Dim!A:C,3,0)</f>
        <v>Beauty</v>
      </c>
      <c r="G1120" s="22" t="str" cm="1">
        <f t="array" ref="G1120:L1120">_xlfn.XLOOKUP(C1120,Sales_Fact!C1120:C3104,Sales_Fact!E1120:J3104)</f>
        <v>STORE1</v>
      </c>
      <c r="H1120" s="22">
        <v>1</v>
      </c>
      <c r="I1120" s="22">
        <v>438.41</v>
      </c>
      <c r="J1120" s="22">
        <v>0.09</v>
      </c>
      <c r="K1120" s="22" t="str">
        <v>Credit Card</v>
      </c>
      <c r="L1120" s="22">
        <v>398.95310000000012</v>
      </c>
    </row>
    <row r="1121" spans="1:12" x14ac:dyDescent="0.3">
      <c r="A1121" s="22" t="s">
        <v>2930</v>
      </c>
      <c r="B1121" s="34" cm="1">
        <f t="array" ref="B1121:C1121">_xlfn.XLOOKUP(A1121,Sales_Fact!A1121:A3105,Sales_Fact!B1121:C3105)</f>
        <v>45443</v>
      </c>
      <c r="C1121" s="22" t="str">
        <v>CUST1164</v>
      </c>
      <c r="D1121" s="22" t="str">
        <f>VLOOKUP('Combine Products &amp; Sales Facts'!C1121,'Customer Details'!A:B,2,0)</f>
        <v>Daniel Rivas</v>
      </c>
      <c r="E1121" s="22" t="str">
        <f>VLOOKUP(C1121,Sales_Fact!C:D,2,0)</f>
        <v>PROD48</v>
      </c>
      <c r="F1121" s="22" t="str">
        <f>VLOOKUP(E1121,Product_Dim!A:C,3,0)</f>
        <v>Electronics</v>
      </c>
      <c r="G1121" s="22" t="str" cm="1">
        <f t="array" ref="G1121:L1121">_xlfn.XLOOKUP(C1121,Sales_Fact!C1121:C3105,Sales_Fact!E1121:J3105)</f>
        <v>STORE18</v>
      </c>
      <c r="H1121" s="22">
        <v>2</v>
      </c>
      <c r="I1121" s="22">
        <v>86.72</v>
      </c>
      <c r="J1121" s="22">
        <v>0.28000000000000003</v>
      </c>
      <c r="K1121" s="22" t="str">
        <v>COD</v>
      </c>
      <c r="L1121" s="22">
        <v>124.8768</v>
      </c>
    </row>
    <row r="1122" spans="1:12" x14ac:dyDescent="0.3">
      <c r="A1122" s="22" t="s">
        <v>2931</v>
      </c>
      <c r="B1122" s="34" cm="1">
        <f t="array" ref="B1122:C1122">_xlfn.XLOOKUP(A1122,Sales_Fact!A1122:A3106,Sales_Fact!B1122:C3106)</f>
        <v>45722</v>
      </c>
      <c r="C1122" s="22" t="str">
        <v>CUST1425</v>
      </c>
      <c r="D1122" s="22" t="str">
        <f>VLOOKUP('Combine Products &amp; Sales Facts'!C1122,'Customer Details'!A:B,2,0)</f>
        <v>Bryce Hawkins</v>
      </c>
      <c r="E1122" s="22" t="str">
        <f>VLOOKUP(C1122,Sales_Fact!C:D,2,0)</f>
        <v>PROD75</v>
      </c>
      <c r="F1122" s="22" t="str">
        <f>VLOOKUP(E1122,Product_Dim!A:C,3,0)</f>
        <v>Clothing</v>
      </c>
      <c r="G1122" s="22" t="str" cm="1">
        <f t="array" ref="G1122:L1122">_xlfn.XLOOKUP(C1122,Sales_Fact!C1122:C3106,Sales_Fact!E1122:J3106)</f>
        <v>STORE6</v>
      </c>
      <c r="H1122" s="22">
        <v>4</v>
      </c>
      <c r="I1122" s="22">
        <v>630.21</v>
      </c>
      <c r="J1122" s="22">
        <v>0.14000000000000001</v>
      </c>
      <c r="K1122" s="22" t="str">
        <v>COD</v>
      </c>
      <c r="L1122" s="22">
        <v>2167.9223999999999</v>
      </c>
    </row>
    <row r="1123" spans="1:12" x14ac:dyDescent="0.3">
      <c r="A1123" s="22" t="s">
        <v>2932</v>
      </c>
      <c r="B1123" s="34" cm="1">
        <f t="array" ref="B1123:C1123">_xlfn.XLOOKUP(A1123,Sales_Fact!A1123:A3107,Sales_Fact!B1123:C3107)</f>
        <v>45575</v>
      </c>
      <c r="C1123" s="22" t="str">
        <v>CUST1359</v>
      </c>
      <c r="D1123" s="22" t="str">
        <f>VLOOKUP('Combine Products &amp; Sales Facts'!C1123,'Customer Details'!A:B,2,0)</f>
        <v>Melanie Lam</v>
      </c>
      <c r="E1123" s="22" t="str">
        <f>VLOOKUP(C1123,Sales_Fact!C:D,2,0)</f>
        <v>PROD59</v>
      </c>
      <c r="F1123" s="22" t="str">
        <f>VLOOKUP(E1123,Product_Dim!A:C,3,0)</f>
        <v>Beauty</v>
      </c>
      <c r="G1123" s="22" t="str" cm="1">
        <f t="array" ref="G1123:L1123">_xlfn.XLOOKUP(C1123,Sales_Fact!C1123:C3107,Sales_Fact!E1123:J3107)</f>
        <v>STORE6</v>
      </c>
      <c r="H1123" s="22">
        <v>3</v>
      </c>
      <c r="I1123" s="22">
        <v>180.84</v>
      </c>
      <c r="J1123" s="22">
        <v>0.03</v>
      </c>
      <c r="K1123" s="22" t="str">
        <v>PayPal</v>
      </c>
      <c r="L1123" s="22">
        <v>526.24439999999993</v>
      </c>
    </row>
    <row r="1124" spans="1:12" x14ac:dyDescent="0.3">
      <c r="A1124" s="22" t="s">
        <v>2933</v>
      </c>
      <c r="B1124" s="34" cm="1">
        <f t="array" ref="B1124:C1124">_xlfn.XLOOKUP(A1124,Sales_Fact!A1124:A3108,Sales_Fact!B1124:C3108)</f>
        <v>45441</v>
      </c>
      <c r="C1124" s="22" t="str">
        <v>CUST1004</v>
      </c>
      <c r="D1124" s="22" t="str">
        <f>VLOOKUP('Combine Products &amp; Sales Facts'!C1124,'Customer Details'!A:B,2,0)</f>
        <v>Caroline Collins</v>
      </c>
      <c r="E1124" s="22" t="str">
        <f>VLOOKUP(C1124,Sales_Fact!C:D,2,0)</f>
        <v>PROD47</v>
      </c>
      <c r="F1124" s="22" t="str">
        <f>VLOOKUP(E1124,Product_Dim!A:C,3,0)</f>
        <v>Beauty</v>
      </c>
      <c r="G1124" s="22" t="str" cm="1">
        <f t="array" ref="G1124:L1124">_xlfn.XLOOKUP(C1124,Sales_Fact!C1124:C3108,Sales_Fact!E1124:J3108)</f>
        <v>STORE16</v>
      </c>
      <c r="H1124" s="22">
        <v>1</v>
      </c>
      <c r="I1124" s="22">
        <v>453.41</v>
      </c>
      <c r="J1124" s="22">
        <v>0.04</v>
      </c>
      <c r="K1124" s="22" t="str">
        <v>COD</v>
      </c>
      <c r="L1124" s="22">
        <v>435.27359999999999</v>
      </c>
    </row>
    <row r="1125" spans="1:12" x14ac:dyDescent="0.3">
      <c r="A1125" s="22" t="s">
        <v>2934</v>
      </c>
      <c r="B1125" s="34" cm="1">
        <f t="array" ref="B1125:C1125">_xlfn.XLOOKUP(A1125,Sales_Fact!A1125:A3109,Sales_Fact!B1125:C3109)</f>
        <v>45940</v>
      </c>
      <c r="C1125" s="22" t="str">
        <v>CUST1024</v>
      </c>
      <c r="D1125" s="22" t="str">
        <f>VLOOKUP('Combine Products &amp; Sales Facts'!C1125,'Customer Details'!A:B,2,0)</f>
        <v>Heather Collins</v>
      </c>
      <c r="E1125" s="22" t="str">
        <f>VLOOKUP(C1125,Sales_Fact!C:D,2,0)</f>
        <v>PROD3</v>
      </c>
      <c r="F1125" s="22" t="str">
        <f>VLOOKUP(E1125,Product_Dim!A:C,3,0)</f>
        <v>Clothing</v>
      </c>
      <c r="G1125" s="22" t="str" cm="1">
        <f t="array" ref="G1125:L1125">_xlfn.XLOOKUP(C1125,Sales_Fact!C1125:C3109,Sales_Fact!E1125:J3109)</f>
        <v>STORE6</v>
      </c>
      <c r="H1125" s="22">
        <v>1</v>
      </c>
      <c r="I1125" s="22">
        <v>629.09</v>
      </c>
      <c r="J1125" s="22">
        <v>0.02</v>
      </c>
      <c r="K1125" s="22" t="str">
        <v>Credit Card</v>
      </c>
      <c r="L1125" s="22">
        <v>616.50819999999999</v>
      </c>
    </row>
    <row r="1126" spans="1:12" x14ac:dyDescent="0.3">
      <c r="A1126" s="22" t="s">
        <v>2935</v>
      </c>
      <c r="B1126" s="34" cm="1">
        <f t="array" ref="B1126:C1126">_xlfn.XLOOKUP(A1126,Sales_Fact!A1126:A3110,Sales_Fact!B1126:C3110)</f>
        <v>45518</v>
      </c>
      <c r="C1126" s="22" t="str">
        <v>CUST1022</v>
      </c>
      <c r="D1126" s="22" t="str">
        <f>VLOOKUP('Combine Products &amp; Sales Facts'!C1126,'Customer Details'!A:B,2,0)</f>
        <v>Paul Fox</v>
      </c>
      <c r="E1126" s="22" t="str">
        <f>VLOOKUP(C1126,Sales_Fact!C:D,2,0)</f>
        <v>PROD13</v>
      </c>
      <c r="F1126" s="22" t="str">
        <f>VLOOKUP(E1126,Product_Dim!A:C,3,0)</f>
        <v>Electronics</v>
      </c>
      <c r="G1126" s="22" t="str" cm="1">
        <f t="array" ref="G1126:L1126">_xlfn.XLOOKUP(C1126,Sales_Fact!C1126:C3110,Sales_Fact!E1126:J3110)</f>
        <v>STORE2</v>
      </c>
      <c r="H1126" s="22">
        <v>2</v>
      </c>
      <c r="I1126" s="22">
        <v>257.45</v>
      </c>
      <c r="J1126" s="22">
        <v>0</v>
      </c>
      <c r="K1126" s="22" t="str">
        <v>COD</v>
      </c>
      <c r="L1126" s="22">
        <v>514.9</v>
      </c>
    </row>
    <row r="1127" spans="1:12" x14ac:dyDescent="0.3">
      <c r="A1127" s="22" t="s">
        <v>2936</v>
      </c>
      <c r="B1127" s="34" cm="1">
        <f t="array" ref="B1127:C1127">_xlfn.XLOOKUP(A1127,Sales_Fact!A1127:A3111,Sales_Fact!B1127:C3111)</f>
        <v>45861</v>
      </c>
      <c r="C1127" s="22" t="str">
        <v>CUST1179</v>
      </c>
      <c r="D1127" s="22" t="str">
        <f>VLOOKUP('Combine Products &amp; Sales Facts'!C1127,'Customer Details'!A:B,2,0)</f>
        <v>Nicholas Bradshaw</v>
      </c>
      <c r="E1127" s="22" t="str">
        <f>VLOOKUP(C1127,Sales_Fact!C:D,2,0)</f>
        <v>PROD34</v>
      </c>
      <c r="F1127" s="22" t="str">
        <f>VLOOKUP(E1127,Product_Dim!A:C,3,0)</f>
        <v>Electronics</v>
      </c>
      <c r="G1127" s="22" t="str" cm="1">
        <f t="array" ref="G1127:L1127">_xlfn.XLOOKUP(C1127,Sales_Fact!C1127:C3111,Sales_Fact!E1127:J3111)</f>
        <v>STORE15</v>
      </c>
      <c r="H1127" s="22">
        <v>2</v>
      </c>
      <c r="I1127" s="22">
        <v>696.61</v>
      </c>
      <c r="J1127" s="22">
        <v>0.17</v>
      </c>
      <c r="K1127" s="22" t="str">
        <v>PayPal</v>
      </c>
      <c r="L1127" s="22">
        <v>1156.3725999999999</v>
      </c>
    </row>
    <row r="1128" spans="1:12" x14ac:dyDescent="0.3">
      <c r="A1128" s="22" t="s">
        <v>2937</v>
      </c>
      <c r="B1128" s="34" cm="1">
        <f t="array" ref="B1128:C1128">_xlfn.XLOOKUP(A1128,Sales_Fact!A1128:A3112,Sales_Fact!B1128:C3112)</f>
        <v>45416</v>
      </c>
      <c r="C1128" s="22" t="str">
        <v>CUST1373</v>
      </c>
      <c r="D1128" s="22" t="str">
        <f>VLOOKUP('Combine Products &amp; Sales Facts'!C1128,'Customer Details'!A:B,2,0)</f>
        <v>James Orozco</v>
      </c>
      <c r="E1128" s="22" t="str">
        <f>VLOOKUP(C1128,Sales_Fact!C:D,2,0)</f>
        <v>PROD72</v>
      </c>
      <c r="F1128" s="22" t="str">
        <f>VLOOKUP(E1128,Product_Dim!A:C,3,0)</f>
        <v>Sports</v>
      </c>
      <c r="G1128" s="22" t="str" cm="1">
        <f t="array" ref="G1128:L1128">_xlfn.XLOOKUP(C1128,Sales_Fact!C1128:C3112,Sales_Fact!E1128:J3112)</f>
        <v>STORE7</v>
      </c>
      <c r="H1128" s="22">
        <v>2</v>
      </c>
      <c r="I1128" s="22">
        <v>143.79</v>
      </c>
      <c r="J1128" s="22">
        <v>0.1</v>
      </c>
      <c r="K1128" s="22" t="str">
        <v>PayPal</v>
      </c>
      <c r="L1128" s="22">
        <v>258.822</v>
      </c>
    </row>
    <row r="1129" spans="1:12" x14ac:dyDescent="0.3">
      <c r="A1129" s="22" t="s">
        <v>2938</v>
      </c>
      <c r="B1129" s="34" cm="1">
        <f t="array" ref="B1129:C1129">_xlfn.XLOOKUP(A1129,Sales_Fact!A1129:A3113,Sales_Fact!B1129:C3113)</f>
        <v>45608</v>
      </c>
      <c r="C1129" s="22" t="str">
        <v>CUST1296</v>
      </c>
      <c r="D1129" s="22" t="str">
        <f>VLOOKUP('Combine Products &amp; Sales Facts'!C1129,'Customer Details'!A:B,2,0)</f>
        <v>Jared Moran</v>
      </c>
      <c r="E1129" s="22" t="str">
        <f>VLOOKUP(C1129,Sales_Fact!C:D,2,0)</f>
        <v>PROD14</v>
      </c>
      <c r="F1129" s="22" t="str">
        <f>VLOOKUP(E1129,Product_Dim!A:C,3,0)</f>
        <v>Home</v>
      </c>
      <c r="G1129" s="22" t="str" cm="1">
        <f t="array" ref="G1129:L1129">_xlfn.XLOOKUP(C1129,Sales_Fact!C1129:C3113,Sales_Fact!E1129:J3113)</f>
        <v>STORE1</v>
      </c>
      <c r="H1129" s="22">
        <v>3</v>
      </c>
      <c r="I1129" s="22">
        <v>460.93</v>
      </c>
      <c r="J1129" s="22">
        <v>0.19</v>
      </c>
      <c r="K1129" s="22" t="str">
        <v>COD</v>
      </c>
      <c r="L1129" s="22">
        <v>1120.0599</v>
      </c>
    </row>
    <row r="1130" spans="1:12" x14ac:dyDescent="0.3">
      <c r="A1130" s="22" t="s">
        <v>2939</v>
      </c>
      <c r="B1130" s="34" cm="1">
        <f t="array" ref="B1130:C1130">_xlfn.XLOOKUP(A1130,Sales_Fact!A1130:A3114,Sales_Fact!B1130:C3114)</f>
        <v>45301</v>
      </c>
      <c r="C1130" s="22" t="str">
        <v>CUST1499</v>
      </c>
      <c r="D1130" s="22" t="str">
        <f>VLOOKUP('Combine Products &amp; Sales Facts'!C1130,'Customer Details'!A:B,2,0)</f>
        <v>Philip Pennington</v>
      </c>
      <c r="E1130" s="22" t="str">
        <f>VLOOKUP(C1130,Sales_Fact!C:D,2,0)</f>
        <v>PROD55</v>
      </c>
      <c r="F1130" s="22" t="str">
        <f>VLOOKUP(E1130,Product_Dim!A:C,3,0)</f>
        <v>Home</v>
      </c>
      <c r="G1130" s="22" t="str" cm="1">
        <f t="array" ref="G1130:L1130">_xlfn.XLOOKUP(C1130,Sales_Fact!C1130:C3114,Sales_Fact!E1130:J3114)</f>
        <v>STORE9</v>
      </c>
      <c r="H1130" s="22">
        <v>2</v>
      </c>
      <c r="I1130" s="22">
        <v>67.55</v>
      </c>
      <c r="J1130" s="22">
        <v>0.03</v>
      </c>
      <c r="K1130" s="22" t="str">
        <v>Credit Card</v>
      </c>
      <c r="L1130" s="22">
        <v>131.047</v>
      </c>
    </row>
    <row r="1131" spans="1:12" x14ac:dyDescent="0.3">
      <c r="A1131" s="22" t="s">
        <v>2940</v>
      </c>
      <c r="B1131" s="34" cm="1">
        <f t="array" ref="B1131:C1131">_xlfn.XLOOKUP(A1131,Sales_Fact!A1131:A3115,Sales_Fact!B1131:C3115)</f>
        <v>45433</v>
      </c>
      <c r="C1131" s="22" t="str">
        <v>CUST1210</v>
      </c>
      <c r="D1131" s="22" t="str">
        <f>VLOOKUP('Combine Products &amp; Sales Facts'!C1131,'Customer Details'!A:B,2,0)</f>
        <v>Antonio Jones</v>
      </c>
      <c r="E1131" s="22" t="str">
        <f>VLOOKUP(C1131,Sales_Fact!C:D,2,0)</f>
        <v>PROD60</v>
      </c>
      <c r="F1131" s="22" t="str">
        <f>VLOOKUP(E1131,Product_Dim!A:C,3,0)</f>
        <v>Beauty</v>
      </c>
      <c r="G1131" s="22" t="str" cm="1">
        <f t="array" ref="G1131:L1131">_xlfn.XLOOKUP(C1131,Sales_Fact!C1131:C3115,Sales_Fact!E1131:J3115)</f>
        <v>STORE1</v>
      </c>
      <c r="H1131" s="22">
        <v>3</v>
      </c>
      <c r="I1131" s="22">
        <v>803.31</v>
      </c>
      <c r="J1131" s="22">
        <v>0.1</v>
      </c>
      <c r="K1131" s="22" t="str">
        <v>PayPal</v>
      </c>
      <c r="L1131" s="22">
        <v>2168.9369999999999</v>
      </c>
    </row>
    <row r="1132" spans="1:12" x14ac:dyDescent="0.3">
      <c r="A1132" s="22" t="s">
        <v>2941</v>
      </c>
      <c r="B1132" s="34" cm="1">
        <f t="array" ref="B1132:C1132">_xlfn.XLOOKUP(A1132,Sales_Fact!A1132:A3116,Sales_Fact!B1132:C3116)</f>
        <v>45821</v>
      </c>
      <c r="C1132" s="22" t="str">
        <v>CUST1432</v>
      </c>
      <c r="D1132" s="22" t="str">
        <f>VLOOKUP('Combine Products &amp; Sales Facts'!C1132,'Customer Details'!A:B,2,0)</f>
        <v>Summer Weiss</v>
      </c>
      <c r="E1132" s="22" t="str">
        <f>VLOOKUP(C1132,Sales_Fact!C:D,2,0)</f>
        <v>PROD16</v>
      </c>
      <c r="F1132" s="22" t="str">
        <f>VLOOKUP(E1132,Product_Dim!A:C,3,0)</f>
        <v>Beauty</v>
      </c>
      <c r="G1132" s="22" t="str" cm="1">
        <f t="array" ref="G1132:L1132">_xlfn.XLOOKUP(C1132,Sales_Fact!C1132:C3116,Sales_Fact!E1132:J3116)</f>
        <v>STORE13</v>
      </c>
      <c r="H1132" s="22">
        <v>4</v>
      </c>
      <c r="I1132" s="22">
        <v>254.71</v>
      </c>
      <c r="J1132" s="22">
        <v>0.2</v>
      </c>
      <c r="K1132" s="22" t="str">
        <v>COD</v>
      </c>
      <c r="L1132" s="22">
        <v>815.07200000000012</v>
      </c>
    </row>
    <row r="1133" spans="1:12" x14ac:dyDescent="0.3">
      <c r="A1133" s="22" t="s">
        <v>2942</v>
      </c>
      <c r="B1133" s="34" cm="1">
        <f t="array" ref="B1133:C1133">_xlfn.XLOOKUP(A1133,Sales_Fact!A1133:A3117,Sales_Fact!B1133:C3117)</f>
        <v>45508</v>
      </c>
      <c r="C1133" s="22" t="str">
        <v>CUST1051</v>
      </c>
      <c r="D1133" s="22" t="str">
        <f>VLOOKUP('Combine Products &amp; Sales Facts'!C1133,'Customer Details'!A:B,2,0)</f>
        <v>Sarah Rodgers</v>
      </c>
      <c r="E1133" s="22" t="str">
        <f>VLOOKUP(C1133,Sales_Fact!C:D,2,0)</f>
        <v>PROD21</v>
      </c>
      <c r="F1133" s="22" t="str">
        <f>VLOOKUP(E1133,Product_Dim!A:C,3,0)</f>
        <v>Home</v>
      </c>
      <c r="G1133" s="22" t="str" cm="1">
        <f t="array" ref="G1133:L1133">_xlfn.XLOOKUP(C1133,Sales_Fact!C1133:C3117,Sales_Fact!E1133:J3117)</f>
        <v>STORE4</v>
      </c>
      <c r="H1133" s="22">
        <v>4</v>
      </c>
      <c r="I1133" s="22">
        <v>594.89</v>
      </c>
      <c r="J1133" s="22">
        <v>0.3</v>
      </c>
      <c r="K1133" s="22" t="str">
        <v>PayPal</v>
      </c>
      <c r="L1133" s="22">
        <v>1665.692</v>
      </c>
    </row>
    <row r="1134" spans="1:12" x14ac:dyDescent="0.3">
      <c r="A1134" s="22" t="s">
        <v>2943</v>
      </c>
      <c r="B1134" s="34" cm="1">
        <f t="array" ref="B1134:C1134">_xlfn.XLOOKUP(A1134,Sales_Fact!A1134:A3118,Sales_Fact!B1134:C3118)</f>
        <v>45854</v>
      </c>
      <c r="C1134" s="22" t="str">
        <v>CUST1219</v>
      </c>
      <c r="D1134" s="22" t="str">
        <f>VLOOKUP('Combine Products &amp; Sales Facts'!C1134,'Customer Details'!A:B,2,0)</f>
        <v>Jordan Wells</v>
      </c>
      <c r="E1134" s="22" t="str">
        <f>VLOOKUP(C1134,Sales_Fact!C:D,2,0)</f>
        <v>PROD37</v>
      </c>
      <c r="F1134" s="22" t="str">
        <f>VLOOKUP(E1134,Product_Dim!A:C,3,0)</f>
        <v>Clothing</v>
      </c>
      <c r="G1134" s="22" t="str" cm="1">
        <f t="array" ref="G1134:L1134">_xlfn.XLOOKUP(C1134,Sales_Fact!C1134:C3118,Sales_Fact!E1134:J3118)</f>
        <v>STORE0</v>
      </c>
      <c r="H1134" s="22">
        <v>2</v>
      </c>
      <c r="I1134" s="22">
        <v>844.31</v>
      </c>
      <c r="J1134" s="22">
        <v>7.0000000000000007E-2</v>
      </c>
      <c r="K1134" s="22" t="str">
        <v>PayPal</v>
      </c>
      <c r="L1134" s="22">
        <v>1570.4166</v>
      </c>
    </row>
    <row r="1135" spans="1:12" x14ac:dyDescent="0.3">
      <c r="A1135" s="22" t="s">
        <v>2944</v>
      </c>
      <c r="B1135" s="34" cm="1">
        <f t="array" ref="B1135:C1135">_xlfn.XLOOKUP(A1135,Sales_Fact!A1135:A3119,Sales_Fact!B1135:C3119)</f>
        <v>45569</v>
      </c>
      <c r="C1135" s="22" t="str">
        <v>CUST1134</v>
      </c>
      <c r="D1135" s="22" t="str">
        <f>VLOOKUP('Combine Products &amp; Sales Facts'!C1135,'Customer Details'!A:B,2,0)</f>
        <v>Morgan Bowen</v>
      </c>
      <c r="E1135" s="22" t="str">
        <f>VLOOKUP(C1135,Sales_Fact!C:D,2,0)</f>
        <v>PROD70</v>
      </c>
      <c r="F1135" s="22" t="str">
        <f>VLOOKUP(E1135,Product_Dim!A:C,3,0)</f>
        <v>Home</v>
      </c>
      <c r="G1135" s="22" t="str" cm="1">
        <f t="array" ref="G1135:L1135">_xlfn.XLOOKUP(C1135,Sales_Fact!C1135:C3119,Sales_Fact!E1135:J3119)</f>
        <v>STORE6</v>
      </c>
      <c r="H1135" s="22">
        <v>4</v>
      </c>
      <c r="I1135" s="22">
        <v>101.33</v>
      </c>
      <c r="J1135" s="22">
        <v>0</v>
      </c>
      <c r="K1135" s="22" t="str">
        <v>Credit Card</v>
      </c>
      <c r="L1135" s="22">
        <v>405.32</v>
      </c>
    </row>
    <row r="1136" spans="1:12" x14ac:dyDescent="0.3">
      <c r="A1136" s="22" t="s">
        <v>2945</v>
      </c>
      <c r="B1136" s="34" cm="1">
        <f t="array" ref="B1136:C1136">_xlfn.XLOOKUP(A1136,Sales_Fact!A1136:A3120,Sales_Fact!B1136:C3120)</f>
        <v>45824</v>
      </c>
      <c r="C1136" s="22" t="str">
        <v>CUST1131</v>
      </c>
      <c r="D1136" s="22" t="str">
        <f>VLOOKUP('Combine Products &amp; Sales Facts'!C1136,'Customer Details'!A:B,2,0)</f>
        <v>Joseph Richards</v>
      </c>
      <c r="E1136" s="22" t="str">
        <f>VLOOKUP(C1136,Sales_Fact!C:D,2,0)</f>
        <v>PROD56</v>
      </c>
      <c r="F1136" s="22" t="str">
        <f>VLOOKUP(E1136,Product_Dim!A:C,3,0)</f>
        <v>Home</v>
      </c>
      <c r="G1136" s="22" t="str" cm="1">
        <f t="array" ref="G1136:L1136">_xlfn.XLOOKUP(C1136,Sales_Fact!C1136:C3120,Sales_Fact!E1136:J3120)</f>
        <v>STORE8</v>
      </c>
      <c r="H1136" s="22">
        <v>3</v>
      </c>
      <c r="I1136" s="22">
        <v>922.56</v>
      </c>
      <c r="J1136" s="22">
        <v>0.18</v>
      </c>
      <c r="K1136" s="22" t="str">
        <v>PayPal</v>
      </c>
      <c r="L1136" s="22">
        <v>2269.4976000000001</v>
      </c>
    </row>
    <row r="1137" spans="1:12" x14ac:dyDescent="0.3">
      <c r="A1137" s="22" t="s">
        <v>2946</v>
      </c>
      <c r="B1137" s="34" cm="1">
        <f t="array" ref="B1137:C1137">_xlfn.XLOOKUP(A1137,Sales_Fact!A1137:A3121,Sales_Fact!B1137:C3121)</f>
        <v>45352</v>
      </c>
      <c r="C1137" s="22" t="str">
        <v>CUST1432</v>
      </c>
      <c r="D1137" s="22" t="str">
        <f>VLOOKUP('Combine Products &amp; Sales Facts'!C1137,'Customer Details'!A:B,2,0)</f>
        <v>Summer Weiss</v>
      </c>
      <c r="E1137" s="22" t="str">
        <f>VLOOKUP(C1137,Sales_Fact!C:D,2,0)</f>
        <v>PROD16</v>
      </c>
      <c r="F1137" s="22" t="str">
        <f>VLOOKUP(E1137,Product_Dim!A:C,3,0)</f>
        <v>Beauty</v>
      </c>
      <c r="G1137" s="22" t="str" cm="1">
        <f t="array" ref="G1137:L1137">_xlfn.XLOOKUP(C1137,Sales_Fact!C1137:C3121,Sales_Fact!E1137:J3121)</f>
        <v>STORE14</v>
      </c>
      <c r="H1137" s="22">
        <v>4</v>
      </c>
      <c r="I1137" s="22">
        <v>867.19</v>
      </c>
      <c r="J1137" s="22">
        <v>7.0000000000000007E-2</v>
      </c>
      <c r="K1137" s="22" t="str">
        <v>COD</v>
      </c>
      <c r="L1137" s="22">
        <v>3225.9468000000002</v>
      </c>
    </row>
    <row r="1138" spans="1:12" x14ac:dyDescent="0.3">
      <c r="A1138" s="22" t="s">
        <v>2947</v>
      </c>
      <c r="B1138" s="34" cm="1">
        <f t="array" ref="B1138:C1138">_xlfn.XLOOKUP(A1138,Sales_Fact!A1138:A3122,Sales_Fact!B1138:C3122)</f>
        <v>45454</v>
      </c>
      <c r="C1138" s="22" t="str">
        <v>CUST1006</v>
      </c>
      <c r="D1138" s="22" t="str">
        <f>VLOOKUP('Combine Products &amp; Sales Facts'!C1138,'Customer Details'!A:B,2,0)</f>
        <v>Amber Jackson</v>
      </c>
      <c r="E1138" s="22" t="str">
        <f>VLOOKUP(C1138,Sales_Fact!C:D,2,0)</f>
        <v>PROD93</v>
      </c>
      <c r="F1138" s="22" t="str">
        <f>VLOOKUP(E1138,Product_Dim!A:C,3,0)</f>
        <v>Electronics</v>
      </c>
      <c r="G1138" s="22" t="str" cm="1">
        <f t="array" ref="G1138:L1138">_xlfn.XLOOKUP(C1138,Sales_Fact!C1138:C3122,Sales_Fact!E1138:J3122)</f>
        <v>STORE17</v>
      </c>
      <c r="H1138" s="22">
        <v>3</v>
      </c>
      <c r="I1138" s="22">
        <v>816.87</v>
      </c>
      <c r="J1138" s="22">
        <v>0.14000000000000001</v>
      </c>
      <c r="K1138" s="22" t="str">
        <v>PayPal</v>
      </c>
      <c r="L1138" s="22">
        <v>2107.5246000000002</v>
      </c>
    </row>
    <row r="1139" spans="1:12" x14ac:dyDescent="0.3">
      <c r="A1139" s="22" t="s">
        <v>2948</v>
      </c>
      <c r="B1139" s="34" cm="1">
        <f t="array" ref="B1139:C1139">_xlfn.XLOOKUP(A1139,Sales_Fact!A1139:A3123,Sales_Fact!B1139:C3123)</f>
        <v>45924</v>
      </c>
      <c r="C1139" s="22" t="str">
        <v>CUST1480</v>
      </c>
      <c r="D1139" s="22" t="str">
        <f>VLOOKUP('Combine Products &amp; Sales Facts'!C1139,'Customer Details'!A:B,2,0)</f>
        <v>Jordan Medina</v>
      </c>
      <c r="E1139" s="22" t="str">
        <f>VLOOKUP(C1139,Sales_Fact!C:D,2,0)</f>
        <v>PROD65</v>
      </c>
      <c r="F1139" s="22" t="str">
        <f>VLOOKUP(E1139,Product_Dim!A:C,3,0)</f>
        <v>Sports</v>
      </c>
      <c r="G1139" s="22" t="str" cm="1">
        <f t="array" ref="G1139:L1139">_xlfn.XLOOKUP(C1139,Sales_Fact!C1139:C3123,Sales_Fact!E1139:J3123)</f>
        <v>STORE3</v>
      </c>
      <c r="H1139" s="22">
        <v>3</v>
      </c>
      <c r="I1139" s="22">
        <v>258.06</v>
      </c>
      <c r="J1139" s="22">
        <v>0</v>
      </c>
      <c r="K1139" s="22" t="str">
        <v>PayPal</v>
      </c>
      <c r="L1139" s="22">
        <v>774.18000000000006</v>
      </c>
    </row>
    <row r="1140" spans="1:12" x14ac:dyDescent="0.3">
      <c r="A1140" s="22" t="s">
        <v>2949</v>
      </c>
      <c r="B1140" s="34" cm="1">
        <f t="array" ref="B1140:C1140">_xlfn.XLOOKUP(A1140,Sales_Fact!A1140:A3124,Sales_Fact!B1140:C3124)</f>
        <v>45694</v>
      </c>
      <c r="C1140" s="22" t="str">
        <v>CUST1312</v>
      </c>
      <c r="D1140" s="22" t="str">
        <f>VLOOKUP('Combine Products &amp; Sales Facts'!C1140,'Customer Details'!A:B,2,0)</f>
        <v>Jason Mullins</v>
      </c>
      <c r="E1140" s="22" t="str">
        <f>VLOOKUP(C1140,Sales_Fact!C:D,2,0)</f>
        <v>PROD74</v>
      </c>
      <c r="F1140" s="22" t="str">
        <f>VLOOKUP(E1140,Product_Dim!A:C,3,0)</f>
        <v>Electronics</v>
      </c>
      <c r="G1140" s="22" t="str" cm="1">
        <f t="array" ref="G1140:L1140">_xlfn.XLOOKUP(C1140,Sales_Fact!C1140:C3124,Sales_Fact!E1140:J3124)</f>
        <v>STORE14</v>
      </c>
      <c r="H1140" s="22">
        <v>2</v>
      </c>
      <c r="I1140" s="22">
        <v>574.58000000000004</v>
      </c>
      <c r="J1140" s="22">
        <v>0.06</v>
      </c>
      <c r="K1140" s="22" t="str">
        <v>Credit Card</v>
      </c>
      <c r="L1140" s="22">
        <v>1080.2103999999999</v>
      </c>
    </row>
    <row r="1141" spans="1:12" x14ac:dyDescent="0.3">
      <c r="A1141" s="22" t="s">
        <v>2950</v>
      </c>
      <c r="B1141" s="34" cm="1">
        <f t="array" ref="B1141:C1141">_xlfn.XLOOKUP(A1141,Sales_Fact!A1141:A3125,Sales_Fact!B1141:C3125)</f>
        <v>45587</v>
      </c>
      <c r="C1141" s="22" t="str">
        <v>CUST1022</v>
      </c>
      <c r="D1141" s="22" t="str">
        <f>VLOOKUP('Combine Products &amp; Sales Facts'!C1141,'Customer Details'!A:B,2,0)</f>
        <v>Paul Fox</v>
      </c>
      <c r="E1141" s="22" t="str">
        <f>VLOOKUP(C1141,Sales_Fact!C:D,2,0)</f>
        <v>PROD13</v>
      </c>
      <c r="F1141" s="22" t="str">
        <f>VLOOKUP(E1141,Product_Dim!A:C,3,0)</f>
        <v>Electronics</v>
      </c>
      <c r="G1141" s="22" t="str" cm="1">
        <f t="array" ref="G1141:L1141">_xlfn.XLOOKUP(C1141,Sales_Fact!C1141:C3125,Sales_Fact!E1141:J3125)</f>
        <v>STORE6</v>
      </c>
      <c r="H1141" s="22">
        <v>2</v>
      </c>
      <c r="I1141" s="22">
        <v>472.18</v>
      </c>
      <c r="J1141" s="22">
        <v>0.27</v>
      </c>
      <c r="K1141" s="22" t="str">
        <v>PayPal</v>
      </c>
      <c r="L1141" s="22">
        <v>689.38279999999997</v>
      </c>
    </row>
    <row r="1142" spans="1:12" x14ac:dyDescent="0.3">
      <c r="A1142" s="22" t="s">
        <v>2951</v>
      </c>
      <c r="B1142" s="34" cm="1">
        <f t="array" ref="B1142:C1142">_xlfn.XLOOKUP(A1142,Sales_Fact!A1142:A3126,Sales_Fact!B1142:C3126)</f>
        <v>45556</v>
      </c>
      <c r="C1142" s="22" t="str">
        <v>CUST1340</v>
      </c>
      <c r="D1142" s="22" t="str">
        <f>VLOOKUP('Combine Products &amp; Sales Facts'!C1142,'Customer Details'!A:B,2,0)</f>
        <v>Eric Davis</v>
      </c>
      <c r="E1142" s="22" t="str">
        <f>VLOOKUP(C1142,Sales_Fact!C:D,2,0)</f>
        <v>PROD41</v>
      </c>
      <c r="F1142" s="22" t="str">
        <f>VLOOKUP(E1142,Product_Dim!A:C,3,0)</f>
        <v>Sports</v>
      </c>
      <c r="G1142" s="22" t="str" cm="1">
        <f t="array" ref="G1142:L1142">_xlfn.XLOOKUP(C1142,Sales_Fact!C1142:C3126,Sales_Fact!E1142:J3126)</f>
        <v>STORE5</v>
      </c>
      <c r="H1142" s="22">
        <v>2</v>
      </c>
      <c r="I1142" s="22">
        <v>20.47</v>
      </c>
      <c r="J1142" s="22">
        <v>0.12</v>
      </c>
      <c r="K1142" s="22" t="str">
        <v>COD</v>
      </c>
      <c r="L1142" s="22">
        <v>36.027200000000001</v>
      </c>
    </row>
    <row r="1143" spans="1:12" x14ac:dyDescent="0.3">
      <c r="A1143" s="22" t="s">
        <v>2952</v>
      </c>
      <c r="B1143" s="34" cm="1">
        <f t="array" ref="B1143:C1143">_xlfn.XLOOKUP(A1143,Sales_Fact!A1143:A3127,Sales_Fact!B1143:C3127)</f>
        <v>45923</v>
      </c>
      <c r="C1143" s="22" t="str">
        <v>CUST1023</v>
      </c>
      <c r="D1143" s="22" t="str">
        <f>VLOOKUP('Combine Products &amp; Sales Facts'!C1143,'Customer Details'!A:B,2,0)</f>
        <v>Jonathan Steele</v>
      </c>
      <c r="E1143" s="22" t="str">
        <f>VLOOKUP(C1143,Sales_Fact!C:D,2,0)</f>
        <v>PROD68</v>
      </c>
      <c r="F1143" s="22" t="str">
        <f>VLOOKUP(E1143,Product_Dim!A:C,3,0)</f>
        <v>Home</v>
      </c>
      <c r="G1143" s="22" t="str" cm="1">
        <f t="array" ref="G1143:L1143">_xlfn.XLOOKUP(C1143,Sales_Fact!C1143:C3127,Sales_Fact!E1143:J3127)</f>
        <v>STORE7</v>
      </c>
      <c r="H1143" s="22">
        <v>3</v>
      </c>
      <c r="I1143" s="22">
        <v>235.41</v>
      </c>
      <c r="J1143" s="22">
        <v>0.15</v>
      </c>
      <c r="K1143" s="22" t="str">
        <v>PayPal</v>
      </c>
      <c r="L1143" s="22">
        <v>600.29549999999995</v>
      </c>
    </row>
    <row r="1144" spans="1:12" x14ac:dyDescent="0.3">
      <c r="A1144" s="22" t="s">
        <v>2953</v>
      </c>
      <c r="B1144" s="34" cm="1">
        <f t="array" ref="B1144:C1144">_xlfn.XLOOKUP(A1144,Sales_Fact!A1144:A3128,Sales_Fact!B1144:C3128)</f>
        <v>45811</v>
      </c>
      <c r="C1144" s="22" t="str">
        <v>CUST1230</v>
      </c>
      <c r="D1144" s="22" t="str">
        <f>VLOOKUP('Combine Products &amp; Sales Facts'!C1144,'Customer Details'!A:B,2,0)</f>
        <v>Timothy Sanders</v>
      </c>
      <c r="E1144" s="22" t="str">
        <f>VLOOKUP(C1144,Sales_Fact!C:D,2,0)</f>
        <v>PROD68</v>
      </c>
      <c r="F1144" s="22" t="str">
        <f>VLOOKUP(E1144,Product_Dim!A:C,3,0)</f>
        <v>Home</v>
      </c>
      <c r="G1144" s="22" t="str" cm="1">
        <f t="array" ref="G1144:L1144">_xlfn.XLOOKUP(C1144,Sales_Fact!C1144:C3128,Sales_Fact!E1144:J3128)</f>
        <v>STORE7</v>
      </c>
      <c r="H1144" s="22">
        <v>3</v>
      </c>
      <c r="I1144" s="22">
        <v>744.9</v>
      </c>
      <c r="J1144" s="22">
        <v>0.27</v>
      </c>
      <c r="K1144" s="22" t="str">
        <v>PayPal</v>
      </c>
      <c r="L1144" s="22">
        <v>1631.3309999999999</v>
      </c>
    </row>
    <row r="1145" spans="1:12" x14ac:dyDescent="0.3">
      <c r="A1145" s="22" t="s">
        <v>2954</v>
      </c>
      <c r="B1145" s="34" cm="1">
        <f t="array" ref="B1145:C1145">_xlfn.XLOOKUP(A1145,Sales_Fact!A1145:A3129,Sales_Fact!B1145:C3129)</f>
        <v>45559</v>
      </c>
      <c r="C1145" s="22" t="str">
        <v>CUST1047</v>
      </c>
      <c r="D1145" s="22" t="str">
        <f>VLOOKUP('Combine Products &amp; Sales Facts'!C1145,'Customer Details'!A:B,2,0)</f>
        <v>Gina Knight</v>
      </c>
      <c r="E1145" s="22" t="str">
        <f>VLOOKUP(C1145,Sales_Fact!C:D,2,0)</f>
        <v>PROD64</v>
      </c>
      <c r="F1145" s="22" t="str">
        <f>VLOOKUP(E1145,Product_Dim!A:C,3,0)</f>
        <v>Beauty</v>
      </c>
      <c r="G1145" s="22" t="str" cm="1">
        <f t="array" ref="G1145:L1145">_xlfn.XLOOKUP(C1145,Sales_Fact!C1145:C3129,Sales_Fact!E1145:J3129)</f>
        <v>STORE3</v>
      </c>
      <c r="H1145" s="22">
        <v>2</v>
      </c>
      <c r="I1145" s="22">
        <v>382.2</v>
      </c>
      <c r="J1145" s="22">
        <v>0.15</v>
      </c>
      <c r="K1145" s="22" t="str">
        <v>Credit Card</v>
      </c>
      <c r="L1145" s="22">
        <v>649.74</v>
      </c>
    </row>
    <row r="1146" spans="1:12" x14ac:dyDescent="0.3">
      <c r="A1146" s="22" t="s">
        <v>2955</v>
      </c>
      <c r="B1146" s="34" cm="1">
        <f t="array" ref="B1146:C1146">_xlfn.XLOOKUP(A1146,Sales_Fact!A1146:A3130,Sales_Fact!B1146:C3130)</f>
        <v>45881</v>
      </c>
      <c r="C1146" s="22" t="str">
        <v>CUST1346</v>
      </c>
      <c r="D1146" s="22" t="str">
        <f>VLOOKUP('Combine Products &amp; Sales Facts'!C1146,'Customer Details'!A:B,2,0)</f>
        <v>John Jordan</v>
      </c>
      <c r="E1146" s="22" t="str">
        <f>VLOOKUP(C1146,Sales_Fact!C:D,2,0)</f>
        <v>PROD76</v>
      </c>
      <c r="F1146" s="22" t="str">
        <f>VLOOKUP(E1146,Product_Dim!A:C,3,0)</f>
        <v>Electronics</v>
      </c>
      <c r="G1146" s="22" t="str" cm="1">
        <f t="array" ref="G1146:L1146">_xlfn.XLOOKUP(C1146,Sales_Fact!C1146:C3130,Sales_Fact!E1146:J3130)</f>
        <v>STORE16</v>
      </c>
      <c r="H1146" s="22">
        <v>1</v>
      </c>
      <c r="I1146" s="22">
        <v>269.25</v>
      </c>
      <c r="J1146" s="22">
        <v>0.14000000000000001</v>
      </c>
      <c r="K1146" s="22" t="str">
        <v>PayPal</v>
      </c>
      <c r="L1146" s="22">
        <v>231.55500000000001</v>
      </c>
    </row>
    <row r="1147" spans="1:12" x14ac:dyDescent="0.3">
      <c r="A1147" s="22" t="s">
        <v>2956</v>
      </c>
      <c r="B1147" s="34" cm="1">
        <f t="array" ref="B1147:C1147">_xlfn.XLOOKUP(A1147,Sales_Fact!A1147:A3131,Sales_Fact!B1147:C3131)</f>
        <v>45367</v>
      </c>
      <c r="C1147" s="22" t="str">
        <v>CUST1365</v>
      </c>
      <c r="D1147" s="22" t="str">
        <f>VLOOKUP('Combine Products &amp; Sales Facts'!C1147,'Customer Details'!A:B,2,0)</f>
        <v>Brandon Mcbride</v>
      </c>
      <c r="E1147" s="22" t="str">
        <f>VLOOKUP(C1147,Sales_Fact!C:D,2,0)</f>
        <v>PROD45</v>
      </c>
      <c r="F1147" s="22" t="str">
        <f>VLOOKUP(E1147,Product_Dim!A:C,3,0)</f>
        <v>Sports</v>
      </c>
      <c r="G1147" s="22" t="str" cm="1">
        <f t="array" ref="G1147:L1147">_xlfn.XLOOKUP(C1147,Sales_Fact!C1147:C3131,Sales_Fact!E1147:J3131)</f>
        <v>STORE11</v>
      </c>
      <c r="H1147" s="22">
        <v>2</v>
      </c>
      <c r="I1147" s="22">
        <v>723.75</v>
      </c>
      <c r="J1147" s="22">
        <v>0.03</v>
      </c>
      <c r="K1147" s="22" t="str">
        <v>PayPal</v>
      </c>
      <c r="L1147" s="22">
        <v>1404.075</v>
      </c>
    </row>
    <row r="1148" spans="1:12" x14ac:dyDescent="0.3">
      <c r="A1148" s="22" t="s">
        <v>2957</v>
      </c>
      <c r="B1148" s="34" cm="1">
        <f t="array" ref="B1148:C1148">_xlfn.XLOOKUP(A1148,Sales_Fact!A1148:A3132,Sales_Fact!B1148:C3132)</f>
        <v>45832</v>
      </c>
      <c r="C1148" s="22" t="str">
        <v>CUST1281</v>
      </c>
      <c r="D1148" s="22" t="str">
        <f>VLOOKUP('Combine Products &amp; Sales Facts'!C1148,'Customer Details'!A:B,2,0)</f>
        <v>Brittany Watson</v>
      </c>
      <c r="E1148" s="22" t="str">
        <f>VLOOKUP(C1148,Sales_Fact!C:D,2,0)</f>
        <v>PROD55</v>
      </c>
      <c r="F1148" s="22" t="str">
        <f>VLOOKUP(E1148,Product_Dim!A:C,3,0)</f>
        <v>Home</v>
      </c>
      <c r="G1148" s="22" t="str" cm="1">
        <f t="array" ref="G1148:L1148">_xlfn.XLOOKUP(C1148,Sales_Fact!C1148:C3132,Sales_Fact!E1148:J3132)</f>
        <v>STORE19</v>
      </c>
      <c r="H1148" s="22">
        <v>4</v>
      </c>
      <c r="I1148" s="22">
        <v>58.92</v>
      </c>
      <c r="J1148" s="22">
        <v>0.18</v>
      </c>
      <c r="K1148" s="22" t="str">
        <v>Credit Card</v>
      </c>
      <c r="L1148" s="22">
        <v>193.2576</v>
      </c>
    </row>
    <row r="1149" spans="1:12" x14ac:dyDescent="0.3">
      <c r="A1149" s="22" t="s">
        <v>2958</v>
      </c>
      <c r="B1149" s="34" cm="1">
        <f t="array" ref="B1149:C1149">_xlfn.XLOOKUP(A1149,Sales_Fact!A1149:A3133,Sales_Fact!B1149:C3133)</f>
        <v>45438</v>
      </c>
      <c r="C1149" s="22" t="str">
        <v>CUST1188</v>
      </c>
      <c r="D1149" s="22" t="str">
        <f>VLOOKUP('Combine Products &amp; Sales Facts'!C1149,'Customer Details'!A:B,2,0)</f>
        <v>Kimberly Brooks</v>
      </c>
      <c r="E1149" s="22" t="str">
        <f>VLOOKUP(C1149,Sales_Fact!C:D,2,0)</f>
        <v>PROD30</v>
      </c>
      <c r="F1149" s="22" t="str">
        <f>VLOOKUP(E1149,Product_Dim!A:C,3,0)</f>
        <v>Home</v>
      </c>
      <c r="G1149" s="22" t="str" cm="1">
        <f t="array" ref="G1149:L1149">_xlfn.XLOOKUP(C1149,Sales_Fact!C1149:C3133,Sales_Fact!E1149:J3133)</f>
        <v>STORE10</v>
      </c>
      <c r="H1149" s="22">
        <v>2</v>
      </c>
      <c r="I1149" s="22">
        <v>913.08</v>
      </c>
      <c r="J1149" s="22">
        <v>0.26</v>
      </c>
      <c r="K1149" s="22" t="str">
        <v>Credit Card</v>
      </c>
      <c r="L1149" s="22">
        <v>1351.3584000000001</v>
      </c>
    </row>
    <row r="1150" spans="1:12" x14ac:dyDescent="0.3">
      <c r="A1150" s="22" t="s">
        <v>2959</v>
      </c>
      <c r="B1150" s="34" cm="1">
        <f t="array" ref="B1150:C1150">_xlfn.XLOOKUP(A1150,Sales_Fact!A1150:A3134,Sales_Fact!B1150:C3134)</f>
        <v>45691</v>
      </c>
      <c r="C1150" s="22" t="str">
        <v>CUST1242</v>
      </c>
      <c r="D1150" s="22" t="str">
        <f>VLOOKUP('Combine Products &amp; Sales Facts'!C1150,'Customer Details'!A:B,2,0)</f>
        <v>William Jackson</v>
      </c>
      <c r="E1150" s="22" t="str">
        <f>VLOOKUP(C1150,Sales_Fact!C:D,2,0)</f>
        <v>PROD81</v>
      </c>
      <c r="F1150" s="22" t="str">
        <f>VLOOKUP(E1150,Product_Dim!A:C,3,0)</f>
        <v>Sports</v>
      </c>
      <c r="G1150" s="22" t="str" cm="1">
        <f t="array" ref="G1150:L1150">_xlfn.XLOOKUP(C1150,Sales_Fact!C1150:C3134,Sales_Fact!E1150:J3134)</f>
        <v>STORE1</v>
      </c>
      <c r="H1150" s="22">
        <v>1</v>
      </c>
      <c r="I1150" s="22">
        <v>791.83</v>
      </c>
      <c r="J1150" s="22">
        <v>0.28000000000000003</v>
      </c>
      <c r="K1150" s="22" t="str">
        <v>PayPal</v>
      </c>
      <c r="L1150" s="22">
        <v>570.11760000000004</v>
      </c>
    </row>
    <row r="1151" spans="1:12" x14ac:dyDescent="0.3">
      <c r="A1151" s="22" t="s">
        <v>2960</v>
      </c>
      <c r="B1151" s="34" cm="1">
        <f t="array" ref="B1151:C1151">_xlfn.XLOOKUP(A1151,Sales_Fact!A1151:A3135,Sales_Fact!B1151:C3135)</f>
        <v>45506</v>
      </c>
      <c r="C1151" s="22" t="str">
        <v>CUST1471</v>
      </c>
      <c r="D1151" s="22" t="str">
        <f>VLOOKUP('Combine Products &amp; Sales Facts'!C1151,'Customer Details'!A:B,2,0)</f>
        <v>Debra Mccullough</v>
      </c>
      <c r="E1151" s="22" t="str">
        <f>VLOOKUP(C1151,Sales_Fact!C:D,2,0)</f>
        <v>PROD17</v>
      </c>
      <c r="F1151" s="22" t="str">
        <f>VLOOKUP(E1151,Product_Dim!A:C,3,0)</f>
        <v>Sports</v>
      </c>
      <c r="G1151" s="22" t="str" cm="1">
        <f t="array" ref="G1151:L1151">_xlfn.XLOOKUP(C1151,Sales_Fact!C1151:C3135,Sales_Fact!E1151:J3135)</f>
        <v>STORE15</v>
      </c>
      <c r="H1151" s="22">
        <v>1</v>
      </c>
      <c r="I1151" s="22">
        <v>74.290000000000006</v>
      </c>
      <c r="J1151" s="22">
        <v>0.3</v>
      </c>
      <c r="K1151" s="22" t="str">
        <v>COD</v>
      </c>
      <c r="L1151" s="22">
        <v>52.003</v>
      </c>
    </row>
    <row r="1152" spans="1:12" x14ac:dyDescent="0.3">
      <c r="A1152" s="22" t="s">
        <v>2961</v>
      </c>
      <c r="B1152" s="34" cm="1">
        <f t="array" ref="B1152:C1152">_xlfn.XLOOKUP(A1152,Sales_Fact!A1152:A3136,Sales_Fact!B1152:C3136)</f>
        <v>45251</v>
      </c>
      <c r="C1152" s="22" t="str">
        <v>CUST1243</v>
      </c>
      <c r="D1152" s="22" t="str">
        <f>VLOOKUP('Combine Products &amp; Sales Facts'!C1152,'Customer Details'!A:B,2,0)</f>
        <v>Brian Hammond</v>
      </c>
      <c r="E1152" s="22" t="str">
        <f>VLOOKUP(C1152,Sales_Fact!C:D,2,0)</f>
        <v>PROD69</v>
      </c>
      <c r="F1152" s="22" t="str">
        <f>VLOOKUP(E1152,Product_Dim!A:C,3,0)</f>
        <v>Clothing</v>
      </c>
      <c r="G1152" s="22" t="str" cm="1">
        <f t="array" ref="G1152:L1152">_xlfn.XLOOKUP(C1152,Sales_Fact!C1152:C3136,Sales_Fact!E1152:J3136)</f>
        <v>STORE0</v>
      </c>
      <c r="H1152" s="22">
        <v>2</v>
      </c>
      <c r="I1152" s="22">
        <v>961.68</v>
      </c>
      <c r="J1152" s="22">
        <v>0.27</v>
      </c>
      <c r="K1152" s="22" t="str">
        <v>PayPal</v>
      </c>
      <c r="L1152" s="22">
        <v>1404.0527999999999</v>
      </c>
    </row>
    <row r="1153" spans="1:12" x14ac:dyDescent="0.3">
      <c r="A1153" s="22" t="s">
        <v>2962</v>
      </c>
      <c r="B1153" s="34" cm="1">
        <f t="array" ref="B1153:C1153">_xlfn.XLOOKUP(A1153,Sales_Fact!A1153:A3137,Sales_Fact!B1153:C3137)</f>
        <v>45722</v>
      </c>
      <c r="C1153" s="22" t="str">
        <v>CUST1494</v>
      </c>
      <c r="D1153" s="22" t="str">
        <f>VLOOKUP('Combine Products &amp; Sales Facts'!C1153,'Customer Details'!A:B,2,0)</f>
        <v>Justin Lopez</v>
      </c>
      <c r="E1153" s="22" t="str">
        <f>VLOOKUP(C1153,Sales_Fact!C:D,2,0)</f>
        <v>PROD28</v>
      </c>
      <c r="F1153" s="22" t="str">
        <f>VLOOKUP(E1153,Product_Dim!A:C,3,0)</f>
        <v>Sports</v>
      </c>
      <c r="G1153" s="22" t="str" cm="1">
        <f t="array" ref="G1153:L1153">_xlfn.XLOOKUP(C1153,Sales_Fact!C1153:C3137,Sales_Fact!E1153:J3137)</f>
        <v>STORE14</v>
      </c>
      <c r="H1153" s="22">
        <v>1</v>
      </c>
      <c r="I1153" s="22">
        <v>90.72</v>
      </c>
      <c r="J1153" s="22">
        <v>0.1</v>
      </c>
      <c r="K1153" s="22" t="str">
        <v>PayPal</v>
      </c>
      <c r="L1153" s="22">
        <v>81.647999999999996</v>
      </c>
    </row>
    <row r="1154" spans="1:12" x14ac:dyDescent="0.3">
      <c r="A1154" s="22" t="s">
        <v>2963</v>
      </c>
      <c r="B1154" s="34" cm="1">
        <f t="array" ref="B1154:C1154">_xlfn.XLOOKUP(A1154,Sales_Fact!A1154:A3138,Sales_Fact!B1154:C3138)</f>
        <v>45689</v>
      </c>
      <c r="C1154" s="22" t="str">
        <v>CUST1060</v>
      </c>
      <c r="D1154" s="22" t="str">
        <f>VLOOKUP('Combine Products &amp; Sales Facts'!C1154,'Customer Details'!A:B,2,0)</f>
        <v>Dr. David Smith</v>
      </c>
      <c r="E1154" s="22" t="str">
        <f>VLOOKUP(C1154,Sales_Fact!C:D,2,0)</f>
        <v>PROD38</v>
      </c>
      <c r="F1154" s="22" t="str">
        <f>VLOOKUP(E1154,Product_Dim!A:C,3,0)</f>
        <v>Sports</v>
      </c>
      <c r="G1154" s="22" t="str" cm="1">
        <f t="array" ref="G1154:L1154">_xlfn.XLOOKUP(C1154,Sales_Fact!C1154:C3138,Sales_Fact!E1154:J3138)</f>
        <v>STORE7</v>
      </c>
      <c r="H1154" s="22">
        <v>1</v>
      </c>
      <c r="I1154" s="22">
        <v>458.69</v>
      </c>
      <c r="J1154" s="22">
        <v>0.16</v>
      </c>
      <c r="K1154" s="22" t="str">
        <v>PayPal</v>
      </c>
      <c r="L1154" s="22">
        <v>385.2996</v>
      </c>
    </row>
    <row r="1155" spans="1:12" x14ac:dyDescent="0.3">
      <c r="A1155" s="22" t="s">
        <v>2964</v>
      </c>
      <c r="B1155" s="34" cm="1">
        <f t="array" ref="B1155:C1155">_xlfn.XLOOKUP(A1155,Sales_Fact!A1155:A3139,Sales_Fact!B1155:C3139)</f>
        <v>45346</v>
      </c>
      <c r="C1155" s="22" t="str">
        <v>CUST1231</v>
      </c>
      <c r="D1155" s="22" t="str">
        <f>VLOOKUP('Combine Products &amp; Sales Facts'!C1155,'Customer Details'!A:B,2,0)</f>
        <v>Timothy Juarez</v>
      </c>
      <c r="E1155" s="22" t="str">
        <f>VLOOKUP(C1155,Sales_Fact!C:D,2,0)</f>
        <v>PROD31</v>
      </c>
      <c r="F1155" s="22" t="str">
        <f>VLOOKUP(E1155,Product_Dim!A:C,3,0)</f>
        <v>Sports</v>
      </c>
      <c r="G1155" s="22" t="str" cm="1">
        <f t="array" ref="G1155:L1155">_xlfn.XLOOKUP(C1155,Sales_Fact!C1155:C3139,Sales_Fact!E1155:J3139)</f>
        <v>STORE7</v>
      </c>
      <c r="H1155" s="22">
        <v>1</v>
      </c>
      <c r="I1155" s="22">
        <v>168.29</v>
      </c>
      <c r="J1155" s="22">
        <v>0.05</v>
      </c>
      <c r="K1155" s="22" t="str">
        <v>PayPal</v>
      </c>
      <c r="L1155" s="22">
        <v>159.87549999999999</v>
      </c>
    </row>
    <row r="1156" spans="1:12" x14ac:dyDescent="0.3">
      <c r="A1156" s="22" t="s">
        <v>2965</v>
      </c>
      <c r="B1156" s="34" cm="1">
        <f t="array" ref="B1156:C1156">_xlfn.XLOOKUP(A1156,Sales_Fact!A1156:A3140,Sales_Fact!B1156:C3140)</f>
        <v>45549</v>
      </c>
      <c r="C1156" s="22" t="str">
        <v>CUST1211</v>
      </c>
      <c r="D1156" s="22" t="str">
        <f>VLOOKUP('Combine Products &amp; Sales Facts'!C1156,'Customer Details'!A:B,2,0)</f>
        <v>Rodney Huffman</v>
      </c>
      <c r="E1156" s="22" t="str">
        <f>VLOOKUP(C1156,Sales_Fact!C:D,2,0)</f>
        <v>PROD85</v>
      </c>
      <c r="F1156" s="22" t="str">
        <f>VLOOKUP(E1156,Product_Dim!A:C,3,0)</f>
        <v>Clothing</v>
      </c>
      <c r="G1156" s="22" t="str" cm="1">
        <f t="array" ref="G1156:L1156">_xlfn.XLOOKUP(C1156,Sales_Fact!C1156:C3140,Sales_Fact!E1156:J3140)</f>
        <v>STORE17</v>
      </c>
      <c r="H1156" s="22">
        <v>1</v>
      </c>
      <c r="I1156" s="22">
        <v>391.77</v>
      </c>
      <c r="J1156" s="22">
        <v>0.1</v>
      </c>
      <c r="K1156" s="22" t="str">
        <v>PayPal</v>
      </c>
      <c r="L1156" s="22">
        <v>352.59300000000002</v>
      </c>
    </row>
    <row r="1157" spans="1:12" x14ac:dyDescent="0.3">
      <c r="A1157" s="22" t="s">
        <v>2966</v>
      </c>
      <c r="B1157" s="34" cm="1">
        <f t="array" ref="B1157:C1157">_xlfn.XLOOKUP(A1157,Sales_Fact!A1157:A3141,Sales_Fact!B1157:C3141)</f>
        <v>45900</v>
      </c>
      <c r="C1157" s="22" t="str">
        <v>CUST1343</v>
      </c>
      <c r="D1157" s="22" t="str">
        <f>VLOOKUP('Combine Products &amp; Sales Facts'!C1157,'Customer Details'!A:B,2,0)</f>
        <v>Ryan Moore</v>
      </c>
      <c r="E1157" s="22" t="str">
        <f>VLOOKUP(C1157,Sales_Fact!C:D,2,0)</f>
        <v>PROD17</v>
      </c>
      <c r="F1157" s="22" t="str">
        <f>VLOOKUP(E1157,Product_Dim!A:C,3,0)</f>
        <v>Sports</v>
      </c>
      <c r="G1157" s="22" t="str" cm="1">
        <f t="array" ref="G1157:L1157">_xlfn.XLOOKUP(C1157,Sales_Fact!C1157:C3141,Sales_Fact!E1157:J3141)</f>
        <v>STORE14</v>
      </c>
      <c r="H1157" s="22">
        <v>1</v>
      </c>
      <c r="I1157" s="22">
        <v>424.83</v>
      </c>
      <c r="J1157" s="22">
        <v>0.05</v>
      </c>
      <c r="K1157" s="22" t="str">
        <v>COD</v>
      </c>
      <c r="L1157" s="22">
        <v>403.58850000000001</v>
      </c>
    </row>
    <row r="1158" spans="1:12" x14ac:dyDescent="0.3">
      <c r="A1158" s="22" t="s">
        <v>2967</v>
      </c>
      <c r="B1158" s="34" cm="1">
        <f t="array" ref="B1158:C1158">_xlfn.XLOOKUP(A1158,Sales_Fact!A1158:A3142,Sales_Fact!B1158:C3142)</f>
        <v>45308</v>
      </c>
      <c r="C1158" s="22" t="str">
        <v>CUST1053</v>
      </c>
      <c r="D1158" s="22" t="str">
        <f>VLOOKUP('Combine Products &amp; Sales Facts'!C1158,'Customer Details'!A:B,2,0)</f>
        <v>Sharon Brown</v>
      </c>
      <c r="E1158" s="22" t="str">
        <f>VLOOKUP(C1158,Sales_Fact!C:D,2,0)</f>
        <v>PROD37</v>
      </c>
      <c r="F1158" s="22" t="str">
        <f>VLOOKUP(E1158,Product_Dim!A:C,3,0)</f>
        <v>Clothing</v>
      </c>
      <c r="G1158" s="22" t="str" cm="1">
        <f t="array" ref="G1158:L1158">_xlfn.XLOOKUP(C1158,Sales_Fact!C1158:C3142,Sales_Fact!E1158:J3142)</f>
        <v>STORE3</v>
      </c>
      <c r="H1158" s="22">
        <v>1</v>
      </c>
      <c r="I1158" s="22">
        <v>499.46</v>
      </c>
      <c r="J1158" s="22">
        <v>0.1</v>
      </c>
      <c r="K1158" s="22" t="str">
        <v>Credit Card</v>
      </c>
      <c r="L1158" s="22">
        <v>449.51400000000001</v>
      </c>
    </row>
    <row r="1159" spans="1:12" x14ac:dyDescent="0.3">
      <c r="A1159" s="22" t="s">
        <v>2968</v>
      </c>
      <c r="B1159" s="34" cm="1">
        <f t="array" ref="B1159:C1159">_xlfn.XLOOKUP(A1159,Sales_Fact!A1159:A3143,Sales_Fact!B1159:C3143)</f>
        <v>45336</v>
      </c>
      <c r="C1159" s="22" t="str">
        <v>CUST1019</v>
      </c>
      <c r="D1159" s="22" t="str">
        <f>VLOOKUP('Combine Products &amp; Sales Facts'!C1159,'Customer Details'!A:B,2,0)</f>
        <v>Michael Torres</v>
      </c>
      <c r="E1159" s="22" t="str">
        <f>VLOOKUP(C1159,Sales_Fact!C:D,2,0)</f>
        <v>PROD76</v>
      </c>
      <c r="F1159" s="22" t="str">
        <f>VLOOKUP(E1159,Product_Dim!A:C,3,0)</f>
        <v>Electronics</v>
      </c>
      <c r="G1159" s="22" t="str" cm="1">
        <f t="array" ref="G1159:L1159">_xlfn.XLOOKUP(C1159,Sales_Fact!C1159:C3143,Sales_Fact!E1159:J3143)</f>
        <v>STORE1</v>
      </c>
      <c r="H1159" s="22">
        <v>2</v>
      </c>
      <c r="I1159" s="22">
        <v>698.34</v>
      </c>
      <c r="J1159" s="22">
        <v>0.15</v>
      </c>
      <c r="K1159" s="22" t="str">
        <v>PayPal</v>
      </c>
      <c r="L1159" s="22">
        <v>1187.1780000000001</v>
      </c>
    </row>
    <row r="1160" spans="1:12" x14ac:dyDescent="0.3">
      <c r="A1160" s="22" t="s">
        <v>2969</v>
      </c>
      <c r="B1160" s="34" cm="1">
        <f t="array" ref="B1160:C1160">_xlfn.XLOOKUP(A1160,Sales_Fact!A1160:A3144,Sales_Fact!B1160:C3144)</f>
        <v>45213</v>
      </c>
      <c r="C1160" s="22" t="str">
        <v>CUST1283</v>
      </c>
      <c r="D1160" s="22" t="str">
        <f>VLOOKUP('Combine Products &amp; Sales Facts'!C1160,'Customer Details'!A:B,2,0)</f>
        <v>Bryan Garcia</v>
      </c>
      <c r="E1160" s="22" t="str">
        <f>VLOOKUP(C1160,Sales_Fact!C:D,2,0)</f>
        <v>PROD70</v>
      </c>
      <c r="F1160" s="22" t="str">
        <f>VLOOKUP(E1160,Product_Dim!A:C,3,0)</f>
        <v>Home</v>
      </c>
      <c r="G1160" s="22" t="str" cm="1">
        <f t="array" ref="G1160:L1160">_xlfn.XLOOKUP(C1160,Sales_Fact!C1160:C3144,Sales_Fact!E1160:J3144)</f>
        <v>STORE16</v>
      </c>
      <c r="H1160" s="22">
        <v>2</v>
      </c>
      <c r="I1160" s="22">
        <v>805.08</v>
      </c>
      <c r="J1160" s="22">
        <v>0.27</v>
      </c>
      <c r="K1160" s="22" t="str">
        <v>PayPal</v>
      </c>
      <c r="L1160" s="22">
        <v>1175.4168</v>
      </c>
    </row>
    <row r="1161" spans="1:12" x14ac:dyDescent="0.3">
      <c r="A1161" s="22" t="s">
        <v>2970</v>
      </c>
      <c r="B1161" s="34" cm="1">
        <f t="array" ref="B1161:C1161">_xlfn.XLOOKUP(A1161,Sales_Fact!A1161:A3145,Sales_Fact!B1161:C3145)</f>
        <v>45742</v>
      </c>
      <c r="C1161" s="22" t="str">
        <v>CUST1466</v>
      </c>
      <c r="D1161" s="22" t="str">
        <f>VLOOKUP('Combine Products &amp; Sales Facts'!C1161,'Customer Details'!A:B,2,0)</f>
        <v>Cynthia Parrish</v>
      </c>
      <c r="E1161" s="22" t="str">
        <f>VLOOKUP(C1161,Sales_Fact!C:D,2,0)</f>
        <v>PROD48</v>
      </c>
      <c r="F1161" s="22" t="str">
        <f>VLOOKUP(E1161,Product_Dim!A:C,3,0)</f>
        <v>Electronics</v>
      </c>
      <c r="G1161" s="22" t="str" cm="1">
        <f t="array" ref="G1161:L1161">_xlfn.XLOOKUP(C1161,Sales_Fact!C1161:C3145,Sales_Fact!E1161:J3145)</f>
        <v>STORE2</v>
      </c>
      <c r="H1161" s="22">
        <v>4</v>
      </c>
      <c r="I1161" s="22">
        <v>934.79</v>
      </c>
      <c r="J1161" s="22">
        <v>0.08</v>
      </c>
      <c r="K1161" s="22" t="str">
        <v>PayPal</v>
      </c>
      <c r="L1161" s="22">
        <v>3440.0272</v>
      </c>
    </row>
    <row r="1162" spans="1:12" x14ac:dyDescent="0.3">
      <c r="A1162" s="22" t="s">
        <v>2971</v>
      </c>
      <c r="B1162" s="34" cm="1">
        <f t="array" ref="B1162:C1162">_xlfn.XLOOKUP(A1162,Sales_Fact!A1162:A3146,Sales_Fact!B1162:C3146)</f>
        <v>45932</v>
      </c>
      <c r="C1162" s="22" t="str">
        <v>CUST1019</v>
      </c>
      <c r="D1162" s="22" t="str">
        <f>VLOOKUP('Combine Products &amp; Sales Facts'!C1162,'Customer Details'!A:B,2,0)</f>
        <v>Michael Torres</v>
      </c>
      <c r="E1162" s="22" t="str">
        <f>VLOOKUP(C1162,Sales_Fact!C:D,2,0)</f>
        <v>PROD76</v>
      </c>
      <c r="F1162" s="22" t="str">
        <f>VLOOKUP(E1162,Product_Dim!A:C,3,0)</f>
        <v>Electronics</v>
      </c>
      <c r="G1162" s="22" t="str" cm="1">
        <f t="array" ref="G1162:L1162">_xlfn.XLOOKUP(C1162,Sales_Fact!C1162:C3146,Sales_Fact!E1162:J3146)</f>
        <v>STORE1</v>
      </c>
      <c r="H1162" s="22">
        <v>2</v>
      </c>
      <c r="I1162" s="22">
        <v>424.54</v>
      </c>
      <c r="J1162" s="22">
        <v>0.24</v>
      </c>
      <c r="K1162" s="22" t="str">
        <v>PayPal</v>
      </c>
      <c r="L1162" s="22">
        <v>645.30080000000009</v>
      </c>
    </row>
    <row r="1163" spans="1:12" x14ac:dyDescent="0.3">
      <c r="A1163" s="22" t="s">
        <v>2972</v>
      </c>
      <c r="B1163" s="34" cm="1">
        <f t="array" ref="B1163:C1163">_xlfn.XLOOKUP(A1163,Sales_Fact!A1163:A3147,Sales_Fact!B1163:C3147)</f>
        <v>45462</v>
      </c>
      <c r="C1163" s="22" t="str">
        <v>CUST1327</v>
      </c>
      <c r="D1163" s="22" t="str">
        <f>VLOOKUP('Combine Products &amp; Sales Facts'!C1163,'Customer Details'!A:B,2,0)</f>
        <v>Reginald Willis</v>
      </c>
      <c r="E1163" s="22" t="str">
        <f>VLOOKUP(C1163,Sales_Fact!C:D,2,0)</f>
        <v>PROD1</v>
      </c>
      <c r="F1163" s="22" t="str">
        <f>VLOOKUP(E1163,Product_Dim!A:C,3,0)</f>
        <v>Clothing</v>
      </c>
      <c r="G1163" s="22" t="str" cm="1">
        <f t="array" ref="G1163:L1163">_xlfn.XLOOKUP(C1163,Sales_Fact!C1163:C3147,Sales_Fact!E1163:J3147)</f>
        <v>STORE17</v>
      </c>
      <c r="H1163" s="22">
        <v>1</v>
      </c>
      <c r="I1163" s="22">
        <v>235.44</v>
      </c>
      <c r="J1163" s="22">
        <v>0.19</v>
      </c>
      <c r="K1163" s="22" t="str">
        <v>COD</v>
      </c>
      <c r="L1163" s="22">
        <v>190.7064</v>
      </c>
    </row>
    <row r="1164" spans="1:12" x14ac:dyDescent="0.3">
      <c r="A1164" s="22" t="s">
        <v>2973</v>
      </c>
      <c r="B1164" s="34" cm="1">
        <f t="array" ref="B1164:C1164">_xlfn.XLOOKUP(A1164,Sales_Fact!A1164:A3148,Sales_Fact!B1164:C3148)</f>
        <v>45568</v>
      </c>
      <c r="C1164" s="22" t="str">
        <v>CUST1271</v>
      </c>
      <c r="D1164" s="22" t="str">
        <f>VLOOKUP('Combine Products &amp; Sales Facts'!C1164,'Customer Details'!A:B,2,0)</f>
        <v>Daisy Johnson Dds</v>
      </c>
      <c r="E1164" s="22" t="str">
        <f>VLOOKUP(C1164,Sales_Fact!C:D,2,0)</f>
        <v>PROD74</v>
      </c>
      <c r="F1164" s="22" t="str">
        <f>VLOOKUP(E1164,Product_Dim!A:C,3,0)</f>
        <v>Electronics</v>
      </c>
      <c r="G1164" s="22" t="str" cm="1">
        <f t="array" ref="G1164:L1164">_xlfn.XLOOKUP(C1164,Sales_Fact!C1164:C3148,Sales_Fact!E1164:J3148)</f>
        <v>STORE13</v>
      </c>
      <c r="H1164" s="22">
        <v>2</v>
      </c>
      <c r="I1164" s="22">
        <v>620.71</v>
      </c>
      <c r="J1164" s="22">
        <v>0.27</v>
      </c>
      <c r="K1164" s="22" t="str">
        <v>Credit Card</v>
      </c>
      <c r="L1164" s="22">
        <v>906.23660000000007</v>
      </c>
    </row>
    <row r="1165" spans="1:12" x14ac:dyDescent="0.3">
      <c r="A1165" s="22" t="s">
        <v>2974</v>
      </c>
      <c r="B1165" s="34" cm="1">
        <f t="array" ref="B1165:C1165">_xlfn.XLOOKUP(A1165,Sales_Fact!A1165:A3149,Sales_Fact!B1165:C3149)</f>
        <v>45397</v>
      </c>
      <c r="C1165" s="22" t="str">
        <v>CUST1115</v>
      </c>
      <c r="D1165" s="22" t="str">
        <f>VLOOKUP('Combine Products &amp; Sales Facts'!C1165,'Customer Details'!A:B,2,0)</f>
        <v>Tyler Conrad</v>
      </c>
      <c r="E1165" s="22" t="str">
        <f>VLOOKUP(C1165,Sales_Fact!C:D,2,0)</f>
        <v>PROD21</v>
      </c>
      <c r="F1165" s="22" t="str">
        <f>VLOOKUP(E1165,Product_Dim!A:C,3,0)</f>
        <v>Home</v>
      </c>
      <c r="G1165" s="22" t="str" cm="1">
        <f t="array" ref="G1165:L1165">_xlfn.XLOOKUP(C1165,Sales_Fact!C1165:C3149,Sales_Fact!E1165:J3149)</f>
        <v>STORE11</v>
      </c>
      <c r="H1165" s="22">
        <v>2</v>
      </c>
      <c r="I1165" s="22">
        <v>851.77</v>
      </c>
      <c r="J1165" s="22">
        <v>0.13</v>
      </c>
      <c r="K1165" s="22" t="str">
        <v>PayPal</v>
      </c>
      <c r="L1165" s="22">
        <v>1482.0798</v>
      </c>
    </row>
    <row r="1166" spans="1:12" x14ac:dyDescent="0.3">
      <c r="A1166" s="22" t="s">
        <v>2975</v>
      </c>
      <c r="B1166" s="34" cm="1">
        <f t="array" ref="B1166:C1166">_xlfn.XLOOKUP(A1166,Sales_Fact!A1166:A3150,Sales_Fact!B1166:C3150)</f>
        <v>45569</v>
      </c>
      <c r="C1166" s="22" t="str">
        <v>CUST1168</v>
      </c>
      <c r="D1166" s="22" t="str">
        <f>VLOOKUP('Combine Products &amp; Sales Facts'!C1166,'Customer Details'!A:B,2,0)</f>
        <v>Daniel Contreras</v>
      </c>
      <c r="E1166" s="22" t="str">
        <f>VLOOKUP(C1166,Sales_Fact!C:D,2,0)</f>
        <v>PROD72</v>
      </c>
      <c r="F1166" s="22" t="str">
        <f>VLOOKUP(E1166,Product_Dim!A:C,3,0)</f>
        <v>Sports</v>
      </c>
      <c r="G1166" s="22" t="str" cm="1">
        <f t="array" ref="G1166:L1166">_xlfn.XLOOKUP(C1166,Sales_Fact!C1166:C3150,Sales_Fact!E1166:J3150)</f>
        <v>STORE1</v>
      </c>
      <c r="H1166" s="22">
        <v>3</v>
      </c>
      <c r="I1166" s="22">
        <v>876.01</v>
      </c>
      <c r="J1166" s="22">
        <v>0.2</v>
      </c>
      <c r="K1166" s="22" t="str">
        <v>Credit Card</v>
      </c>
      <c r="L1166" s="22">
        <v>2102.424</v>
      </c>
    </row>
    <row r="1167" spans="1:12" x14ac:dyDescent="0.3">
      <c r="A1167" s="22" t="s">
        <v>2976</v>
      </c>
      <c r="B1167" s="34" cm="1">
        <f t="array" ref="B1167:C1167">_xlfn.XLOOKUP(A1167,Sales_Fact!A1167:A3151,Sales_Fact!B1167:C3151)</f>
        <v>45353</v>
      </c>
      <c r="C1167" s="22" t="str">
        <v>CUST1276</v>
      </c>
      <c r="D1167" s="22" t="str">
        <f>VLOOKUP('Combine Products &amp; Sales Facts'!C1167,'Customer Details'!A:B,2,0)</f>
        <v>Arthur Warren</v>
      </c>
      <c r="E1167" s="22" t="str">
        <f>VLOOKUP(C1167,Sales_Fact!C:D,2,0)</f>
        <v>PROD65</v>
      </c>
      <c r="F1167" s="22" t="str">
        <f>VLOOKUP(E1167,Product_Dim!A:C,3,0)</f>
        <v>Sports</v>
      </c>
      <c r="G1167" s="22" t="str" cm="1">
        <f t="array" ref="G1167:L1167">_xlfn.XLOOKUP(C1167,Sales_Fact!C1167:C3151,Sales_Fact!E1167:J3151)</f>
        <v>STORE9</v>
      </c>
      <c r="H1167" s="22">
        <v>2</v>
      </c>
      <c r="I1167" s="22">
        <v>717.21</v>
      </c>
      <c r="J1167" s="22">
        <v>0.15</v>
      </c>
      <c r="K1167" s="22" t="str">
        <v>COD</v>
      </c>
      <c r="L1167" s="22">
        <v>1219.2570000000001</v>
      </c>
    </row>
    <row r="1168" spans="1:12" x14ac:dyDescent="0.3">
      <c r="A1168" s="22" t="s">
        <v>2977</v>
      </c>
      <c r="B1168" s="34" cm="1">
        <f t="array" ref="B1168:C1168">_xlfn.XLOOKUP(A1168,Sales_Fact!A1168:A3152,Sales_Fact!B1168:C3152)</f>
        <v>45343</v>
      </c>
      <c r="C1168" s="22" t="str">
        <v>CUST1056</v>
      </c>
      <c r="D1168" s="22" t="str">
        <f>VLOOKUP('Combine Products &amp; Sales Facts'!C1168,'Customer Details'!A:B,2,0)</f>
        <v>Christopher Sutton</v>
      </c>
      <c r="E1168" s="22" t="str">
        <f>VLOOKUP(C1168,Sales_Fact!C:D,2,0)</f>
        <v>PROD49</v>
      </c>
      <c r="F1168" s="22" t="str">
        <f>VLOOKUP(E1168,Product_Dim!A:C,3,0)</f>
        <v>Beauty</v>
      </c>
      <c r="G1168" s="22" t="str" cm="1">
        <f t="array" ref="G1168:L1168">_xlfn.XLOOKUP(C1168,Sales_Fact!C1168:C3152,Sales_Fact!E1168:J3152)</f>
        <v>STORE8</v>
      </c>
      <c r="H1168" s="22">
        <v>2</v>
      </c>
      <c r="I1168" s="22">
        <v>871.43</v>
      </c>
      <c r="J1168" s="22">
        <v>0.05</v>
      </c>
      <c r="K1168" s="22" t="str">
        <v>Credit Card</v>
      </c>
      <c r="L1168" s="22">
        <v>1655.7170000000001</v>
      </c>
    </row>
    <row r="1169" spans="1:12" x14ac:dyDescent="0.3">
      <c r="A1169" s="22" t="s">
        <v>2978</v>
      </c>
      <c r="B1169" s="34" cm="1">
        <f t="array" ref="B1169:C1169">_xlfn.XLOOKUP(A1169,Sales_Fact!A1169:A3153,Sales_Fact!B1169:C3153)</f>
        <v>45321</v>
      </c>
      <c r="C1169" s="22" t="str">
        <v>CUST1453</v>
      </c>
      <c r="D1169" s="22" t="str">
        <f>VLOOKUP('Combine Products &amp; Sales Facts'!C1169,'Customer Details'!A:B,2,0)</f>
        <v>April Phillips</v>
      </c>
      <c r="E1169" s="22" t="str">
        <f>VLOOKUP(C1169,Sales_Fact!C:D,2,0)</f>
        <v>PROD12</v>
      </c>
      <c r="F1169" s="22" t="str">
        <f>VLOOKUP(E1169,Product_Dim!A:C,3,0)</f>
        <v>Beauty</v>
      </c>
      <c r="G1169" s="22" t="str" cm="1">
        <f t="array" ref="G1169:L1169">_xlfn.XLOOKUP(C1169,Sales_Fact!C1169:C3153,Sales_Fact!E1169:J3153)</f>
        <v>STORE7</v>
      </c>
      <c r="H1169" s="22">
        <v>1</v>
      </c>
      <c r="I1169" s="22">
        <v>514.65</v>
      </c>
      <c r="J1169" s="22">
        <v>0.18</v>
      </c>
      <c r="K1169" s="22" t="str">
        <v>Credit Card</v>
      </c>
      <c r="L1169" s="22">
        <v>422.01299999999998</v>
      </c>
    </row>
    <row r="1170" spans="1:12" x14ac:dyDescent="0.3">
      <c r="A1170" s="22" t="s">
        <v>2979</v>
      </c>
      <c r="B1170" s="34" cm="1">
        <f t="array" ref="B1170:C1170">_xlfn.XLOOKUP(A1170,Sales_Fact!A1170:A3154,Sales_Fact!B1170:C3154)</f>
        <v>45650</v>
      </c>
      <c r="C1170" s="22" t="str">
        <v>CUST1459</v>
      </c>
      <c r="D1170" s="22" t="str">
        <f>VLOOKUP('Combine Products &amp; Sales Facts'!C1170,'Customer Details'!A:B,2,0)</f>
        <v>John Perez</v>
      </c>
      <c r="E1170" s="22" t="str">
        <f>VLOOKUP(C1170,Sales_Fact!C:D,2,0)</f>
        <v>PROD54</v>
      </c>
      <c r="F1170" s="22" t="str">
        <f>VLOOKUP(E1170,Product_Dim!A:C,3,0)</f>
        <v>Sports</v>
      </c>
      <c r="G1170" s="22" t="str" cm="1">
        <f t="array" ref="G1170:L1170">_xlfn.XLOOKUP(C1170,Sales_Fact!C1170:C3154,Sales_Fact!E1170:J3154)</f>
        <v>STORE16</v>
      </c>
      <c r="H1170" s="22">
        <v>3</v>
      </c>
      <c r="I1170" s="22">
        <v>198.76</v>
      </c>
      <c r="J1170" s="22">
        <v>0.28000000000000003</v>
      </c>
      <c r="K1170" s="22" t="str">
        <v>COD</v>
      </c>
      <c r="L1170" s="22">
        <v>429.32159999999999</v>
      </c>
    </row>
    <row r="1171" spans="1:12" x14ac:dyDescent="0.3">
      <c r="A1171" s="22" t="s">
        <v>2980</v>
      </c>
      <c r="B1171" s="34" cm="1">
        <f t="array" ref="B1171:C1171">_xlfn.XLOOKUP(A1171,Sales_Fact!A1171:A3155,Sales_Fact!B1171:C3155)</f>
        <v>45811</v>
      </c>
      <c r="C1171" s="22" t="str">
        <v>CUST1225</v>
      </c>
      <c r="D1171" s="22" t="str">
        <f>VLOOKUP('Combine Products &amp; Sales Facts'!C1171,'Customer Details'!A:B,2,0)</f>
        <v>Elizabeth Stanley</v>
      </c>
      <c r="E1171" s="22" t="str">
        <f>VLOOKUP(C1171,Sales_Fact!C:D,2,0)</f>
        <v>PROD19</v>
      </c>
      <c r="F1171" s="22" t="str">
        <f>VLOOKUP(E1171,Product_Dim!A:C,3,0)</f>
        <v>Sports</v>
      </c>
      <c r="G1171" s="22" t="str" cm="1">
        <f t="array" ref="G1171:L1171">_xlfn.XLOOKUP(C1171,Sales_Fact!C1171:C3155,Sales_Fact!E1171:J3155)</f>
        <v>STORE3</v>
      </c>
      <c r="H1171" s="22">
        <v>2</v>
      </c>
      <c r="I1171" s="22">
        <v>975.72</v>
      </c>
      <c r="J1171" s="22">
        <v>0.16</v>
      </c>
      <c r="K1171" s="22" t="str">
        <v>COD</v>
      </c>
      <c r="L1171" s="22">
        <v>1639.2095999999999</v>
      </c>
    </row>
    <row r="1172" spans="1:12" x14ac:dyDescent="0.3">
      <c r="A1172" s="22" t="s">
        <v>2981</v>
      </c>
      <c r="B1172" s="34" cm="1">
        <f t="array" ref="B1172:C1172">_xlfn.XLOOKUP(A1172,Sales_Fact!A1172:A3156,Sales_Fact!B1172:C3156)</f>
        <v>45505</v>
      </c>
      <c r="C1172" s="22" t="str">
        <v>CUST1420</v>
      </c>
      <c r="D1172" s="22" t="str">
        <f>VLOOKUP('Combine Products &amp; Sales Facts'!C1172,'Customer Details'!A:B,2,0)</f>
        <v>Dr. Tamara White Md</v>
      </c>
      <c r="E1172" s="22" t="str">
        <f>VLOOKUP(C1172,Sales_Fact!C:D,2,0)</f>
        <v>PROD21</v>
      </c>
      <c r="F1172" s="22" t="str">
        <f>VLOOKUP(E1172,Product_Dim!A:C,3,0)</f>
        <v>Home</v>
      </c>
      <c r="G1172" s="22" t="str" cm="1">
        <f t="array" ref="G1172:L1172">_xlfn.XLOOKUP(C1172,Sales_Fact!C1172:C3156,Sales_Fact!E1172:J3156)</f>
        <v>STORE1</v>
      </c>
      <c r="H1172" s="22">
        <v>1</v>
      </c>
      <c r="I1172" s="22">
        <v>86.03</v>
      </c>
      <c r="J1172" s="22">
        <v>0.01</v>
      </c>
      <c r="K1172" s="22" t="str">
        <v>Credit Card</v>
      </c>
      <c r="L1172" s="22">
        <v>85.169700000000006</v>
      </c>
    </row>
    <row r="1173" spans="1:12" x14ac:dyDescent="0.3">
      <c r="A1173" s="22" t="s">
        <v>2982</v>
      </c>
      <c r="B1173" s="34" cm="1">
        <f t="array" ref="B1173:C1173">_xlfn.XLOOKUP(A1173,Sales_Fact!A1173:A3157,Sales_Fact!B1173:C3157)</f>
        <v>45897</v>
      </c>
      <c r="C1173" s="22" t="str">
        <v>CUST1087</v>
      </c>
      <c r="D1173" s="22" t="str">
        <f>VLOOKUP('Combine Products &amp; Sales Facts'!C1173,'Customer Details'!A:B,2,0)</f>
        <v>Melissa Duffy Md</v>
      </c>
      <c r="E1173" s="22" t="str">
        <f>VLOOKUP(C1173,Sales_Fact!C:D,2,0)</f>
        <v>PROD76</v>
      </c>
      <c r="F1173" s="22" t="str">
        <f>VLOOKUP(E1173,Product_Dim!A:C,3,0)</f>
        <v>Electronics</v>
      </c>
      <c r="G1173" s="22" t="str" cm="1">
        <f t="array" ref="G1173:L1173">_xlfn.XLOOKUP(C1173,Sales_Fact!C1173:C3157,Sales_Fact!E1173:J3157)</f>
        <v>STORE12</v>
      </c>
      <c r="H1173" s="22">
        <v>4</v>
      </c>
      <c r="I1173" s="22">
        <v>705.12</v>
      </c>
      <c r="J1173" s="22">
        <v>0.15</v>
      </c>
      <c r="K1173" s="22" t="str">
        <v>PayPal</v>
      </c>
      <c r="L1173" s="22">
        <v>2397.4079999999999</v>
      </c>
    </row>
    <row r="1174" spans="1:12" x14ac:dyDescent="0.3">
      <c r="A1174" s="22" t="s">
        <v>2983</v>
      </c>
      <c r="B1174" s="34" cm="1">
        <f t="array" ref="B1174:C1174">_xlfn.XLOOKUP(A1174,Sales_Fact!A1174:A3158,Sales_Fact!B1174:C3158)</f>
        <v>45602</v>
      </c>
      <c r="C1174" s="22" t="str">
        <v>CUST1371</v>
      </c>
      <c r="D1174" s="22" t="str">
        <f>VLOOKUP('Combine Products &amp; Sales Facts'!C1174,'Customer Details'!A:B,2,0)</f>
        <v>Michael Garner</v>
      </c>
      <c r="E1174" s="22" t="str">
        <f>VLOOKUP(C1174,Sales_Fact!C:D,2,0)</f>
        <v>PROD67</v>
      </c>
      <c r="F1174" s="22" t="str">
        <f>VLOOKUP(E1174,Product_Dim!A:C,3,0)</f>
        <v>Electronics</v>
      </c>
      <c r="G1174" s="22" t="str" cm="1">
        <f t="array" ref="G1174:L1174">_xlfn.XLOOKUP(C1174,Sales_Fact!C1174:C3158,Sales_Fact!E1174:J3158)</f>
        <v>STORE12</v>
      </c>
      <c r="H1174" s="22">
        <v>3</v>
      </c>
      <c r="I1174" s="22">
        <v>99.77</v>
      </c>
      <c r="J1174" s="22">
        <v>0.01</v>
      </c>
      <c r="K1174" s="22" t="str">
        <v>PayPal</v>
      </c>
      <c r="L1174" s="22">
        <v>296.31689999999998</v>
      </c>
    </row>
    <row r="1175" spans="1:12" x14ac:dyDescent="0.3">
      <c r="A1175" s="22" t="s">
        <v>2984</v>
      </c>
      <c r="B1175" s="34" cm="1">
        <f t="array" ref="B1175:C1175">_xlfn.XLOOKUP(A1175,Sales_Fact!A1175:A3159,Sales_Fact!B1175:C3159)</f>
        <v>45530</v>
      </c>
      <c r="C1175" s="22" t="str">
        <v>CUST1209</v>
      </c>
      <c r="D1175" s="22" t="str">
        <f>VLOOKUP('Combine Products &amp; Sales Facts'!C1175,'Customer Details'!A:B,2,0)</f>
        <v>Joan Johnson</v>
      </c>
      <c r="E1175" s="22" t="str">
        <f>VLOOKUP(C1175,Sales_Fact!C:D,2,0)</f>
        <v>PROD42</v>
      </c>
      <c r="F1175" s="22" t="str">
        <f>VLOOKUP(E1175,Product_Dim!A:C,3,0)</f>
        <v>Electronics</v>
      </c>
      <c r="G1175" s="22" t="str" cm="1">
        <f t="array" ref="G1175:L1175">_xlfn.XLOOKUP(C1175,Sales_Fact!C1175:C3159,Sales_Fact!E1175:J3159)</f>
        <v>STORE9</v>
      </c>
      <c r="H1175" s="22">
        <v>2</v>
      </c>
      <c r="I1175" s="22">
        <v>166.26</v>
      </c>
      <c r="J1175" s="22">
        <v>0.14000000000000001</v>
      </c>
      <c r="K1175" s="22" t="str">
        <v>PayPal</v>
      </c>
      <c r="L1175" s="22">
        <v>285.96719999999999</v>
      </c>
    </row>
    <row r="1176" spans="1:12" x14ac:dyDescent="0.3">
      <c r="A1176" s="22" t="s">
        <v>2985</v>
      </c>
      <c r="B1176" s="34" cm="1">
        <f t="array" ref="B1176:C1176">_xlfn.XLOOKUP(A1176,Sales_Fact!A1176:A3160,Sales_Fact!B1176:C3160)</f>
        <v>45729</v>
      </c>
      <c r="C1176" s="22" t="str">
        <v>CUST1459</v>
      </c>
      <c r="D1176" s="22" t="str">
        <f>VLOOKUP('Combine Products &amp; Sales Facts'!C1176,'Customer Details'!A:B,2,0)</f>
        <v>John Perez</v>
      </c>
      <c r="E1176" s="22" t="str">
        <f>VLOOKUP(C1176,Sales_Fact!C:D,2,0)</f>
        <v>PROD54</v>
      </c>
      <c r="F1176" s="22" t="str">
        <f>VLOOKUP(E1176,Product_Dim!A:C,3,0)</f>
        <v>Sports</v>
      </c>
      <c r="G1176" s="22" t="str" cm="1">
        <f t="array" ref="G1176:L1176">_xlfn.XLOOKUP(C1176,Sales_Fact!C1176:C3160,Sales_Fact!E1176:J3160)</f>
        <v>STORE5</v>
      </c>
      <c r="H1176" s="22">
        <v>1</v>
      </c>
      <c r="I1176" s="22">
        <v>429.25</v>
      </c>
      <c r="J1176" s="22">
        <v>0.28999999999999998</v>
      </c>
      <c r="K1176" s="22" t="str">
        <v>Credit Card</v>
      </c>
      <c r="L1176" s="22">
        <v>304.76749999999998</v>
      </c>
    </row>
    <row r="1177" spans="1:12" x14ac:dyDescent="0.3">
      <c r="A1177" s="22" t="s">
        <v>2986</v>
      </c>
      <c r="B1177" s="34" cm="1">
        <f t="array" ref="B1177:C1177">_xlfn.XLOOKUP(A1177,Sales_Fact!A1177:A3161,Sales_Fact!B1177:C3161)</f>
        <v>45468</v>
      </c>
      <c r="C1177" s="22" t="str">
        <v>CUST1443</v>
      </c>
      <c r="D1177" s="22" t="str">
        <f>VLOOKUP('Combine Products &amp; Sales Facts'!C1177,'Customer Details'!A:B,2,0)</f>
        <v>Adam Castro</v>
      </c>
      <c r="E1177" s="22" t="str">
        <f>VLOOKUP(C1177,Sales_Fact!C:D,2,0)</f>
        <v>PROD34</v>
      </c>
      <c r="F1177" s="22" t="str">
        <f>VLOOKUP(E1177,Product_Dim!A:C,3,0)</f>
        <v>Electronics</v>
      </c>
      <c r="G1177" s="22" t="str" cm="1">
        <f t="array" ref="G1177:L1177">_xlfn.XLOOKUP(C1177,Sales_Fact!C1177:C3161,Sales_Fact!E1177:J3161)</f>
        <v>STORE9</v>
      </c>
      <c r="H1177" s="22">
        <v>2</v>
      </c>
      <c r="I1177" s="22">
        <v>540.48</v>
      </c>
      <c r="J1177" s="22">
        <v>0.28999999999999998</v>
      </c>
      <c r="K1177" s="22" t="str">
        <v>Credit Card</v>
      </c>
      <c r="L1177" s="22">
        <v>767.48159999999996</v>
      </c>
    </row>
    <row r="1178" spans="1:12" x14ac:dyDescent="0.3">
      <c r="A1178" s="22" t="s">
        <v>2987</v>
      </c>
      <c r="B1178" s="34" cm="1">
        <f t="array" ref="B1178:C1178">_xlfn.XLOOKUP(A1178,Sales_Fact!A1178:A3162,Sales_Fact!B1178:C3162)</f>
        <v>45936</v>
      </c>
      <c r="C1178" s="22" t="str">
        <v>CUST1269</v>
      </c>
      <c r="D1178" s="22" t="str">
        <f>VLOOKUP('Combine Products &amp; Sales Facts'!C1178,'Customer Details'!A:B,2,0)</f>
        <v>Tyrone Olson</v>
      </c>
      <c r="E1178" s="22" t="str">
        <f>VLOOKUP(C1178,Sales_Fact!C:D,2,0)</f>
        <v>PROD77</v>
      </c>
      <c r="F1178" s="22" t="str">
        <f>VLOOKUP(E1178,Product_Dim!A:C,3,0)</f>
        <v>Electronics</v>
      </c>
      <c r="G1178" s="22" t="str" cm="1">
        <f t="array" ref="G1178:L1178">_xlfn.XLOOKUP(C1178,Sales_Fact!C1178:C3162,Sales_Fact!E1178:J3162)</f>
        <v>STORE14</v>
      </c>
      <c r="H1178" s="22">
        <v>2</v>
      </c>
      <c r="I1178" s="22">
        <v>579.52</v>
      </c>
      <c r="J1178" s="22">
        <v>0.01</v>
      </c>
      <c r="K1178" s="22" t="str">
        <v>PayPal</v>
      </c>
      <c r="L1178" s="22">
        <v>1147.4495999999999</v>
      </c>
    </row>
    <row r="1179" spans="1:12" x14ac:dyDescent="0.3">
      <c r="A1179" s="22" t="s">
        <v>2988</v>
      </c>
      <c r="B1179" s="34" cm="1">
        <f t="array" ref="B1179:C1179">_xlfn.XLOOKUP(A1179,Sales_Fact!A1179:A3163,Sales_Fact!B1179:C3163)</f>
        <v>45622</v>
      </c>
      <c r="C1179" s="22" t="str">
        <v>CUST1026</v>
      </c>
      <c r="D1179" s="22" t="str">
        <f>VLOOKUP('Combine Products &amp; Sales Facts'!C1179,'Customer Details'!A:B,2,0)</f>
        <v>Amber Carlson</v>
      </c>
      <c r="E1179" s="22" t="str">
        <f>VLOOKUP(C1179,Sales_Fact!C:D,2,0)</f>
        <v>PROD1</v>
      </c>
      <c r="F1179" s="22" t="str">
        <f>VLOOKUP(E1179,Product_Dim!A:C,3,0)</f>
        <v>Clothing</v>
      </c>
      <c r="G1179" s="22" t="str" cm="1">
        <f t="array" ref="G1179:L1179">_xlfn.XLOOKUP(C1179,Sales_Fact!C1179:C3163,Sales_Fact!E1179:J3163)</f>
        <v>STORE17</v>
      </c>
      <c r="H1179" s="22">
        <v>4</v>
      </c>
      <c r="I1179" s="22">
        <v>477.52</v>
      </c>
      <c r="J1179" s="22">
        <v>7.0000000000000007E-2</v>
      </c>
      <c r="K1179" s="22" t="str">
        <v>PayPal</v>
      </c>
      <c r="L1179" s="22">
        <v>1776.3743999999999</v>
      </c>
    </row>
    <row r="1180" spans="1:12" x14ac:dyDescent="0.3">
      <c r="A1180" s="22" t="s">
        <v>2989</v>
      </c>
      <c r="B1180" s="34" cm="1">
        <f t="array" ref="B1180:C1180">_xlfn.XLOOKUP(A1180,Sales_Fact!A1180:A3164,Sales_Fact!B1180:C3164)</f>
        <v>45705</v>
      </c>
      <c r="C1180" s="22" t="str">
        <v>CUST1259</v>
      </c>
      <c r="D1180" s="22" t="str">
        <f>VLOOKUP('Combine Products &amp; Sales Facts'!C1180,'Customer Details'!A:B,2,0)</f>
        <v>Beth Allen</v>
      </c>
      <c r="E1180" s="22" t="str">
        <f>VLOOKUP(C1180,Sales_Fact!C:D,2,0)</f>
        <v>PROD13</v>
      </c>
      <c r="F1180" s="22" t="str">
        <f>VLOOKUP(E1180,Product_Dim!A:C,3,0)</f>
        <v>Electronics</v>
      </c>
      <c r="G1180" s="22" t="str" cm="1">
        <f t="array" ref="G1180:L1180">_xlfn.XLOOKUP(C1180,Sales_Fact!C1180:C3164,Sales_Fact!E1180:J3164)</f>
        <v>STORE6</v>
      </c>
      <c r="H1180" s="22">
        <v>3</v>
      </c>
      <c r="I1180" s="22">
        <v>242.58</v>
      </c>
      <c r="J1180" s="22">
        <v>0.25</v>
      </c>
      <c r="K1180" s="22" t="str">
        <v>Credit Card</v>
      </c>
      <c r="L1180" s="22">
        <v>545.80500000000006</v>
      </c>
    </row>
    <row r="1181" spans="1:12" x14ac:dyDescent="0.3">
      <c r="A1181" s="22" t="s">
        <v>2990</v>
      </c>
      <c r="B1181" s="34" cm="1">
        <f t="array" ref="B1181:C1181">_xlfn.XLOOKUP(A1181,Sales_Fact!A1181:A3165,Sales_Fact!B1181:C3165)</f>
        <v>45250</v>
      </c>
      <c r="C1181" s="22" t="str">
        <v>CUST1367</v>
      </c>
      <c r="D1181" s="22" t="str">
        <f>VLOOKUP('Combine Products &amp; Sales Facts'!C1181,'Customer Details'!A:B,2,0)</f>
        <v>Melinda Johnson</v>
      </c>
      <c r="E1181" s="22" t="str">
        <f>VLOOKUP(C1181,Sales_Fact!C:D,2,0)</f>
        <v>PROD89</v>
      </c>
      <c r="F1181" s="22" t="str">
        <f>VLOOKUP(E1181,Product_Dim!A:C,3,0)</f>
        <v>Beauty</v>
      </c>
      <c r="G1181" s="22" t="str" cm="1">
        <f t="array" ref="G1181:L1181">_xlfn.XLOOKUP(C1181,Sales_Fact!C1181:C3165,Sales_Fact!E1181:J3165)</f>
        <v>STORE17</v>
      </c>
      <c r="H1181" s="22">
        <v>2</v>
      </c>
      <c r="I1181" s="22">
        <v>519.29999999999995</v>
      </c>
      <c r="J1181" s="22">
        <v>0.09</v>
      </c>
      <c r="K1181" s="22" t="str">
        <v>PayPal</v>
      </c>
      <c r="L1181" s="22">
        <v>945.12599999999998</v>
      </c>
    </row>
    <row r="1182" spans="1:12" x14ac:dyDescent="0.3">
      <c r="A1182" s="22" t="s">
        <v>2991</v>
      </c>
      <c r="B1182" s="34" cm="1">
        <f t="array" ref="B1182:C1182">_xlfn.XLOOKUP(A1182,Sales_Fact!A1182:A3166,Sales_Fact!B1182:C3166)</f>
        <v>45684</v>
      </c>
      <c r="C1182" s="22" t="str">
        <v>CUST1491</v>
      </c>
      <c r="D1182" s="22" t="str">
        <f>VLOOKUP('Combine Products &amp; Sales Facts'!C1182,'Customer Details'!A:B,2,0)</f>
        <v>Kaitlin Brown</v>
      </c>
      <c r="E1182" s="22" t="str">
        <f>VLOOKUP(C1182,Sales_Fact!C:D,2,0)</f>
        <v>PROD9</v>
      </c>
      <c r="F1182" s="22" t="str">
        <f>VLOOKUP(E1182,Product_Dim!A:C,3,0)</f>
        <v>Sports</v>
      </c>
      <c r="G1182" s="22" t="str" cm="1">
        <f t="array" ref="G1182:L1182">_xlfn.XLOOKUP(C1182,Sales_Fact!C1182:C3166,Sales_Fact!E1182:J3166)</f>
        <v>STORE11</v>
      </c>
      <c r="H1182" s="22">
        <v>3</v>
      </c>
      <c r="I1182" s="22">
        <v>845.67</v>
      </c>
      <c r="J1182" s="22">
        <v>0.12</v>
      </c>
      <c r="K1182" s="22" t="str">
        <v>COD</v>
      </c>
      <c r="L1182" s="22">
        <v>2232.5688</v>
      </c>
    </row>
    <row r="1183" spans="1:12" x14ac:dyDescent="0.3">
      <c r="A1183" s="22" t="s">
        <v>2992</v>
      </c>
      <c r="B1183" s="34" cm="1">
        <f t="array" ref="B1183:C1183">_xlfn.XLOOKUP(A1183,Sales_Fact!A1183:A3167,Sales_Fact!B1183:C3167)</f>
        <v>45395</v>
      </c>
      <c r="C1183" s="22" t="str">
        <v>CUST1305</v>
      </c>
      <c r="D1183" s="22" t="str">
        <f>VLOOKUP('Combine Products &amp; Sales Facts'!C1183,'Customer Details'!A:B,2,0)</f>
        <v>Roberta Green</v>
      </c>
      <c r="E1183" s="22" t="str">
        <f>VLOOKUP(C1183,Sales_Fact!C:D,2,0)</f>
        <v>PROD28</v>
      </c>
      <c r="F1183" s="22" t="str">
        <f>VLOOKUP(E1183,Product_Dim!A:C,3,0)</f>
        <v>Sports</v>
      </c>
      <c r="G1183" s="22" t="str" cm="1">
        <f t="array" ref="G1183:L1183">_xlfn.XLOOKUP(C1183,Sales_Fact!C1183:C3167,Sales_Fact!E1183:J3167)</f>
        <v>STORE16</v>
      </c>
      <c r="H1183" s="22">
        <v>4</v>
      </c>
      <c r="I1183" s="22">
        <v>750.26</v>
      </c>
      <c r="J1183" s="22">
        <v>0.01</v>
      </c>
      <c r="K1183" s="22" t="str">
        <v>PayPal</v>
      </c>
      <c r="L1183" s="22">
        <v>2971.0295999999998</v>
      </c>
    </row>
    <row r="1184" spans="1:12" x14ac:dyDescent="0.3">
      <c r="A1184" s="22" t="s">
        <v>2993</v>
      </c>
      <c r="B1184" s="34" cm="1">
        <f t="array" ref="B1184:C1184">_xlfn.XLOOKUP(A1184,Sales_Fact!A1184:A3168,Sales_Fact!B1184:C3168)</f>
        <v>45382</v>
      </c>
      <c r="C1184" s="22" t="str">
        <v>CUST1332</v>
      </c>
      <c r="D1184" s="22" t="str">
        <f>VLOOKUP('Combine Products &amp; Sales Facts'!C1184,'Customer Details'!A:B,2,0)</f>
        <v>Dr. Lindsay Hanna</v>
      </c>
      <c r="E1184" s="22" t="str">
        <f>VLOOKUP(C1184,Sales_Fact!C:D,2,0)</f>
        <v>PROD32</v>
      </c>
      <c r="F1184" s="22" t="str">
        <f>VLOOKUP(E1184,Product_Dim!A:C,3,0)</f>
        <v>Beauty</v>
      </c>
      <c r="G1184" s="22" t="str" cm="1">
        <f t="array" ref="G1184:L1184">_xlfn.XLOOKUP(C1184,Sales_Fact!C1184:C3168,Sales_Fact!E1184:J3168)</f>
        <v>STORE12</v>
      </c>
      <c r="H1184" s="22">
        <v>4</v>
      </c>
      <c r="I1184" s="22">
        <v>294.38</v>
      </c>
      <c r="J1184" s="22">
        <v>0.2</v>
      </c>
      <c r="K1184" s="22" t="str">
        <v>Credit Card</v>
      </c>
      <c r="L1184" s="22">
        <v>942.01600000000008</v>
      </c>
    </row>
    <row r="1185" spans="1:12" x14ac:dyDescent="0.3">
      <c r="A1185" s="22" t="s">
        <v>2994</v>
      </c>
      <c r="B1185" s="34" cm="1">
        <f t="array" ref="B1185:C1185">_xlfn.XLOOKUP(A1185,Sales_Fact!A1185:A3169,Sales_Fact!B1185:C3169)</f>
        <v>45919</v>
      </c>
      <c r="C1185" s="22" t="str">
        <v>CUST1097</v>
      </c>
      <c r="D1185" s="22" t="str">
        <f>VLOOKUP('Combine Products &amp; Sales Facts'!C1185,'Customer Details'!A:B,2,0)</f>
        <v>David Cobb</v>
      </c>
      <c r="E1185" s="22" t="str">
        <f>VLOOKUP(C1185,Sales_Fact!C:D,2,0)</f>
        <v>PROD80</v>
      </c>
      <c r="F1185" s="22" t="str">
        <f>VLOOKUP(E1185,Product_Dim!A:C,3,0)</f>
        <v>Home</v>
      </c>
      <c r="G1185" s="22" t="str" cm="1">
        <f t="array" ref="G1185:L1185">_xlfn.XLOOKUP(C1185,Sales_Fact!C1185:C3169,Sales_Fact!E1185:J3169)</f>
        <v>STORE2</v>
      </c>
      <c r="H1185" s="22">
        <v>3</v>
      </c>
      <c r="I1185" s="22">
        <v>583.52</v>
      </c>
      <c r="J1185" s="22">
        <v>7.0000000000000007E-2</v>
      </c>
      <c r="K1185" s="22" t="str">
        <v>PayPal</v>
      </c>
      <c r="L1185" s="22">
        <v>1628.0208</v>
      </c>
    </row>
    <row r="1186" spans="1:12" x14ac:dyDescent="0.3">
      <c r="A1186" s="22" t="s">
        <v>2995</v>
      </c>
      <c r="B1186" s="34" cm="1">
        <f t="array" ref="B1186:C1186">_xlfn.XLOOKUP(A1186,Sales_Fact!A1186:A3170,Sales_Fact!B1186:C3170)</f>
        <v>45453</v>
      </c>
      <c r="C1186" s="22" t="str">
        <v>CUST1470</v>
      </c>
      <c r="D1186" s="22" t="str">
        <f>VLOOKUP('Combine Products &amp; Sales Facts'!C1186,'Customer Details'!A:B,2,0)</f>
        <v>Manuel Fisher</v>
      </c>
      <c r="E1186" s="22" t="str">
        <f>VLOOKUP(C1186,Sales_Fact!C:D,2,0)</f>
        <v>PROD59</v>
      </c>
      <c r="F1186" s="22" t="str">
        <f>VLOOKUP(E1186,Product_Dim!A:C,3,0)</f>
        <v>Beauty</v>
      </c>
      <c r="G1186" s="22" t="str" cm="1">
        <f t="array" ref="G1186:L1186">_xlfn.XLOOKUP(C1186,Sales_Fact!C1186:C3170,Sales_Fact!E1186:J3170)</f>
        <v>STORE16</v>
      </c>
      <c r="H1186" s="22">
        <v>2</v>
      </c>
      <c r="I1186" s="22">
        <v>635.22</v>
      </c>
      <c r="J1186" s="22">
        <v>0.3</v>
      </c>
      <c r="K1186" s="22" t="str">
        <v>COD</v>
      </c>
      <c r="L1186" s="22">
        <v>889.30799999999999</v>
      </c>
    </row>
    <row r="1187" spans="1:12" x14ac:dyDescent="0.3">
      <c r="A1187" s="22" t="s">
        <v>2996</v>
      </c>
      <c r="B1187" s="34" cm="1">
        <f t="array" ref="B1187:C1187">_xlfn.XLOOKUP(A1187,Sales_Fact!A1187:A3171,Sales_Fact!B1187:C3171)</f>
        <v>45313</v>
      </c>
      <c r="C1187" s="22" t="str">
        <v>CUST1428</v>
      </c>
      <c r="D1187" s="22" t="str">
        <f>VLOOKUP('Combine Products &amp; Sales Facts'!C1187,'Customer Details'!A:B,2,0)</f>
        <v>Samuel Mullins</v>
      </c>
      <c r="E1187" s="22" t="str">
        <f>VLOOKUP(C1187,Sales_Fact!C:D,2,0)</f>
        <v>PROD63</v>
      </c>
      <c r="F1187" s="22" t="str">
        <f>VLOOKUP(E1187,Product_Dim!A:C,3,0)</f>
        <v>Beauty</v>
      </c>
      <c r="G1187" s="22" t="str" cm="1">
        <f t="array" ref="G1187:L1187">_xlfn.XLOOKUP(C1187,Sales_Fact!C1187:C3171,Sales_Fact!E1187:J3171)</f>
        <v>STORE2</v>
      </c>
      <c r="H1187" s="22">
        <v>1</v>
      </c>
      <c r="I1187" s="22">
        <v>743.55</v>
      </c>
      <c r="J1187" s="22">
        <v>0.11</v>
      </c>
      <c r="K1187" s="22" t="str">
        <v>COD</v>
      </c>
      <c r="L1187" s="22">
        <v>661.7595</v>
      </c>
    </row>
    <row r="1188" spans="1:12" x14ac:dyDescent="0.3">
      <c r="A1188" s="22" t="s">
        <v>2997</v>
      </c>
      <c r="B1188" s="34" cm="1">
        <f t="array" ref="B1188:C1188">_xlfn.XLOOKUP(A1188,Sales_Fact!A1188:A3172,Sales_Fact!B1188:C3172)</f>
        <v>45377</v>
      </c>
      <c r="C1188" s="22" t="str">
        <v>CUST1101</v>
      </c>
      <c r="D1188" s="22" t="str">
        <f>VLOOKUP('Combine Products &amp; Sales Facts'!C1188,'Customer Details'!A:B,2,0)</f>
        <v>Colleen Maynard</v>
      </c>
      <c r="E1188" s="22" t="str">
        <f>VLOOKUP(C1188,Sales_Fact!C:D,2,0)</f>
        <v>PROD89</v>
      </c>
      <c r="F1188" s="22" t="str">
        <f>VLOOKUP(E1188,Product_Dim!A:C,3,0)</f>
        <v>Beauty</v>
      </c>
      <c r="G1188" s="22" t="str" cm="1">
        <f t="array" ref="G1188:L1188">_xlfn.XLOOKUP(C1188,Sales_Fact!C1188:C3172,Sales_Fact!E1188:J3172)</f>
        <v>STORE3</v>
      </c>
      <c r="H1188" s="22">
        <v>4</v>
      </c>
      <c r="I1188" s="22">
        <v>530.45000000000005</v>
      </c>
      <c r="J1188" s="22">
        <v>0.13</v>
      </c>
      <c r="K1188" s="22" t="str">
        <v>Credit Card</v>
      </c>
      <c r="L1188" s="22">
        <v>1845.9659999999999</v>
      </c>
    </row>
    <row r="1189" spans="1:12" x14ac:dyDescent="0.3">
      <c r="A1189" s="22" t="s">
        <v>2998</v>
      </c>
      <c r="B1189" s="34" cm="1">
        <f t="array" ref="B1189:C1189">_xlfn.XLOOKUP(A1189,Sales_Fact!A1189:A3173,Sales_Fact!B1189:C3173)</f>
        <v>45371</v>
      </c>
      <c r="C1189" s="22" t="str">
        <v>CUST1264</v>
      </c>
      <c r="D1189" s="22" t="str">
        <f>VLOOKUP('Combine Products &amp; Sales Facts'!C1189,'Customer Details'!A:B,2,0)</f>
        <v>Matthew Payne</v>
      </c>
      <c r="E1189" s="22" t="str">
        <f>VLOOKUP(C1189,Sales_Fact!C:D,2,0)</f>
        <v>PROD22</v>
      </c>
      <c r="F1189" s="22" t="str">
        <f>VLOOKUP(E1189,Product_Dim!A:C,3,0)</f>
        <v>Sports</v>
      </c>
      <c r="G1189" s="22" t="str" cm="1">
        <f t="array" ref="G1189:L1189">_xlfn.XLOOKUP(C1189,Sales_Fact!C1189:C3173,Sales_Fact!E1189:J3173)</f>
        <v>STORE9</v>
      </c>
      <c r="H1189" s="22">
        <v>2</v>
      </c>
      <c r="I1189" s="22">
        <v>972.4</v>
      </c>
      <c r="J1189" s="22">
        <v>0.06</v>
      </c>
      <c r="K1189" s="22" t="str">
        <v>COD</v>
      </c>
      <c r="L1189" s="22">
        <v>1828.1120000000001</v>
      </c>
    </row>
    <row r="1190" spans="1:12" x14ac:dyDescent="0.3">
      <c r="A1190" s="22" t="s">
        <v>2999</v>
      </c>
      <c r="B1190" s="34" cm="1">
        <f t="array" ref="B1190:C1190">_xlfn.XLOOKUP(A1190,Sales_Fact!A1190:A3174,Sales_Fact!B1190:C3174)</f>
        <v>45797</v>
      </c>
      <c r="C1190" s="22" t="str">
        <v>CUST1378</v>
      </c>
      <c r="D1190" s="22" t="str">
        <f>VLOOKUP('Combine Products &amp; Sales Facts'!C1190,'Customer Details'!A:B,2,0)</f>
        <v>Frank Stewart</v>
      </c>
      <c r="E1190" s="22" t="str">
        <f>VLOOKUP(C1190,Sales_Fact!C:D,2,0)</f>
        <v>PROD91</v>
      </c>
      <c r="F1190" s="22" t="str">
        <f>VLOOKUP(E1190,Product_Dim!A:C,3,0)</f>
        <v>Clothing</v>
      </c>
      <c r="G1190" s="22" t="str" cm="1">
        <f t="array" ref="G1190:L1190">_xlfn.XLOOKUP(C1190,Sales_Fact!C1190:C3174,Sales_Fact!E1190:J3174)</f>
        <v>STORE18</v>
      </c>
      <c r="H1190" s="22">
        <v>3</v>
      </c>
      <c r="I1190" s="22">
        <v>197.93</v>
      </c>
      <c r="J1190" s="22">
        <v>0</v>
      </c>
      <c r="K1190" s="22" t="str">
        <v>COD</v>
      </c>
      <c r="L1190" s="22">
        <v>593.79</v>
      </c>
    </row>
    <row r="1191" spans="1:12" x14ac:dyDescent="0.3">
      <c r="A1191" s="22" t="s">
        <v>3000</v>
      </c>
      <c r="B1191" s="34" cm="1">
        <f t="array" ref="B1191:C1191">_xlfn.XLOOKUP(A1191,Sales_Fact!A1191:A3175,Sales_Fact!B1191:C3175)</f>
        <v>45575</v>
      </c>
      <c r="C1191" s="22" t="str">
        <v>CUST1342</v>
      </c>
      <c r="D1191" s="22" t="str">
        <f>VLOOKUP('Combine Products &amp; Sales Facts'!C1191,'Customer Details'!A:B,2,0)</f>
        <v>Michelle Cunningham</v>
      </c>
      <c r="E1191" s="22" t="str">
        <f>VLOOKUP(C1191,Sales_Fact!C:D,2,0)</f>
        <v>PROD61</v>
      </c>
      <c r="F1191" s="22" t="str">
        <f>VLOOKUP(E1191,Product_Dim!A:C,3,0)</f>
        <v>Sports</v>
      </c>
      <c r="G1191" s="22" t="str" cm="1">
        <f t="array" ref="G1191:L1191">_xlfn.XLOOKUP(C1191,Sales_Fact!C1191:C3175,Sales_Fact!E1191:J3175)</f>
        <v>STORE11</v>
      </c>
      <c r="H1191" s="22">
        <v>4</v>
      </c>
      <c r="I1191" s="22">
        <v>565.51</v>
      </c>
      <c r="J1191" s="22">
        <v>0.16</v>
      </c>
      <c r="K1191" s="22" t="str">
        <v>PayPal</v>
      </c>
      <c r="L1191" s="22">
        <v>1900.1135999999999</v>
      </c>
    </row>
    <row r="1192" spans="1:12" x14ac:dyDescent="0.3">
      <c r="A1192" s="22" t="s">
        <v>3001</v>
      </c>
      <c r="B1192" s="34" cm="1">
        <f t="array" ref="B1192:C1192">_xlfn.XLOOKUP(A1192,Sales_Fact!A1192:A3176,Sales_Fact!B1192:C3176)</f>
        <v>45566</v>
      </c>
      <c r="C1192" s="22" t="str">
        <v>CUST1400</v>
      </c>
      <c r="D1192" s="22" t="str">
        <f>VLOOKUP('Combine Products &amp; Sales Facts'!C1192,'Customer Details'!A:B,2,0)</f>
        <v>Mark Rogers</v>
      </c>
      <c r="E1192" s="22" t="str">
        <f>VLOOKUP(C1192,Sales_Fact!C:D,2,0)</f>
        <v>PROD39</v>
      </c>
      <c r="F1192" s="22" t="str">
        <f>VLOOKUP(E1192,Product_Dim!A:C,3,0)</f>
        <v>Electronics</v>
      </c>
      <c r="G1192" s="22" t="str" cm="1">
        <f t="array" ref="G1192:L1192">_xlfn.XLOOKUP(C1192,Sales_Fact!C1192:C3176,Sales_Fact!E1192:J3176)</f>
        <v>STORE4</v>
      </c>
      <c r="H1192" s="22">
        <v>4</v>
      </c>
      <c r="I1192" s="22">
        <v>983.38</v>
      </c>
      <c r="J1192" s="22">
        <v>0.25</v>
      </c>
      <c r="K1192" s="22" t="str">
        <v>COD</v>
      </c>
      <c r="L1192" s="22">
        <v>2950.14</v>
      </c>
    </row>
    <row r="1193" spans="1:12" x14ac:dyDescent="0.3">
      <c r="A1193" s="22" t="s">
        <v>3002</v>
      </c>
      <c r="B1193" s="34" cm="1">
        <f t="array" ref="B1193:C1193">_xlfn.XLOOKUP(A1193,Sales_Fact!A1193:A3177,Sales_Fact!B1193:C3177)</f>
        <v>45252</v>
      </c>
      <c r="C1193" s="22" t="str">
        <v>CUST1234</v>
      </c>
      <c r="D1193" s="22" t="str">
        <f>VLOOKUP('Combine Products &amp; Sales Facts'!C1193,'Customer Details'!A:B,2,0)</f>
        <v>Nathaniel Hill</v>
      </c>
      <c r="E1193" s="22" t="str">
        <f>VLOOKUP(C1193,Sales_Fact!C:D,2,0)</f>
        <v>PROD98</v>
      </c>
      <c r="F1193" s="22" t="str">
        <f>VLOOKUP(E1193,Product_Dim!A:C,3,0)</f>
        <v>Electronics</v>
      </c>
      <c r="G1193" s="22" t="str" cm="1">
        <f t="array" ref="G1193:L1193">_xlfn.XLOOKUP(C1193,Sales_Fact!C1193:C3177,Sales_Fact!E1193:J3177)</f>
        <v>STORE9</v>
      </c>
      <c r="H1193" s="22">
        <v>1</v>
      </c>
      <c r="I1193" s="22">
        <v>955.06</v>
      </c>
      <c r="J1193" s="22">
        <v>0.14000000000000001</v>
      </c>
      <c r="K1193" s="22" t="str">
        <v>Credit Card</v>
      </c>
      <c r="L1193" s="22">
        <v>821.35159999999996</v>
      </c>
    </row>
    <row r="1194" spans="1:12" x14ac:dyDescent="0.3">
      <c r="A1194" s="22" t="s">
        <v>3003</v>
      </c>
      <c r="B1194" s="34" cm="1">
        <f t="array" ref="B1194:C1194">_xlfn.XLOOKUP(A1194,Sales_Fact!A1194:A3178,Sales_Fact!B1194:C3178)</f>
        <v>45693</v>
      </c>
      <c r="C1194" s="22" t="str">
        <v>CUST1352</v>
      </c>
      <c r="D1194" s="22" t="str">
        <f>VLOOKUP('Combine Products &amp; Sales Facts'!C1194,'Customer Details'!A:B,2,0)</f>
        <v>Michael Greene</v>
      </c>
      <c r="E1194" s="22" t="str">
        <f>VLOOKUP(C1194,Sales_Fact!C:D,2,0)</f>
        <v>PROD43</v>
      </c>
      <c r="F1194" s="22" t="str">
        <f>VLOOKUP(E1194,Product_Dim!A:C,3,0)</f>
        <v>Electronics</v>
      </c>
      <c r="G1194" s="22" t="str" cm="1">
        <f t="array" ref="G1194:L1194">_xlfn.XLOOKUP(C1194,Sales_Fact!C1194:C3178,Sales_Fact!E1194:J3178)</f>
        <v>STORE15</v>
      </c>
      <c r="H1194" s="22">
        <v>3</v>
      </c>
      <c r="I1194" s="22">
        <v>597.46</v>
      </c>
      <c r="J1194" s="22">
        <v>0.02</v>
      </c>
      <c r="K1194" s="22" t="str">
        <v>PayPal</v>
      </c>
      <c r="L1194" s="22">
        <v>1756.5324000000001</v>
      </c>
    </row>
    <row r="1195" spans="1:12" x14ac:dyDescent="0.3">
      <c r="A1195" s="22" t="s">
        <v>3004</v>
      </c>
      <c r="B1195" s="34" cm="1">
        <f t="array" ref="B1195:C1195">_xlfn.XLOOKUP(A1195,Sales_Fact!A1195:A3179,Sales_Fact!B1195:C3179)</f>
        <v>45446</v>
      </c>
      <c r="C1195" s="22" t="str">
        <v>CUST1317</v>
      </c>
      <c r="D1195" s="22" t="str">
        <f>VLOOKUP('Combine Products &amp; Sales Facts'!C1195,'Customer Details'!A:B,2,0)</f>
        <v>Tiffany Williams</v>
      </c>
      <c r="E1195" s="22" t="str">
        <f>VLOOKUP(C1195,Sales_Fact!C:D,2,0)</f>
        <v>PROD10</v>
      </c>
      <c r="F1195" s="22" t="str">
        <f>VLOOKUP(E1195,Product_Dim!A:C,3,0)</f>
        <v>Home</v>
      </c>
      <c r="G1195" s="22" t="str" cm="1">
        <f t="array" ref="G1195:L1195">_xlfn.XLOOKUP(C1195,Sales_Fact!C1195:C3179,Sales_Fact!E1195:J3179)</f>
        <v>STORE16</v>
      </c>
      <c r="H1195" s="22">
        <v>3</v>
      </c>
      <c r="I1195" s="22">
        <v>581.09</v>
      </c>
      <c r="J1195" s="22">
        <v>0.1</v>
      </c>
      <c r="K1195" s="22" t="str">
        <v>COD</v>
      </c>
      <c r="L1195" s="22">
        <v>1568.943</v>
      </c>
    </row>
    <row r="1196" spans="1:12" x14ac:dyDescent="0.3">
      <c r="A1196" s="22" t="s">
        <v>3005</v>
      </c>
      <c r="B1196" s="34" cm="1">
        <f t="array" ref="B1196:C1196">_xlfn.XLOOKUP(A1196,Sales_Fact!A1196:A3180,Sales_Fact!B1196:C3180)</f>
        <v>45862</v>
      </c>
      <c r="C1196" s="22" t="str">
        <v>CUST1054</v>
      </c>
      <c r="D1196" s="22" t="str">
        <f>VLOOKUP('Combine Products &amp; Sales Facts'!C1196,'Customer Details'!A:B,2,0)</f>
        <v>Katherine Dorsey</v>
      </c>
      <c r="E1196" s="22" t="str">
        <f>VLOOKUP(C1196,Sales_Fact!C:D,2,0)</f>
        <v>PROD88</v>
      </c>
      <c r="F1196" s="22" t="str">
        <f>VLOOKUP(E1196,Product_Dim!A:C,3,0)</f>
        <v>Sports</v>
      </c>
      <c r="G1196" s="22" t="str" cm="1">
        <f t="array" ref="G1196:L1196">_xlfn.XLOOKUP(C1196,Sales_Fact!C1196:C3180,Sales_Fact!E1196:J3180)</f>
        <v>STORE4</v>
      </c>
      <c r="H1196" s="22">
        <v>4</v>
      </c>
      <c r="I1196" s="22">
        <v>153.94999999999999</v>
      </c>
      <c r="J1196" s="22">
        <v>0.11</v>
      </c>
      <c r="K1196" s="22" t="str">
        <v>PayPal</v>
      </c>
      <c r="L1196" s="22">
        <v>548.06200000000001</v>
      </c>
    </row>
    <row r="1197" spans="1:12" x14ac:dyDescent="0.3">
      <c r="A1197" s="22" t="s">
        <v>3006</v>
      </c>
      <c r="B1197" s="34" cm="1">
        <f t="array" ref="B1197:C1197">_xlfn.XLOOKUP(A1197,Sales_Fact!A1197:A3181,Sales_Fact!B1197:C3181)</f>
        <v>45530</v>
      </c>
      <c r="C1197" s="22" t="str">
        <v>CUST1081</v>
      </c>
      <c r="D1197" s="22" t="str">
        <f>VLOOKUP('Combine Products &amp; Sales Facts'!C1197,'Customer Details'!A:B,2,0)</f>
        <v>Krystal Ford</v>
      </c>
      <c r="E1197" s="22" t="str">
        <f>VLOOKUP(C1197,Sales_Fact!C:D,2,0)</f>
        <v>PROD45</v>
      </c>
      <c r="F1197" s="22" t="str">
        <f>VLOOKUP(E1197,Product_Dim!A:C,3,0)</f>
        <v>Sports</v>
      </c>
      <c r="G1197" s="22" t="str" cm="1">
        <f t="array" ref="G1197:L1197">_xlfn.XLOOKUP(C1197,Sales_Fact!C1197:C3181,Sales_Fact!E1197:J3181)</f>
        <v>STORE8</v>
      </c>
      <c r="H1197" s="22">
        <v>4</v>
      </c>
      <c r="I1197" s="22">
        <v>271.04000000000002</v>
      </c>
      <c r="J1197" s="22">
        <v>0.12</v>
      </c>
      <c r="K1197" s="22" t="str">
        <v>COD</v>
      </c>
      <c r="L1197" s="22">
        <v>954.06080000000009</v>
      </c>
    </row>
    <row r="1198" spans="1:12" x14ac:dyDescent="0.3">
      <c r="A1198" s="22" t="s">
        <v>3007</v>
      </c>
      <c r="B1198" s="34" cm="1">
        <f t="array" ref="B1198:C1198">_xlfn.XLOOKUP(A1198,Sales_Fact!A1198:A3182,Sales_Fact!B1198:C3182)</f>
        <v>45558</v>
      </c>
      <c r="C1198" s="22" t="str">
        <v>CUST1015</v>
      </c>
      <c r="D1198" s="22" t="str">
        <f>VLOOKUP('Combine Products &amp; Sales Facts'!C1198,'Customer Details'!A:B,2,0)</f>
        <v>Laura Alvarez</v>
      </c>
      <c r="E1198" s="22" t="str">
        <f>VLOOKUP(C1198,Sales_Fact!C:D,2,0)</f>
        <v>PROD18</v>
      </c>
      <c r="F1198" s="22" t="str">
        <f>VLOOKUP(E1198,Product_Dim!A:C,3,0)</f>
        <v>Clothing</v>
      </c>
      <c r="G1198" s="22" t="str" cm="1">
        <f t="array" ref="G1198:L1198">_xlfn.XLOOKUP(C1198,Sales_Fact!C1198:C3182,Sales_Fact!E1198:J3182)</f>
        <v>STORE6</v>
      </c>
      <c r="H1198" s="22">
        <v>4</v>
      </c>
      <c r="I1198" s="22">
        <v>328.27</v>
      </c>
      <c r="J1198" s="22">
        <v>0.09</v>
      </c>
      <c r="K1198" s="22" t="str">
        <v>PayPal</v>
      </c>
      <c r="L1198" s="22">
        <v>1194.9028000000001</v>
      </c>
    </row>
    <row r="1199" spans="1:12" x14ac:dyDescent="0.3">
      <c r="A1199" s="22" t="s">
        <v>3008</v>
      </c>
      <c r="B1199" s="34" cm="1">
        <f t="array" ref="B1199:C1199">_xlfn.XLOOKUP(A1199,Sales_Fact!A1199:A3183,Sales_Fact!B1199:C3183)</f>
        <v>45472</v>
      </c>
      <c r="C1199" s="22" t="str">
        <v>CUST1494</v>
      </c>
      <c r="D1199" s="22" t="str">
        <f>VLOOKUP('Combine Products &amp; Sales Facts'!C1199,'Customer Details'!A:B,2,0)</f>
        <v>Justin Lopez</v>
      </c>
      <c r="E1199" s="22" t="str">
        <f>VLOOKUP(C1199,Sales_Fact!C:D,2,0)</f>
        <v>PROD28</v>
      </c>
      <c r="F1199" s="22" t="str">
        <f>VLOOKUP(E1199,Product_Dim!A:C,3,0)</f>
        <v>Sports</v>
      </c>
      <c r="G1199" s="22" t="str" cm="1">
        <f t="array" ref="G1199:L1199">_xlfn.XLOOKUP(C1199,Sales_Fact!C1199:C3183,Sales_Fact!E1199:J3183)</f>
        <v>STORE14</v>
      </c>
      <c r="H1199" s="22">
        <v>4</v>
      </c>
      <c r="I1199" s="22">
        <v>884.71</v>
      </c>
      <c r="J1199" s="22">
        <v>0.09</v>
      </c>
      <c r="K1199" s="22" t="str">
        <v>PayPal</v>
      </c>
      <c r="L1199" s="22">
        <v>3220.3444</v>
      </c>
    </row>
    <row r="1200" spans="1:12" x14ac:dyDescent="0.3">
      <c r="A1200" s="22" t="s">
        <v>3009</v>
      </c>
      <c r="B1200" s="34" cm="1">
        <f t="array" ref="B1200:C1200">_xlfn.XLOOKUP(A1200,Sales_Fact!A1200:A3184,Sales_Fact!B1200:C3184)</f>
        <v>45809</v>
      </c>
      <c r="C1200" s="22" t="str">
        <v>CUST1249</v>
      </c>
      <c r="D1200" s="22" t="str">
        <f>VLOOKUP('Combine Products &amp; Sales Facts'!C1200,'Customer Details'!A:B,2,0)</f>
        <v>Lauren George</v>
      </c>
      <c r="E1200" s="22" t="str">
        <f>VLOOKUP(C1200,Sales_Fact!C:D,2,0)</f>
        <v>PROD19</v>
      </c>
      <c r="F1200" s="22" t="str">
        <f>VLOOKUP(E1200,Product_Dim!A:C,3,0)</f>
        <v>Sports</v>
      </c>
      <c r="G1200" s="22" t="str" cm="1">
        <f t="array" ref="G1200:L1200">_xlfn.XLOOKUP(C1200,Sales_Fact!C1200:C3184,Sales_Fact!E1200:J3184)</f>
        <v>STORE4</v>
      </c>
      <c r="H1200" s="22">
        <v>1</v>
      </c>
      <c r="I1200" s="22">
        <v>41.39</v>
      </c>
      <c r="J1200" s="22">
        <v>0.01</v>
      </c>
      <c r="K1200" s="22" t="str">
        <v>Credit Card</v>
      </c>
      <c r="L1200" s="22">
        <v>40.976100000000002</v>
      </c>
    </row>
    <row r="1201" spans="1:12" x14ac:dyDescent="0.3">
      <c r="A1201" s="22" t="s">
        <v>3010</v>
      </c>
      <c r="B1201" s="34" cm="1">
        <f t="array" ref="B1201:C1201">_xlfn.XLOOKUP(A1201,Sales_Fact!A1201:A3185,Sales_Fact!B1201:C3185)</f>
        <v>45783</v>
      </c>
      <c r="C1201" s="22" t="str">
        <v>CUST1165</v>
      </c>
      <c r="D1201" s="22" t="str">
        <f>VLOOKUP('Combine Products &amp; Sales Facts'!C1201,'Customer Details'!A:B,2,0)</f>
        <v>Jason Wheeler</v>
      </c>
      <c r="E1201" s="22" t="str">
        <f>VLOOKUP(C1201,Sales_Fact!C:D,2,0)</f>
        <v>PROD27</v>
      </c>
      <c r="F1201" s="22" t="str">
        <f>VLOOKUP(E1201,Product_Dim!A:C,3,0)</f>
        <v>Home</v>
      </c>
      <c r="G1201" s="22" t="str" cm="1">
        <f t="array" ref="G1201:L1201">_xlfn.XLOOKUP(C1201,Sales_Fact!C1201:C3185,Sales_Fact!E1201:J3185)</f>
        <v>STORE9</v>
      </c>
      <c r="H1201" s="22">
        <v>4</v>
      </c>
      <c r="I1201" s="22">
        <v>64.06</v>
      </c>
      <c r="J1201" s="22">
        <v>0.26</v>
      </c>
      <c r="K1201" s="22" t="str">
        <v>Credit Card</v>
      </c>
      <c r="L1201" s="22">
        <v>189.61760000000001</v>
      </c>
    </row>
    <row r="1202" spans="1:12" x14ac:dyDescent="0.3">
      <c r="A1202" s="22" t="s">
        <v>3011</v>
      </c>
      <c r="B1202" s="34" cm="1">
        <f t="array" ref="B1202:C1202">_xlfn.XLOOKUP(A1202,Sales_Fact!A1202:A3186,Sales_Fact!B1202:C3186)</f>
        <v>45849</v>
      </c>
      <c r="C1202" s="22" t="str">
        <v>CUST1346</v>
      </c>
      <c r="D1202" s="22" t="str">
        <f>VLOOKUP('Combine Products &amp; Sales Facts'!C1202,'Customer Details'!A:B,2,0)</f>
        <v>John Jordan</v>
      </c>
      <c r="E1202" s="22" t="str">
        <f>VLOOKUP(C1202,Sales_Fact!C:D,2,0)</f>
        <v>PROD76</v>
      </c>
      <c r="F1202" s="22" t="str">
        <f>VLOOKUP(E1202,Product_Dim!A:C,3,0)</f>
        <v>Electronics</v>
      </c>
      <c r="G1202" s="22" t="str" cm="1">
        <f t="array" ref="G1202:L1202">_xlfn.XLOOKUP(C1202,Sales_Fact!C1202:C3186,Sales_Fact!E1202:J3186)</f>
        <v>STORE9</v>
      </c>
      <c r="H1202" s="22">
        <v>2</v>
      </c>
      <c r="I1202" s="22">
        <v>152.25</v>
      </c>
      <c r="J1202" s="22">
        <v>0.13</v>
      </c>
      <c r="K1202" s="22" t="str">
        <v>Credit Card</v>
      </c>
      <c r="L1202" s="22">
        <v>264.91500000000002</v>
      </c>
    </row>
    <row r="1203" spans="1:12" x14ac:dyDescent="0.3">
      <c r="A1203" s="22" t="s">
        <v>3012</v>
      </c>
      <c r="B1203" s="34" cm="1">
        <f t="array" ref="B1203:C1203">_xlfn.XLOOKUP(A1203,Sales_Fact!A1203:A3187,Sales_Fact!B1203:C3187)</f>
        <v>45281</v>
      </c>
      <c r="C1203" s="22" t="str">
        <v>CUST1100</v>
      </c>
      <c r="D1203" s="22" t="str">
        <f>VLOOKUP('Combine Products &amp; Sales Facts'!C1203,'Customer Details'!A:B,2,0)</f>
        <v>Diane Watson</v>
      </c>
      <c r="E1203" s="22" t="str">
        <f>VLOOKUP(C1203,Sales_Fact!C:D,2,0)</f>
        <v>PROD24</v>
      </c>
      <c r="F1203" s="22" t="str">
        <f>VLOOKUP(E1203,Product_Dim!A:C,3,0)</f>
        <v>Sports</v>
      </c>
      <c r="G1203" s="22" t="str" cm="1">
        <f t="array" ref="G1203:L1203">_xlfn.XLOOKUP(C1203,Sales_Fact!C1203:C3187,Sales_Fact!E1203:J3187)</f>
        <v>STORE19</v>
      </c>
      <c r="H1203" s="22">
        <v>2</v>
      </c>
      <c r="I1203" s="22">
        <v>889.04</v>
      </c>
      <c r="J1203" s="22">
        <v>0.23</v>
      </c>
      <c r="K1203" s="22" t="str">
        <v>Credit Card</v>
      </c>
      <c r="L1203" s="22">
        <v>1369.1215999999999</v>
      </c>
    </row>
    <row r="1204" spans="1:12" x14ac:dyDescent="0.3">
      <c r="A1204" s="22" t="s">
        <v>3013</v>
      </c>
      <c r="B1204" s="34" cm="1">
        <f t="array" ref="B1204:C1204">_xlfn.XLOOKUP(A1204,Sales_Fact!A1204:A3188,Sales_Fact!B1204:C3188)</f>
        <v>45322</v>
      </c>
      <c r="C1204" s="22" t="str">
        <v>CUST1161</v>
      </c>
      <c r="D1204" s="22" t="str">
        <f>VLOOKUP('Combine Products &amp; Sales Facts'!C1204,'Customer Details'!A:B,2,0)</f>
        <v>Cynthia Morris</v>
      </c>
      <c r="E1204" s="22" t="str">
        <f>VLOOKUP(C1204,Sales_Fact!C:D,2,0)</f>
        <v>PROD97</v>
      </c>
      <c r="F1204" s="22" t="str">
        <f>VLOOKUP(E1204,Product_Dim!A:C,3,0)</f>
        <v>Sports</v>
      </c>
      <c r="G1204" s="22" t="str" cm="1">
        <f t="array" ref="G1204:L1204">_xlfn.XLOOKUP(C1204,Sales_Fact!C1204:C3188,Sales_Fact!E1204:J3188)</f>
        <v>STORE10</v>
      </c>
      <c r="H1204" s="22">
        <v>3</v>
      </c>
      <c r="I1204" s="22">
        <v>145.25</v>
      </c>
      <c r="J1204" s="22">
        <v>0.24</v>
      </c>
      <c r="K1204" s="22" t="str">
        <v>PayPal</v>
      </c>
      <c r="L1204" s="22">
        <v>331.17</v>
      </c>
    </row>
    <row r="1205" spans="1:12" x14ac:dyDescent="0.3">
      <c r="A1205" s="22" t="s">
        <v>3014</v>
      </c>
      <c r="B1205" s="34" cm="1">
        <f t="array" ref="B1205:C1205">_xlfn.XLOOKUP(A1205,Sales_Fact!A1205:A3189,Sales_Fact!B1205:C3189)</f>
        <v>45560</v>
      </c>
      <c r="C1205" s="22" t="str">
        <v>CUST1056</v>
      </c>
      <c r="D1205" s="22" t="str">
        <f>VLOOKUP('Combine Products &amp; Sales Facts'!C1205,'Customer Details'!A:B,2,0)</f>
        <v>Christopher Sutton</v>
      </c>
      <c r="E1205" s="22" t="str">
        <f>VLOOKUP(C1205,Sales_Fact!C:D,2,0)</f>
        <v>PROD49</v>
      </c>
      <c r="F1205" s="22" t="str">
        <f>VLOOKUP(E1205,Product_Dim!A:C,3,0)</f>
        <v>Beauty</v>
      </c>
      <c r="G1205" s="22" t="str" cm="1">
        <f t="array" ref="G1205:L1205">_xlfn.XLOOKUP(C1205,Sales_Fact!C1205:C3189,Sales_Fact!E1205:J3189)</f>
        <v>STORE2</v>
      </c>
      <c r="H1205" s="22">
        <v>2</v>
      </c>
      <c r="I1205" s="22">
        <v>898.45</v>
      </c>
      <c r="J1205" s="22">
        <v>0.28999999999999998</v>
      </c>
      <c r="K1205" s="22" t="str">
        <v>COD</v>
      </c>
      <c r="L1205" s="22">
        <v>1275.799</v>
      </c>
    </row>
    <row r="1206" spans="1:12" x14ac:dyDescent="0.3">
      <c r="A1206" s="22" t="s">
        <v>3015</v>
      </c>
      <c r="B1206" s="34" cm="1">
        <f t="array" ref="B1206:C1206">_xlfn.XLOOKUP(A1206,Sales_Fact!A1206:A3190,Sales_Fact!B1206:C3190)</f>
        <v>45905</v>
      </c>
      <c r="C1206" s="22" t="str">
        <v>CUST1030</v>
      </c>
      <c r="D1206" s="22" t="str">
        <f>VLOOKUP('Combine Products &amp; Sales Facts'!C1206,'Customer Details'!A:B,2,0)</f>
        <v>Jessica Acevedo</v>
      </c>
      <c r="E1206" s="22" t="str">
        <f>VLOOKUP(C1206,Sales_Fact!C:D,2,0)</f>
        <v>PROD35</v>
      </c>
      <c r="F1206" s="22" t="str">
        <f>VLOOKUP(E1206,Product_Dim!A:C,3,0)</f>
        <v>Home</v>
      </c>
      <c r="G1206" s="22" t="str" cm="1">
        <f t="array" ref="G1206:L1206">_xlfn.XLOOKUP(C1206,Sales_Fact!C1206:C3190,Sales_Fact!E1206:J3190)</f>
        <v>STORE15</v>
      </c>
      <c r="H1206" s="22">
        <v>4</v>
      </c>
      <c r="I1206" s="22">
        <v>642.04999999999995</v>
      </c>
      <c r="J1206" s="22">
        <v>0.25</v>
      </c>
      <c r="K1206" s="22" t="str">
        <v>Credit Card</v>
      </c>
      <c r="L1206" s="22">
        <v>1926.15</v>
      </c>
    </row>
    <row r="1207" spans="1:12" x14ac:dyDescent="0.3">
      <c r="A1207" s="22" t="s">
        <v>3016</v>
      </c>
      <c r="B1207" s="34" cm="1">
        <f t="array" ref="B1207:C1207">_xlfn.XLOOKUP(A1207,Sales_Fact!A1207:A3191,Sales_Fact!B1207:C3191)</f>
        <v>45531</v>
      </c>
      <c r="C1207" s="22" t="str">
        <v>CUST1313</v>
      </c>
      <c r="D1207" s="22" t="str">
        <f>VLOOKUP('Combine Products &amp; Sales Facts'!C1207,'Customer Details'!A:B,2,0)</f>
        <v>Elizabeth Jones</v>
      </c>
      <c r="E1207" s="22" t="str">
        <f>VLOOKUP(C1207,Sales_Fact!C:D,2,0)</f>
        <v>PROD84</v>
      </c>
      <c r="F1207" s="22" t="str">
        <f>VLOOKUP(E1207,Product_Dim!A:C,3,0)</f>
        <v>Home</v>
      </c>
      <c r="G1207" s="22" t="str" cm="1">
        <f t="array" ref="G1207:L1207">_xlfn.XLOOKUP(C1207,Sales_Fact!C1207:C3191,Sales_Fact!E1207:J3191)</f>
        <v>STORE7</v>
      </c>
      <c r="H1207" s="22">
        <v>4</v>
      </c>
      <c r="I1207" s="22">
        <v>450.83</v>
      </c>
      <c r="J1207" s="22">
        <v>0.24</v>
      </c>
      <c r="K1207" s="22" t="str">
        <v>Credit Card</v>
      </c>
      <c r="L1207" s="22">
        <v>1370.5232000000001</v>
      </c>
    </row>
    <row r="1208" spans="1:12" x14ac:dyDescent="0.3">
      <c r="A1208" s="22" t="s">
        <v>3017</v>
      </c>
      <c r="B1208" s="34" cm="1">
        <f t="array" ref="B1208:C1208">_xlfn.XLOOKUP(A1208,Sales_Fact!A1208:A3192,Sales_Fact!B1208:C3192)</f>
        <v>45216</v>
      </c>
      <c r="C1208" s="22" t="str">
        <v>CUST1010</v>
      </c>
      <c r="D1208" s="22" t="str">
        <f>VLOOKUP('Combine Products &amp; Sales Facts'!C1208,'Customer Details'!A:B,2,0)</f>
        <v>Dominic Page</v>
      </c>
      <c r="E1208" s="22" t="str">
        <f>VLOOKUP(C1208,Sales_Fact!C:D,2,0)</f>
        <v>PROD33</v>
      </c>
      <c r="F1208" s="22" t="str">
        <f>VLOOKUP(E1208,Product_Dim!A:C,3,0)</f>
        <v>Home</v>
      </c>
      <c r="G1208" s="22" t="str" cm="1">
        <f t="array" ref="G1208:L1208">_xlfn.XLOOKUP(C1208,Sales_Fact!C1208:C3192,Sales_Fact!E1208:J3192)</f>
        <v>STORE19</v>
      </c>
      <c r="H1208" s="22">
        <v>2</v>
      </c>
      <c r="I1208" s="22">
        <v>441.03</v>
      </c>
      <c r="J1208" s="22">
        <v>0.23</v>
      </c>
      <c r="K1208" s="22" t="str">
        <v>COD</v>
      </c>
      <c r="L1208" s="22">
        <v>679.18619999999999</v>
      </c>
    </row>
    <row r="1209" spans="1:12" x14ac:dyDescent="0.3">
      <c r="A1209" s="22" t="s">
        <v>3018</v>
      </c>
      <c r="B1209" s="34" cm="1">
        <f t="array" ref="B1209:C1209">_xlfn.XLOOKUP(A1209,Sales_Fact!A1209:A3193,Sales_Fact!B1209:C3193)</f>
        <v>45384</v>
      </c>
      <c r="C1209" s="22" t="str">
        <v>CUST1082</v>
      </c>
      <c r="D1209" s="22" t="str">
        <f>VLOOKUP('Combine Products &amp; Sales Facts'!C1209,'Customer Details'!A:B,2,0)</f>
        <v>George Rosario</v>
      </c>
      <c r="E1209" s="22" t="str">
        <f>VLOOKUP(C1209,Sales_Fact!C:D,2,0)</f>
        <v>PROD92</v>
      </c>
      <c r="F1209" s="22" t="str">
        <f>VLOOKUP(E1209,Product_Dim!A:C,3,0)</f>
        <v>Home</v>
      </c>
      <c r="G1209" s="22" t="str" cm="1">
        <f t="array" ref="G1209:L1209">_xlfn.XLOOKUP(C1209,Sales_Fact!C1209:C3193,Sales_Fact!E1209:J3193)</f>
        <v>STORE2</v>
      </c>
      <c r="H1209" s="22">
        <v>3</v>
      </c>
      <c r="I1209" s="22">
        <v>377.69</v>
      </c>
      <c r="J1209" s="22">
        <v>7.0000000000000007E-2</v>
      </c>
      <c r="K1209" s="22" t="str">
        <v>PayPal</v>
      </c>
      <c r="L1209" s="22">
        <v>1053.7551000000001</v>
      </c>
    </row>
    <row r="1210" spans="1:12" x14ac:dyDescent="0.3">
      <c r="A1210" s="22" t="s">
        <v>3019</v>
      </c>
      <c r="B1210" s="34" cm="1">
        <f t="array" ref="B1210:C1210">_xlfn.XLOOKUP(A1210,Sales_Fact!A1210:A3194,Sales_Fact!B1210:C3194)</f>
        <v>45416</v>
      </c>
      <c r="C1210" s="22" t="str">
        <v>CUST1160</v>
      </c>
      <c r="D1210" s="22" t="str">
        <f>VLOOKUP('Combine Products &amp; Sales Facts'!C1210,'Customer Details'!A:B,2,0)</f>
        <v>John Lawson</v>
      </c>
      <c r="E1210" s="22" t="str">
        <f>VLOOKUP(C1210,Sales_Fact!C:D,2,0)</f>
        <v>PROD47</v>
      </c>
      <c r="F1210" s="22" t="str">
        <f>VLOOKUP(E1210,Product_Dim!A:C,3,0)</f>
        <v>Beauty</v>
      </c>
      <c r="G1210" s="22" t="str" cm="1">
        <f t="array" ref="G1210:L1210">_xlfn.XLOOKUP(C1210,Sales_Fact!C1210:C3194,Sales_Fact!E1210:J3194)</f>
        <v>STORE7</v>
      </c>
      <c r="H1210" s="22">
        <v>1</v>
      </c>
      <c r="I1210" s="22">
        <v>457.33</v>
      </c>
      <c r="J1210" s="22">
        <v>0.27</v>
      </c>
      <c r="K1210" s="22" t="str">
        <v>Credit Card</v>
      </c>
      <c r="L1210" s="22">
        <v>333.85090000000002</v>
      </c>
    </row>
    <row r="1211" spans="1:12" x14ac:dyDescent="0.3">
      <c r="A1211" s="22" t="s">
        <v>3020</v>
      </c>
      <c r="B1211" s="34" cm="1">
        <f t="array" ref="B1211:C1211">_xlfn.XLOOKUP(A1211,Sales_Fact!A1211:A3195,Sales_Fact!B1211:C3195)</f>
        <v>45880</v>
      </c>
      <c r="C1211" s="22" t="str">
        <v>CUST1244</v>
      </c>
      <c r="D1211" s="22" t="str">
        <f>VLOOKUP('Combine Products &amp; Sales Facts'!C1211,'Customer Details'!A:B,2,0)</f>
        <v>Nancy Page</v>
      </c>
      <c r="E1211" s="22" t="str">
        <f>VLOOKUP(C1211,Sales_Fact!C:D,2,0)</f>
        <v>PROD50</v>
      </c>
      <c r="F1211" s="22" t="str">
        <f>VLOOKUP(E1211,Product_Dim!A:C,3,0)</f>
        <v>Sports</v>
      </c>
      <c r="G1211" s="22" t="str" cm="1">
        <f t="array" ref="G1211:L1211">_xlfn.XLOOKUP(C1211,Sales_Fact!C1211:C3195,Sales_Fact!E1211:J3195)</f>
        <v>STORE6</v>
      </c>
      <c r="H1211" s="22">
        <v>4</v>
      </c>
      <c r="I1211" s="22">
        <v>218.01</v>
      </c>
      <c r="J1211" s="22">
        <v>0.06</v>
      </c>
      <c r="K1211" s="22" t="str">
        <v>Credit Card</v>
      </c>
      <c r="L1211" s="22">
        <v>819.71759999999995</v>
      </c>
    </row>
    <row r="1212" spans="1:12" x14ac:dyDescent="0.3">
      <c r="A1212" s="22" t="s">
        <v>3021</v>
      </c>
      <c r="B1212" s="34" cm="1">
        <f t="array" ref="B1212:C1212">_xlfn.XLOOKUP(A1212,Sales_Fact!A1212:A3196,Sales_Fact!B1212:C3196)</f>
        <v>45933</v>
      </c>
      <c r="C1212" s="22" t="str">
        <v>CUST1218</v>
      </c>
      <c r="D1212" s="22" t="str">
        <f>VLOOKUP('Combine Products &amp; Sales Facts'!C1212,'Customer Details'!A:B,2,0)</f>
        <v>Julia Jackson</v>
      </c>
      <c r="E1212" s="22" t="str">
        <f>VLOOKUP(C1212,Sales_Fact!C:D,2,0)</f>
        <v>PROD16</v>
      </c>
      <c r="F1212" s="22" t="str">
        <f>VLOOKUP(E1212,Product_Dim!A:C,3,0)</f>
        <v>Beauty</v>
      </c>
      <c r="G1212" s="22" t="str" cm="1">
        <f t="array" ref="G1212:L1212">_xlfn.XLOOKUP(C1212,Sales_Fact!C1212:C3196,Sales_Fact!E1212:J3196)</f>
        <v>STORE18</v>
      </c>
      <c r="H1212" s="22">
        <v>2</v>
      </c>
      <c r="I1212" s="22">
        <v>682.7</v>
      </c>
      <c r="J1212" s="22">
        <v>0.13</v>
      </c>
      <c r="K1212" s="22" t="str">
        <v>Credit Card</v>
      </c>
      <c r="L1212" s="22">
        <v>1187.8979999999999</v>
      </c>
    </row>
    <row r="1213" spans="1:12" x14ac:dyDescent="0.3">
      <c r="A1213" s="22" t="s">
        <v>3022</v>
      </c>
      <c r="B1213" s="34" cm="1">
        <f t="array" ref="B1213:C1213">_xlfn.XLOOKUP(A1213,Sales_Fact!A1213:A3197,Sales_Fact!B1213:C3197)</f>
        <v>45345</v>
      </c>
      <c r="C1213" s="22" t="str">
        <v>CUST1323</v>
      </c>
      <c r="D1213" s="22" t="str">
        <f>VLOOKUP('Combine Products &amp; Sales Facts'!C1213,'Customer Details'!A:B,2,0)</f>
        <v>Kristy Dunlap</v>
      </c>
      <c r="E1213" s="22" t="str">
        <f>VLOOKUP(C1213,Sales_Fact!C:D,2,0)</f>
        <v>PROD49</v>
      </c>
      <c r="F1213" s="22" t="str">
        <f>VLOOKUP(E1213,Product_Dim!A:C,3,0)</f>
        <v>Beauty</v>
      </c>
      <c r="G1213" s="22" t="str" cm="1">
        <f t="array" ref="G1213:L1213">_xlfn.XLOOKUP(C1213,Sales_Fact!C1213:C3197,Sales_Fact!E1213:J3197)</f>
        <v>STORE18</v>
      </c>
      <c r="H1213" s="22">
        <v>3</v>
      </c>
      <c r="I1213" s="22">
        <v>726.97</v>
      </c>
      <c r="J1213" s="22">
        <v>0.04</v>
      </c>
      <c r="K1213" s="22" t="str">
        <v>PayPal</v>
      </c>
      <c r="L1213" s="22">
        <v>2093.6736000000001</v>
      </c>
    </row>
    <row r="1214" spans="1:12" x14ac:dyDescent="0.3">
      <c r="A1214" s="22" t="s">
        <v>3023</v>
      </c>
      <c r="B1214" s="34" cm="1">
        <f t="array" ref="B1214:C1214">_xlfn.XLOOKUP(A1214,Sales_Fact!A1214:A3198,Sales_Fact!B1214:C3198)</f>
        <v>45681</v>
      </c>
      <c r="C1214" s="22" t="str">
        <v>CUST1408</v>
      </c>
      <c r="D1214" s="22" t="str">
        <f>VLOOKUP('Combine Products &amp; Sales Facts'!C1214,'Customer Details'!A:B,2,0)</f>
        <v>Isabel Foster</v>
      </c>
      <c r="E1214" s="22" t="str">
        <f>VLOOKUP(C1214,Sales_Fact!C:D,2,0)</f>
        <v>PROD31</v>
      </c>
      <c r="F1214" s="22" t="str">
        <f>VLOOKUP(E1214,Product_Dim!A:C,3,0)</f>
        <v>Sports</v>
      </c>
      <c r="G1214" s="22" t="str" cm="1">
        <f t="array" ref="G1214:L1214">_xlfn.XLOOKUP(C1214,Sales_Fact!C1214:C3198,Sales_Fact!E1214:J3198)</f>
        <v>STORE9</v>
      </c>
      <c r="H1214" s="22">
        <v>2</v>
      </c>
      <c r="I1214" s="22">
        <v>107.97</v>
      </c>
      <c r="J1214" s="22">
        <v>0.06</v>
      </c>
      <c r="K1214" s="22" t="str">
        <v>Credit Card</v>
      </c>
      <c r="L1214" s="22">
        <v>202.9836</v>
      </c>
    </row>
    <row r="1215" spans="1:12" x14ac:dyDescent="0.3">
      <c r="A1215" s="22" t="s">
        <v>3024</v>
      </c>
      <c r="B1215" s="34" cm="1">
        <f t="array" ref="B1215:C1215">_xlfn.XLOOKUP(A1215,Sales_Fact!A1215:A3199,Sales_Fact!B1215:C3199)</f>
        <v>45785</v>
      </c>
      <c r="C1215" s="22" t="str">
        <v>CUST1007</v>
      </c>
      <c r="D1215" s="22" t="str">
        <f>VLOOKUP('Combine Products &amp; Sales Facts'!C1215,'Customer Details'!A:B,2,0)</f>
        <v>Daniel Boyd</v>
      </c>
      <c r="E1215" s="22" t="str">
        <f>VLOOKUP(C1215,Sales_Fact!C:D,2,0)</f>
        <v>PROD67</v>
      </c>
      <c r="F1215" s="22" t="str">
        <f>VLOOKUP(E1215,Product_Dim!A:C,3,0)</f>
        <v>Electronics</v>
      </c>
      <c r="G1215" s="22" t="str" cm="1">
        <f t="array" ref="G1215:L1215">_xlfn.XLOOKUP(C1215,Sales_Fact!C1215:C3199,Sales_Fact!E1215:J3199)</f>
        <v>STORE14</v>
      </c>
      <c r="H1215" s="22">
        <v>1</v>
      </c>
      <c r="I1215" s="22">
        <v>38.880000000000003</v>
      </c>
      <c r="J1215" s="22">
        <v>0.16</v>
      </c>
      <c r="K1215" s="22" t="str">
        <v>COD</v>
      </c>
      <c r="L1215" s="22">
        <v>32.659199999999998</v>
      </c>
    </row>
    <row r="1216" spans="1:12" x14ac:dyDescent="0.3">
      <c r="A1216" s="22" t="s">
        <v>3025</v>
      </c>
      <c r="B1216" s="34" cm="1">
        <f t="array" ref="B1216:C1216">_xlfn.XLOOKUP(A1216,Sales_Fact!A1216:A3200,Sales_Fact!B1216:C3200)</f>
        <v>45823</v>
      </c>
      <c r="C1216" s="22" t="str">
        <v>CUST1078</v>
      </c>
      <c r="D1216" s="22" t="str">
        <f>VLOOKUP('Combine Products &amp; Sales Facts'!C1216,'Customer Details'!A:B,2,0)</f>
        <v>Cody Blake</v>
      </c>
      <c r="E1216" s="22" t="str">
        <f>VLOOKUP(C1216,Sales_Fact!C:D,2,0)</f>
        <v>PROD45</v>
      </c>
      <c r="F1216" s="22" t="str">
        <f>VLOOKUP(E1216,Product_Dim!A:C,3,0)</f>
        <v>Sports</v>
      </c>
      <c r="G1216" s="22" t="str" cm="1">
        <f t="array" ref="G1216:L1216">_xlfn.XLOOKUP(C1216,Sales_Fact!C1216:C3200,Sales_Fact!E1216:J3200)</f>
        <v>STORE17</v>
      </c>
      <c r="H1216" s="22">
        <v>3</v>
      </c>
      <c r="I1216" s="22">
        <v>484.39</v>
      </c>
      <c r="J1216" s="22">
        <v>0.28999999999999998</v>
      </c>
      <c r="K1216" s="22" t="str">
        <v>COD</v>
      </c>
      <c r="L1216" s="22">
        <v>1031.7507000000001</v>
      </c>
    </row>
    <row r="1217" spans="1:12" x14ac:dyDescent="0.3">
      <c r="A1217" s="22" t="s">
        <v>3026</v>
      </c>
      <c r="B1217" s="34" cm="1">
        <f t="array" ref="B1217:C1217">_xlfn.XLOOKUP(A1217,Sales_Fact!A1217:A3201,Sales_Fact!B1217:C3201)</f>
        <v>45572</v>
      </c>
      <c r="C1217" s="22" t="str">
        <v>CUST1018</v>
      </c>
      <c r="D1217" s="22" t="str">
        <f>VLOOKUP('Combine Products &amp; Sales Facts'!C1217,'Customer Details'!A:B,2,0)</f>
        <v>Rhonda Moss</v>
      </c>
      <c r="E1217" s="22" t="str">
        <f>VLOOKUP(C1217,Sales_Fact!C:D,2,0)</f>
        <v>PROD80</v>
      </c>
      <c r="F1217" s="22" t="str">
        <f>VLOOKUP(E1217,Product_Dim!A:C,3,0)</f>
        <v>Home</v>
      </c>
      <c r="G1217" s="22" t="str" cm="1">
        <f t="array" ref="G1217:L1217">_xlfn.XLOOKUP(C1217,Sales_Fact!C1217:C3201,Sales_Fact!E1217:J3201)</f>
        <v>STORE15</v>
      </c>
      <c r="H1217" s="22">
        <v>2</v>
      </c>
      <c r="I1217" s="22">
        <v>949.3</v>
      </c>
      <c r="J1217" s="22">
        <v>0.08</v>
      </c>
      <c r="K1217" s="22" t="str">
        <v>COD</v>
      </c>
      <c r="L1217" s="22">
        <v>1746.712</v>
      </c>
    </row>
    <row r="1218" spans="1:12" x14ac:dyDescent="0.3">
      <c r="A1218" s="22" t="s">
        <v>3027</v>
      </c>
      <c r="B1218" s="34" cm="1">
        <f t="array" ref="B1218:C1218">_xlfn.XLOOKUP(A1218,Sales_Fact!A1218:A3202,Sales_Fact!B1218:C3202)</f>
        <v>45259</v>
      </c>
      <c r="C1218" s="22" t="str">
        <v>CUST1433</v>
      </c>
      <c r="D1218" s="22" t="str">
        <f>VLOOKUP('Combine Products &amp; Sales Facts'!C1218,'Customer Details'!A:B,2,0)</f>
        <v>Thomas Moore</v>
      </c>
      <c r="E1218" s="22" t="str">
        <f>VLOOKUP(C1218,Sales_Fact!C:D,2,0)</f>
        <v>PROD64</v>
      </c>
      <c r="F1218" s="22" t="str">
        <f>VLOOKUP(E1218,Product_Dim!A:C,3,0)</f>
        <v>Beauty</v>
      </c>
      <c r="G1218" s="22" t="str" cm="1">
        <f t="array" ref="G1218:L1218">_xlfn.XLOOKUP(C1218,Sales_Fact!C1218:C3202,Sales_Fact!E1218:J3202)</f>
        <v>STORE6</v>
      </c>
      <c r="H1218" s="22">
        <v>3</v>
      </c>
      <c r="I1218" s="22">
        <v>664.75</v>
      </c>
      <c r="J1218" s="22">
        <v>0.12</v>
      </c>
      <c r="K1218" s="22" t="str">
        <v>Credit Card</v>
      </c>
      <c r="L1218" s="22">
        <v>1754.94</v>
      </c>
    </row>
    <row r="1219" spans="1:12" x14ac:dyDescent="0.3">
      <c r="A1219" s="22" t="s">
        <v>3028</v>
      </c>
      <c r="B1219" s="34" cm="1">
        <f t="array" ref="B1219:C1219">_xlfn.XLOOKUP(A1219,Sales_Fact!A1219:A3203,Sales_Fact!B1219:C3203)</f>
        <v>45740</v>
      </c>
      <c r="C1219" s="22" t="str">
        <v>CUST1282</v>
      </c>
      <c r="D1219" s="22" t="str">
        <f>VLOOKUP('Combine Products &amp; Sales Facts'!C1219,'Customer Details'!A:B,2,0)</f>
        <v>Kristi Lopez</v>
      </c>
      <c r="E1219" s="22" t="str">
        <f>VLOOKUP(C1219,Sales_Fact!C:D,2,0)</f>
        <v>PROD91</v>
      </c>
      <c r="F1219" s="22" t="str">
        <f>VLOOKUP(E1219,Product_Dim!A:C,3,0)</f>
        <v>Clothing</v>
      </c>
      <c r="G1219" s="22" t="str" cm="1">
        <f t="array" ref="G1219:L1219">_xlfn.XLOOKUP(C1219,Sales_Fact!C1219:C3203,Sales_Fact!E1219:J3203)</f>
        <v>STORE17</v>
      </c>
      <c r="H1219" s="22">
        <v>3</v>
      </c>
      <c r="I1219" s="22">
        <v>190.04</v>
      </c>
      <c r="J1219" s="22">
        <v>7.0000000000000007E-2</v>
      </c>
      <c r="K1219" s="22" t="str">
        <v>PayPal</v>
      </c>
      <c r="L1219" s="22">
        <v>530.21159999999998</v>
      </c>
    </row>
    <row r="1220" spans="1:12" x14ac:dyDescent="0.3">
      <c r="A1220" s="22" t="s">
        <v>3029</v>
      </c>
      <c r="B1220" s="34" cm="1">
        <f t="array" ref="B1220:C1220">_xlfn.XLOOKUP(A1220,Sales_Fact!A1220:A3204,Sales_Fact!B1220:C3204)</f>
        <v>45869</v>
      </c>
      <c r="C1220" s="22" t="str">
        <v>CUST1277</v>
      </c>
      <c r="D1220" s="22" t="str">
        <f>VLOOKUP('Combine Products &amp; Sales Facts'!C1220,'Customer Details'!A:B,2,0)</f>
        <v>Jeffrey Gomez</v>
      </c>
      <c r="E1220" s="22" t="str">
        <f>VLOOKUP(C1220,Sales_Fact!C:D,2,0)</f>
        <v>PROD93</v>
      </c>
      <c r="F1220" s="22" t="str">
        <f>VLOOKUP(E1220,Product_Dim!A:C,3,0)</f>
        <v>Electronics</v>
      </c>
      <c r="G1220" s="22" t="str" cm="1">
        <f t="array" ref="G1220:L1220">_xlfn.XLOOKUP(C1220,Sales_Fact!C1220:C3204,Sales_Fact!E1220:J3204)</f>
        <v>STORE15</v>
      </c>
      <c r="H1220" s="22">
        <v>3</v>
      </c>
      <c r="I1220" s="22">
        <v>754.02</v>
      </c>
      <c r="J1220" s="22">
        <v>0.1</v>
      </c>
      <c r="K1220" s="22" t="str">
        <v>COD</v>
      </c>
      <c r="L1220" s="22">
        <v>2035.854</v>
      </c>
    </row>
    <row r="1221" spans="1:12" x14ac:dyDescent="0.3">
      <c r="A1221" s="22" t="s">
        <v>3030</v>
      </c>
      <c r="B1221" s="34" cm="1">
        <f t="array" ref="B1221:C1221">_xlfn.XLOOKUP(A1221,Sales_Fact!A1221:A3205,Sales_Fact!B1221:C3205)</f>
        <v>45526</v>
      </c>
      <c r="C1221" s="22" t="str">
        <v>CUST1384</v>
      </c>
      <c r="D1221" s="22" t="str">
        <f>VLOOKUP('Combine Products &amp; Sales Facts'!C1221,'Customer Details'!A:B,2,0)</f>
        <v>Andrew Mason</v>
      </c>
      <c r="E1221" s="22" t="str">
        <f>VLOOKUP(C1221,Sales_Fact!C:D,2,0)</f>
        <v>PROD74</v>
      </c>
      <c r="F1221" s="22" t="str">
        <f>VLOOKUP(E1221,Product_Dim!A:C,3,0)</f>
        <v>Electronics</v>
      </c>
      <c r="G1221" s="22" t="str" cm="1">
        <f t="array" ref="G1221:L1221">_xlfn.XLOOKUP(C1221,Sales_Fact!C1221:C3205,Sales_Fact!E1221:J3205)</f>
        <v>STORE12</v>
      </c>
      <c r="H1221" s="22">
        <v>4</v>
      </c>
      <c r="I1221" s="22">
        <v>94.13</v>
      </c>
      <c r="J1221" s="22">
        <v>0.04</v>
      </c>
      <c r="K1221" s="22" t="str">
        <v>COD</v>
      </c>
      <c r="L1221" s="22">
        <v>361.45920000000001</v>
      </c>
    </row>
    <row r="1222" spans="1:12" x14ac:dyDescent="0.3">
      <c r="A1222" s="22" t="s">
        <v>3031</v>
      </c>
      <c r="B1222" s="34" cm="1">
        <f t="array" ref="B1222:C1222">_xlfn.XLOOKUP(A1222,Sales_Fact!A1222:A3206,Sales_Fact!B1222:C3206)</f>
        <v>45489</v>
      </c>
      <c r="C1222" s="22" t="str">
        <v>CUST1468</v>
      </c>
      <c r="D1222" s="22" t="str">
        <f>VLOOKUP('Combine Products &amp; Sales Facts'!C1222,'Customer Details'!A:B,2,0)</f>
        <v>Gregory Curtis</v>
      </c>
      <c r="E1222" s="22" t="str">
        <f>VLOOKUP(C1222,Sales_Fact!C:D,2,0)</f>
        <v>PROD75</v>
      </c>
      <c r="F1222" s="22" t="str">
        <f>VLOOKUP(E1222,Product_Dim!A:C,3,0)</f>
        <v>Clothing</v>
      </c>
      <c r="G1222" s="22" t="str" cm="1">
        <f t="array" ref="G1222:L1222">_xlfn.XLOOKUP(C1222,Sales_Fact!C1222:C3206,Sales_Fact!E1222:J3206)</f>
        <v>STORE15</v>
      </c>
      <c r="H1222" s="22">
        <v>3</v>
      </c>
      <c r="I1222" s="22">
        <v>402.3</v>
      </c>
      <c r="J1222" s="22">
        <v>0.21</v>
      </c>
      <c r="K1222" s="22" t="str">
        <v>PayPal</v>
      </c>
      <c r="L1222" s="22">
        <v>953.45100000000014</v>
      </c>
    </row>
    <row r="1223" spans="1:12" x14ac:dyDescent="0.3">
      <c r="A1223" s="22" t="s">
        <v>3032</v>
      </c>
      <c r="B1223" s="34" cm="1">
        <f t="array" ref="B1223:C1223">_xlfn.XLOOKUP(A1223,Sales_Fact!A1223:A3207,Sales_Fact!B1223:C3207)</f>
        <v>45908</v>
      </c>
      <c r="C1223" s="22" t="str">
        <v>CUST1239</v>
      </c>
      <c r="D1223" s="22" t="str">
        <f>VLOOKUP('Combine Products &amp; Sales Facts'!C1223,'Customer Details'!A:B,2,0)</f>
        <v>Maria Hill</v>
      </c>
      <c r="E1223" s="22" t="str">
        <f>VLOOKUP(C1223,Sales_Fact!C:D,2,0)</f>
        <v>PROD19</v>
      </c>
      <c r="F1223" s="22" t="str">
        <f>VLOOKUP(E1223,Product_Dim!A:C,3,0)</f>
        <v>Sports</v>
      </c>
      <c r="G1223" s="22" t="str" cm="1">
        <f t="array" ref="G1223:L1223">_xlfn.XLOOKUP(C1223,Sales_Fact!C1223:C3207,Sales_Fact!E1223:J3207)</f>
        <v>STORE7</v>
      </c>
      <c r="H1223" s="22">
        <v>1</v>
      </c>
      <c r="I1223" s="22">
        <v>729.05</v>
      </c>
      <c r="J1223" s="22">
        <v>0.06</v>
      </c>
      <c r="K1223" s="22" t="str">
        <v>COD</v>
      </c>
      <c r="L1223" s="22">
        <v>685.3069999999999</v>
      </c>
    </row>
    <row r="1224" spans="1:12" x14ac:dyDescent="0.3">
      <c r="A1224" s="22" t="s">
        <v>3033</v>
      </c>
      <c r="B1224" s="34" cm="1">
        <f t="array" ref="B1224:C1224">_xlfn.XLOOKUP(A1224,Sales_Fact!A1224:A3208,Sales_Fact!B1224:C3208)</f>
        <v>45912</v>
      </c>
      <c r="C1224" s="22" t="str">
        <v>CUST1134</v>
      </c>
      <c r="D1224" s="22" t="str">
        <f>VLOOKUP('Combine Products &amp; Sales Facts'!C1224,'Customer Details'!A:B,2,0)</f>
        <v>Morgan Bowen</v>
      </c>
      <c r="E1224" s="22" t="str">
        <f>VLOOKUP(C1224,Sales_Fact!C:D,2,0)</f>
        <v>PROD70</v>
      </c>
      <c r="F1224" s="22" t="str">
        <f>VLOOKUP(E1224,Product_Dim!A:C,3,0)</f>
        <v>Home</v>
      </c>
      <c r="G1224" s="22" t="str" cm="1">
        <f t="array" ref="G1224:L1224">_xlfn.XLOOKUP(C1224,Sales_Fact!C1224:C3208,Sales_Fact!E1224:J3208)</f>
        <v>STORE13</v>
      </c>
      <c r="H1224" s="22">
        <v>1</v>
      </c>
      <c r="I1224" s="22">
        <v>822.6</v>
      </c>
      <c r="J1224" s="22">
        <v>0.28999999999999998</v>
      </c>
      <c r="K1224" s="22" t="str">
        <v>PayPal</v>
      </c>
      <c r="L1224" s="22">
        <v>584.04599999999994</v>
      </c>
    </row>
    <row r="1225" spans="1:12" x14ac:dyDescent="0.3">
      <c r="A1225" s="22" t="s">
        <v>3034</v>
      </c>
      <c r="B1225" s="34" cm="1">
        <f t="array" ref="B1225:C1225">_xlfn.XLOOKUP(A1225,Sales_Fact!A1225:A3209,Sales_Fact!B1225:C3209)</f>
        <v>45771</v>
      </c>
      <c r="C1225" s="22" t="str">
        <v>CUST1193</v>
      </c>
      <c r="D1225" s="22" t="str">
        <f>VLOOKUP('Combine Products &amp; Sales Facts'!C1225,'Customer Details'!A:B,2,0)</f>
        <v>David Roberts</v>
      </c>
      <c r="E1225" s="22" t="str">
        <f>VLOOKUP(C1225,Sales_Fact!C:D,2,0)</f>
        <v>PROD64</v>
      </c>
      <c r="F1225" s="22" t="str">
        <f>VLOOKUP(E1225,Product_Dim!A:C,3,0)</f>
        <v>Beauty</v>
      </c>
      <c r="G1225" s="22" t="str" cm="1">
        <f t="array" ref="G1225:L1225">_xlfn.XLOOKUP(C1225,Sales_Fact!C1225:C3209,Sales_Fact!E1225:J3209)</f>
        <v>STORE8</v>
      </c>
      <c r="H1225" s="22">
        <v>2</v>
      </c>
      <c r="I1225" s="22">
        <v>327.25</v>
      </c>
      <c r="J1225" s="22">
        <v>0.19</v>
      </c>
      <c r="K1225" s="22" t="str">
        <v>PayPal</v>
      </c>
      <c r="L1225" s="22">
        <v>530.14499999999998</v>
      </c>
    </row>
    <row r="1226" spans="1:12" x14ac:dyDescent="0.3">
      <c r="A1226" s="22" t="s">
        <v>3035</v>
      </c>
      <c r="B1226" s="34" cm="1">
        <f t="array" ref="B1226:C1226">_xlfn.XLOOKUP(A1226,Sales_Fact!A1226:A3210,Sales_Fact!B1226:C3210)</f>
        <v>45619</v>
      </c>
      <c r="C1226" s="22" t="str">
        <v>CUST1084</v>
      </c>
      <c r="D1226" s="22" t="str">
        <f>VLOOKUP('Combine Products &amp; Sales Facts'!C1226,'Customer Details'!A:B,2,0)</f>
        <v>Christy Hoffman</v>
      </c>
      <c r="E1226" s="22" t="str">
        <f>VLOOKUP(C1226,Sales_Fact!C:D,2,0)</f>
        <v>PROD25</v>
      </c>
      <c r="F1226" s="22" t="str">
        <f>VLOOKUP(E1226,Product_Dim!A:C,3,0)</f>
        <v>Clothing</v>
      </c>
      <c r="G1226" s="22" t="str" cm="1">
        <f t="array" ref="G1226:L1226">_xlfn.XLOOKUP(C1226,Sales_Fact!C1226:C3210,Sales_Fact!E1226:J3210)</f>
        <v>STORE9</v>
      </c>
      <c r="H1226" s="22">
        <v>4</v>
      </c>
      <c r="I1226" s="22">
        <v>930.38</v>
      </c>
      <c r="J1226" s="22">
        <v>0</v>
      </c>
      <c r="K1226" s="22" t="str">
        <v>COD</v>
      </c>
      <c r="L1226" s="22">
        <v>3721.52</v>
      </c>
    </row>
    <row r="1227" spans="1:12" x14ac:dyDescent="0.3">
      <c r="A1227" s="22" t="s">
        <v>3036</v>
      </c>
      <c r="B1227" s="34" cm="1">
        <f t="array" ref="B1227:C1227">_xlfn.XLOOKUP(A1227,Sales_Fact!A1227:A3211,Sales_Fact!B1227:C3211)</f>
        <v>45394</v>
      </c>
      <c r="C1227" s="22" t="str">
        <v>CUST1144</v>
      </c>
      <c r="D1227" s="22" t="str">
        <f>VLOOKUP('Combine Products &amp; Sales Facts'!C1227,'Customer Details'!A:B,2,0)</f>
        <v>Justin Cross</v>
      </c>
      <c r="E1227" s="22" t="str">
        <f>VLOOKUP(C1227,Sales_Fact!C:D,2,0)</f>
        <v>PROD72</v>
      </c>
      <c r="F1227" s="22" t="str">
        <f>VLOOKUP(E1227,Product_Dim!A:C,3,0)</f>
        <v>Sports</v>
      </c>
      <c r="G1227" s="22" t="str" cm="1">
        <f t="array" ref="G1227:L1227">_xlfn.XLOOKUP(C1227,Sales_Fact!C1227:C3211,Sales_Fact!E1227:J3211)</f>
        <v>STORE5</v>
      </c>
      <c r="H1227" s="22">
        <v>2</v>
      </c>
      <c r="I1227" s="22">
        <v>437.84</v>
      </c>
      <c r="J1227" s="22">
        <v>0.24</v>
      </c>
      <c r="K1227" s="22" t="str">
        <v>Credit Card</v>
      </c>
      <c r="L1227" s="22">
        <v>665.51679999999999</v>
      </c>
    </row>
    <row r="1228" spans="1:12" x14ac:dyDescent="0.3">
      <c r="A1228" s="22" t="s">
        <v>3037</v>
      </c>
      <c r="B1228" s="34" cm="1">
        <f t="array" ref="B1228:C1228">_xlfn.XLOOKUP(A1228,Sales_Fact!A1228:A3212,Sales_Fact!B1228:C3212)</f>
        <v>45786</v>
      </c>
      <c r="C1228" s="22" t="str">
        <v>CUST1070</v>
      </c>
      <c r="D1228" s="22" t="str">
        <f>VLOOKUP('Combine Products &amp; Sales Facts'!C1228,'Customer Details'!A:B,2,0)</f>
        <v>Eric Singh</v>
      </c>
      <c r="E1228" s="22" t="str">
        <f>VLOOKUP(C1228,Sales_Fact!C:D,2,0)</f>
        <v>PROD78</v>
      </c>
      <c r="F1228" s="22" t="str">
        <f>VLOOKUP(E1228,Product_Dim!A:C,3,0)</f>
        <v>Home</v>
      </c>
      <c r="G1228" s="22" t="str" cm="1">
        <f t="array" ref="G1228:L1228">_xlfn.XLOOKUP(C1228,Sales_Fact!C1228:C3212,Sales_Fact!E1228:J3212)</f>
        <v>STORE16</v>
      </c>
      <c r="H1228" s="22">
        <v>2</v>
      </c>
      <c r="I1228" s="22">
        <v>126.02</v>
      </c>
      <c r="J1228" s="22">
        <v>0.09</v>
      </c>
      <c r="K1228" s="22" t="str">
        <v>COD</v>
      </c>
      <c r="L1228" s="22">
        <v>229.35640000000001</v>
      </c>
    </row>
    <row r="1229" spans="1:12" x14ac:dyDescent="0.3">
      <c r="A1229" s="22" t="s">
        <v>3038</v>
      </c>
      <c r="B1229" s="34" cm="1">
        <f t="array" ref="B1229:C1229">_xlfn.XLOOKUP(A1229,Sales_Fact!A1229:A3213,Sales_Fact!B1229:C3213)</f>
        <v>45692</v>
      </c>
      <c r="C1229" s="22" t="str">
        <v>CUST1437</v>
      </c>
      <c r="D1229" s="22" t="str">
        <f>VLOOKUP('Combine Products &amp; Sales Facts'!C1229,'Customer Details'!A:B,2,0)</f>
        <v>Melinda Rivera</v>
      </c>
      <c r="E1229" s="22" t="str">
        <f>VLOOKUP(C1229,Sales_Fact!C:D,2,0)</f>
        <v>PROD88</v>
      </c>
      <c r="F1229" s="22" t="str">
        <f>VLOOKUP(E1229,Product_Dim!A:C,3,0)</f>
        <v>Sports</v>
      </c>
      <c r="G1229" s="22" t="str" cm="1">
        <f t="array" ref="G1229:L1229">_xlfn.XLOOKUP(C1229,Sales_Fact!C1229:C3213,Sales_Fact!E1229:J3213)</f>
        <v>STORE15</v>
      </c>
      <c r="H1229" s="22">
        <v>1</v>
      </c>
      <c r="I1229" s="22">
        <v>860.84</v>
      </c>
      <c r="J1229" s="22">
        <v>7.0000000000000007E-2</v>
      </c>
      <c r="K1229" s="22" t="str">
        <v>PayPal</v>
      </c>
      <c r="L1229" s="22">
        <v>800.58119999999997</v>
      </c>
    </row>
    <row r="1230" spans="1:12" x14ac:dyDescent="0.3">
      <c r="A1230" s="22" t="s">
        <v>3039</v>
      </c>
      <c r="B1230" s="34" cm="1">
        <f t="array" ref="B1230:C1230">_xlfn.XLOOKUP(A1230,Sales_Fact!A1230:A3214,Sales_Fact!B1230:C3214)</f>
        <v>45677</v>
      </c>
      <c r="C1230" s="22" t="str">
        <v>CUST1093</v>
      </c>
      <c r="D1230" s="22" t="str">
        <f>VLOOKUP('Combine Products &amp; Sales Facts'!C1230,'Customer Details'!A:B,2,0)</f>
        <v>Christy Vasquez</v>
      </c>
      <c r="E1230" s="22" t="str">
        <f>VLOOKUP(C1230,Sales_Fact!C:D,2,0)</f>
        <v>PROD5</v>
      </c>
      <c r="F1230" s="22" t="str">
        <f>VLOOKUP(E1230,Product_Dim!A:C,3,0)</f>
        <v>Clothing</v>
      </c>
      <c r="G1230" s="22" t="str" cm="1">
        <f t="array" ref="G1230:L1230">_xlfn.XLOOKUP(C1230,Sales_Fact!C1230:C3214,Sales_Fact!E1230:J3214)</f>
        <v>STORE13</v>
      </c>
      <c r="H1230" s="22">
        <v>1</v>
      </c>
      <c r="I1230" s="22">
        <v>161.80000000000001</v>
      </c>
      <c r="J1230" s="22">
        <v>0.24</v>
      </c>
      <c r="K1230" s="22" t="str">
        <v>PayPal</v>
      </c>
      <c r="L1230" s="22">
        <v>122.968</v>
      </c>
    </row>
    <row r="1231" spans="1:12" x14ac:dyDescent="0.3">
      <c r="A1231" s="22" t="s">
        <v>3040</v>
      </c>
      <c r="B1231" s="34" cm="1">
        <f t="array" ref="B1231:C1231">_xlfn.XLOOKUP(A1231,Sales_Fact!A1231:A3215,Sales_Fact!B1231:C3215)</f>
        <v>45669</v>
      </c>
      <c r="C1231" s="22" t="str">
        <v>CUST1385</v>
      </c>
      <c r="D1231" s="22" t="str">
        <f>VLOOKUP('Combine Products &amp; Sales Facts'!C1231,'Customer Details'!A:B,2,0)</f>
        <v>Tammy Brennan</v>
      </c>
      <c r="E1231" s="22" t="str">
        <f>VLOOKUP(C1231,Sales_Fact!C:D,2,0)</f>
        <v>PROD68</v>
      </c>
      <c r="F1231" s="22" t="str">
        <f>VLOOKUP(E1231,Product_Dim!A:C,3,0)</f>
        <v>Home</v>
      </c>
      <c r="G1231" s="22" t="str" cm="1">
        <f t="array" ref="G1231:L1231">_xlfn.XLOOKUP(C1231,Sales_Fact!C1231:C3215,Sales_Fact!E1231:J3215)</f>
        <v>STORE17</v>
      </c>
      <c r="H1231" s="22">
        <v>4</v>
      </c>
      <c r="I1231" s="22">
        <v>347.82</v>
      </c>
      <c r="J1231" s="22">
        <v>0.02</v>
      </c>
      <c r="K1231" s="22" t="str">
        <v>COD</v>
      </c>
      <c r="L1231" s="22">
        <v>1363.4544000000001</v>
      </c>
    </row>
    <row r="1232" spans="1:12" x14ac:dyDescent="0.3">
      <c r="A1232" s="22" t="s">
        <v>3041</v>
      </c>
      <c r="B1232" s="34" cm="1">
        <f t="array" ref="B1232:C1232">_xlfn.XLOOKUP(A1232,Sales_Fact!A1232:A3216,Sales_Fact!B1232:C3216)</f>
        <v>45299</v>
      </c>
      <c r="C1232" s="22" t="str">
        <v>CUST1453</v>
      </c>
      <c r="D1232" s="22" t="str">
        <f>VLOOKUP('Combine Products &amp; Sales Facts'!C1232,'Customer Details'!A:B,2,0)</f>
        <v>April Phillips</v>
      </c>
      <c r="E1232" s="22" t="str">
        <f>VLOOKUP(C1232,Sales_Fact!C:D,2,0)</f>
        <v>PROD12</v>
      </c>
      <c r="F1232" s="22" t="str">
        <f>VLOOKUP(E1232,Product_Dim!A:C,3,0)</f>
        <v>Beauty</v>
      </c>
      <c r="G1232" s="22" t="str" cm="1">
        <f t="array" ref="G1232:L1232">_xlfn.XLOOKUP(C1232,Sales_Fact!C1232:C3216,Sales_Fact!E1232:J3216)</f>
        <v>STORE16</v>
      </c>
      <c r="H1232" s="22">
        <v>3</v>
      </c>
      <c r="I1232" s="22">
        <v>416.44</v>
      </c>
      <c r="J1232" s="22">
        <v>0.27</v>
      </c>
      <c r="K1232" s="22" t="str">
        <v>Credit Card</v>
      </c>
      <c r="L1232" s="22">
        <v>912.00359999999989</v>
      </c>
    </row>
    <row r="1233" spans="1:12" x14ac:dyDescent="0.3">
      <c r="A1233" s="22" t="s">
        <v>3042</v>
      </c>
      <c r="B1233" s="34" cm="1">
        <f t="array" ref="B1233:C1233">_xlfn.XLOOKUP(A1233,Sales_Fact!A1233:A3217,Sales_Fact!B1233:C3217)</f>
        <v>45893</v>
      </c>
      <c r="C1233" s="22" t="str">
        <v>CUST1005</v>
      </c>
      <c r="D1233" s="22" t="str">
        <f>VLOOKUP('Combine Products &amp; Sales Facts'!C1233,'Customer Details'!A:B,2,0)</f>
        <v>Christine Vaughn</v>
      </c>
      <c r="E1233" s="22" t="str">
        <f>VLOOKUP(C1233,Sales_Fact!C:D,2,0)</f>
        <v>PROD61</v>
      </c>
      <c r="F1233" s="22" t="str">
        <f>VLOOKUP(E1233,Product_Dim!A:C,3,0)</f>
        <v>Sports</v>
      </c>
      <c r="G1233" s="22" t="str" cm="1">
        <f t="array" ref="G1233:L1233">_xlfn.XLOOKUP(C1233,Sales_Fact!C1233:C3217,Sales_Fact!E1233:J3217)</f>
        <v>STORE0</v>
      </c>
      <c r="H1233" s="22">
        <v>1</v>
      </c>
      <c r="I1233" s="22">
        <v>147.96</v>
      </c>
      <c r="J1233" s="22">
        <v>0.24</v>
      </c>
      <c r="K1233" s="22" t="str">
        <v>COD</v>
      </c>
      <c r="L1233" s="22">
        <v>112.4496</v>
      </c>
    </row>
    <row r="1234" spans="1:12" x14ac:dyDescent="0.3">
      <c r="A1234" s="22" t="s">
        <v>3043</v>
      </c>
      <c r="B1234" s="34" cm="1">
        <f t="array" ref="B1234:C1234">_xlfn.XLOOKUP(A1234,Sales_Fact!A1234:A3218,Sales_Fact!B1234:C3218)</f>
        <v>45560</v>
      </c>
      <c r="C1234" s="22" t="str">
        <v>CUST1445</v>
      </c>
      <c r="D1234" s="22" t="str">
        <f>VLOOKUP('Combine Products &amp; Sales Facts'!C1234,'Customer Details'!A:B,2,0)</f>
        <v>Gene Lee</v>
      </c>
      <c r="E1234" s="22" t="str">
        <f>VLOOKUP(C1234,Sales_Fact!C:D,2,0)</f>
        <v>PROD2</v>
      </c>
      <c r="F1234" s="22" t="str">
        <f>VLOOKUP(E1234,Product_Dim!A:C,3,0)</f>
        <v>Clothing</v>
      </c>
      <c r="G1234" s="22" t="str" cm="1">
        <f t="array" ref="G1234:L1234">_xlfn.XLOOKUP(C1234,Sales_Fact!C1234:C3218,Sales_Fact!E1234:J3218)</f>
        <v>STORE8</v>
      </c>
      <c r="H1234" s="22">
        <v>3</v>
      </c>
      <c r="I1234" s="22">
        <v>550.26</v>
      </c>
      <c r="J1234" s="22">
        <v>0.22</v>
      </c>
      <c r="K1234" s="22" t="str">
        <v>Credit Card</v>
      </c>
      <c r="L1234" s="22">
        <v>1287.6084000000001</v>
      </c>
    </row>
    <row r="1235" spans="1:12" x14ac:dyDescent="0.3">
      <c r="A1235" s="22" t="s">
        <v>3044</v>
      </c>
      <c r="B1235" s="34" cm="1">
        <f t="array" ref="B1235:C1235">_xlfn.XLOOKUP(A1235,Sales_Fact!A1235:A3219,Sales_Fact!B1235:C3219)</f>
        <v>45267</v>
      </c>
      <c r="C1235" s="22" t="str">
        <v>CUST1371</v>
      </c>
      <c r="D1235" s="22" t="str">
        <f>VLOOKUP('Combine Products &amp; Sales Facts'!C1235,'Customer Details'!A:B,2,0)</f>
        <v>Michael Garner</v>
      </c>
      <c r="E1235" s="22" t="str">
        <f>VLOOKUP(C1235,Sales_Fact!C:D,2,0)</f>
        <v>PROD67</v>
      </c>
      <c r="F1235" s="22" t="str">
        <f>VLOOKUP(E1235,Product_Dim!A:C,3,0)</f>
        <v>Electronics</v>
      </c>
      <c r="G1235" s="22" t="str" cm="1">
        <f t="array" ref="G1235:L1235">_xlfn.XLOOKUP(C1235,Sales_Fact!C1235:C3219,Sales_Fact!E1235:J3219)</f>
        <v>STORE7</v>
      </c>
      <c r="H1235" s="22">
        <v>4</v>
      </c>
      <c r="I1235" s="22">
        <v>938.21</v>
      </c>
      <c r="J1235" s="22">
        <v>0.04</v>
      </c>
      <c r="K1235" s="22" t="str">
        <v>PayPal</v>
      </c>
      <c r="L1235" s="22">
        <v>3602.7264</v>
      </c>
    </row>
    <row r="1236" spans="1:12" x14ac:dyDescent="0.3">
      <c r="A1236" s="22" t="s">
        <v>3045</v>
      </c>
      <c r="B1236" s="34" cm="1">
        <f t="array" ref="B1236:C1236">_xlfn.XLOOKUP(A1236,Sales_Fact!A1236:A3220,Sales_Fact!B1236:C3220)</f>
        <v>45467</v>
      </c>
      <c r="C1236" s="22" t="str">
        <v>CUST1134</v>
      </c>
      <c r="D1236" s="22" t="str">
        <f>VLOOKUP('Combine Products &amp; Sales Facts'!C1236,'Customer Details'!A:B,2,0)</f>
        <v>Morgan Bowen</v>
      </c>
      <c r="E1236" s="22" t="str">
        <f>VLOOKUP(C1236,Sales_Fact!C:D,2,0)</f>
        <v>PROD70</v>
      </c>
      <c r="F1236" s="22" t="str">
        <f>VLOOKUP(E1236,Product_Dim!A:C,3,0)</f>
        <v>Home</v>
      </c>
      <c r="G1236" s="22" t="str" cm="1">
        <f t="array" ref="G1236:L1236">_xlfn.XLOOKUP(C1236,Sales_Fact!C1236:C3220,Sales_Fact!E1236:J3220)</f>
        <v>STORE16</v>
      </c>
      <c r="H1236" s="22">
        <v>3</v>
      </c>
      <c r="I1236" s="22">
        <v>517.98</v>
      </c>
      <c r="J1236" s="22">
        <v>0.01</v>
      </c>
      <c r="K1236" s="22" t="str">
        <v>PayPal</v>
      </c>
      <c r="L1236" s="22">
        <v>1538.4005999999999</v>
      </c>
    </row>
    <row r="1237" spans="1:12" x14ac:dyDescent="0.3">
      <c r="A1237" s="22" t="s">
        <v>3046</v>
      </c>
      <c r="B1237" s="34" cm="1">
        <f t="array" ref="B1237:C1237">_xlfn.XLOOKUP(A1237,Sales_Fact!A1237:A3221,Sales_Fact!B1237:C3221)</f>
        <v>45847</v>
      </c>
      <c r="C1237" s="22" t="str">
        <v>CUST1036</v>
      </c>
      <c r="D1237" s="22" t="str">
        <f>VLOOKUP('Combine Products &amp; Sales Facts'!C1237,'Customer Details'!A:B,2,0)</f>
        <v>Thomas Phillips</v>
      </c>
      <c r="E1237" s="22" t="str">
        <f>VLOOKUP(C1237,Sales_Fact!C:D,2,0)</f>
        <v>PROD90</v>
      </c>
      <c r="F1237" s="22" t="str">
        <f>VLOOKUP(E1237,Product_Dim!A:C,3,0)</f>
        <v>Electronics</v>
      </c>
      <c r="G1237" s="22" t="str" cm="1">
        <f t="array" ref="G1237:L1237">_xlfn.XLOOKUP(C1237,Sales_Fact!C1237:C3221,Sales_Fact!E1237:J3221)</f>
        <v>STORE8</v>
      </c>
      <c r="H1237" s="22">
        <v>1</v>
      </c>
      <c r="I1237" s="22">
        <v>98.27</v>
      </c>
      <c r="J1237" s="22">
        <v>0.16</v>
      </c>
      <c r="K1237" s="22" t="str">
        <v>PayPal</v>
      </c>
      <c r="L1237" s="22">
        <v>82.54679999999999</v>
      </c>
    </row>
    <row r="1238" spans="1:12" x14ac:dyDescent="0.3">
      <c r="A1238" s="22" t="s">
        <v>3047</v>
      </c>
      <c r="B1238" s="34" cm="1">
        <f t="array" ref="B1238:C1238">_xlfn.XLOOKUP(A1238,Sales_Fact!A1238:A3222,Sales_Fact!B1238:C3222)</f>
        <v>45480</v>
      </c>
      <c r="C1238" s="22" t="str">
        <v>CUST1251</v>
      </c>
      <c r="D1238" s="22" t="str">
        <f>VLOOKUP('Combine Products &amp; Sales Facts'!C1238,'Customer Details'!A:B,2,0)</f>
        <v>Tyler Garner</v>
      </c>
      <c r="E1238" s="22" t="str">
        <f>VLOOKUP(C1238,Sales_Fact!C:D,2,0)</f>
        <v>PROD9</v>
      </c>
      <c r="F1238" s="22" t="str">
        <f>VLOOKUP(E1238,Product_Dim!A:C,3,0)</f>
        <v>Sports</v>
      </c>
      <c r="G1238" s="22" t="str" cm="1">
        <f t="array" ref="G1238:L1238">_xlfn.XLOOKUP(C1238,Sales_Fact!C1238:C3222,Sales_Fact!E1238:J3222)</f>
        <v>STORE11</v>
      </c>
      <c r="H1238" s="22">
        <v>2</v>
      </c>
      <c r="I1238" s="22">
        <v>875.2</v>
      </c>
      <c r="J1238" s="22">
        <v>0.19</v>
      </c>
      <c r="K1238" s="22" t="str">
        <v>Credit Card</v>
      </c>
      <c r="L1238" s="22">
        <v>1417.8240000000001</v>
      </c>
    </row>
    <row r="1239" spans="1:12" x14ac:dyDescent="0.3">
      <c r="A1239" s="22" t="s">
        <v>3048</v>
      </c>
      <c r="B1239" s="34" cm="1">
        <f t="array" ref="B1239:C1239">_xlfn.XLOOKUP(A1239,Sales_Fact!A1239:A3223,Sales_Fact!B1239:C3223)</f>
        <v>45345</v>
      </c>
      <c r="C1239" s="22" t="str">
        <v>CUST1305</v>
      </c>
      <c r="D1239" s="22" t="str">
        <f>VLOOKUP('Combine Products &amp; Sales Facts'!C1239,'Customer Details'!A:B,2,0)</f>
        <v>Roberta Green</v>
      </c>
      <c r="E1239" s="22" t="str">
        <f>VLOOKUP(C1239,Sales_Fact!C:D,2,0)</f>
        <v>PROD28</v>
      </c>
      <c r="F1239" s="22" t="str">
        <f>VLOOKUP(E1239,Product_Dim!A:C,3,0)</f>
        <v>Sports</v>
      </c>
      <c r="G1239" s="22" t="str" cm="1">
        <f t="array" ref="G1239:L1239">_xlfn.XLOOKUP(C1239,Sales_Fact!C1239:C3223,Sales_Fact!E1239:J3223)</f>
        <v>STORE0</v>
      </c>
      <c r="H1239" s="22">
        <v>1</v>
      </c>
      <c r="I1239" s="22">
        <v>227.35</v>
      </c>
      <c r="J1239" s="22">
        <v>0.06</v>
      </c>
      <c r="K1239" s="22" t="str">
        <v>COD</v>
      </c>
      <c r="L1239" s="22">
        <v>213.709</v>
      </c>
    </row>
    <row r="1240" spans="1:12" x14ac:dyDescent="0.3">
      <c r="A1240" s="22" t="s">
        <v>3049</v>
      </c>
      <c r="B1240" s="34" cm="1">
        <f t="array" ref="B1240:C1240">_xlfn.XLOOKUP(A1240,Sales_Fact!A1240:A3224,Sales_Fact!B1240:C3224)</f>
        <v>45235</v>
      </c>
      <c r="C1240" s="22" t="str">
        <v>CUST1210</v>
      </c>
      <c r="D1240" s="22" t="str">
        <f>VLOOKUP('Combine Products &amp; Sales Facts'!C1240,'Customer Details'!A:B,2,0)</f>
        <v>Antonio Jones</v>
      </c>
      <c r="E1240" s="22" t="str">
        <f>VLOOKUP(C1240,Sales_Fact!C:D,2,0)</f>
        <v>PROD60</v>
      </c>
      <c r="F1240" s="22" t="str">
        <f>VLOOKUP(E1240,Product_Dim!A:C,3,0)</f>
        <v>Beauty</v>
      </c>
      <c r="G1240" s="22" t="str" cm="1">
        <f t="array" ref="G1240:L1240">_xlfn.XLOOKUP(C1240,Sales_Fact!C1240:C3224,Sales_Fact!E1240:J3224)</f>
        <v>STORE1</v>
      </c>
      <c r="H1240" s="22">
        <v>1</v>
      </c>
      <c r="I1240" s="22">
        <v>842.46</v>
      </c>
      <c r="J1240" s="22">
        <v>0.05</v>
      </c>
      <c r="K1240" s="22" t="str">
        <v>COD</v>
      </c>
      <c r="L1240" s="22">
        <v>800.33699999999999</v>
      </c>
    </row>
    <row r="1241" spans="1:12" x14ac:dyDescent="0.3">
      <c r="A1241" s="22" t="s">
        <v>3050</v>
      </c>
      <c r="B1241" s="34" cm="1">
        <f t="array" ref="B1241:C1241">_xlfn.XLOOKUP(A1241,Sales_Fact!A1241:A3225,Sales_Fact!B1241:C3225)</f>
        <v>45543</v>
      </c>
      <c r="C1241" s="22" t="str">
        <v>CUST1212</v>
      </c>
      <c r="D1241" s="22" t="str">
        <f>VLOOKUP('Combine Products &amp; Sales Facts'!C1241,'Customer Details'!A:B,2,0)</f>
        <v>Blake Harrison</v>
      </c>
      <c r="E1241" s="22" t="str">
        <f>VLOOKUP(C1241,Sales_Fact!C:D,2,0)</f>
        <v>PROD13</v>
      </c>
      <c r="F1241" s="22" t="str">
        <f>VLOOKUP(E1241,Product_Dim!A:C,3,0)</f>
        <v>Electronics</v>
      </c>
      <c r="G1241" s="22" t="str" cm="1">
        <f t="array" ref="G1241:L1241">_xlfn.XLOOKUP(C1241,Sales_Fact!C1241:C3225,Sales_Fact!E1241:J3225)</f>
        <v>STORE11</v>
      </c>
      <c r="H1241" s="22">
        <v>3</v>
      </c>
      <c r="I1241" s="22">
        <v>120.67</v>
      </c>
      <c r="J1241" s="22">
        <v>0.08</v>
      </c>
      <c r="K1241" s="22" t="str">
        <v>COD</v>
      </c>
      <c r="L1241" s="22">
        <v>333.04919999999998</v>
      </c>
    </row>
    <row r="1242" spans="1:12" x14ac:dyDescent="0.3">
      <c r="A1242" s="22" t="s">
        <v>3051</v>
      </c>
      <c r="B1242" s="34" cm="1">
        <f t="array" ref="B1242:C1242">_xlfn.XLOOKUP(A1242,Sales_Fact!A1242:A3226,Sales_Fact!B1242:C3226)</f>
        <v>45402</v>
      </c>
      <c r="C1242" s="22" t="str">
        <v>CUST1497</v>
      </c>
      <c r="D1242" s="22" t="str">
        <f>VLOOKUP('Combine Products &amp; Sales Facts'!C1242,'Customer Details'!A:B,2,0)</f>
        <v>Sarah Marsh</v>
      </c>
      <c r="E1242" s="22" t="str">
        <f>VLOOKUP(C1242,Sales_Fact!C:D,2,0)</f>
        <v>PROD33</v>
      </c>
      <c r="F1242" s="22" t="str">
        <f>VLOOKUP(E1242,Product_Dim!A:C,3,0)</f>
        <v>Home</v>
      </c>
      <c r="G1242" s="22" t="str" cm="1">
        <f t="array" ref="G1242:L1242">_xlfn.XLOOKUP(C1242,Sales_Fact!C1242:C3226,Sales_Fact!E1242:J3226)</f>
        <v>STORE3</v>
      </c>
      <c r="H1242" s="22">
        <v>4</v>
      </c>
      <c r="I1242" s="22">
        <v>176.13</v>
      </c>
      <c r="J1242" s="22">
        <v>0.27</v>
      </c>
      <c r="K1242" s="22" t="str">
        <v>PayPal</v>
      </c>
      <c r="L1242" s="22">
        <v>514.29959999999994</v>
      </c>
    </row>
    <row r="1243" spans="1:12" x14ac:dyDescent="0.3">
      <c r="A1243" s="22" t="s">
        <v>3052</v>
      </c>
      <c r="B1243" s="34" cm="1">
        <f t="array" ref="B1243:C1243">_xlfn.XLOOKUP(A1243,Sales_Fact!A1243:A3227,Sales_Fact!B1243:C3227)</f>
        <v>45671</v>
      </c>
      <c r="C1243" s="22" t="str">
        <v>CUST1450</v>
      </c>
      <c r="D1243" s="22" t="str">
        <f>VLOOKUP('Combine Products &amp; Sales Facts'!C1243,'Customer Details'!A:B,2,0)</f>
        <v>Shane Mills</v>
      </c>
      <c r="E1243" s="22" t="str">
        <f>VLOOKUP(C1243,Sales_Fact!C:D,2,0)</f>
        <v>PROD63</v>
      </c>
      <c r="F1243" s="22" t="str">
        <f>VLOOKUP(E1243,Product_Dim!A:C,3,0)</f>
        <v>Beauty</v>
      </c>
      <c r="G1243" s="22" t="str" cm="1">
        <f t="array" ref="G1243:L1243">_xlfn.XLOOKUP(C1243,Sales_Fact!C1243:C3227,Sales_Fact!E1243:J3227)</f>
        <v>STORE11</v>
      </c>
      <c r="H1243" s="22">
        <v>4</v>
      </c>
      <c r="I1243" s="22">
        <v>592.67999999999995</v>
      </c>
      <c r="J1243" s="22">
        <v>0.03</v>
      </c>
      <c r="K1243" s="22" t="str">
        <v>Credit Card</v>
      </c>
      <c r="L1243" s="22">
        <v>2299.5983999999999</v>
      </c>
    </row>
    <row r="1244" spans="1:12" x14ac:dyDescent="0.3">
      <c r="A1244" s="22" t="s">
        <v>3053</v>
      </c>
      <c r="B1244" s="34" cm="1">
        <f t="array" ref="B1244:C1244">_xlfn.XLOOKUP(A1244,Sales_Fact!A1244:A3228,Sales_Fact!B1244:C3228)</f>
        <v>45367</v>
      </c>
      <c r="C1244" s="22" t="str">
        <v>CUST1176</v>
      </c>
      <c r="D1244" s="22" t="str">
        <f>VLOOKUP('Combine Products &amp; Sales Facts'!C1244,'Customer Details'!A:B,2,0)</f>
        <v>John Bradford</v>
      </c>
      <c r="E1244" s="22" t="str">
        <f>VLOOKUP(C1244,Sales_Fact!C:D,2,0)</f>
        <v>PROD52</v>
      </c>
      <c r="F1244" s="22" t="str">
        <f>VLOOKUP(E1244,Product_Dim!A:C,3,0)</f>
        <v>Sports</v>
      </c>
      <c r="G1244" s="22" t="str" cm="1">
        <f t="array" ref="G1244:L1244">_xlfn.XLOOKUP(C1244,Sales_Fact!C1244:C3228,Sales_Fact!E1244:J3228)</f>
        <v>STORE4</v>
      </c>
      <c r="H1244" s="22">
        <v>4</v>
      </c>
      <c r="I1244" s="22">
        <v>662.43</v>
      </c>
      <c r="J1244" s="22">
        <v>0.24</v>
      </c>
      <c r="K1244" s="22" t="str">
        <v>PayPal</v>
      </c>
      <c r="L1244" s="22">
        <v>2013.7872</v>
      </c>
    </row>
    <row r="1245" spans="1:12" x14ac:dyDescent="0.3">
      <c r="A1245" s="22" t="s">
        <v>3054</v>
      </c>
      <c r="B1245" s="34" cm="1">
        <f t="array" ref="B1245:C1245">_xlfn.XLOOKUP(A1245,Sales_Fact!A1245:A3229,Sales_Fact!B1245:C3229)</f>
        <v>45488</v>
      </c>
      <c r="C1245" s="22" t="str">
        <v>CUST1128</v>
      </c>
      <c r="D1245" s="22" t="str">
        <f>VLOOKUP('Combine Products &amp; Sales Facts'!C1245,'Customer Details'!A:B,2,0)</f>
        <v>Susan Mcdonald</v>
      </c>
      <c r="E1245" s="22" t="str">
        <f>VLOOKUP(C1245,Sales_Fact!C:D,2,0)</f>
        <v>PROD25</v>
      </c>
      <c r="F1245" s="22" t="str">
        <f>VLOOKUP(E1245,Product_Dim!A:C,3,0)</f>
        <v>Clothing</v>
      </c>
      <c r="G1245" s="22" t="str" cm="1">
        <f t="array" ref="G1245:L1245">_xlfn.XLOOKUP(C1245,Sales_Fact!C1245:C3229,Sales_Fact!E1245:J3229)</f>
        <v>STORE8</v>
      </c>
      <c r="H1245" s="22">
        <v>3</v>
      </c>
      <c r="I1245" s="22">
        <v>518.35</v>
      </c>
      <c r="J1245" s="22">
        <v>0.21</v>
      </c>
      <c r="K1245" s="22" t="str">
        <v>COD</v>
      </c>
      <c r="L1245" s="22">
        <v>1228.4894999999999</v>
      </c>
    </row>
    <row r="1246" spans="1:12" x14ac:dyDescent="0.3">
      <c r="A1246" s="22" t="s">
        <v>3055</v>
      </c>
      <c r="B1246" s="34" cm="1">
        <f t="array" ref="B1246:C1246">_xlfn.XLOOKUP(A1246,Sales_Fact!A1246:A3230,Sales_Fact!B1246:C3230)</f>
        <v>45509</v>
      </c>
      <c r="C1246" s="22" t="str">
        <v>CUST1310</v>
      </c>
      <c r="D1246" s="22" t="str">
        <f>VLOOKUP('Combine Products &amp; Sales Facts'!C1246,'Customer Details'!A:B,2,0)</f>
        <v>Kara Dodson</v>
      </c>
      <c r="E1246" s="22" t="str">
        <f>VLOOKUP(C1246,Sales_Fact!C:D,2,0)</f>
        <v>PROD17</v>
      </c>
      <c r="F1246" s="22" t="str">
        <f>VLOOKUP(E1246,Product_Dim!A:C,3,0)</f>
        <v>Sports</v>
      </c>
      <c r="G1246" s="22" t="str" cm="1">
        <f t="array" ref="G1246:L1246">_xlfn.XLOOKUP(C1246,Sales_Fact!C1246:C3230,Sales_Fact!E1246:J3230)</f>
        <v>STORE5</v>
      </c>
      <c r="H1246" s="22">
        <v>1</v>
      </c>
      <c r="I1246" s="22">
        <v>85.58</v>
      </c>
      <c r="J1246" s="22">
        <v>0.1</v>
      </c>
      <c r="K1246" s="22" t="str">
        <v>COD</v>
      </c>
      <c r="L1246" s="22">
        <v>77.022000000000006</v>
      </c>
    </row>
    <row r="1247" spans="1:12" x14ac:dyDescent="0.3">
      <c r="A1247" s="22" t="s">
        <v>3056</v>
      </c>
      <c r="B1247" s="34" cm="1">
        <f t="array" ref="B1247:C1247">_xlfn.XLOOKUP(A1247,Sales_Fact!A1247:A3231,Sales_Fact!B1247:C3231)</f>
        <v>45323</v>
      </c>
      <c r="C1247" s="22" t="str">
        <v>CUST1363</v>
      </c>
      <c r="D1247" s="22" t="str">
        <f>VLOOKUP('Combine Products &amp; Sales Facts'!C1247,'Customer Details'!A:B,2,0)</f>
        <v>Elizabeth Smith</v>
      </c>
      <c r="E1247" s="22" t="str">
        <f>VLOOKUP(C1247,Sales_Fact!C:D,2,0)</f>
        <v>PROD91</v>
      </c>
      <c r="F1247" s="22" t="str">
        <f>VLOOKUP(E1247,Product_Dim!A:C,3,0)</f>
        <v>Clothing</v>
      </c>
      <c r="G1247" s="22" t="str" cm="1">
        <f t="array" ref="G1247:L1247">_xlfn.XLOOKUP(C1247,Sales_Fact!C1247:C3231,Sales_Fact!E1247:J3231)</f>
        <v>STORE1</v>
      </c>
      <c r="H1247" s="22">
        <v>4</v>
      </c>
      <c r="I1247" s="22">
        <v>800</v>
      </c>
      <c r="J1247" s="22">
        <v>0.2</v>
      </c>
      <c r="K1247" s="22" t="str">
        <v>Credit Card</v>
      </c>
      <c r="L1247" s="22">
        <v>2560</v>
      </c>
    </row>
    <row r="1248" spans="1:12" x14ac:dyDescent="0.3">
      <c r="A1248" s="22" t="s">
        <v>3057</v>
      </c>
      <c r="B1248" s="34" cm="1">
        <f t="array" ref="B1248:C1248">_xlfn.XLOOKUP(A1248,Sales_Fact!A1248:A3232,Sales_Fact!B1248:C3232)</f>
        <v>45889</v>
      </c>
      <c r="C1248" s="22" t="str">
        <v>CUST1155</v>
      </c>
      <c r="D1248" s="22" t="str">
        <f>VLOOKUP('Combine Products &amp; Sales Facts'!C1248,'Customer Details'!A:B,2,0)</f>
        <v>Curtis Haynes</v>
      </c>
      <c r="E1248" s="22" t="str">
        <f>VLOOKUP(C1248,Sales_Fact!C:D,2,0)</f>
        <v>PROD72</v>
      </c>
      <c r="F1248" s="22" t="str">
        <f>VLOOKUP(E1248,Product_Dim!A:C,3,0)</f>
        <v>Sports</v>
      </c>
      <c r="G1248" s="22" t="str" cm="1">
        <f t="array" ref="G1248:L1248">_xlfn.XLOOKUP(C1248,Sales_Fact!C1248:C3232,Sales_Fact!E1248:J3232)</f>
        <v>STORE10</v>
      </c>
      <c r="H1248" s="22">
        <v>3</v>
      </c>
      <c r="I1248" s="22">
        <v>118.25</v>
      </c>
      <c r="J1248" s="22">
        <v>0.26</v>
      </c>
      <c r="K1248" s="22" t="str">
        <v>PayPal</v>
      </c>
      <c r="L1248" s="22">
        <v>262.51499999999999</v>
      </c>
    </row>
    <row r="1249" spans="1:12" x14ac:dyDescent="0.3">
      <c r="A1249" s="22" t="s">
        <v>3058</v>
      </c>
      <c r="B1249" s="34" cm="1">
        <f t="array" ref="B1249:C1249">_xlfn.XLOOKUP(A1249,Sales_Fact!A1249:A3233,Sales_Fact!B1249:C3233)</f>
        <v>45253</v>
      </c>
      <c r="C1249" s="22" t="str">
        <v>CUST1421</v>
      </c>
      <c r="D1249" s="22" t="str">
        <f>VLOOKUP('Combine Products &amp; Sales Facts'!C1249,'Customer Details'!A:B,2,0)</f>
        <v>Holly Robinson</v>
      </c>
      <c r="E1249" s="22" t="str">
        <f>VLOOKUP(C1249,Sales_Fact!C:D,2,0)</f>
        <v>PROD81</v>
      </c>
      <c r="F1249" s="22" t="str">
        <f>VLOOKUP(E1249,Product_Dim!A:C,3,0)</f>
        <v>Sports</v>
      </c>
      <c r="G1249" s="22" t="str" cm="1">
        <f t="array" ref="G1249:L1249">_xlfn.XLOOKUP(C1249,Sales_Fact!C1249:C3233,Sales_Fact!E1249:J3233)</f>
        <v>STORE15</v>
      </c>
      <c r="H1249" s="22">
        <v>1</v>
      </c>
      <c r="I1249" s="22">
        <v>223.25</v>
      </c>
      <c r="J1249" s="22">
        <v>0.28999999999999998</v>
      </c>
      <c r="K1249" s="22" t="str">
        <v>Credit Card</v>
      </c>
      <c r="L1249" s="22">
        <v>158.50749999999999</v>
      </c>
    </row>
    <row r="1250" spans="1:12" x14ac:dyDescent="0.3">
      <c r="A1250" s="22" t="s">
        <v>3059</v>
      </c>
      <c r="B1250" s="34" cm="1">
        <f t="array" ref="B1250:C1250">_xlfn.XLOOKUP(A1250,Sales_Fact!A1250:A3234,Sales_Fact!B1250:C3234)</f>
        <v>45530</v>
      </c>
      <c r="C1250" s="22" t="str">
        <v>CUST1427</v>
      </c>
      <c r="D1250" s="22" t="str">
        <f>VLOOKUP('Combine Products &amp; Sales Facts'!C1250,'Customer Details'!A:B,2,0)</f>
        <v>Jose Stewart</v>
      </c>
      <c r="E1250" s="22" t="str">
        <f>VLOOKUP(C1250,Sales_Fact!C:D,2,0)</f>
        <v>PROD53</v>
      </c>
      <c r="F1250" s="22" t="str">
        <f>VLOOKUP(E1250,Product_Dim!A:C,3,0)</f>
        <v>Clothing</v>
      </c>
      <c r="G1250" s="22" t="str" cm="1">
        <f t="array" ref="G1250:L1250">_xlfn.XLOOKUP(C1250,Sales_Fact!C1250:C3234,Sales_Fact!E1250:J3234)</f>
        <v>STORE4</v>
      </c>
      <c r="H1250" s="22">
        <v>3</v>
      </c>
      <c r="I1250" s="22">
        <v>918.76</v>
      </c>
      <c r="J1250" s="22">
        <v>0.2</v>
      </c>
      <c r="K1250" s="22" t="str">
        <v>PayPal</v>
      </c>
      <c r="L1250" s="22">
        <v>2205.0239999999999</v>
      </c>
    </row>
    <row r="1251" spans="1:12" x14ac:dyDescent="0.3">
      <c r="A1251" s="22" t="s">
        <v>3060</v>
      </c>
      <c r="B1251" s="34" cm="1">
        <f t="array" ref="B1251:C1251">_xlfn.XLOOKUP(A1251,Sales_Fact!A1251:A3235,Sales_Fact!B1251:C3235)</f>
        <v>45491</v>
      </c>
      <c r="C1251" s="22" t="str">
        <v>CUST1280</v>
      </c>
      <c r="D1251" s="22" t="str">
        <f>VLOOKUP('Combine Products &amp; Sales Facts'!C1251,'Customer Details'!A:B,2,0)</f>
        <v>Antonio Leon</v>
      </c>
      <c r="E1251" s="22" t="str">
        <f>VLOOKUP(C1251,Sales_Fact!C:D,2,0)</f>
        <v>PROD91</v>
      </c>
      <c r="F1251" s="22" t="str">
        <f>VLOOKUP(E1251,Product_Dim!A:C,3,0)</f>
        <v>Clothing</v>
      </c>
      <c r="G1251" s="22" t="str" cm="1">
        <f t="array" ref="G1251:L1251">_xlfn.XLOOKUP(C1251,Sales_Fact!C1251:C3235,Sales_Fact!E1251:J3235)</f>
        <v>STORE13</v>
      </c>
      <c r="H1251" s="22">
        <v>2</v>
      </c>
      <c r="I1251" s="22">
        <v>905.26</v>
      </c>
      <c r="J1251" s="22">
        <v>0.15</v>
      </c>
      <c r="K1251" s="22" t="str">
        <v>COD</v>
      </c>
      <c r="L1251" s="22">
        <v>1538.942</v>
      </c>
    </row>
    <row r="1252" spans="1:12" x14ac:dyDescent="0.3">
      <c r="A1252" s="22" t="s">
        <v>3061</v>
      </c>
      <c r="B1252" s="34" cm="1">
        <f t="array" ref="B1252:C1252">_xlfn.XLOOKUP(A1252,Sales_Fact!A1252:A3236,Sales_Fact!B1252:C3236)</f>
        <v>45628</v>
      </c>
      <c r="C1252" s="22" t="str">
        <v>CUST1312</v>
      </c>
      <c r="D1252" s="22" t="str">
        <f>VLOOKUP('Combine Products &amp; Sales Facts'!C1252,'Customer Details'!A:B,2,0)</f>
        <v>Jason Mullins</v>
      </c>
      <c r="E1252" s="22" t="str">
        <f>VLOOKUP(C1252,Sales_Fact!C:D,2,0)</f>
        <v>PROD74</v>
      </c>
      <c r="F1252" s="22" t="str">
        <f>VLOOKUP(E1252,Product_Dim!A:C,3,0)</f>
        <v>Electronics</v>
      </c>
      <c r="G1252" s="22" t="str" cm="1">
        <f t="array" ref="G1252:L1252">_xlfn.XLOOKUP(C1252,Sales_Fact!C1252:C3236,Sales_Fact!E1252:J3236)</f>
        <v>STORE19</v>
      </c>
      <c r="H1252" s="22">
        <v>4</v>
      </c>
      <c r="I1252" s="22">
        <v>295.39999999999998</v>
      </c>
      <c r="J1252" s="22">
        <v>0.23</v>
      </c>
      <c r="K1252" s="22" t="str">
        <v>PayPal</v>
      </c>
      <c r="L1252" s="22">
        <v>909.83199999999999</v>
      </c>
    </row>
    <row r="1253" spans="1:12" x14ac:dyDescent="0.3">
      <c r="A1253" s="22" t="s">
        <v>3062</v>
      </c>
      <c r="B1253" s="34" cm="1">
        <f t="array" ref="B1253:C1253">_xlfn.XLOOKUP(A1253,Sales_Fact!A1253:A3237,Sales_Fact!B1253:C3237)</f>
        <v>45861</v>
      </c>
      <c r="C1253" s="22" t="str">
        <v>CUST1087</v>
      </c>
      <c r="D1253" s="22" t="str">
        <f>VLOOKUP('Combine Products &amp; Sales Facts'!C1253,'Customer Details'!A:B,2,0)</f>
        <v>Melissa Duffy Md</v>
      </c>
      <c r="E1253" s="22" t="str">
        <f>VLOOKUP(C1253,Sales_Fact!C:D,2,0)</f>
        <v>PROD76</v>
      </c>
      <c r="F1253" s="22" t="str">
        <f>VLOOKUP(E1253,Product_Dim!A:C,3,0)</f>
        <v>Electronics</v>
      </c>
      <c r="G1253" s="22" t="str" cm="1">
        <f t="array" ref="G1253:L1253">_xlfn.XLOOKUP(C1253,Sales_Fact!C1253:C3237,Sales_Fact!E1253:J3237)</f>
        <v>STORE5</v>
      </c>
      <c r="H1253" s="22">
        <v>1</v>
      </c>
      <c r="I1253" s="22">
        <v>252.18</v>
      </c>
      <c r="J1253" s="22">
        <v>0.23</v>
      </c>
      <c r="K1253" s="22" t="str">
        <v>PayPal</v>
      </c>
      <c r="L1253" s="22">
        <v>194.17859999999999</v>
      </c>
    </row>
    <row r="1254" spans="1:12" x14ac:dyDescent="0.3">
      <c r="A1254" s="22" t="s">
        <v>3063</v>
      </c>
      <c r="B1254" s="34" cm="1">
        <f t="array" ref="B1254:C1254">_xlfn.XLOOKUP(A1254,Sales_Fact!A1254:A3238,Sales_Fact!B1254:C3238)</f>
        <v>45878</v>
      </c>
      <c r="C1254" s="22" t="str">
        <v>CUST1152</v>
      </c>
      <c r="D1254" s="22" t="str">
        <f>VLOOKUP('Combine Products &amp; Sales Facts'!C1254,'Customer Details'!A:B,2,0)</f>
        <v>Patrick Roberts</v>
      </c>
      <c r="E1254" s="22" t="str">
        <f>VLOOKUP(C1254,Sales_Fact!C:D,2,0)</f>
        <v>PROD70</v>
      </c>
      <c r="F1254" s="22" t="str">
        <f>VLOOKUP(E1254,Product_Dim!A:C,3,0)</f>
        <v>Home</v>
      </c>
      <c r="G1254" s="22" t="str" cm="1">
        <f t="array" ref="G1254:L1254">_xlfn.XLOOKUP(C1254,Sales_Fact!C1254:C3238,Sales_Fact!E1254:J3238)</f>
        <v>STORE12</v>
      </c>
      <c r="H1254" s="22">
        <v>4</v>
      </c>
      <c r="I1254" s="22">
        <v>792.1</v>
      </c>
      <c r="J1254" s="22">
        <v>0.19</v>
      </c>
      <c r="K1254" s="22" t="str">
        <v>COD</v>
      </c>
      <c r="L1254" s="22">
        <v>2566.404</v>
      </c>
    </row>
    <row r="1255" spans="1:12" x14ac:dyDescent="0.3">
      <c r="A1255" s="22" t="s">
        <v>3064</v>
      </c>
      <c r="B1255" s="34" cm="1">
        <f t="array" ref="B1255:C1255">_xlfn.XLOOKUP(A1255,Sales_Fact!A1255:A3239,Sales_Fact!B1255:C3239)</f>
        <v>45426</v>
      </c>
      <c r="C1255" s="22" t="str">
        <v>CUST1076</v>
      </c>
      <c r="D1255" s="22" t="str">
        <f>VLOOKUP('Combine Products &amp; Sales Facts'!C1255,'Customer Details'!A:B,2,0)</f>
        <v>Nathan Campbell</v>
      </c>
      <c r="E1255" s="22" t="str">
        <f>VLOOKUP(C1255,Sales_Fact!C:D,2,0)</f>
        <v>PROD32</v>
      </c>
      <c r="F1255" s="22" t="str">
        <f>VLOOKUP(E1255,Product_Dim!A:C,3,0)</f>
        <v>Beauty</v>
      </c>
      <c r="G1255" s="22" t="str" cm="1">
        <f t="array" ref="G1255:L1255">_xlfn.XLOOKUP(C1255,Sales_Fact!C1255:C3239,Sales_Fact!E1255:J3239)</f>
        <v>STORE14</v>
      </c>
      <c r="H1255" s="22">
        <v>1</v>
      </c>
      <c r="I1255" s="22">
        <v>883.36</v>
      </c>
      <c r="J1255" s="22">
        <v>0.11</v>
      </c>
      <c r="K1255" s="22" t="str">
        <v>PayPal</v>
      </c>
      <c r="L1255" s="22">
        <v>786.19040000000007</v>
      </c>
    </row>
    <row r="1256" spans="1:12" x14ac:dyDescent="0.3">
      <c r="A1256" s="22" t="s">
        <v>3065</v>
      </c>
      <c r="B1256" s="34" cm="1">
        <f t="array" ref="B1256:C1256">_xlfn.XLOOKUP(A1256,Sales_Fact!A1256:A3240,Sales_Fact!B1256:C3240)</f>
        <v>45231</v>
      </c>
      <c r="C1256" s="22" t="str">
        <v>CUST1276</v>
      </c>
      <c r="D1256" s="22" t="str">
        <f>VLOOKUP('Combine Products &amp; Sales Facts'!C1256,'Customer Details'!A:B,2,0)</f>
        <v>Arthur Warren</v>
      </c>
      <c r="E1256" s="22" t="str">
        <f>VLOOKUP(C1256,Sales_Fact!C:D,2,0)</f>
        <v>PROD65</v>
      </c>
      <c r="F1256" s="22" t="str">
        <f>VLOOKUP(E1256,Product_Dim!A:C,3,0)</f>
        <v>Sports</v>
      </c>
      <c r="G1256" s="22" t="str" cm="1">
        <f t="array" ref="G1256:L1256">_xlfn.XLOOKUP(C1256,Sales_Fact!C1256:C3240,Sales_Fact!E1256:J3240)</f>
        <v>STORE0</v>
      </c>
      <c r="H1256" s="22">
        <v>4</v>
      </c>
      <c r="I1256" s="22">
        <v>305.95</v>
      </c>
      <c r="J1256" s="22">
        <v>0.08</v>
      </c>
      <c r="K1256" s="22" t="str">
        <v>PayPal</v>
      </c>
      <c r="L1256" s="22">
        <v>1125.896</v>
      </c>
    </row>
    <row r="1257" spans="1:12" x14ac:dyDescent="0.3">
      <c r="A1257" s="22" t="s">
        <v>3066</v>
      </c>
      <c r="B1257" s="34" cm="1">
        <f t="array" ref="B1257:C1257">_xlfn.XLOOKUP(A1257,Sales_Fact!A1257:A3241,Sales_Fact!B1257:C3241)</f>
        <v>45609</v>
      </c>
      <c r="C1257" s="22" t="str">
        <v>CUST1401</v>
      </c>
      <c r="D1257" s="22" t="str">
        <f>VLOOKUP('Combine Products &amp; Sales Facts'!C1257,'Customer Details'!A:B,2,0)</f>
        <v>Terry Moses</v>
      </c>
      <c r="E1257" s="22" t="str">
        <f>VLOOKUP(C1257,Sales_Fact!C:D,2,0)</f>
        <v>PROD34</v>
      </c>
      <c r="F1257" s="22" t="str">
        <f>VLOOKUP(E1257,Product_Dim!A:C,3,0)</f>
        <v>Electronics</v>
      </c>
      <c r="G1257" s="22" t="str" cm="1">
        <f t="array" ref="G1257:L1257">_xlfn.XLOOKUP(C1257,Sales_Fact!C1257:C3241,Sales_Fact!E1257:J3241)</f>
        <v>STORE7</v>
      </c>
      <c r="H1257" s="22">
        <v>3</v>
      </c>
      <c r="I1257" s="22">
        <v>742.45</v>
      </c>
      <c r="J1257" s="22">
        <v>0.23</v>
      </c>
      <c r="K1257" s="22" t="str">
        <v>COD</v>
      </c>
      <c r="L1257" s="22">
        <v>1715.0595000000001</v>
      </c>
    </row>
    <row r="1258" spans="1:12" x14ac:dyDescent="0.3">
      <c r="A1258" s="22" t="s">
        <v>3067</v>
      </c>
      <c r="B1258" s="34" cm="1">
        <f t="array" ref="B1258:C1258">_xlfn.XLOOKUP(A1258,Sales_Fact!A1258:A3242,Sales_Fact!B1258:C3242)</f>
        <v>45392</v>
      </c>
      <c r="C1258" s="22" t="str">
        <v>CUST1355</v>
      </c>
      <c r="D1258" s="22" t="str">
        <f>VLOOKUP('Combine Products &amp; Sales Facts'!C1258,'Customer Details'!A:B,2,0)</f>
        <v>Carlos Flores</v>
      </c>
      <c r="E1258" s="22" t="str">
        <f>VLOOKUP(C1258,Sales_Fact!C:D,2,0)</f>
        <v>PROD91</v>
      </c>
      <c r="F1258" s="22" t="str">
        <f>VLOOKUP(E1258,Product_Dim!A:C,3,0)</f>
        <v>Clothing</v>
      </c>
      <c r="G1258" s="22" t="str" cm="1">
        <f t="array" ref="G1258:L1258">_xlfn.XLOOKUP(C1258,Sales_Fact!C1258:C3242,Sales_Fact!E1258:J3242)</f>
        <v>STORE18</v>
      </c>
      <c r="H1258" s="22">
        <v>3</v>
      </c>
      <c r="I1258" s="22">
        <v>336.1</v>
      </c>
      <c r="J1258" s="22">
        <v>0.12</v>
      </c>
      <c r="K1258" s="22" t="str">
        <v>COD</v>
      </c>
      <c r="L1258" s="22">
        <v>887.30400000000009</v>
      </c>
    </row>
    <row r="1259" spans="1:12" x14ac:dyDescent="0.3">
      <c r="A1259" s="22" t="s">
        <v>3068</v>
      </c>
      <c r="B1259" s="34" cm="1">
        <f t="array" ref="B1259:C1259">_xlfn.XLOOKUP(A1259,Sales_Fact!A1259:A3243,Sales_Fact!B1259:C3243)</f>
        <v>45876</v>
      </c>
      <c r="C1259" s="22" t="str">
        <v>CUST1412</v>
      </c>
      <c r="D1259" s="22" t="str">
        <f>VLOOKUP('Combine Products &amp; Sales Facts'!C1259,'Customer Details'!A:B,2,0)</f>
        <v>Shane Brown</v>
      </c>
      <c r="E1259" s="22" t="str">
        <f>VLOOKUP(C1259,Sales_Fact!C:D,2,0)</f>
        <v>PROD53</v>
      </c>
      <c r="F1259" s="22" t="str">
        <f>VLOOKUP(E1259,Product_Dim!A:C,3,0)</f>
        <v>Clothing</v>
      </c>
      <c r="G1259" s="22" t="str" cm="1">
        <f t="array" ref="G1259:L1259">_xlfn.XLOOKUP(C1259,Sales_Fact!C1259:C3243,Sales_Fact!E1259:J3243)</f>
        <v>STORE7</v>
      </c>
      <c r="H1259" s="22">
        <v>3</v>
      </c>
      <c r="I1259" s="22">
        <v>310.36</v>
      </c>
      <c r="J1259" s="22">
        <v>0.14000000000000001</v>
      </c>
      <c r="K1259" s="22" t="str">
        <v>COD</v>
      </c>
      <c r="L1259" s="22">
        <v>800.72879999999998</v>
      </c>
    </row>
    <row r="1260" spans="1:12" x14ac:dyDescent="0.3">
      <c r="A1260" s="22" t="s">
        <v>3069</v>
      </c>
      <c r="B1260" s="34" cm="1">
        <f t="array" ref="B1260:C1260">_xlfn.XLOOKUP(A1260,Sales_Fact!A1260:A3244,Sales_Fact!B1260:C3244)</f>
        <v>45772</v>
      </c>
      <c r="C1260" s="22" t="str">
        <v>CUST1279</v>
      </c>
      <c r="D1260" s="22" t="str">
        <f>VLOOKUP('Combine Products &amp; Sales Facts'!C1260,'Customer Details'!A:B,2,0)</f>
        <v>Aaron Luna</v>
      </c>
      <c r="E1260" s="22" t="str">
        <f>VLOOKUP(C1260,Sales_Fact!C:D,2,0)</f>
        <v>PROD13</v>
      </c>
      <c r="F1260" s="22" t="str">
        <f>VLOOKUP(E1260,Product_Dim!A:C,3,0)</f>
        <v>Electronics</v>
      </c>
      <c r="G1260" s="22" t="str" cm="1">
        <f t="array" ref="G1260:L1260">_xlfn.XLOOKUP(C1260,Sales_Fact!C1260:C3244,Sales_Fact!E1260:J3244)</f>
        <v>STORE8</v>
      </c>
      <c r="H1260" s="22">
        <v>3</v>
      </c>
      <c r="I1260" s="22">
        <v>992.81</v>
      </c>
      <c r="J1260" s="22">
        <v>0.04</v>
      </c>
      <c r="K1260" s="22" t="str">
        <v>PayPal</v>
      </c>
      <c r="L1260" s="22">
        <v>2859.2928000000002</v>
      </c>
    </row>
    <row r="1261" spans="1:12" x14ac:dyDescent="0.3">
      <c r="A1261" s="22" t="s">
        <v>3070</v>
      </c>
      <c r="B1261" s="34" cm="1">
        <f t="array" ref="B1261:C1261">_xlfn.XLOOKUP(A1261,Sales_Fact!A1261:A3245,Sales_Fact!B1261:C3245)</f>
        <v>45217</v>
      </c>
      <c r="C1261" s="22" t="str">
        <v>CUST1198</v>
      </c>
      <c r="D1261" s="22" t="str">
        <f>VLOOKUP('Combine Products &amp; Sales Facts'!C1261,'Customer Details'!A:B,2,0)</f>
        <v>Wanda Snyder</v>
      </c>
      <c r="E1261" s="22" t="str">
        <f>VLOOKUP(C1261,Sales_Fact!C:D,2,0)</f>
        <v>PROD12</v>
      </c>
      <c r="F1261" s="22" t="str">
        <f>VLOOKUP(E1261,Product_Dim!A:C,3,0)</f>
        <v>Beauty</v>
      </c>
      <c r="G1261" s="22" t="str" cm="1">
        <f t="array" ref="G1261:L1261">_xlfn.XLOOKUP(C1261,Sales_Fact!C1261:C3245,Sales_Fact!E1261:J3245)</f>
        <v>STORE11</v>
      </c>
      <c r="H1261" s="22">
        <v>3</v>
      </c>
      <c r="I1261" s="22">
        <v>257.11</v>
      </c>
      <c r="J1261" s="22">
        <v>0.26</v>
      </c>
      <c r="K1261" s="22" t="str">
        <v>COD</v>
      </c>
      <c r="L1261" s="22">
        <v>570.78420000000006</v>
      </c>
    </row>
    <row r="1262" spans="1:12" x14ac:dyDescent="0.3">
      <c r="A1262" s="22" t="s">
        <v>3071</v>
      </c>
      <c r="B1262" s="34" cm="1">
        <f t="array" ref="B1262:C1262">_xlfn.XLOOKUP(A1262,Sales_Fact!A1262:A3246,Sales_Fact!B1262:C3246)</f>
        <v>45739</v>
      </c>
      <c r="C1262" s="22" t="str">
        <v>CUST1220</v>
      </c>
      <c r="D1262" s="22" t="str">
        <f>VLOOKUP('Combine Products &amp; Sales Facts'!C1262,'Customer Details'!A:B,2,0)</f>
        <v>George Davis</v>
      </c>
      <c r="E1262" s="22" t="str">
        <f>VLOOKUP(C1262,Sales_Fact!C:D,2,0)</f>
        <v>PROD29</v>
      </c>
      <c r="F1262" s="22" t="str">
        <f>VLOOKUP(E1262,Product_Dim!A:C,3,0)</f>
        <v>Home</v>
      </c>
      <c r="G1262" s="22" t="str" cm="1">
        <f t="array" ref="G1262:L1262">_xlfn.XLOOKUP(C1262,Sales_Fact!C1262:C3246,Sales_Fact!E1262:J3246)</f>
        <v>STORE12</v>
      </c>
      <c r="H1262" s="22">
        <v>4</v>
      </c>
      <c r="I1262" s="22">
        <v>816.29</v>
      </c>
      <c r="J1262" s="22">
        <v>0.24</v>
      </c>
      <c r="K1262" s="22" t="str">
        <v>PayPal</v>
      </c>
      <c r="L1262" s="22">
        <v>2481.5216</v>
      </c>
    </row>
    <row r="1263" spans="1:12" x14ac:dyDescent="0.3">
      <c r="A1263" s="22" t="s">
        <v>3072</v>
      </c>
      <c r="B1263" s="34" cm="1">
        <f t="array" ref="B1263:C1263">_xlfn.XLOOKUP(A1263,Sales_Fact!A1263:A3247,Sales_Fact!B1263:C3247)</f>
        <v>45272</v>
      </c>
      <c r="C1263" s="22" t="str">
        <v>CUST1122</v>
      </c>
      <c r="D1263" s="22" t="str">
        <f>VLOOKUP('Combine Products &amp; Sales Facts'!C1263,'Customer Details'!A:B,2,0)</f>
        <v>Michael Chang</v>
      </c>
      <c r="E1263" s="22" t="str">
        <f>VLOOKUP(C1263,Sales_Fact!C:D,2,0)</f>
        <v>PROD94</v>
      </c>
      <c r="F1263" s="22" t="str">
        <f>VLOOKUP(E1263,Product_Dim!A:C,3,0)</f>
        <v>Beauty</v>
      </c>
      <c r="G1263" s="22" t="str" cm="1">
        <f t="array" ref="G1263:L1263">_xlfn.XLOOKUP(C1263,Sales_Fact!C1263:C3247,Sales_Fact!E1263:J3247)</f>
        <v>STORE12</v>
      </c>
      <c r="H1263" s="22">
        <v>4</v>
      </c>
      <c r="I1263" s="22">
        <v>755.82</v>
      </c>
      <c r="J1263" s="22">
        <v>0.22</v>
      </c>
      <c r="K1263" s="22" t="str">
        <v>COD</v>
      </c>
      <c r="L1263" s="22">
        <v>2358.1583999999998</v>
      </c>
    </row>
    <row r="1264" spans="1:12" x14ac:dyDescent="0.3">
      <c r="A1264" s="22" t="s">
        <v>3073</v>
      </c>
      <c r="B1264" s="34" cm="1">
        <f t="array" ref="B1264:C1264">_xlfn.XLOOKUP(A1264,Sales_Fact!A1264:A3248,Sales_Fact!B1264:C3248)</f>
        <v>45524</v>
      </c>
      <c r="C1264" s="22" t="str">
        <v>CUST1003</v>
      </c>
      <c r="D1264" s="22" t="str">
        <f>VLOOKUP('Combine Products &amp; Sales Facts'!C1264,'Customer Details'!A:B,2,0)</f>
        <v>Jeremy Harris</v>
      </c>
      <c r="E1264" s="22" t="str">
        <f>VLOOKUP(C1264,Sales_Fact!C:D,2,0)</f>
        <v>PROD0</v>
      </c>
      <c r="F1264" s="22" t="str">
        <f>VLOOKUP(E1264,Product_Dim!A:C,3,0)</f>
        <v>Electronics</v>
      </c>
      <c r="G1264" s="22" t="str" cm="1">
        <f t="array" ref="G1264:L1264">_xlfn.XLOOKUP(C1264,Sales_Fact!C1264:C3248,Sales_Fact!E1264:J3248)</f>
        <v>STORE14</v>
      </c>
      <c r="H1264" s="22">
        <v>1</v>
      </c>
      <c r="I1264" s="22">
        <v>449.6</v>
      </c>
      <c r="J1264" s="22">
        <v>0.01</v>
      </c>
      <c r="K1264" s="22" t="str">
        <v>PayPal</v>
      </c>
      <c r="L1264" s="22">
        <v>445.10399999999998</v>
      </c>
    </row>
    <row r="1265" spans="1:12" x14ac:dyDescent="0.3">
      <c r="A1265" s="22" t="s">
        <v>3074</v>
      </c>
      <c r="B1265" s="34" cm="1">
        <f t="array" ref="B1265:C1265">_xlfn.XLOOKUP(A1265,Sales_Fact!A1265:A3249,Sales_Fact!B1265:C3249)</f>
        <v>45481</v>
      </c>
      <c r="C1265" s="22" t="str">
        <v>CUST1351</v>
      </c>
      <c r="D1265" s="22" t="str">
        <f>VLOOKUP('Combine Products &amp; Sales Facts'!C1265,'Customer Details'!A:B,2,0)</f>
        <v>Jeffrey Mccarthy</v>
      </c>
      <c r="E1265" s="22" t="str">
        <f>VLOOKUP(C1265,Sales_Fact!C:D,2,0)</f>
        <v>PROD26</v>
      </c>
      <c r="F1265" s="22" t="str">
        <f>VLOOKUP(E1265,Product_Dim!A:C,3,0)</f>
        <v>Electronics</v>
      </c>
      <c r="G1265" s="22" t="str" cm="1">
        <f t="array" ref="G1265:L1265">_xlfn.XLOOKUP(C1265,Sales_Fact!C1265:C3249,Sales_Fact!E1265:J3249)</f>
        <v>STORE0</v>
      </c>
      <c r="H1265" s="22">
        <v>2</v>
      </c>
      <c r="I1265" s="22">
        <v>779.29</v>
      </c>
      <c r="J1265" s="22">
        <v>0.12</v>
      </c>
      <c r="K1265" s="22" t="str">
        <v>COD</v>
      </c>
      <c r="L1265" s="22">
        <v>1371.5504000000001</v>
      </c>
    </row>
    <row r="1266" spans="1:12" x14ac:dyDescent="0.3">
      <c r="A1266" s="22" t="s">
        <v>3075</v>
      </c>
      <c r="B1266" s="34" cm="1">
        <f t="array" ref="B1266:C1266">_xlfn.XLOOKUP(A1266,Sales_Fact!A1266:A3250,Sales_Fact!B1266:C3250)</f>
        <v>45267</v>
      </c>
      <c r="C1266" s="22" t="str">
        <v>CUST1464</v>
      </c>
      <c r="D1266" s="22" t="str">
        <f>VLOOKUP('Combine Products &amp; Sales Facts'!C1266,'Customer Details'!A:B,2,0)</f>
        <v>David Pierce</v>
      </c>
      <c r="E1266" s="22" t="str">
        <f>VLOOKUP(C1266,Sales_Fact!C:D,2,0)</f>
        <v>PROD33</v>
      </c>
      <c r="F1266" s="22" t="str">
        <f>VLOOKUP(E1266,Product_Dim!A:C,3,0)</f>
        <v>Home</v>
      </c>
      <c r="G1266" s="22" t="str" cm="1">
        <f t="array" ref="G1266:L1266">_xlfn.XLOOKUP(C1266,Sales_Fact!C1266:C3250,Sales_Fact!E1266:J3250)</f>
        <v>STORE17</v>
      </c>
      <c r="H1266" s="22">
        <v>1</v>
      </c>
      <c r="I1266" s="22">
        <v>748.75</v>
      </c>
      <c r="J1266" s="22">
        <v>0.1</v>
      </c>
      <c r="K1266" s="22" t="str">
        <v>COD</v>
      </c>
      <c r="L1266" s="22">
        <v>673.875</v>
      </c>
    </row>
    <row r="1267" spans="1:12" x14ac:dyDescent="0.3">
      <c r="A1267" s="22" t="s">
        <v>3076</v>
      </c>
      <c r="B1267" s="34" cm="1">
        <f t="array" ref="B1267:C1267">_xlfn.XLOOKUP(A1267,Sales_Fact!A1267:A3251,Sales_Fact!B1267:C3251)</f>
        <v>45328</v>
      </c>
      <c r="C1267" s="22" t="str">
        <v>CUST1181</v>
      </c>
      <c r="D1267" s="22" t="str">
        <f>VLOOKUP('Combine Products &amp; Sales Facts'!C1267,'Customer Details'!A:B,2,0)</f>
        <v>Erin Ward</v>
      </c>
      <c r="E1267" s="22" t="str">
        <f>VLOOKUP(C1267,Sales_Fact!C:D,2,0)</f>
        <v>PROD63</v>
      </c>
      <c r="F1267" s="22" t="str">
        <f>VLOOKUP(E1267,Product_Dim!A:C,3,0)</f>
        <v>Beauty</v>
      </c>
      <c r="G1267" s="22" t="str" cm="1">
        <f t="array" ref="G1267:L1267">_xlfn.XLOOKUP(C1267,Sales_Fact!C1267:C3251,Sales_Fact!E1267:J3251)</f>
        <v>STORE0</v>
      </c>
      <c r="H1267" s="22">
        <v>2</v>
      </c>
      <c r="I1267" s="22">
        <v>121.67</v>
      </c>
      <c r="J1267" s="22">
        <v>0.08</v>
      </c>
      <c r="K1267" s="22" t="str">
        <v>COD</v>
      </c>
      <c r="L1267" s="22">
        <v>223.87280000000001</v>
      </c>
    </row>
    <row r="1268" spans="1:12" x14ac:dyDescent="0.3">
      <c r="A1268" s="22" t="s">
        <v>3077</v>
      </c>
      <c r="B1268" s="34" cm="1">
        <f t="array" ref="B1268:C1268">_xlfn.XLOOKUP(A1268,Sales_Fact!A1268:A3252,Sales_Fact!B1268:C3252)</f>
        <v>45787</v>
      </c>
      <c r="C1268" s="22" t="str">
        <v>CUST1492</v>
      </c>
      <c r="D1268" s="22" t="str">
        <f>VLOOKUP('Combine Products &amp; Sales Facts'!C1268,'Customer Details'!A:B,2,0)</f>
        <v>Darrell Miller</v>
      </c>
      <c r="E1268" s="22" t="str">
        <f>VLOOKUP(C1268,Sales_Fact!C:D,2,0)</f>
        <v>PROD10</v>
      </c>
      <c r="F1268" s="22" t="str">
        <f>VLOOKUP(E1268,Product_Dim!A:C,3,0)</f>
        <v>Home</v>
      </c>
      <c r="G1268" s="22" t="str" cm="1">
        <f t="array" ref="G1268:L1268">_xlfn.XLOOKUP(C1268,Sales_Fact!C1268:C3252,Sales_Fact!E1268:J3252)</f>
        <v>STORE15</v>
      </c>
      <c r="H1268" s="22">
        <v>3</v>
      </c>
      <c r="I1268" s="22">
        <v>225.14</v>
      </c>
      <c r="J1268" s="22">
        <v>0.15</v>
      </c>
      <c r="K1268" s="22" t="str">
        <v>COD</v>
      </c>
      <c r="L1268" s="22">
        <v>574.10699999999997</v>
      </c>
    </row>
    <row r="1269" spans="1:12" x14ac:dyDescent="0.3">
      <c r="A1269" s="22" t="s">
        <v>3078</v>
      </c>
      <c r="B1269" s="34" cm="1">
        <f t="array" ref="B1269:C1269">_xlfn.XLOOKUP(A1269,Sales_Fact!A1269:A3253,Sales_Fact!B1269:C3253)</f>
        <v>45876</v>
      </c>
      <c r="C1269" s="22" t="str">
        <v>CUST1321</v>
      </c>
      <c r="D1269" s="22" t="str">
        <f>VLOOKUP('Combine Products &amp; Sales Facts'!C1269,'Customer Details'!A:B,2,0)</f>
        <v>Darren Burton</v>
      </c>
      <c r="E1269" s="22" t="str">
        <f>VLOOKUP(C1269,Sales_Fact!C:D,2,0)</f>
        <v>PROD99</v>
      </c>
      <c r="F1269" s="22" t="str">
        <f>VLOOKUP(E1269,Product_Dim!A:C,3,0)</f>
        <v>Home</v>
      </c>
      <c r="G1269" s="22" t="str" cm="1">
        <f t="array" ref="G1269:L1269">_xlfn.XLOOKUP(C1269,Sales_Fact!C1269:C3253,Sales_Fact!E1269:J3253)</f>
        <v>STORE19</v>
      </c>
      <c r="H1269" s="22">
        <v>1</v>
      </c>
      <c r="I1269" s="22">
        <v>654.17999999999995</v>
      </c>
      <c r="J1269" s="22">
        <v>0.19</v>
      </c>
      <c r="K1269" s="22" t="str">
        <v>PayPal</v>
      </c>
      <c r="L1269" s="22">
        <v>529.88580000000002</v>
      </c>
    </row>
    <row r="1270" spans="1:12" x14ac:dyDescent="0.3">
      <c r="A1270" s="22" t="s">
        <v>3079</v>
      </c>
      <c r="B1270" s="34" cm="1">
        <f t="array" ref="B1270:C1270">_xlfn.XLOOKUP(A1270,Sales_Fact!A1270:A3254,Sales_Fact!B1270:C3254)</f>
        <v>45552</v>
      </c>
      <c r="C1270" s="22" t="str">
        <v>CUST1058</v>
      </c>
      <c r="D1270" s="22" t="str">
        <f>VLOOKUP('Combine Products &amp; Sales Facts'!C1270,'Customer Details'!A:B,2,0)</f>
        <v>Cheryl Copeland</v>
      </c>
      <c r="E1270" s="22" t="str">
        <f>VLOOKUP(C1270,Sales_Fact!C:D,2,0)</f>
        <v>PROD70</v>
      </c>
      <c r="F1270" s="22" t="str">
        <f>VLOOKUP(E1270,Product_Dim!A:C,3,0)</f>
        <v>Home</v>
      </c>
      <c r="G1270" s="22" t="str" cm="1">
        <f t="array" ref="G1270:L1270">_xlfn.XLOOKUP(C1270,Sales_Fact!C1270:C3254,Sales_Fact!E1270:J3254)</f>
        <v>STORE5</v>
      </c>
      <c r="H1270" s="22">
        <v>2</v>
      </c>
      <c r="I1270" s="22">
        <v>504.98</v>
      </c>
      <c r="J1270" s="22">
        <v>0.08</v>
      </c>
      <c r="K1270" s="22" t="str">
        <v>COD</v>
      </c>
      <c r="L1270" s="22">
        <v>929.16320000000007</v>
      </c>
    </row>
    <row r="1271" spans="1:12" x14ac:dyDescent="0.3">
      <c r="A1271" s="22" t="s">
        <v>3080</v>
      </c>
      <c r="B1271" s="34" cm="1">
        <f t="array" ref="B1271:C1271">_xlfn.XLOOKUP(A1271,Sales_Fact!A1271:A3255,Sales_Fact!B1271:C3255)</f>
        <v>45823</v>
      </c>
      <c r="C1271" s="22" t="str">
        <v>CUST1378</v>
      </c>
      <c r="D1271" s="22" t="str">
        <f>VLOOKUP('Combine Products &amp; Sales Facts'!C1271,'Customer Details'!A:B,2,0)</f>
        <v>Frank Stewart</v>
      </c>
      <c r="E1271" s="22" t="str">
        <f>VLOOKUP(C1271,Sales_Fact!C:D,2,0)</f>
        <v>PROD91</v>
      </c>
      <c r="F1271" s="22" t="str">
        <f>VLOOKUP(E1271,Product_Dim!A:C,3,0)</f>
        <v>Clothing</v>
      </c>
      <c r="G1271" s="22" t="str" cm="1">
        <f t="array" ref="G1271:L1271">_xlfn.XLOOKUP(C1271,Sales_Fact!C1271:C3255,Sales_Fact!E1271:J3255)</f>
        <v>STORE8</v>
      </c>
      <c r="H1271" s="22">
        <v>2</v>
      </c>
      <c r="I1271" s="22">
        <v>623.20000000000005</v>
      </c>
      <c r="J1271" s="22">
        <v>0.14000000000000001</v>
      </c>
      <c r="K1271" s="22" t="str">
        <v>COD</v>
      </c>
      <c r="L1271" s="22">
        <v>1071.904</v>
      </c>
    </row>
    <row r="1272" spans="1:12" x14ac:dyDescent="0.3">
      <c r="A1272" s="22" t="s">
        <v>3081</v>
      </c>
      <c r="B1272" s="34" cm="1">
        <f t="array" ref="B1272:C1272">_xlfn.XLOOKUP(A1272,Sales_Fact!A1272:A3256,Sales_Fact!B1272:C3256)</f>
        <v>45622</v>
      </c>
      <c r="C1272" s="22" t="str">
        <v>CUST1325</v>
      </c>
      <c r="D1272" s="22" t="str">
        <f>VLOOKUP('Combine Products &amp; Sales Facts'!C1272,'Customer Details'!A:B,2,0)</f>
        <v>Andrew Smith</v>
      </c>
      <c r="E1272" s="22" t="str">
        <f>VLOOKUP(C1272,Sales_Fact!C:D,2,0)</f>
        <v>PROD54</v>
      </c>
      <c r="F1272" s="22" t="str">
        <f>VLOOKUP(E1272,Product_Dim!A:C,3,0)</f>
        <v>Sports</v>
      </c>
      <c r="G1272" s="22" t="str" cm="1">
        <f t="array" ref="G1272:L1272">_xlfn.XLOOKUP(C1272,Sales_Fact!C1272:C3256,Sales_Fact!E1272:J3256)</f>
        <v>STORE16</v>
      </c>
      <c r="H1272" s="22">
        <v>2</v>
      </c>
      <c r="I1272" s="22">
        <v>530.54</v>
      </c>
      <c r="J1272" s="22">
        <v>0.28000000000000003</v>
      </c>
      <c r="K1272" s="22" t="str">
        <v>COD</v>
      </c>
      <c r="L1272" s="22">
        <v>763.97759999999994</v>
      </c>
    </row>
    <row r="1273" spans="1:12" x14ac:dyDescent="0.3">
      <c r="A1273" s="22" t="s">
        <v>3082</v>
      </c>
      <c r="B1273" s="34" cm="1">
        <f t="array" ref="B1273:C1273">_xlfn.XLOOKUP(A1273,Sales_Fact!A1273:A3257,Sales_Fact!B1273:C3257)</f>
        <v>45810</v>
      </c>
      <c r="C1273" s="22" t="str">
        <v>CUST1365</v>
      </c>
      <c r="D1273" s="22" t="str">
        <f>VLOOKUP('Combine Products &amp; Sales Facts'!C1273,'Customer Details'!A:B,2,0)</f>
        <v>Brandon Mcbride</v>
      </c>
      <c r="E1273" s="22" t="str">
        <f>VLOOKUP(C1273,Sales_Fact!C:D,2,0)</f>
        <v>PROD45</v>
      </c>
      <c r="F1273" s="22" t="str">
        <f>VLOOKUP(E1273,Product_Dim!A:C,3,0)</f>
        <v>Sports</v>
      </c>
      <c r="G1273" s="22" t="str" cm="1">
        <f t="array" ref="G1273:L1273">_xlfn.XLOOKUP(C1273,Sales_Fact!C1273:C3257,Sales_Fact!E1273:J3257)</f>
        <v>STORE16</v>
      </c>
      <c r="H1273" s="22">
        <v>3</v>
      </c>
      <c r="I1273" s="22">
        <v>279.45</v>
      </c>
      <c r="J1273" s="22">
        <v>0.15</v>
      </c>
      <c r="K1273" s="22" t="str">
        <v>COD</v>
      </c>
      <c r="L1273" s="22">
        <v>712.59749999999985</v>
      </c>
    </row>
    <row r="1274" spans="1:12" x14ac:dyDescent="0.3">
      <c r="A1274" s="22" t="s">
        <v>3083</v>
      </c>
      <c r="B1274" s="34" cm="1">
        <f t="array" ref="B1274:C1274">_xlfn.XLOOKUP(A1274,Sales_Fact!A1274:A3258,Sales_Fact!B1274:C3258)</f>
        <v>45645</v>
      </c>
      <c r="C1274" s="22" t="str">
        <v>CUST1266</v>
      </c>
      <c r="D1274" s="22" t="str">
        <f>VLOOKUP('Combine Products &amp; Sales Facts'!C1274,'Customer Details'!A:B,2,0)</f>
        <v>Cynthia Payne</v>
      </c>
      <c r="E1274" s="22" t="str">
        <f>VLOOKUP(C1274,Sales_Fact!C:D,2,0)</f>
        <v>PROD15</v>
      </c>
      <c r="F1274" s="22" t="str">
        <f>VLOOKUP(E1274,Product_Dim!A:C,3,0)</f>
        <v>Electronics</v>
      </c>
      <c r="G1274" s="22" t="str" cm="1">
        <f t="array" ref="G1274:L1274">_xlfn.XLOOKUP(C1274,Sales_Fact!C1274:C3258,Sales_Fact!E1274:J3258)</f>
        <v>STORE8</v>
      </c>
      <c r="H1274" s="22">
        <v>3</v>
      </c>
      <c r="I1274" s="22">
        <v>906.99</v>
      </c>
      <c r="J1274" s="22">
        <v>0.26</v>
      </c>
      <c r="K1274" s="22" t="str">
        <v>COD</v>
      </c>
      <c r="L1274" s="22">
        <v>2013.5178000000001</v>
      </c>
    </row>
    <row r="1275" spans="1:12" x14ac:dyDescent="0.3">
      <c r="A1275" s="22" t="s">
        <v>3084</v>
      </c>
      <c r="B1275" s="34" cm="1">
        <f t="array" ref="B1275:C1275">_xlfn.XLOOKUP(A1275,Sales_Fact!A1275:A3259,Sales_Fact!B1275:C3259)</f>
        <v>45749</v>
      </c>
      <c r="C1275" s="22" t="str">
        <v>CUST1070</v>
      </c>
      <c r="D1275" s="22" t="str">
        <f>VLOOKUP('Combine Products &amp; Sales Facts'!C1275,'Customer Details'!A:B,2,0)</f>
        <v>Eric Singh</v>
      </c>
      <c r="E1275" s="22" t="str">
        <f>VLOOKUP(C1275,Sales_Fact!C:D,2,0)</f>
        <v>PROD78</v>
      </c>
      <c r="F1275" s="22" t="str">
        <f>VLOOKUP(E1275,Product_Dim!A:C,3,0)</f>
        <v>Home</v>
      </c>
      <c r="G1275" s="22" t="str" cm="1">
        <f t="array" ref="G1275:L1275">_xlfn.XLOOKUP(C1275,Sales_Fact!C1275:C3259,Sales_Fact!E1275:J3259)</f>
        <v>STORE17</v>
      </c>
      <c r="H1275" s="22">
        <v>4</v>
      </c>
      <c r="I1275" s="22">
        <v>408.76</v>
      </c>
      <c r="J1275" s="22">
        <v>0.12</v>
      </c>
      <c r="K1275" s="22" t="str">
        <v>COD</v>
      </c>
      <c r="L1275" s="22">
        <v>1438.8352</v>
      </c>
    </row>
    <row r="1276" spans="1:12" x14ac:dyDescent="0.3">
      <c r="A1276" s="22" t="s">
        <v>3085</v>
      </c>
      <c r="B1276" s="34" cm="1">
        <f t="array" ref="B1276:C1276">_xlfn.XLOOKUP(A1276,Sales_Fact!A1276:A3260,Sales_Fact!B1276:C3260)</f>
        <v>45537</v>
      </c>
      <c r="C1276" s="22" t="str">
        <v>CUST1177</v>
      </c>
      <c r="D1276" s="22" t="str">
        <f>VLOOKUP('Combine Products &amp; Sales Facts'!C1276,'Customer Details'!A:B,2,0)</f>
        <v>Curtis Lam</v>
      </c>
      <c r="E1276" s="22" t="str">
        <f>VLOOKUP(C1276,Sales_Fact!C:D,2,0)</f>
        <v>PROD59</v>
      </c>
      <c r="F1276" s="22" t="str">
        <f>VLOOKUP(E1276,Product_Dim!A:C,3,0)</f>
        <v>Beauty</v>
      </c>
      <c r="G1276" s="22" t="str" cm="1">
        <f t="array" ref="G1276:L1276">_xlfn.XLOOKUP(C1276,Sales_Fact!C1276:C3260,Sales_Fact!E1276:J3260)</f>
        <v>STORE9</v>
      </c>
      <c r="H1276" s="22">
        <v>2</v>
      </c>
      <c r="I1276" s="22">
        <v>117.34</v>
      </c>
      <c r="J1276" s="22">
        <v>0.09</v>
      </c>
      <c r="K1276" s="22" t="str">
        <v>PayPal</v>
      </c>
      <c r="L1276" s="22">
        <v>213.55879999999999</v>
      </c>
    </row>
    <row r="1277" spans="1:12" x14ac:dyDescent="0.3">
      <c r="A1277" s="22" t="s">
        <v>3086</v>
      </c>
      <c r="B1277" s="34" cm="1">
        <f t="array" ref="B1277:C1277">_xlfn.XLOOKUP(A1277,Sales_Fact!A1277:A3261,Sales_Fact!B1277:C3261)</f>
        <v>45376</v>
      </c>
      <c r="C1277" s="22" t="str">
        <v>CUST1168</v>
      </c>
      <c r="D1277" s="22" t="str">
        <f>VLOOKUP('Combine Products &amp; Sales Facts'!C1277,'Customer Details'!A:B,2,0)</f>
        <v>Daniel Contreras</v>
      </c>
      <c r="E1277" s="22" t="str">
        <f>VLOOKUP(C1277,Sales_Fact!C:D,2,0)</f>
        <v>PROD72</v>
      </c>
      <c r="F1277" s="22" t="str">
        <f>VLOOKUP(E1277,Product_Dim!A:C,3,0)</f>
        <v>Sports</v>
      </c>
      <c r="G1277" s="22" t="str" cm="1">
        <f t="array" ref="G1277:L1277">_xlfn.XLOOKUP(C1277,Sales_Fact!C1277:C3261,Sales_Fact!E1277:J3261)</f>
        <v>STORE14</v>
      </c>
      <c r="H1277" s="22">
        <v>3</v>
      </c>
      <c r="I1277" s="22">
        <v>690.27</v>
      </c>
      <c r="J1277" s="22">
        <v>7.0000000000000007E-2</v>
      </c>
      <c r="K1277" s="22" t="str">
        <v>PayPal</v>
      </c>
      <c r="L1277" s="22">
        <v>1925.8533</v>
      </c>
    </row>
    <row r="1278" spans="1:12" x14ac:dyDescent="0.3">
      <c r="A1278" s="22" t="s">
        <v>3087</v>
      </c>
      <c r="B1278" s="34" cm="1">
        <f t="array" ref="B1278:C1278">_xlfn.XLOOKUP(A1278,Sales_Fact!A1278:A3262,Sales_Fact!B1278:C3262)</f>
        <v>45709</v>
      </c>
      <c r="C1278" s="22" t="str">
        <v>CUST1108</v>
      </c>
      <c r="D1278" s="22" t="str">
        <f>VLOOKUP('Combine Products &amp; Sales Facts'!C1278,'Customer Details'!A:B,2,0)</f>
        <v>Travis Holland</v>
      </c>
      <c r="E1278" s="22" t="str">
        <f>VLOOKUP(C1278,Sales_Fact!C:D,2,0)</f>
        <v>PROD30</v>
      </c>
      <c r="F1278" s="22" t="str">
        <f>VLOOKUP(E1278,Product_Dim!A:C,3,0)</f>
        <v>Home</v>
      </c>
      <c r="G1278" s="22" t="str" cm="1">
        <f t="array" ref="G1278:L1278">_xlfn.XLOOKUP(C1278,Sales_Fact!C1278:C3262,Sales_Fact!E1278:J3262)</f>
        <v>STORE17</v>
      </c>
      <c r="H1278" s="22">
        <v>4</v>
      </c>
      <c r="I1278" s="22">
        <v>377.18</v>
      </c>
      <c r="J1278" s="22">
        <v>0.24</v>
      </c>
      <c r="K1278" s="22" t="str">
        <v>PayPal</v>
      </c>
      <c r="L1278" s="22">
        <v>1146.6271999999999</v>
      </c>
    </row>
    <row r="1279" spans="1:12" x14ac:dyDescent="0.3">
      <c r="A1279" s="22" t="s">
        <v>3088</v>
      </c>
      <c r="B1279" s="34" cm="1">
        <f t="array" ref="B1279:C1279">_xlfn.XLOOKUP(A1279,Sales_Fact!A1279:A3263,Sales_Fact!B1279:C3263)</f>
        <v>45446</v>
      </c>
      <c r="C1279" s="22" t="str">
        <v>CUST1112</v>
      </c>
      <c r="D1279" s="22" t="str">
        <f>VLOOKUP('Combine Products &amp; Sales Facts'!C1279,'Customer Details'!A:B,2,0)</f>
        <v>David Cole</v>
      </c>
      <c r="E1279" s="22" t="str">
        <f>VLOOKUP(C1279,Sales_Fact!C:D,2,0)</f>
        <v>PROD40</v>
      </c>
      <c r="F1279" s="22" t="str">
        <f>VLOOKUP(E1279,Product_Dim!A:C,3,0)</f>
        <v>Electronics</v>
      </c>
      <c r="G1279" s="22" t="str" cm="1">
        <f t="array" ref="G1279:L1279">_xlfn.XLOOKUP(C1279,Sales_Fact!C1279:C3263,Sales_Fact!E1279:J3263)</f>
        <v>STORE0</v>
      </c>
      <c r="H1279" s="22">
        <v>1</v>
      </c>
      <c r="I1279" s="22">
        <v>70.52</v>
      </c>
      <c r="J1279" s="22">
        <v>0.08</v>
      </c>
      <c r="K1279" s="22" t="str">
        <v>COD</v>
      </c>
      <c r="L1279" s="22">
        <v>64.878399999999999</v>
      </c>
    </row>
    <row r="1280" spans="1:12" x14ac:dyDescent="0.3">
      <c r="A1280" s="22" t="s">
        <v>3089</v>
      </c>
      <c r="B1280" s="34" cm="1">
        <f t="array" ref="B1280:C1280">_xlfn.XLOOKUP(A1280,Sales_Fact!A1280:A3264,Sales_Fact!B1280:C3264)</f>
        <v>45330</v>
      </c>
      <c r="C1280" s="22" t="str">
        <v>CUST1275</v>
      </c>
      <c r="D1280" s="22" t="str">
        <f>VLOOKUP('Combine Products &amp; Sales Facts'!C1280,'Customer Details'!A:B,2,0)</f>
        <v>Shannon Miller</v>
      </c>
      <c r="E1280" s="22" t="str">
        <f>VLOOKUP(C1280,Sales_Fact!C:D,2,0)</f>
        <v>PROD69</v>
      </c>
      <c r="F1280" s="22" t="str">
        <f>VLOOKUP(E1280,Product_Dim!A:C,3,0)</f>
        <v>Clothing</v>
      </c>
      <c r="G1280" s="22" t="str" cm="1">
        <f t="array" ref="G1280:L1280">_xlfn.XLOOKUP(C1280,Sales_Fact!C1280:C3264,Sales_Fact!E1280:J3264)</f>
        <v>STORE9</v>
      </c>
      <c r="H1280" s="22">
        <v>1</v>
      </c>
      <c r="I1280" s="22">
        <v>40.25</v>
      </c>
      <c r="J1280" s="22">
        <v>0.1</v>
      </c>
      <c r="K1280" s="22" t="str">
        <v>PayPal</v>
      </c>
      <c r="L1280" s="22">
        <v>36.225000000000001</v>
      </c>
    </row>
    <row r="1281" spans="1:12" x14ac:dyDescent="0.3">
      <c r="A1281" s="22" t="s">
        <v>3090</v>
      </c>
      <c r="B1281" s="34" cm="1">
        <f t="array" ref="B1281:C1281">_xlfn.XLOOKUP(A1281,Sales_Fact!A1281:A3265,Sales_Fact!B1281:C3265)</f>
        <v>45388</v>
      </c>
      <c r="C1281" s="22" t="str">
        <v>CUST1232</v>
      </c>
      <c r="D1281" s="22" t="str">
        <f>VLOOKUP('Combine Products &amp; Sales Facts'!C1281,'Customer Details'!A:B,2,0)</f>
        <v>Christy Hill</v>
      </c>
      <c r="E1281" s="22" t="str">
        <f>VLOOKUP(C1281,Sales_Fact!C:D,2,0)</f>
        <v>PROD95</v>
      </c>
      <c r="F1281" s="22" t="str">
        <f>VLOOKUP(E1281,Product_Dim!A:C,3,0)</f>
        <v>Sports</v>
      </c>
      <c r="G1281" s="22" t="str" cm="1">
        <f t="array" ref="G1281:L1281">_xlfn.XLOOKUP(C1281,Sales_Fact!C1281:C3265,Sales_Fact!E1281:J3265)</f>
        <v>STORE11</v>
      </c>
      <c r="H1281" s="22">
        <v>3</v>
      </c>
      <c r="I1281" s="22">
        <v>539.44000000000005</v>
      </c>
      <c r="J1281" s="22">
        <v>0.05</v>
      </c>
      <c r="K1281" s="22" t="str">
        <v>COD</v>
      </c>
      <c r="L1281" s="22">
        <v>1537.404</v>
      </c>
    </row>
    <row r="1282" spans="1:12" x14ac:dyDescent="0.3">
      <c r="A1282" s="22" t="s">
        <v>3091</v>
      </c>
      <c r="B1282" s="34" cm="1">
        <f t="array" ref="B1282:C1282">_xlfn.XLOOKUP(A1282,Sales_Fact!A1282:A3266,Sales_Fact!B1282:C3266)</f>
        <v>45313</v>
      </c>
      <c r="C1282" s="22" t="str">
        <v>CUST1247</v>
      </c>
      <c r="D1282" s="22" t="str">
        <f>VLOOKUP('Combine Products &amp; Sales Facts'!C1282,'Customer Details'!A:B,2,0)</f>
        <v>Douglas Rhodes</v>
      </c>
      <c r="E1282" s="22" t="str">
        <f>VLOOKUP(C1282,Sales_Fact!C:D,2,0)</f>
        <v>PROD10</v>
      </c>
      <c r="F1282" s="22" t="str">
        <f>VLOOKUP(E1282,Product_Dim!A:C,3,0)</f>
        <v>Home</v>
      </c>
      <c r="G1282" s="22" t="str" cm="1">
        <f t="array" ref="G1282:L1282">_xlfn.XLOOKUP(C1282,Sales_Fact!C1282:C3266,Sales_Fact!E1282:J3266)</f>
        <v>STORE4</v>
      </c>
      <c r="H1282" s="22">
        <v>3</v>
      </c>
      <c r="I1282" s="22">
        <v>543.49</v>
      </c>
      <c r="J1282" s="22">
        <v>0.05</v>
      </c>
      <c r="K1282" s="22" t="str">
        <v>PayPal</v>
      </c>
      <c r="L1282" s="22">
        <v>1548.9465</v>
      </c>
    </row>
    <row r="1283" spans="1:12" x14ac:dyDescent="0.3">
      <c r="A1283" s="22" t="s">
        <v>3092</v>
      </c>
      <c r="B1283" s="34" cm="1">
        <f t="array" ref="B1283:C1283">_xlfn.XLOOKUP(A1283,Sales_Fact!A1283:A3267,Sales_Fact!B1283:C3267)</f>
        <v>45221</v>
      </c>
      <c r="C1283" s="22" t="str">
        <v>CUST1324</v>
      </c>
      <c r="D1283" s="22" t="str">
        <f>VLOOKUP('Combine Products &amp; Sales Facts'!C1283,'Customer Details'!A:B,2,0)</f>
        <v>Alex Mann Ii</v>
      </c>
      <c r="E1283" s="22" t="str">
        <f>VLOOKUP(C1283,Sales_Fact!C:D,2,0)</f>
        <v>PROD20</v>
      </c>
      <c r="F1283" s="22" t="str">
        <f>VLOOKUP(E1283,Product_Dim!A:C,3,0)</f>
        <v>Sports</v>
      </c>
      <c r="G1283" s="22" t="str" cm="1">
        <f t="array" ref="G1283:L1283">_xlfn.XLOOKUP(C1283,Sales_Fact!C1283:C3267,Sales_Fact!E1283:J3267)</f>
        <v>STORE6</v>
      </c>
      <c r="H1283" s="22">
        <v>4</v>
      </c>
      <c r="I1283" s="22">
        <v>547.21</v>
      </c>
      <c r="J1283" s="22">
        <v>0.1</v>
      </c>
      <c r="K1283" s="22" t="str">
        <v>COD</v>
      </c>
      <c r="L1283" s="22">
        <v>1969.9559999999999</v>
      </c>
    </row>
    <row r="1284" spans="1:12" x14ac:dyDescent="0.3">
      <c r="A1284" s="22" t="s">
        <v>3093</v>
      </c>
      <c r="B1284" s="34" cm="1">
        <f t="array" ref="B1284:C1284">_xlfn.XLOOKUP(A1284,Sales_Fact!A1284:A3268,Sales_Fact!B1284:C3268)</f>
        <v>45619</v>
      </c>
      <c r="C1284" s="22" t="str">
        <v>CUST1241</v>
      </c>
      <c r="D1284" s="22" t="str">
        <f>VLOOKUP('Combine Products &amp; Sales Facts'!C1284,'Customer Details'!A:B,2,0)</f>
        <v>Mr. William Horton</v>
      </c>
      <c r="E1284" s="22" t="str">
        <f>VLOOKUP(C1284,Sales_Fact!C:D,2,0)</f>
        <v>PROD15</v>
      </c>
      <c r="F1284" s="22" t="str">
        <f>VLOOKUP(E1284,Product_Dim!A:C,3,0)</f>
        <v>Electronics</v>
      </c>
      <c r="G1284" s="22" t="str" cm="1">
        <f t="array" ref="G1284:L1284">_xlfn.XLOOKUP(C1284,Sales_Fact!C1284:C3268,Sales_Fact!E1284:J3268)</f>
        <v>STORE1</v>
      </c>
      <c r="H1284" s="22">
        <v>2</v>
      </c>
      <c r="I1284" s="22">
        <v>892.46</v>
      </c>
      <c r="J1284" s="22">
        <v>7.0000000000000007E-2</v>
      </c>
      <c r="K1284" s="22" t="str">
        <v>PayPal</v>
      </c>
      <c r="L1284" s="22">
        <v>1659.9756</v>
      </c>
    </row>
    <row r="1285" spans="1:12" x14ac:dyDescent="0.3">
      <c r="A1285" s="22" t="s">
        <v>3094</v>
      </c>
      <c r="B1285" s="34" cm="1">
        <f t="array" ref="B1285:C1285">_xlfn.XLOOKUP(A1285,Sales_Fact!A1285:A3269,Sales_Fact!B1285:C3269)</f>
        <v>45286</v>
      </c>
      <c r="C1285" s="22" t="str">
        <v>CUST1387</v>
      </c>
      <c r="D1285" s="22" t="str">
        <f>VLOOKUP('Combine Products &amp; Sales Facts'!C1285,'Customer Details'!A:B,2,0)</f>
        <v>Timothy Gardner</v>
      </c>
      <c r="E1285" s="22" t="str">
        <f>VLOOKUP(C1285,Sales_Fact!C:D,2,0)</f>
        <v>PROD76</v>
      </c>
      <c r="F1285" s="22" t="str">
        <f>VLOOKUP(E1285,Product_Dim!A:C,3,0)</f>
        <v>Electronics</v>
      </c>
      <c r="G1285" s="22" t="str" cm="1">
        <f t="array" ref="G1285:L1285">_xlfn.XLOOKUP(C1285,Sales_Fact!C1285:C3269,Sales_Fact!E1285:J3269)</f>
        <v>STORE8</v>
      </c>
      <c r="H1285" s="22">
        <v>2</v>
      </c>
      <c r="I1285" s="22">
        <v>853.41</v>
      </c>
      <c r="J1285" s="22">
        <v>0.25</v>
      </c>
      <c r="K1285" s="22" t="str">
        <v>Credit Card</v>
      </c>
      <c r="L1285" s="22">
        <v>1280.115</v>
      </c>
    </row>
    <row r="1286" spans="1:12" x14ac:dyDescent="0.3">
      <c r="A1286" s="22" t="s">
        <v>3095</v>
      </c>
      <c r="B1286" s="34" cm="1">
        <f t="array" ref="B1286:C1286">_xlfn.XLOOKUP(A1286,Sales_Fact!A1286:A3270,Sales_Fact!B1286:C3270)</f>
        <v>45451</v>
      </c>
      <c r="C1286" s="22" t="str">
        <v>CUST1110</v>
      </c>
      <c r="D1286" s="22" t="str">
        <f>VLOOKUP('Combine Products &amp; Sales Facts'!C1286,'Customer Details'!A:B,2,0)</f>
        <v>Ashley Griffin</v>
      </c>
      <c r="E1286" s="22" t="str">
        <f>VLOOKUP(C1286,Sales_Fact!C:D,2,0)</f>
        <v>PROD8</v>
      </c>
      <c r="F1286" s="22" t="str">
        <f>VLOOKUP(E1286,Product_Dim!A:C,3,0)</f>
        <v>Electronics</v>
      </c>
      <c r="G1286" s="22" t="str" cm="1">
        <f t="array" ref="G1286:L1286">_xlfn.XLOOKUP(C1286,Sales_Fact!C1286:C3270,Sales_Fact!E1286:J3270)</f>
        <v>STORE7</v>
      </c>
      <c r="H1286" s="22">
        <v>1</v>
      </c>
      <c r="I1286" s="22">
        <v>162.13999999999999</v>
      </c>
      <c r="J1286" s="22">
        <v>7.0000000000000007E-2</v>
      </c>
      <c r="K1286" s="22" t="str">
        <v>PayPal</v>
      </c>
      <c r="L1286" s="22">
        <v>150.7902</v>
      </c>
    </row>
    <row r="1287" spans="1:12" x14ac:dyDescent="0.3">
      <c r="A1287" s="22" t="s">
        <v>3096</v>
      </c>
      <c r="B1287" s="34" cm="1">
        <f t="array" ref="B1287:C1287">_xlfn.XLOOKUP(A1287,Sales_Fact!A1287:A3271,Sales_Fact!B1287:C3271)</f>
        <v>45478</v>
      </c>
      <c r="C1287" s="22" t="str">
        <v>CUST1147</v>
      </c>
      <c r="D1287" s="22" t="str">
        <f>VLOOKUP('Combine Products &amp; Sales Facts'!C1287,'Customer Details'!A:B,2,0)</f>
        <v>Rhonda Young</v>
      </c>
      <c r="E1287" s="22" t="str">
        <f>VLOOKUP(C1287,Sales_Fact!C:D,2,0)</f>
        <v>PROD52</v>
      </c>
      <c r="F1287" s="22" t="str">
        <f>VLOOKUP(E1287,Product_Dim!A:C,3,0)</f>
        <v>Sports</v>
      </c>
      <c r="G1287" s="22" t="str" cm="1">
        <f t="array" ref="G1287:L1287">_xlfn.XLOOKUP(C1287,Sales_Fact!C1287:C3271,Sales_Fact!E1287:J3271)</f>
        <v>STORE16</v>
      </c>
      <c r="H1287" s="22">
        <v>1</v>
      </c>
      <c r="I1287" s="22">
        <v>893.14</v>
      </c>
      <c r="J1287" s="22">
        <v>0.09</v>
      </c>
      <c r="K1287" s="22" t="str">
        <v>Credit Card</v>
      </c>
      <c r="L1287" s="22">
        <v>812.75739999999996</v>
      </c>
    </row>
    <row r="1288" spans="1:12" x14ac:dyDescent="0.3">
      <c r="A1288" s="22" t="s">
        <v>3097</v>
      </c>
      <c r="B1288" s="34" cm="1">
        <f t="array" ref="B1288:C1288">_xlfn.XLOOKUP(A1288,Sales_Fact!A1288:A3272,Sales_Fact!B1288:C3272)</f>
        <v>45528</v>
      </c>
      <c r="C1288" s="22" t="str">
        <v>CUST1103</v>
      </c>
      <c r="D1288" s="22" t="str">
        <f>VLOOKUP('Combine Products &amp; Sales Facts'!C1288,'Customer Details'!A:B,2,0)</f>
        <v>Steven Stein</v>
      </c>
      <c r="E1288" s="22" t="str">
        <f>VLOOKUP(C1288,Sales_Fact!C:D,2,0)</f>
        <v>PROD89</v>
      </c>
      <c r="F1288" s="22" t="str">
        <f>VLOOKUP(E1288,Product_Dim!A:C,3,0)</f>
        <v>Beauty</v>
      </c>
      <c r="G1288" s="22" t="str" cm="1">
        <f t="array" ref="G1288:L1288">_xlfn.XLOOKUP(C1288,Sales_Fact!C1288:C3272,Sales_Fact!E1288:J3272)</f>
        <v>STORE8</v>
      </c>
      <c r="H1288" s="22">
        <v>4</v>
      </c>
      <c r="I1288" s="22">
        <v>349.07</v>
      </c>
      <c r="J1288" s="22">
        <v>0.28000000000000003</v>
      </c>
      <c r="K1288" s="22" t="str">
        <v>Credit Card</v>
      </c>
      <c r="L1288" s="22">
        <v>1005.3216</v>
      </c>
    </row>
    <row r="1289" spans="1:12" x14ac:dyDescent="0.3">
      <c r="A1289" s="22" t="s">
        <v>3098</v>
      </c>
      <c r="B1289" s="34" cm="1">
        <f t="array" ref="B1289:C1289">_xlfn.XLOOKUP(A1289,Sales_Fact!A1289:A3273,Sales_Fact!B1289:C3273)</f>
        <v>45418</v>
      </c>
      <c r="C1289" s="22" t="str">
        <v>CUST1283</v>
      </c>
      <c r="D1289" s="22" t="str">
        <f>VLOOKUP('Combine Products &amp; Sales Facts'!C1289,'Customer Details'!A:B,2,0)</f>
        <v>Bryan Garcia</v>
      </c>
      <c r="E1289" s="22" t="str">
        <f>VLOOKUP(C1289,Sales_Fact!C:D,2,0)</f>
        <v>PROD70</v>
      </c>
      <c r="F1289" s="22" t="str">
        <f>VLOOKUP(E1289,Product_Dim!A:C,3,0)</f>
        <v>Home</v>
      </c>
      <c r="G1289" s="22" t="str" cm="1">
        <f t="array" ref="G1289:L1289">_xlfn.XLOOKUP(C1289,Sales_Fact!C1289:C3273,Sales_Fact!E1289:J3273)</f>
        <v>STORE13</v>
      </c>
      <c r="H1289" s="22">
        <v>1</v>
      </c>
      <c r="I1289" s="22">
        <v>747.9</v>
      </c>
      <c r="J1289" s="22">
        <v>0.21</v>
      </c>
      <c r="K1289" s="22" t="str">
        <v>COD</v>
      </c>
      <c r="L1289" s="22">
        <v>590.84100000000001</v>
      </c>
    </row>
    <row r="1290" spans="1:12" x14ac:dyDescent="0.3">
      <c r="A1290" s="22" t="s">
        <v>3099</v>
      </c>
      <c r="B1290" s="34" cm="1">
        <f t="array" ref="B1290:C1290">_xlfn.XLOOKUP(A1290,Sales_Fact!A1290:A3274,Sales_Fact!B1290:C3274)</f>
        <v>45478</v>
      </c>
      <c r="C1290" s="22" t="str">
        <v>CUST1031</v>
      </c>
      <c r="D1290" s="22" t="str">
        <f>VLOOKUP('Combine Products &amp; Sales Facts'!C1290,'Customer Details'!A:B,2,0)</f>
        <v>Sarah Vance</v>
      </c>
      <c r="E1290" s="22" t="str">
        <f>VLOOKUP(C1290,Sales_Fact!C:D,2,0)</f>
        <v>PROD62</v>
      </c>
      <c r="F1290" s="22" t="str">
        <f>VLOOKUP(E1290,Product_Dim!A:C,3,0)</f>
        <v>Electronics</v>
      </c>
      <c r="G1290" s="22" t="str" cm="1">
        <f t="array" ref="G1290:L1290">_xlfn.XLOOKUP(C1290,Sales_Fact!C1290:C3274,Sales_Fact!E1290:J3274)</f>
        <v>STORE6</v>
      </c>
      <c r="H1290" s="22">
        <v>3</v>
      </c>
      <c r="I1290" s="22">
        <v>438.92</v>
      </c>
      <c r="J1290" s="22">
        <v>0.21</v>
      </c>
      <c r="K1290" s="22" t="str">
        <v>Credit Card</v>
      </c>
      <c r="L1290" s="22">
        <v>1040.2403999999999</v>
      </c>
    </row>
    <row r="1291" spans="1:12" x14ac:dyDescent="0.3">
      <c r="A1291" s="22" t="s">
        <v>3100</v>
      </c>
      <c r="B1291" s="34" cm="1">
        <f t="array" ref="B1291:C1291">_xlfn.XLOOKUP(A1291,Sales_Fact!A1291:A3275,Sales_Fact!B1291:C3275)</f>
        <v>45232</v>
      </c>
      <c r="C1291" s="22" t="str">
        <v>CUST1123</v>
      </c>
      <c r="D1291" s="22" t="str">
        <f>VLOOKUP('Combine Products &amp; Sales Facts'!C1291,'Customer Details'!A:B,2,0)</f>
        <v>Erin Hopkins</v>
      </c>
      <c r="E1291" s="22" t="str">
        <f>VLOOKUP(C1291,Sales_Fact!C:D,2,0)</f>
        <v>PROD12</v>
      </c>
      <c r="F1291" s="22" t="str">
        <f>VLOOKUP(E1291,Product_Dim!A:C,3,0)</f>
        <v>Beauty</v>
      </c>
      <c r="G1291" s="22" t="str" cm="1">
        <f t="array" ref="G1291:L1291">_xlfn.XLOOKUP(C1291,Sales_Fact!C1291:C3275,Sales_Fact!E1291:J3275)</f>
        <v>STORE4</v>
      </c>
      <c r="H1291" s="22">
        <v>4</v>
      </c>
      <c r="I1291" s="22">
        <v>665.38</v>
      </c>
      <c r="J1291" s="22">
        <v>0.18</v>
      </c>
      <c r="K1291" s="22" t="str">
        <v>Credit Card</v>
      </c>
      <c r="L1291" s="22">
        <v>2182.4463999999998</v>
      </c>
    </row>
    <row r="1292" spans="1:12" x14ac:dyDescent="0.3">
      <c r="A1292" s="22" t="s">
        <v>3101</v>
      </c>
      <c r="B1292" s="34" cm="1">
        <f t="array" ref="B1292:C1292">_xlfn.XLOOKUP(A1292,Sales_Fact!A1292:A3276,Sales_Fact!B1292:C3276)</f>
        <v>45616</v>
      </c>
      <c r="C1292" s="22" t="str">
        <v>CUST1003</v>
      </c>
      <c r="D1292" s="22" t="str">
        <f>VLOOKUP('Combine Products &amp; Sales Facts'!C1292,'Customer Details'!A:B,2,0)</f>
        <v>Jeremy Harris</v>
      </c>
      <c r="E1292" s="22" t="str">
        <f>VLOOKUP(C1292,Sales_Fact!C:D,2,0)</f>
        <v>PROD0</v>
      </c>
      <c r="F1292" s="22" t="str">
        <f>VLOOKUP(E1292,Product_Dim!A:C,3,0)</f>
        <v>Electronics</v>
      </c>
      <c r="G1292" s="22" t="str" cm="1">
        <f t="array" ref="G1292:L1292">_xlfn.XLOOKUP(C1292,Sales_Fact!C1292:C3276,Sales_Fact!E1292:J3276)</f>
        <v>STORE18</v>
      </c>
      <c r="H1292" s="22">
        <v>1</v>
      </c>
      <c r="I1292" s="22">
        <v>146.49</v>
      </c>
      <c r="J1292" s="22">
        <v>0.28000000000000003</v>
      </c>
      <c r="K1292" s="22" t="str">
        <v>Credit Card</v>
      </c>
      <c r="L1292" s="22">
        <v>105.47280000000001</v>
      </c>
    </row>
    <row r="1293" spans="1:12" x14ac:dyDescent="0.3">
      <c r="A1293" s="22" t="s">
        <v>3102</v>
      </c>
      <c r="B1293" s="34" cm="1">
        <f t="array" ref="B1293:C1293">_xlfn.XLOOKUP(A1293,Sales_Fact!A1293:A3277,Sales_Fact!B1293:C3277)</f>
        <v>45774</v>
      </c>
      <c r="C1293" s="22" t="str">
        <v>CUST1139</v>
      </c>
      <c r="D1293" s="22" t="str">
        <f>VLOOKUP('Combine Products &amp; Sales Facts'!C1293,'Customer Details'!A:B,2,0)</f>
        <v>Brian Holder</v>
      </c>
      <c r="E1293" s="22" t="str">
        <f>VLOOKUP(C1293,Sales_Fact!C:D,2,0)</f>
        <v>PROD15</v>
      </c>
      <c r="F1293" s="22" t="str">
        <f>VLOOKUP(E1293,Product_Dim!A:C,3,0)</f>
        <v>Electronics</v>
      </c>
      <c r="G1293" s="22" t="str" cm="1">
        <f t="array" ref="G1293:L1293">_xlfn.XLOOKUP(C1293,Sales_Fact!C1293:C3277,Sales_Fact!E1293:J3277)</f>
        <v>STORE15</v>
      </c>
      <c r="H1293" s="22">
        <v>2</v>
      </c>
      <c r="I1293" s="22">
        <v>235.39</v>
      </c>
      <c r="J1293" s="22">
        <v>0.27</v>
      </c>
      <c r="K1293" s="22" t="str">
        <v>COD</v>
      </c>
      <c r="L1293" s="22">
        <v>343.6694</v>
      </c>
    </row>
    <row r="1294" spans="1:12" x14ac:dyDescent="0.3">
      <c r="A1294" s="22" t="s">
        <v>3103</v>
      </c>
      <c r="B1294" s="34" cm="1">
        <f t="array" ref="B1294:C1294">_xlfn.XLOOKUP(A1294,Sales_Fact!A1294:A3278,Sales_Fact!B1294:C3278)</f>
        <v>45651</v>
      </c>
      <c r="C1294" s="22" t="str">
        <v>CUST1028</v>
      </c>
      <c r="D1294" s="22" t="str">
        <f>VLOOKUP('Combine Products &amp; Sales Facts'!C1294,'Customer Details'!A:B,2,0)</f>
        <v>Joshua Ryan</v>
      </c>
      <c r="E1294" s="22" t="str">
        <f>VLOOKUP(C1294,Sales_Fact!C:D,2,0)</f>
        <v>PROD5</v>
      </c>
      <c r="F1294" s="22" t="str">
        <f>VLOOKUP(E1294,Product_Dim!A:C,3,0)</f>
        <v>Clothing</v>
      </c>
      <c r="G1294" s="22" t="str" cm="1">
        <f t="array" ref="G1294:L1294">_xlfn.XLOOKUP(C1294,Sales_Fact!C1294:C3278,Sales_Fact!E1294:J3278)</f>
        <v>STORE5</v>
      </c>
      <c r="H1294" s="22">
        <v>3</v>
      </c>
      <c r="I1294" s="22">
        <v>38.07</v>
      </c>
      <c r="J1294" s="22">
        <v>0.09</v>
      </c>
      <c r="K1294" s="22" t="str">
        <v>PayPal</v>
      </c>
      <c r="L1294" s="22">
        <v>103.9311</v>
      </c>
    </row>
    <row r="1295" spans="1:12" x14ac:dyDescent="0.3">
      <c r="A1295" s="22" t="s">
        <v>3104</v>
      </c>
      <c r="B1295" s="34" cm="1">
        <f t="array" ref="B1295:C1295">_xlfn.XLOOKUP(A1295,Sales_Fact!A1295:A3279,Sales_Fact!B1295:C3279)</f>
        <v>45902</v>
      </c>
      <c r="C1295" s="22" t="str">
        <v>CUST1403</v>
      </c>
      <c r="D1295" s="22" t="str">
        <f>VLOOKUP('Combine Products &amp; Sales Facts'!C1295,'Customer Details'!A:B,2,0)</f>
        <v>Justin Ingram</v>
      </c>
      <c r="E1295" s="22" t="str">
        <f>VLOOKUP(C1295,Sales_Fact!C:D,2,0)</f>
        <v>PROD17</v>
      </c>
      <c r="F1295" s="22" t="str">
        <f>VLOOKUP(E1295,Product_Dim!A:C,3,0)</f>
        <v>Sports</v>
      </c>
      <c r="G1295" s="22" t="str" cm="1">
        <f t="array" ref="G1295:L1295">_xlfn.XLOOKUP(C1295,Sales_Fact!C1295:C3279,Sales_Fact!E1295:J3279)</f>
        <v>STORE4</v>
      </c>
      <c r="H1295" s="22">
        <v>2</v>
      </c>
      <c r="I1295" s="22">
        <v>511.7</v>
      </c>
      <c r="J1295" s="22">
        <v>0.12</v>
      </c>
      <c r="K1295" s="22" t="str">
        <v>COD</v>
      </c>
      <c r="L1295" s="22">
        <v>900.59199999999998</v>
      </c>
    </row>
    <row r="1296" spans="1:12" x14ac:dyDescent="0.3">
      <c r="A1296" s="22" t="s">
        <v>3105</v>
      </c>
      <c r="B1296" s="34" cm="1">
        <f t="array" ref="B1296:C1296">_xlfn.XLOOKUP(A1296,Sales_Fact!A1296:A3280,Sales_Fact!B1296:C3280)</f>
        <v>45401</v>
      </c>
      <c r="C1296" s="22" t="str">
        <v>CUST1092</v>
      </c>
      <c r="D1296" s="22" t="str">
        <f>VLOOKUP('Combine Products &amp; Sales Facts'!C1296,'Customer Details'!A:B,2,0)</f>
        <v>Robert Jackson</v>
      </c>
      <c r="E1296" s="22" t="str">
        <f>VLOOKUP(C1296,Sales_Fact!C:D,2,0)</f>
        <v>PROD10</v>
      </c>
      <c r="F1296" s="22" t="str">
        <f>VLOOKUP(E1296,Product_Dim!A:C,3,0)</f>
        <v>Home</v>
      </c>
      <c r="G1296" s="22" t="str" cm="1">
        <f t="array" ref="G1296:L1296">_xlfn.XLOOKUP(C1296,Sales_Fact!C1296:C3280,Sales_Fact!E1296:J3280)</f>
        <v>STORE8</v>
      </c>
      <c r="H1296" s="22">
        <v>4</v>
      </c>
      <c r="I1296" s="22">
        <v>488.72</v>
      </c>
      <c r="J1296" s="22">
        <v>0.23</v>
      </c>
      <c r="K1296" s="22" t="str">
        <v>PayPal</v>
      </c>
      <c r="L1296" s="22">
        <v>1505.2575999999999</v>
      </c>
    </row>
    <row r="1297" spans="1:12" x14ac:dyDescent="0.3">
      <c r="A1297" s="22" t="s">
        <v>3106</v>
      </c>
      <c r="B1297" s="34" cm="1">
        <f t="array" ref="B1297:C1297">_xlfn.XLOOKUP(A1297,Sales_Fact!A1297:A3281,Sales_Fact!B1297:C3281)</f>
        <v>45717</v>
      </c>
      <c r="C1297" s="22" t="str">
        <v>CUST1391</v>
      </c>
      <c r="D1297" s="22" t="str">
        <f>VLOOKUP('Combine Products &amp; Sales Facts'!C1297,'Customer Details'!A:B,2,0)</f>
        <v>Heidi Tyler</v>
      </c>
      <c r="E1297" s="22" t="str">
        <f>VLOOKUP(C1297,Sales_Fact!C:D,2,0)</f>
        <v>PROD29</v>
      </c>
      <c r="F1297" s="22" t="str">
        <f>VLOOKUP(E1297,Product_Dim!A:C,3,0)</f>
        <v>Home</v>
      </c>
      <c r="G1297" s="22" t="str" cm="1">
        <f t="array" ref="G1297:L1297">_xlfn.XLOOKUP(C1297,Sales_Fact!C1297:C3281,Sales_Fact!E1297:J3281)</f>
        <v>STORE12</v>
      </c>
      <c r="H1297" s="22">
        <v>2</v>
      </c>
      <c r="I1297" s="22">
        <v>520.45000000000005</v>
      </c>
      <c r="J1297" s="22">
        <v>0.11</v>
      </c>
      <c r="K1297" s="22" t="str">
        <v>COD</v>
      </c>
      <c r="L1297" s="22">
        <v>926.40100000000007</v>
      </c>
    </row>
    <row r="1298" spans="1:12" x14ac:dyDescent="0.3">
      <c r="A1298" s="22" t="s">
        <v>3107</v>
      </c>
      <c r="B1298" s="34" cm="1">
        <f t="array" ref="B1298:C1298">_xlfn.XLOOKUP(A1298,Sales_Fact!A1298:A3282,Sales_Fact!B1298:C3282)</f>
        <v>45376</v>
      </c>
      <c r="C1298" s="22" t="str">
        <v>CUST1432</v>
      </c>
      <c r="D1298" s="22" t="str">
        <f>VLOOKUP('Combine Products &amp; Sales Facts'!C1298,'Customer Details'!A:B,2,0)</f>
        <v>Summer Weiss</v>
      </c>
      <c r="E1298" s="22" t="str">
        <f>VLOOKUP(C1298,Sales_Fact!C:D,2,0)</f>
        <v>PROD16</v>
      </c>
      <c r="F1298" s="22" t="str">
        <f>VLOOKUP(E1298,Product_Dim!A:C,3,0)</f>
        <v>Beauty</v>
      </c>
      <c r="G1298" s="22" t="str" cm="1">
        <f t="array" ref="G1298:L1298">_xlfn.XLOOKUP(C1298,Sales_Fact!C1298:C3282,Sales_Fact!E1298:J3282)</f>
        <v>STORE5</v>
      </c>
      <c r="H1298" s="22">
        <v>1</v>
      </c>
      <c r="I1298" s="22">
        <v>340.9</v>
      </c>
      <c r="J1298" s="22">
        <v>0.28999999999999998</v>
      </c>
      <c r="K1298" s="22" t="str">
        <v>Credit Card</v>
      </c>
      <c r="L1298" s="22">
        <v>242.03899999999999</v>
      </c>
    </row>
    <row r="1299" spans="1:12" x14ac:dyDescent="0.3">
      <c r="A1299" s="22" t="s">
        <v>3108</v>
      </c>
      <c r="B1299" s="34" cm="1">
        <f t="array" ref="B1299:C1299">_xlfn.XLOOKUP(A1299,Sales_Fact!A1299:A3283,Sales_Fact!B1299:C3283)</f>
        <v>45576</v>
      </c>
      <c r="C1299" s="22" t="str">
        <v>CUST1346</v>
      </c>
      <c r="D1299" s="22" t="str">
        <f>VLOOKUP('Combine Products &amp; Sales Facts'!C1299,'Customer Details'!A:B,2,0)</f>
        <v>John Jordan</v>
      </c>
      <c r="E1299" s="22" t="str">
        <f>VLOOKUP(C1299,Sales_Fact!C:D,2,0)</f>
        <v>PROD76</v>
      </c>
      <c r="F1299" s="22" t="str">
        <f>VLOOKUP(E1299,Product_Dim!A:C,3,0)</f>
        <v>Electronics</v>
      </c>
      <c r="G1299" s="22" t="str" cm="1">
        <f t="array" ref="G1299:L1299">_xlfn.XLOOKUP(C1299,Sales_Fact!C1299:C3283,Sales_Fact!E1299:J3283)</f>
        <v>STORE8</v>
      </c>
      <c r="H1299" s="22">
        <v>3</v>
      </c>
      <c r="I1299" s="22">
        <v>653.59</v>
      </c>
      <c r="J1299" s="22">
        <v>0.17</v>
      </c>
      <c r="K1299" s="22" t="str">
        <v>COD</v>
      </c>
      <c r="L1299" s="22">
        <v>1627.4391000000001</v>
      </c>
    </row>
    <row r="1300" spans="1:12" x14ac:dyDescent="0.3">
      <c r="A1300" s="22" t="s">
        <v>3109</v>
      </c>
      <c r="B1300" s="34" cm="1">
        <f t="array" ref="B1300:C1300">_xlfn.XLOOKUP(A1300,Sales_Fact!A1300:A3284,Sales_Fact!B1300:C3284)</f>
        <v>45906</v>
      </c>
      <c r="C1300" s="22" t="str">
        <v>CUST1021</v>
      </c>
      <c r="D1300" s="22" t="str">
        <f>VLOOKUP('Combine Products &amp; Sales Facts'!C1300,'Customer Details'!A:B,2,0)</f>
        <v>Jeff Martinez</v>
      </c>
      <c r="E1300" s="22" t="str">
        <f>VLOOKUP(C1300,Sales_Fact!C:D,2,0)</f>
        <v>PROD26</v>
      </c>
      <c r="F1300" s="22" t="str">
        <f>VLOOKUP(E1300,Product_Dim!A:C,3,0)</f>
        <v>Electronics</v>
      </c>
      <c r="G1300" s="22" t="str" cm="1">
        <f t="array" ref="G1300:L1300">_xlfn.XLOOKUP(C1300,Sales_Fact!C1300:C3284,Sales_Fact!E1300:J3284)</f>
        <v>STORE18</v>
      </c>
      <c r="H1300" s="22">
        <v>1</v>
      </c>
      <c r="I1300" s="22">
        <v>179.77</v>
      </c>
      <c r="J1300" s="22">
        <v>0.23</v>
      </c>
      <c r="K1300" s="22" t="str">
        <v>COD</v>
      </c>
      <c r="L1300" s="22">
        <v>138.4229</v>
      </c>
    </row>
    <row r="1301" spans="1:12" x14ac:dyDescent="0.3">
      <c r="A1301" s="22" t="s">
        <v>3110</v>
      </c>
      <c r="B1301" s="34" cm="1">
        <f t="array" ref="B1301:C1301">_xlfn.XLOOKUP(A1301,Sales_Fact!A1301:A3285,Sales_Fact!B1301:C3285)</f>
        <v>45523</v>
      </c>
      <c r="C1301" s="22" t="str">
        <v>CUST1008</v>
      </c>
      <c r="D1301" s="22" t="str">
        <f>VLOOKUP('Combine Products &amp; Sales Facts'!C1301,'Customer Details'!A:B,2,0)</f>
        <v>Melissa Howard</v>
      </c>
      <c r="E1301" s="22" t="str">
        <f>VLOOKUP(C1301,Sales_Fact!C:D,2,0)</f>
        <v>PROD30</v>
      </c>
      <c r="F1301" s="22" t="str">
        <f>VLOOKUP(E1301,Product_Dim!A:C,3,0)</f>
        <v>Home</v>
      </c>
      <c r="G1301" s="22" t="str" cm="1">
        <f t="array" ref="G1301:L1301">_xlfn.XLOOKUP(C1301,Sales_Fact!C1301:C3285,Sales_Fact!E1301:J3285)</f>
        <v>STORE9</v>
      </c>
      <c r="H1301" s="22">
        <v>2</v>
      </c>
      <c r="I1301" s="22">
        <v>943.8</v>
      </c>
      <c r="J1301" s="22">
        <v>0.06</v>
      </c>
      <c r="K1301" s="22" t="str">
        <v>Credit Card</v>
      </c>
      <c r="L1301" s="22">
        <v>1774.3440000000001</v>
      </c>
    </row>
    <row r="1302" spans="1:12" x14ac:dyDescent="0.3">
      <c r="A1302" s="22" t="s">
        <v>3111</v>
      </c>
      <c r="B1302" s="34" cm="1">
        <f t="array" ref="B1302:C1302">_xlfn.XLOOKUP(A1302,Sales_Fact!A1302:A3286,Sales_Fact!B1302:C3286)</f>
        <v>45234</v>
      </c>
      <c r="C1302" s="22" t="str">
        <v>CUST1409</v>
      </c>
      <c r="D1302" s="22" t="str">
        <f>VLOOKUP('Combine Products &amp; Sales Facts'!C1302,'Customer Details'!A:B,2,0)</f>
        <v>Sarah Smith</v>
      </c>
      <c r="E1302" s="22" t="str">
        <f>VLOOKUP(C1302,Sales_Fact!C:D,2,0)</f>
        <v>PROD97</v>
      </c>
      <c r="F1302" s="22" t="str">
        <f>VLOOKUP(E1302,Product_Dim!A:C,3,0)</f>
        <v>Sports</v>
      </c>
      <c r="G1302" s="22" t="str" cm="1">
        <f t="array" ref="G1302:L1302">_xlfn.XLOOKUP(C1302,Sales_Fact!C1302:C3286,Sales_Fact!E1302:J3286)</f>
        <v>STORE15</v>
      </c>
      <c r="H1302" s="22">
        <v>2</v>
      </c>
      <c r="I1302" s="22">
        <v>985</v>
      </c>
      <c r="J1302" s="22">
        <v>0.25</v>
      </c>
      <c r="K1302" s="22" t="str">
        <v>Credit Card</v>
      </c>
      <c r="L1302" s="22">
        <v>1477.5</v>
      </c>
    </row>
    <row r="1303" spans="1:12" x14ac:dyDescent="0.3">
      <c r="A1303" s="22" t="s">
        <v>3112</v>
      </c>
      <c r="B1303" s="34" cm="1">
        <f t="array" ref="B1303:C1303">_xlfn.XLOOKUP(A1303,Sales_Fact!A1303:A3287,Sales_Fact!B1303:C3287)</f>
        <v>45405</v>
      </c>
      <c r="C1303" s="22" t="str">
        <v>CUST1485</v>
      </c>
      <c r="D1303" s="22" t="str">
        <f>VLOOKUP('Combine Products &amp; Sales Facts'!C1303,'Customer Details'!A:B,2,0)</f>
        <v>Sara Ingram</v>
      </c>
      <c r="E1303" s="22" t="str">
        <f>VLOOKUP(C1303,Sales_Fact!C:D,2,0)</f>
        <v>PROD26</v>
      </c>
      <c r="F1303" s="22" t="str">
        <f>VLOOKUP(E1303,Product_Dim!A:C,3,0)</f>
        <v>Electronics</v>
      </c>
      <c r="G1303" s="22" t="str" cm="1">
        <f t="array" ref="G1303:L1303">_xlfn.XLOOKUP(C1303,Sales_Fact!C1303:C3287,Sales_Fact!E1303:J3287)</f>
        <v>STORE10</v>
      </c>
      <c r="H1303" s="22">
        <v>4</v>
      </c>
      <c r="I1303" s="22">
        <v>216.81</v>
      </c>
      <c r="J1303" s="22">
        <v>0.28999999999999998</v>
      </c>
      <c r="K1303" s="22" t="str">
        <v>Credit Card</v>
      </c>
      <c r="L1303" s="22">
        <v>615.74040000000002</v>
      </c>
    </row>
    <row r="1304" spans="1:12" x14ac:dyDescent="0.3">
      <c r="A1304" s="22" t="s">
        <v>3113</v>
      </c>
      <c r="B1304" s="34" cm="1">
        <f t="array" ref="B1304:C1304">_xlfn.XLOOKUP(A1304,Sales_Fact!A1304:A3288,Sales_Fact!B1304:C3288)</f>
        <v>45223</v>
      </c>
      <c r="C1304" s="22" t="str">
        <v>CUST1117</v>
      </c>
      <c r="D1304" s="22" t="str">
        <f>VLOOKUP('Combine Products &amp; Sales Facts'!C1304,'Customer Details'!A:B,2,0)</f>
        <v>Colleen Mccarthy</v>
      </c>
      <c r="E1304" s="22" t="str">
        <f>VLOOKUP(C1304,Sales_Fact!C:D,2,0)</f>
        <v>PROD97</v>
      </c>
      <c r="F1304" s="22" t="str">
        <f>VLOOKUP(E1304,Product_Dim!A:C,3,0)</f>
        <v>Sports</v>
      </c>
      <c r="G1304" s="22" t="str" cm="1">
        <f t="array" ref="G1304:L1304">_xlfn.XLOOKUP(C1304,Sales_Fact!C1304:C3288,Sales_Fact!E1304:J3288)</f>
        <v>STORE2</v>
      </c>
      <c r="H1304" s="22">
        <v>4</v>
      </c>
      <c r="I1304" s="22">
        <v>950.21</v>
      </c>
      <c r="J1304" s="22">
        <v>0.27</v>
      </c>
      <c r="K1304" s="22" t="str">
        <v>COD</v>
      </c>
      <c r="L1304" s="22">
        <v>2774.6131999999998</v>
      </c>
    </row>
    <row r="1305" spans="1:12" x14ac:dyDescent="0.3">
      <c r="A1305" s="22" t="s">
        <v>3114</v>
      </c>
      <c r="B1305" s="34" cm="1">
        <f t="array" ref="B1305:C1305">_xlfn.XLOOKUP(A1305,Sales_Fact!A1305:A3289,Sales_Fact!B1305:C3289)</f>
        <v>45838</v>
      </c>
      <c r="C1305" s="22" t="str">
        <v>CUST1256</v>
      </c>
      <c r="D1305" s="22" t="str">
        <f>VLOOKUP('Combine Products &amp; Sales Facts'!C1305,'Customer Details'!A:B,2,0)</f>
        <v>Kristen Fischer</v>
      </c>
      <c r="E1305" s="22" t="str">
        <f>VLOOKUP(C1305,Sales_Fact!C:D,2,0)</f>
        <v>PROD34</v>
      </c>
      <c r="F1305" s="22" t="str">
        <f>VLOOKUP(E1305,Product_Dim!A:C,3,0)</f>
        <v>Electronics</v>
      </c>
      <c r="G1305" s="22" t="str" cm="1">
        <f t="array" ref="G1305:L1305">_xlfn.XLOOKUP(C1305,Sales_Fact!C1305:C3289,Sales_Fact!E1305:J3289)</f>
        <v>STORE7</v>
      </c>
      <c r="H1305" s="22">
        <v>2</v>
      </c>
      <c r="I1305" s="22">
        <v>271.39999999999998</v>
      </c>
      <c r="J1305" s="22">
        <v>0.17</v>
      </c>
      <c r="K1305" s="22" t="str">
        <v>PayPal</v>
      </c>
      <c r="L1305" s="22">
        <v>450.52399999999989</v>
      </c>
    </row>
    <row r="1306" spans="1:12" x14ac:dyDescent="0.3">
      <c r="A1306" s="22" t="s">
        <v>3115</v>
      </c>
      <c r="B1306" s="34" cm="1">
        <f t="array" ref="B1306:C1306">_xlfn.XLOOKUP(A1306,Sales_Fact!A1306:A3290,Sales_Fact!B1306:C3290)</f>
        <v>45883</v>
      </c>
      <c r="C1306" s="22" t="str">
        <v>CUST1168</v>
      </c>
      <c r="D1306" s="22" t="str">
        <f>VLOOKUP('Combine Products &amp; Sales Facts'!C1306,'Customer Details'!A:B,2,0)</f>
        <v>Daniel Contreras</v>
      </c>
      <c r="E1306" s="22" t="str">
        <f>VLOOKUP(C1306,Sales_Fact!C:D,2,0)</f>
        <v>PROD72</v>
      </c>
      <c r="F1306" s="22" t="str">
        <f>VLOOKUP(E1306,Product_Dim!A:C,3,0)</f>
        <v>Sports</v>
      </c>
      <c r="G1306" s="22" t="str" cm="1">
        <f t="array" ref="G1306:L1306">_xlfn.XLOOKUP(C1306,Sales_Fact!C1306:C3290,Sales_Fact!E1306:J3290)</f>
        <v>STORE8</v>
      </c>
      <c r="H1306" s="22">
        <v>4</v>
      </c>
      <c r="I1306" s="22">
        <v>708.19</v>
      </c>
      <c r="J1306" s="22">
        <v>0.1</v>
      </c>
      <c r="K1306" s="22" t="str">
        <v>PayPal</v>
      </c>
      <c r="L1306" s="22">
        <v>2549.4839999999999</v>
      </c>
    </row>
    <row r="1307" spans="1:12" x14ac:dyDescent="0.3">
      <c r="A1307" s="22" t="s">
        <v>3116</v>
      </c>
      <c r="B1307" s="34" cm="1">
        <f t="array" ref="B1307:C1307">_xlfn.XLOOKUP(A1307,Sales_Fact!A1307:A3291,Sales_Fact!B1307:C3291)</f>
        <v>45788</v>
      </c>
      <c r="C1307" s="22" t="str">
        <v>CUST1444</v>
      </c>
      <c r="D1307" s="22" t="str">
        <f>VLOOKUP('Combine Products &amp; Sales Facts'!C1307,'Customer Details'!A:B,2,0)</f>
        <v>Cheryl Carr</v>
      </c>
      <c r="E1307" s="22" t="str">
        <f>VLOOKUP(C1307,Sales_Fact!C:D,2,0)</f>
        <v>PROD10</v>
      </c>
      <c r="F1307" s="22" t="str">
        <f>VLOOKUP(E1307,Product_Dim!A:C,3,0)</f>
        <v>Home</v>
      </c>
      <c r="G1307" s="22" t="str" cm="1">
        <f t="array" ref="G1307:L1307">_xlfn.XLOOKUP(C1307,Sales_Fact!C1307:C3291,Sales_Fact!E1307:J3291)</f>
        <v>STORE3</v>
      </c>
      <c r="H1307" s="22">
        <v>3</v>
      </c>
      <c r="I1307" s="22">
        <v>477.05</v>
      </c>
      <c r="J1307" s="22">
        <v>0.05</v>
      </c>
      <c r="K1307" s="22" t="str">
        <v>PayPal</v>
      </c>
      <c r="L1307" s="22">
        <v>1359.5925</v>
      </c>
    </row>
    <row r="1308" spans="1:12" x14ac:dyDescent="0.3">
      <c r="A1308" s="22" t="s">
        <v>3117</v>
      </c>
      <c r="B1308" s="34" cm="1">
        <f t="array" ref="B1308:C1308">_xlfn.XLOOKUP(A1308,Sales_Fact!A1308:A3292,Sales_Fact!B1308:C3292)</f>
        <v>45383</v>
      </c>
      <c r="C1308" s="22" t="str">
        <v>CUST1307</v>
      </c>
      <c r="D1308" s="22" t="str">
        <f>VLOOKUP('Combine Products &amp; Sales Facts'!C1308,'Customer Details'!A:B,2,0)</f>
        <v>Brandy Thompson</v>
      </c>
      <c r="E1308" s="22" t="str">
        <f>VLOOKUP(C1308,Sales_Fact!C:D,2,0)</f>
        <v>PROD93</v>
      </c>
      <c r="F1308" s="22" t="str">
        <f>VLOOKUP(E1308,Product_Dim!A:C,3,0)</f>
        <v>Electronics</v>
      </c>
      <c r="G1308" s="22" t="str" cm="1">
        <f t="array" ref="G1308:L1308">_xlfn.XLOOKUP(C1308,Sales_Fact!C1308:C3292,Sales_Fact!E1308:J3292)</f>
        <v>STORE9</v>
      </c>
      <c r="H1308" s="22">
        <v>3</v>
      </c>
      <c r="I1308" s="22">
        <v>627.29</v>
      </c>
      <c r="J1308" s="22">
        <v>0.27</v>
      </c>
      <c r="K1308" s="22" t="str">
        <v>COD</v>
      </c>
      <c r="L1308" s="22">
        <v>1373.7651000000001</v>
      </c>
    </row>
    <row r="1309" spans="1:12" x14ac:dyDescent="0.3">
      <c r="A1309" s="22" t="s">
        <v>3118</v>
      </c>
      <c r="B1309" s="34" cm="1">
        <f t="array" ref="B1309:C1309">_xlfn.XLOOKUP(A1309,Sales_Fact!A1309:A3293,Sales_Fact!B1309:C3293)</f>
        <v>45335</v>
      </c>
      <c r="C1309" s="22" t="str">
        <v>CUST1304</v>
      </c>
      <c r="D1309" s="22" t="str">
        <f>VLOOKUP('Combine Products &amp; Sales Facts'!C1309,'Customer Details'!A:B,2,0)</f>
        <v>Miss Alexandria Li Dvm</v>
      </c>
      <c r="E1309" s="22" t="str">
        <f>VLOOKUP(C1309,Sales_Fact!C:D,2,0)</f>
        <v>PROD50</v>
      </c>
      <c r="F1309" s="22" t="str">
        <f>VLOOKUP(E1309,Product_Dim!A:C,3,0)</f>
        <v>Sports</v>
      </c>
      <c r="G1309" s="22" t="str" cm="1">
        <f t="array" ref="G1309:L1309">_xlfn.XLOOKUP(C1309,Sales_Fact!C1309:C3293,Sales_Fact!E1309:J3293)</f>
        <v>STORE11</v>
      </c>
      <c r="H1309" s="22">
        <v>3</v>
      </c>
      <c r="I1309" s="22">
        <v>206.84</v>
      </c>
      <c r="J1309" s="22">
        <v>0.19</v>
      </c>
      <c r="K1309" s="22" t="str">
        <v>PayPal</v>
      </c>
      <c r="L1309" s="22">
        <v>502.62119999999999</v>
      </c>
    </row>
    <row r="1310" spans="1:12" x14ac:dyDescent="0.3">
      <c r="A1310" s="22" t="s">
        <v>3119</v>
      </c>
      <c r="B1310" s="34" cm="1">
        <f t="array" ref="B1310:C1310">_xlfn.XLOOKUP(A1310,Sales_Fact!A1310:A3294,Sales_Fact!B1310:C3294)</f>
        <v>45304</v>
      </c>
      <c r="C1310" s="22" t="str">
        <v>CUST1251</v>
      </c>
      <c r="D1310" s="22" t="str">
        <f>VLOOKUP('Combine Products &amp; Sales Facts'!C1310,'Customer Details'!A:B,2,0)</f>
        <v>Tyler Garner</v>
      </c>
      <c r="E1310" s="22" t="str">
        <f>VLOOKUP(C1310,Sales_Fact!C:D,2,0)</f>
        <v>PROD9</v>
      </c>
      <c r="F1310" s="22" t="str">
        <f>VLOOKUP(E1310,Product_Dim!A:C,3,0)</f>
        <v>Sports</v>
      </c>
      <c r="G1310" s="22" t="str" cm="1">
        <f t="array" ref="G1310:L1310">_xlfn.XLOOKUP(C1310,Sales_Fact!C1310:C3294,Sales_Fact!E1310:J3294)</f>
        <v>STORE1</v>
      </c>
      <c r="H1310" s="22">
        <v>4</v>
      </c>
      <c r="I1310" s="22">
        <v>629.04999999999995</v>
      </c>
      <c r="J1310" s="22">
        <v>0.26</v>
      </c>
      <c r="K1310" s="22" t="str">
        <v>Credit Card</v>
      </c>
      <c r="L1310" s="22">
        <v>1861.9880000000001</v>
      </c>
    </row>
    <row r="1311" spans="1:12" x14ac:dyDescent="0.3">
      <c r="A1311" s="22" t="s">
        <v>3120</v>
      </c>
      <c r="B1311" s="34" cm="1">
        <f t="array" ref="B1311:C1311">_xlfn.XLOOKUP(A1311,Sales_Fact!A1311:A3295,Sales_Fact!B1311:C3295)</f>
        <v>45543</v>
      </c>
      <c r="C1311" s="22" t="str">
        <v>CUST1438</v>
      </c>
      <c r="D1311" s="22" t="str">
        <f>VLOOKUP('Combine Products &amp; Sales Facts'!C1311,'Customer Details'!A:B,2,0)</f>
        <v>Monica Flynn</v>
      </c>
      <c r="E1311" s="22" t="str">
        <f>VLOOKUP(C1311,Sales_Fact!C:D,2,0)</f>
        <v>PROD63</v>
      </c>
      <c r="F1311" s="22" t="str">
        <f>VLOOKUP(E1311,Product_Dim!A:C,3,0)</f>
        <v>Beauty</v>
      </c>
      <c r="G1311" s="22" t="str" cm="1">
        <f t="array" ref="G1311:L1311">_xlfn.XLOOKUP(C1311,Sales_Fact!C1311:C3295,Sales_Fact!E1311:J3295)</f>
        <v>STORE17</v>
      </c>
      <c r="H1311" s="22">
        <v>4</v>
      </c>
      <c r="I1311" s="22">
        <v>529.04</v>
      </c>
      <c r="J1311" s="22">
        <v>0.1</v>
      </c>
      <c r="K1311" s="22" t="str">
        <v>PayPal</v>
      </c>
      <c r="L1311" s="22">
        <v>1904.5440000000001</v>
      </c>
    </row>
    <row r="1312" spans="1:12" x14ac:dyDescent="0.3">
      <c r="A1312" s="22" t="s">
        <v>3121</v>
      </c>
      <c r="B1312" s="34" cm="1">
        <f t="array" ref="B1312:C1312">_xlfn.XLOOKUP(A1312,Sales_Fact!A1312:A3296,Sales_Fact!B1312:C3296)</f>
        <v>45326</v>
      </c>
      <c r="C1312" s="22" t="str">
        <v>CUST1349</v>
      </c>
      <c r="D1312" s="22" t="str">
        <f>VLOOKUP('Combine Products &amp; Sales Facts'!C1312,'Customer Details'!A:B,2,0)</f>
        <v>Heather Valenzuela</v>
      </c>
      <c r="E1312" s="22" t="str">
        <f>VLOOKUP(C1312,Sales_Fact!C:D,2,0)</f>
        <v>PROD71</v>
      </c>
      <c r="F1312" s="22" t="str">
        <f>VLOOKUP(E1312,Product_Dim!A:C,3,0)</f>
        <v>Beauty</v>
      </c>
      <c r="G1312" s="22" t="str" cm="1">
        <f t="array" ref="G1312:L1312">_xlfn.XLOOKUP(C1312,Sales_Fact!C1312:C3296,Sales_Fact!E1312:J3296)</f>
        <v>STORE17</v>
      </c>
      <c r="H1312" s="22">
        <v>1</v>
      </c>
      <c r="I1312" s="22">
        <v>350.67</v>
      </c>
      <c r="J1312" s="22">
        <v>0.22</v>
      </c>
      <c r="K1312" s="22" t="str">
        <v>PayPal</v>
      </c>
      <c r="L1312" s="22">
        <v>273.52260000000001</v>
      </c>
    </row>
    <row r="1313" spans="1:12" x14ac:dyDescent="0.3">
      <c r="A1313" s="22" t="s">
        <v>3122</v>
      </c>
      <c r="B1313" s="34" cm="1">
        <f t="array" ref="B1313:C1313">_xlfn.XLOOKUP(A1313,Sales_Fact!A1313:A3297,Sales_Fact!B1313:C3297)</f>
        <v>45498</v>
      </c>
      <c r="C1313" s="22" t="str">
        <v>CUST1371</v>
      </c>
      <c r="D1313" s="22" t="str">
        <f>VLOOKUP('Combine Products &amp; Sales Facts'!C1313,'Customer Details'!A:B,2,0)</f>
        <v>Michael Garner</v>
      </c>
      <c r="E1313" s="22" t="str">
        <f>VLOOKUP(C1313,Sales_Fact!C:D,2,0)</f>
        <v>PROD67</v>
      </c>
      <c r="F1313" s="22" t="str">
        <f>VLOOKUP(E1313,Product_Dim!A:C,3,0)</f>
        <v>Electronics</v>
      </c>
      <c r="G1313" s="22" t="str" cm="1">
        <f t="array" ref="G1313:L1313">_xlfn.XLOOKUP(C1313,Sales_Fact!C1313:C3297,Sales_Fact!E1313:J3297)</f>
        <v>STORE1</v>
      </c>
      <c r="H1313" s="22">
        <v>1</v>
      </c>
      <c r="I1313" s="22">
        <v>128.93</v>
      </c>
      <c r="J1313" s="22">
        <v>0.26</v>
      </c>
      <c r="K1313" s="22" t="str">
        <v>Credit Card</v>
      </c>
      <c r="L1313" s="22">
        <v>95.408200000000008</v>
      </c>
    </row>
    <row r="1314" spans="1:12" x14ac:dyDescent="0.3">
      <c r="A1314" s="22" t="s">
        <v>3123</v>
      </c>
      <c r="B1314" s="34" cm="1">
        <f t="array" ref="B1314:C1314">_xlfn.XLOOKUP(A1314,Sales_Fact!A1314:A3298,Sales_Fact!B1314:C3298)</f>
        <v>45544</v>
      </c>
      <c r="C1314" s="22" t="str">
        <v>CUST1145</v>
      </c>
      <c r="D1314" s="22" t="str">
        <f>VLOOKUP('Combine Products &amp; Sales Facts'!C1314,'Customer Details'!A:B,2,0)</f>
        <v>Cameron Simpson</v>
      </c>
      <c r="E1314" s="22" t="str">
        <f>VLOOKUP(C1314,Sales_Fact!C:D,2,0)</f>
        <v>PROD69</v>
      </c>
      <c r="F1314" s="22" t="str">
        <f>VLOOKUP(E1314,Product_Dim!A:C,3,0)</f>
        <v>Clothing</v>
      </c>
      <c r="G1314" s="22" t="str" cm="1">
        <f t="array" ref="G1314:L1314">_xlfn.XLOOKUP(C1314,Sales_Fact!C1314:C3298,Sales_Fact!E1314:J3298)</f>
        <v>STORE15</v>
      </c>
      <c r="H1314" s="22">
        <v>2</v>
      </c>
      <c r="I1314" s="22">
        <v>384.92</v>
      </c>
      <c r="J1314" s="22">
        <v>0.09</v>
      </c>
      <c r="K1314" s="22" t="str">
        <v>Credit Card</v>
      </c>
      <c r="L1314" s="22">
        <v>700.5544000000001</v>
      </c>
    </row>
    <row r="1315" spans="1:12" x14ac:dyDescent="0.3">
      <c r="A1315" s="22" t="s">
        <v>3124</v>
      </c>
      <c r="B1315" s="34" cm="1">
        <f t="array" ref="B1315:C1315">_xlfn.XLOOKUP(A1315,Sales_Fact!A1315:A3299,Sales_Fact!B1315:C3299)</f>
        <v>45268</v>
      </c>
      <c r="C1315" s="22" t="str">
        <v>CUST1334</v>
      </c>
      <c r="D1315" s="22" t="str">
        <f>VLOOKUP('Combine Products &amp; Sales Facts'!C1315,'Customer Details'!A:B,2,0)</f>
        <v>Mr. Christopher Sims</v>
      </c>
      <c r="E1315" s="22" t="str">
        <f>VLOOKUP(C1315,Sales_Fact!C:D,2,0)</f>
        <v>PROD71</v>
      </c>
      <c r="F1315" s="22" t="str">
        <f>VLOOKUP(E1315,Product_Dim!A:C,3,0)</f>
        <v>Beauty</v>
      </c>
      <c r="G1315" s="22" t="str" cm="1">
        <f t="array" ref="G1315:L1315">_xlfn.XLOOKUP(C1315,Sales_Fact!C1315:C3299,Sales_Fact!E1315:J3299)</f>
        <v>STORE8</v>
      </c>
      <c r="H1315" s="22">
        <v>3</v>
      </c>
      <c r="I1315" s="22">
        <v>120.77</v>
      </c>
      <c r="J1315" s="22">
        <v>0.28999999999999998</v>
      </c>
      <c r="K1315" s="22" t="str">
        <v>PayPal</v>
      </c>
      <c r="L1315" s="22">
        <v>257.24009999999998</v>
      </c>
    </row>
    <row r="1316" spans="1:12" x14ac:dyDescent="0.3">
      <c r="A1316" s="22" t="s">
        <v>3125</v>
      </c>
      <c r="B1316" s="34" cm="1">
        <f t="array" ref="B1316:C1316">_xlfn.XLOOKUP(A1316,Sales_Fact!A1316:A3300,Sales_Fact!B1316:C3300)</f>
        <v>45824</v>
      </c>
      <c r="C1316" s="22" t="str">
        <v>CUST1222</v>
      </c>
      <c r="D1316" s="22" t="str">
        <f>VLOOKUP('Combine Products &amp; Sales Facts'!C1316,'Customer Details'!A:B,2,0)</f>
        <v>Alejandro Doyle</v>
      </c>
      <c r="E1316" s="22" t="str">
        <f>VLOOKUP(C1316,Sales_Fact!C:D,2,0)</f>
        <v>PROD46</v>
      </c>
      <c r="F1316" s="22" t="str">
        <f>VLOOKUP(E1316,Product_Dim!A:C,3,0)</f>
        <v>Clothing</v>
      </c>
      <c r="G1316" s="22" t="str" cm="1">
        <f t="array" ref="G1316:L1316">_xlfn.XLOOKUP(C1316,Sales_Fact!C1316:C3300,Sales_Fact!E1316:J3300)</f>
        <v>STORE17</v>
      </c>
      <c r="H1316" s="22">
        <v>4</v>
      </c>
      <c r="I1316" s="22">
        <v>661.39</v>
      </c>
      <c r="J1316" s="22">
        <v>7.0000000000000007E-2</v>
      </c>
      <c r="K1316" s="22" t="str">
        <v>Credit Card</v>
      </c>
      <c r="L1316" s="22">
        <v>2460.3708000000001</v>
      </c>
    </row>
    <row r="1317" spans="1:12" x14ac:dyDescent="0.3">
      <c r="A1317" s="22" t="s">
        <v>3126</v>
      </c>
      <c r="B1317" s="34" cm="1">
        <f t="array" ref="B1317:C1317">_xlfn.XLOOKUP(A1317,Sales_Fact!A1317:A3301,Sales_Fact!B1317:C3301)</f>
        <v>45261</v>
      </c>
      <c r="C1317" s="22" t="str">
        <v>CUST1449</v>
      </c>
      <c r="D1317" s="22" t="str">
        <f>VLOOKUP('Combine Products &amp; Sales Facts'!C1317,'Customer Details'!A:B,2,0)</f>
        <v>William Cortez</v>
      </c>
      <c r="E1317" s="22" t="str">
        <f>VLOOKUP(C1317,Sales_Fact!C:D,2,0)</f>
        <v>PROD98</v>
      </c>
      <c r="F1317" s="22" t="str">
        <f>VLOOKUP(E1317,Product_Dim!A:C,3,0)</f>
        <v>Electronics</v>
      </c>
      <c r="G1317" s="22" t="str" cm="1">
        <f t="array" ref="G1317:L1317">_xlfn.XLOOKUP(C1317,Sales_Fact!C1317:C3301,Sales_Fact!E1317:J3301)</f>
        <v>STORE2</v>
      </c>
      <c r="H1317" s="22">
        <v>1</v>
      </c>
      <c r="I1317" s="22">
        <v>195.24</v>
      </c>
      <c r="J1317" s="22">
        <v>0.27</v>
      </c>
      <c r="K1317" s="22" t="str">
        <v>PayPal</v>
      </c>
      <c r="L1317" s="22">
        <v>142.52520000000001</v>
      </c>
    </row>
    <row r="1318" spans="1:12" x14ac:dyDescent="0.3">
      <c r="A1318" s="22" t="s">
        <v>3127</v>
      </c>
      <c r="B1318" s="34" cm="1">
        <f t="array" ref="B1318:C1318">_xlfn.XLOOKUP(A1318,Sales_Fact!A1318:A3302,Sales_Fact!B1318:C3302)</f>
        <v>45233</v>
      </c>
      <c r="C1318" s="22" t="str">
        <v>CUST1004</v>
      </c>
      <c r="D1318" s="22" t="str">
        <f>VLOOKUP('Combine Products &amp; Sales Facts'!C1318,'Customer Details'!A:B,2,0)</f>
        <v>Caroline Collins</v>
      </c>
      <c r="E1318" s="22" t="str">
        <f>VLOOKUP(C1318,Sales_Fact!C:D,2,0)</f>
        <v>PROD47</v>
      </c>
      <c r="F1318" s="22" t="str">
        <f>VLOOKUP(E1318,Product_Dim!A:C,3,0)</f>
        <v>Beauty</v>
      </c>
      <c r="G1318" s="22" t="str" cm="1">
        <f t="array" ref="G1318:L1318">_xlfn.XLOOKUP(C1318,Sales_Fact!C1318:C3302,Sales_Fact!E1318:J3302)</f>
        <v>STORE18</v>
      </c>
      <c r="H1318" s="22">
        <v>2</v>
      </c>
      <c r="I1318" s="22">
        <v>177.4</v>
      </c>
      <c r="J1318" s="22">
        <v>0.19</v>
      </c>
      <c r="K1318" s="22" t="str">
        <v>PayPal</v>
      </c>
      <c r="L1318" s="22">
        <v>287.38799999999998</v>
      </c>
    </row>
    <row r="1319" spans="1:12" x14ac:dyDescent="0.3">
      <c r="A1319" s="22" t="s">
        <v>3128</v>
      </c>
      <c r="B1319" s="34" cm="1">
        <f t="array" ref="B1319:C1319">_xlfn.XLOOKUP(A1319,Sales_Fact!A1319:A3303,Sales_Fact!B1319:C3303)</f>
        <v>45673</v>
      </c>
      <c r="C1319" s="22" t="str">
        <v>CUST1057</v>
      </c>
      <c r="D1319" s="22" t="str">
        <f>VLOOKUP('Combine Products &amp; Sales Facts'!C1319,'Customer Details'!A:B,2,0)</f>
        <v>Jay Patel</v>
      </c>
      <c r="E1319" s="22" t="str">
        <f>VLOOKUP(C1319,Sales_Fact!C:D,2,0)</f>
        <v>PROD38</v>
      </c>
      <c r="F1319" s="22" t="str">
        <f>VLOOKUP(E1319,Product_Dim!A:C,3,0)</f>
        <v>Sports</v>
      </c>
      <c r="G1319" s="22" t="str" cm="1">
        <f t="array" ref="G1319:L1319">_xlfn.XLOOKUP(C1319,Sales_Fact!C1319:C3303,Sales_Fact!E1319:J3303)</f>
        <v>STORE11</v>
      </c>
      <c r="H1319" s="22">
        <v>4</v>
      </c>
      <c r="I1319" s="22">
        <v>862.67</v>
      </c>
      <c r="J1319" s="22">
        <v>0.2</v>
      </c>
      <c r="K1319" s="22" t="str">
        <v>PayPal</v>
      </c>
      <c r="L1319" s="22">
        <v>2760.5439999999999</v>
      </c>
    </row>
    <row r="1320" spans="1:12" x14ac:dyDescent="0.3">
      <c r="A1320" s="22" t="s">
        <v>3129</v>
      </c>
      <c r="B1320" s="34" cm="1">
        <f t="array" ref="B1320:C1320">_xlfn.XLOOKUP(A1320,Sales_Fact!A1320:A3304,Sales_Fact!B1320:C3304)</f>
        <v>45565</v>
      </c>
      <c r="C1320" s="22" t="str">
        <v>CUST1444</v>
      </c>
      <c r="D1320" s="22" t="str">
        <f>VLOOKUP('Combine Products &amp; Sales Facts'!C1320,'Customer Details'!A:B,2,0)</f>
        <v>Cheryl Carr</v>
      </c>
      <c r="E1320" s="22" t="str">
        <f>VLOOKUP(C1320,Sales_Fact!C:D,2,0)</f>
        <v>PROD10</v>
      </c>
      <c r="F1320" s="22" t="str">
        <f>VLOOKUP(E1320,Product_Dim!A:C,3,0)</f>
        <v>Home</v>
      </c>
      <c r="G1320" s="22" t="str" cm="1">
        <f t="array" ref="G1320:L1320">_xlfn.XLOOKUP(C1320,Sales_Fact!C1320:C3304,Sales_Fact!E1320:J3304)</f>
        <v>STORE6</v>
      </c>
      <c r="H1320" s="22">
        <v>1</v>
      </c>
      <c r="I1320" s="22">
        <v>55.04</v>
      </c>
      <c r="J1320" s="22">
        <v>0.01</v>
      </c>
      <c r="K1320" s="22" t="str">
        <v>COD</v>
      </c>
      <c r="L1320" s="22">
        <v>54.489600000000003</v>
      </c>
    </row>
    <row r="1321" spans="1:12" x14ac:dyDescent="0.3">
      <c r="A1321" s="22" t="s">
        <v>3130</v>
      </c>
      <c r="B1321" s="34" cm="1">
        <f t="array" ref="B1321:C1321">_xlfn.XLOOKUP(A1321,Sales_Fact!A1321:A3305,Sales_Fact!B1321:C3305)</f>
        <v>45646</v>
      </c>
      <c r="C1321" s="22" t="str">
        <v>CUST1049</v>
      </c>
      <c r="D1321" s="22" t="str">
        <f>VLOOKUP('Combine Products &amp; Sales Facts'!C1321,'Customer Details'!A:B,2,0)</f>
        <v>Timothy Weaver</v>
      </c>
      <c r="E1321" s="22" t="str">
        <f>VLOOKUP(C1321,Sales_Fact!C:D,2,0)</f>
        <v>PROD48</v>
      </c>
      <c r="F1321" s="22" t="str">
        <f>VLOOKUP(E1321,Product_Dim!A:C,3,0)</f>
        <v>Electronics</v>
      </c>
      <c r="G1321" s="22" t="str" cm="1">
        <f t="array" ref="G1321:L1321">_xlfn.XLOOKUP(C1321,Sales_Fact!C1321:C3305,Sales_Fact!E1321:J3305)</f>
        <v>STORE0</v>
      </c>
      <c r="H1321" s="22">
        <v>2</v>
      </c>
      <c r="I1321" s="22">
        <v>905.47</v>
      </c>
      <c r="J1321" s="22">
        <v>0.2</v>
      </c>
      <c r="K1321" s="22" t="str">
        <v>COD</v>
      </c>
      <c r="L1321" s="22">
        <v>1448.752</v>
      </c>
    </row>
    <row r="1322" spans="1:12" x14ac:dyDescent="0.3">
      <c r="A1322" s="22" t="s">
        <v>3131</v>
      </c>
      <c r="B1322" s="34" cm="1">
        <f t="array" ref="B1322:C1322">_xlfn.XLOOKUP(A1322,Sales_Fact!A1322:A3306,Sales_Fact!B1322:C3306)</f>
        <v>45539</v>
      </c>
      <c r="C1322" s="22" t="str">
        <v>CUST1461</v>
      </c>
      <c r="D1322" s="22" t="str">
        <f>VLOOKUP('Combine Products &amp; Sales Facts'!C1322,'Customer Details'!A:B,2,0)</f>
        <v>Paul Cox</v>
      </c>
      <c r="E1322" s="22" t="str">
        <f>VLOOKUP(C1322,Sales_Fact!C:D,2,0)</f>
        <v>PROD65</v>
      </c>
      <c r="F1322" s="22" t="str">
        <f>VLOOKUP(E1322,Product_Dim!A:C,3,0)</f>
        <v>Sports</v>
      </c>
      <c r="G1322" s="22" t="str" cm="1">
        <f t="array" ref="G1322:L1322">_xlfn.XLOOKUP(C1322,Sales_Fact!C1322:C3306,Sales_Fact!E1322:J3306)</f>
        <v>STORE13</v>
      </c>
      <c r="H1322" s="22">
        <v>3</v>
      </c>
      <c r="I1322" s="22">
        <v>217.13</v>
      </c>
      <c r="J1322" s="22">
        <v>0.28000000000000003</v>
      </c>
      <c r="K1322" s="22" t="str">
        <v>Credit Card</v>
      </c>
      <c r="L1322" s="22">
        <v>469.00080000000003</v>
      </c>
    </row>
    <row r="1323" spans="1:12" x14ac:dyDescent="0.3">
      <c r="A1323" s="22" t="s">
        <v>3132</v>
      </c>
      <c r="B1323" s="34" cm="1">
        <f t="array" ref="B1323:C1323">_xlfn.XLOOKUP(A1323,Sales_Fact!A1323:A3307,Sales_Fact!B1323:C3307)</f>
        <v>45936</v>
      </c>
      <c r="C1323" s="22" t="str">
        <v>CUST1389</v>
      </c>
      <c r="D1323" s="22" t="str">
        <f>VLOOKUP('Combine Products &amp; Sales Facts'!C1323,'Customer Details'!A:B,2,0)</f>
        <v>Cynthia Lopez</v>
      </c>
      <c r="E1323" s="22" t="str">
        <f>VLOOKUP(C1323,Sales_Fact!C:D,2,0)</f>
        <v>PROD91</v>
      </c>
      <c r="F1323" s="22" t="str">
        <f>VLOOKUP(E1323,Product_Dim!A:C,3,0)</f>
        <v>Clothing</v>
      </c>
      <c r="G1323" s="22" t="str" cm="1">
        <f t="array" ref="G1323:L1323">_xlfn.XLOOKUP(C1323,Sales_Fact!C1323:C3307,Sales_Fact!E1323:J3307)</f>
        <v>STORE0</v>
      </c>
      <c r="H1323" s="22">
        <v>3</v>
      </c>
      <c r="I1323" s="22">
        <v>580.45000000000005</v>
      </c>
      <c r="J1323" s="22">
        <v>0</v>
      </c>
      <c r="K1323" s="22" t="str">
        <v>PayPal</v>
      </c>
      <c r="L1323" s="22">
        <v>1741.35</v>
      </c>
    </row>
    <row r="1324" spans="1:12" x14ac:dyDescent="0.3">
      <c r="A1324" s="22" t="s">
        <v>3133</v>
      </c>
      <c r="B1324" s="34" cm="1">
        <f t="array" ref="B1324:C1324">_xlfn.XLOOKUP(A1324,Sales_Fact!A1324:A3308,Sales_Fact!B1324:C3308)</f>
        <v>45854</v>
      </c>
      <c r="C1324" s="22" t="str">
        <v>CUST1103</v>
      </c>
      <c r="D1324" s="22" t="str">
        <f>VLOOKUP('Combine Products &amp; Sales Facts'!C1324,'Customer Details'!A:B,2,0)</f>
        <v>Steven Stein</v>
      </c>
      <c r="E1324" s="22" t="str">
        <f>VLOOKUP(C1324,Sales_Fact!C:D,2,0)</f>
        <v>PROD89</v>
      </c>
      <c r="F1324" s="22" t="str">
        <f>VLOOKUP(E1324,Product_Dim!A:C,3,0)</f>
        <v>Beauty</v>
      </c>
      <c r="G1324" s="22" t="str" cm="1">
        <f t="array" ref="G1324:L1324">_xlfn.XLOOKUP(C1324,Sales_Fact!C1324:C3308,Sales_Fact!E1324:J3308)</f>
        <v>STORE17</v>
      </c>
      <c r="H1324" s="22">
        <v>2</v>
      </c>
      <c r="I1324" s="22">
        <v>892.88</v>
      </c>
      <c r="J1324" s="22">
        <v>0.17</v>
      </c>
      <c r="K1324" s="22" t="str">
        <v>PayPal</v>
      </c>
      <c r="L1324" s="22">
        <v>1482.1808000000001</v>
      </c>
    </row>
    <row r="1325" spans="1:12" x14ac:dyDescent="0.3">
      <c r="A1325" s="22" t="s">
        <v>3134</v>
      </c>
      <c r="B1325" s="34" cm="1">
        <f t="array" ref="B1325:C1325">_xlfn.XLOOKUP(A1325,Sales_Fact!A1325:A3309,Sales_Fact!B1325:C3309)</f>
        <v>45936</v>
      </c>
      <c r="C1325" s="22" t="str">
        <v>CUST1091</v>
      </c>
      <c r="D1325" s="22" t="str">
        <f>VLOOKUP('Combine Products &amp; Sales Facts'!C1325,'Customer Details'!A:B,2,0)</f>
        <v>Donna Gregory</v>
      </c>
      <c r="E1325" s="22" t="str">
        <f>VLOOKUP(C1325,Sales_Fact!C:D,2,0)</f>
        <v>PROD46</v>
      </c>
      <c r="F1325" s="22" t="str">
        <f>VLOOKUP(E1325,Product_Dim!A:C,3,0)</f>
        <v>Clothing</v>
      </c>
      <c r="G1325" s="22" t="str" cm="1">
        <f t="array" ref="G1325:L1325">_xlfn.XLOOKUP(C1325,Sales_Fact!C1325:C3309,Sales_Fact!E1325:J3309)</f>
        <v>STORE18</v>
      </c>
      <c r="H1325" s="22">
        <v>2</v>
      </c>
      <c r="I1325" s="22">
        <v>356.28</v>
      </c>
      <c r="J1325" s="22">
        <v>0.11</v>
      </c>
      <c r="K1325" s="22" t="str">
        <v>COD</v>
      </c>
      <c r="L1325" s="22">
        <v>634.17840000000001</v>
      </c>
    </row>
    <row r="1326" spans="1:12" x14ac:dyDescent="0.3">
      <c r="A1326" s="22" t="s">
        <v>3135</v>
      </c>
      <c r="B1326" s="34" cm="1">
        <f t="array" ref="B1326:C1326">_xlfn.XLOOKUP(A1326,Sales_Fact!A1326:A3310,Sales_Fact!B1326:C3310)</f>
        <v>45921</v>
      </c>
      <c r="C1326" s="22" t="str">
        <v>CUST1384</v>
      </c>
      <c r="D1326" s="22" t="str">
        <f>VLOOKUP('Combine Products &amp; Sales Facts'!C1326,'Customer Details'!A:B,2,0)</f>
        <v>Andrew Mason</v>
      </c>
      <c r="E1326" s="22" t="str">
        <f>VLOOKUP(C1326,Sales_Fact!C:D,2,0)</f>
        <v>PROD74</v>
      </c>
      <c r="F1326" s="22" t="str">
        <f>VLOOKUP(E1326,Product_Dim!A:C,3,0)</f>
        <v>Electronics</v>
      </c>
      <c r="G1326" s="22" t="str" cm="1">
        <f t="array" ref="G1326:L1326">_xlfn.XLOOKUP(C1326,Sales_Fact!C1326:C3310,Sales_Fact!E1326:J3310)</f>
        <v>STORE2</v>
      </c>
      <c r="H1326" s="22">
        <v>4</v>
      </c>
      <c r="I1326" s="22">
        <v>806.99</v>
      </c>
      <c r="J1326" s="22">
        <v>0.06</v>
      </c>
      <c r="K1326" s="22" t="str">
        <v>Credit Card</v>
      </c>
      <c r="L1326" s="22">
        <v>3034.2824000000001</v>
      </c>
    </row>
    <row r="1327" spans="1:12" x14ac:dyDescent="0.3">
      <c r="A1327" s="22" t="s">
        <v>3136</v>
      </c>
      <c r="B1327" s="34" cm="1">
        <f t="array" ref="B1327:C1327">_xlfn.XLOOKUP(A1327,Sales_Fact!A1327:A3311,Sales_Fact!B1327:C3311)</f>
        <v>45855</v>
      </c>
      <c r="C1327" s="22" t="str">
        <v>CUST1439</v>
      </c>
      <c r="D1327" s="22" t="str">
        <f>VLOOKUP('Combine Products &amp; Sales Facts'!C1327,'Customer Details'!A:B,2,0)</f>
        <v>John Compton</v>
      </c>
      <c r="E1327" s="22" t="str">
        <f>VLOOKUP(C1327,Sales_Fact!C:D,2,0)</f>
        <v>PROD20</v>
      </c>
      <c r="F1327" s="22" t="str">
        <f>VLOOKUP(E1327,Product_Dim!A:C,3,0)</f>
        <v>Sports</v>
      </c>
      <c r="G1327" s="22" t="str" cm="1">
        <f t="array" ref="G1327:L1327">_xlfn.XLOOKUP(C1327,Sales_Fact!C1327:C3311,Sales_Fact!E1327:J3311)</f>
        <v>STORE1</v>
      </c>
      <c r="H1327" s="22">
        <v>3</v>
      </c>
      <c r="I1327" s="22">
        <v>684.22</v>
      </c>
      <c r="J1327" s="22">
        <v>0.09</v>
      </c>
      <c r="K1327" s="22" t="str">
        <v>Credit Card</v>
      </c>
      <c r="L1327" s="22">
        <v>1867.9205999999999</v>
      </c>
    </row>
    <row r="1328" spans="1:12" x14ac:dyDescent="0.3">
      <c r="A1328" s="22" t="s">
        <v>3137</v>
      </c>
      <c r="B1328" s="34" cm="1">
        <f t="array" ref="B1328:C1328">_xlfn.XLOOKUP(A1328,Sales_Fact!A1328:A3312,Sales_Fact!B1328:C3312)</f>
        <v>45837</v>
      </c>
      <c r="C1328" s="22" t="str">
        <v>CUST1443</v>
      </c>
      <c r="D1328" s="22" t="str">
        <f>VLOOKUP('Combine Products &amp; Sales Facts'!C1328,'Customer Details'!A:B,2,0)</f>
        <v>Adam Castro</v>
      </c>
      <c r="E1328" s="22" t="str">
        <f>VLOOKUP(C1328,Sales_Fact!C:D,2,0)</f>
        <v>PROD34</v>
      </c>
      <c r="F1328" s="22" t="str">
        <f>VLOOKUP(E1328,Product_Dim!A:C,3,0)</f>
        <v>Electronics</v>
      </c>
      <c r="G1328" s="22" t="str" cm="1">
        <f t="array" ref="G1328:L1328">_xlfn.XLOOKUP(C1328,Sales_Fact!C1328:C3312,Sales_Fact!E1328:J3312)</f>
        <v>STORE7</v>
      </c>
      <c r="H1328" s="22">
        <v>4</v>
      </c>
      <c r="I1328" s="22">
        <v>763.34</v>
      </c>
      <c r="J1328" s="22">
        <v>7.0000000000000007E-2</v>
      </c>
      <c r="K1328" s="22" t="str">
        <v>PayPal</v>
      </c>
      <c r="L1328" s="22">
        <v>2839.6248000000001</v>
      </c>
    </row>
    <row r="1329" spans="1:12" x14ac:dyDescent="0.3">
      <c r="A1329" s="22" t="s">
        <v>3138</v>
      </c>
      <c r="B1329" s="34" cm="1">
        <f t="array" ref="B1329:C1329">_xlfn.XLOOKUP(A1329,Sales_Fact!A1329:A3313,Sales_Fact!B1329:C3313)</f>
        <v>45738</v>
      </c>
      <c r="C1329" s="22" t="str">
        <v>CUST1361</v>
      </c>
      <c r="D1329" s="22" t="str">
        <f>VLOOKUP('Combine Products &amp; Sales Facts'!C1329,'Customer Details'!A:B,2,0)</f>
        <v>Natalie Johnson</v>
      </c>
      <c r="E1329" s="22" t="str">
        <f>VLOOKUP(C1329,Sales_Fact!C:D,2,0)</f>
        <v>PROD76</v>
      </c>
      <c r="F1329" s="22" t="str">
        <f>VLOOKUP(E1329,Product_Dim!A:C,3,0)</f>
        <v>Electronics</v>
      </c>
      <c r="G1329" s="22" t="str" cm="1">
        <f t="array" ref="G1329:L1329">_xlfn.XLOOKUP(C1329,Sales_Fact!C1329:C3313,Sales_Fact!E1329:J3313)</f>
        <v>STORE3</v>
      </c>
      <c r="H1329" s="22">
        <v>3</v>
      </c>
      <c r="I1329" s="22">
        <v>721.94</v>
      </c>
      <c r="J1329" s="22">
        <v>0.26</v>
      </c>
      <c r="K1329" s="22" t="str">
        <v>Credit Card</v>
      </c>
      <c r="L1329" s="22">
        <v>1602.7067999999999</v>
      </c>
    </row>
    <row r="1330" spans="1:12" x14ac:dyDescent="0.3">
      <c r="A1330" s="22" t="s">
        <v>3139</v>
      </c>
      <c r="B1330" s="34" cm="1">
        <f t="array" ref="B1330:C1330">_xlfn.XLOOKUP(A1330,Sales_Fact!A1330:A3314,Sales_Fact!B1330:C3314)</f>
        <v>45323</v>
      </c>
      <c r="C1330" s="22" t="str">
        <v>CUST1406</v>
      </c>
      <c r="D1330" s="22" t="str">
        <f>VLOOKUP('Combine Products &amp; Sales Facts'!C1330,'Customer Details'!A:B,2,0)</f>
        <v>David Lozano</v>
      </c>
      <c r="E1330" s="22" t="str">
        <f>VLOOKUP(C1330,Sales_Fact!C:D,2,0)</f>
        <v>PROD16</v>
      </c>
      <c r="F1330" s="22" t="str">
        <f>VLOOKUP(E1330,Product_Dim!A:C,3,0)</f>
        <v>Beauty</v>
      </c>
      <c r="G1330" s="22" t="str" cm="1">
        <f t="array" ref="G1330:L1330">_xlfn.XLOOKUP(C1330,Sales_Fact!C1330:C3314,Sales_Fact!E1330:J3314)</f>
        <v>STORE1</v>
      </c>
      <c r="H1330" s="22">
        <v>3</v>
      </c>
      <c r="I1330" s="22">
        <v>760.38</v>
      </c>
      <c r="J1330" s="22">
        <v>0</v>
      </c>
      <c r="K1330" s="22" t="str">
        <v>COD</v>
      </c>
      <c r="L1330" s="22">
        <v>2281.14</v>
      </c>
    </row>
    <row r="1331" spans="1:12" x14ac:dyDescent="0.3">
      <c r="A1331" s="22" t="s">
        <v>3140</v>
      </c>
      <c r="B1331" s="34" cm="1">
        <f t="array" ref="B1331:C1331">_xlfn.XLOOKUP(A1331,Sales_Fact!A1331:A3315,Sales_Fact!B1331:C3315)</f>
        <v>45362</v>
      </c>
      <c r="C1331" s="22" t="str">
        <v>CUST1298</v>
      </c>
      <c r="D1331" s="22" t="str">
        <f>VLOOKUP('Combine Products &amp; Sales Facts'!C1331,'Customer Details'!A:B,2,0)</f>
        <v>Tracy Stephens</v>
      </c>
      <c r="E1331" s="22" t="str">
        <f>VLOOKUP(C1331,Sales_Fact!C:D,2,0)</f>
        <v>PROD73</v>
      </c>
      <c r="F1331" s="22" t="str">
        <f>VLOOKUP(E1331,Product_Dim!A:C,3,0)</f>
        <v>Sports</v>
      </c>
      <c r="G1331" s="22" t="str" cm="1">
        <f t="array" ref="G1331:L1331">_xlfn.XLOOKUP(C1331,Sales_Fact!C1331:C3315,Sales_Fact!E1331:J3315)</f>
        <v>STORE6</v>
      </c>
      <c r="H1331" s="22">
        <v>3</v>
      </c>
      <c r="I1331" s="22">
        <v>612.53</v>
      </c>
      <c r="J1331" s="22">
        <v>0.21</v>
      </c>
      <c r="K1331" s="22" t="str">
        <v>COD</v>
      </c>
      <c r="L1331" s="22">
        <v>1451.6960999999999</v>
      </c>
    </row>
    <row r="1332" spans="1:12" x14ac:dyDescent="0.3">
      <c r="A1332" s="22" t="s">
        <v>3141</v>
      </c>
      <c r="B1332" s="34" cm="1">
        <f t="array" ref="B1332:C1332">_xlfn.XLOOKUP(A1332,Sales_Fact!A1332:A3316,Sales_Fact!B1332:C3316)</f>
        <v>45544</v>
      </c>
      <c r="C1332" s="22" t="str">
        <v>CUST1041</v>
      </c>
      <c r="D1332" s="22" t="str">
        <f>VLOOKUP('Combine Products &amp; Sales Facts'!C1332,'Customer Details'!A:B,2,0)</f>
        <v>James Gibbs</v>
      </c>
      <c r="E1332" s="22" t="str">
        <f>VLOOKUP(C1332,Sales_Fact!C:D,2,0)</f>
        <v>PROD22</v>
      </c>
      <c r="F1332" s="22" t="str">
        <f>VLOOKUP(E1332,Product_Dim!A:C,3,0)</f>
        <v>Sports</v>
      </c>
      <c r="G1332" s="22" t="str" cm="1">
        <f t="array" ref="G1332:L1332">_xlfn.XLOOKUP(C1332,Sales_Fact!C1332:C3316,Sales_Fact!E1332:J3316)</f>
        <v>STORE16</v>
      </c>
      <c r="H1332" s="22">
        <v>3</v>
      </c>
      <c r="I1332" s="22">
        <v>841.37</v>
      </c>
      <c r="J1332" s="22">
        <v>0.28999999999999998</v>
      </c>
      <c r="K1332" s="22" t="str">
        <v>PayPal</v>
      </c>
      <c r="L1332" s="22">
        <v>1792.1180999999999</v>
      </c>
    </row>
    <row r="1333" spans="1:12" x14ac:dyDescent="0.3">
      <c r="A1333" s="22" t="s">
        <v>3142</v>
      </c>
      <c r="B1333" s="34" cm="1">
        <f t="array" ref="B1333:C1333">_xlfn.XLOOKUP(A1333,Sales_Fact!A1333:A3317,Sales_Fact!B1333:C3317)</f>
        <v>45249</v>
      </c>
      <c r="C1333" s="22" t="str">
        <v>CUST1261</v>
      </c>
      <c r="D1333" s="22" t="str">
        <f>VLOOKUP('Combine Products &amp; Sales Facts'!C1333,'Customer Details'!A:B,2,0)</f>
        <v>Carol Bishop</v>
      </c>
      <c r="E1333" s="22" t="str">
        <f>VLOOKUP(C1333,Sales_Fact!C:D,2,0)</f>
        <v>PROD42</v>
      </c>
      <c r="F1333" s="22" t="str">
        <f>VLOOKUP(E1333,Product_Dim!A:C,3,0)</f>
        <v>Electronics</v>
      </c>
      <c r="G1333" s="22" t="str" cm="1">
        <f t="array" ref="G1333:L1333">_xlfn.XLOOKUP(C1333,Sales_Fact!C1333:C3317,Sales_Fact!E1333:J3317)</f>
        <v>STORE9</v>
      </c>
      <c r="H1333" s="22">
        <v>2</v>
      </c>
      <c r="I1333" s="22">
        <v>636.51</v>
      </c>
      <c r="J1333" s="22">
        <v>0.25</v>
      </c>
      <c r="K1333" s="22" t="str">
        <v>Credit Card</v>
      </c>
      <c r="L1333" s="22">
        <v>954.76499999999999</v>
      </c>
    </row>
    <row r="1334" spans="1:12" x14ac:dyDescent="0.3">
      <c r="A1334" s="22" t="s">
        <v>3143</v>
      </c>
      <c r="B1334" s="34" cm="1">
        <f t="array" ref="B1334:C1334">_xlfn.XLOOKUP(A1334,Sales_Fact!A1334:A3318,Sales_Fact!B1334:C3318)</f>
        <v>45659</v>
      </c>
      <c r="C1334" s="22" t="str">
        <v>CUST1091</v>
      </c>
      <c r="D1334" s="22" t="str">
        <f>VLOOKUP('Combine Products &amp; Sales Facts'!C1334,'Customer Details'!A:B,2,0)</f>
        <v>Donna Gregory</v>
      </c>
      <c r="E1334" s="22" t="str">
        <f>VLOOKUP(C1334,Sales_Fact!C:D,2,0)</f>
        <v>PROD46</v>
      </c>
      <c r="F1334" s="22" t="str">
        <f>VLOOKUP(E1334,Product_Dim!A:C,3,0)</f>
        <v>Clothing</v>
      </c>
      <c r="G1334" s="22" t="str" cm="1">
        <f t="array" ref="G1334:L1334">_xlfn.XLOOKUP(C1334,Sales_Fact!C1334:C3318,Sales_Fact!E1334:J3318)</f>
        <v>STORE8</v>
      </c>
      <c r="H1334" s="22">
        <v>2</v>
      </c>
      <c r="I1334" s="22">
        <v>732.37</v>
      </c>
      <c r="J1334" s="22">
        <v>0.22</v>
      </c>
      <c r="K1334" s="22" t="str">
        <v>COD</v>
      </c>
      <c r="L1334" s="22">
        <v>1142.4972</v>
      </c>
    </row>
    <row r="1335" spans="1:12" x14ac:dyDescent="0.3">
      <c r="A1335" s="22" t="s">
        <v>3144</v>
      </c>
      <c r="B1335" s="34" cm="1">
        <f t="array" ref="B1335:C1335">_xlfn.XLOOKUP(A1335,Sales_Fact!A1335:A3319,Sales_Fact!B1335:C3319)</f>
        <v>45927</v>
      </c>
      <c r="C1335" s="22" t="str">
        <v>CUST1164</v>
      </c>
      <c r="D1335" s="22" t="str">
        <f>VLOOKUP('Combine Products &amp; Sales Facts'!C1335,'Customer Details'!A:B,2,0)</f>
        <v>Daniel Rivas</v>
      </c>
      <c r="E1335" s="22" t="str">
        <f>VLOOKUP(C1335,Sales_Fact!C:D,2,0)</f>
        <v>PROD48</v>
      </c>
      <c r="F1335" s="22" t="str">
        <f>VLOOKUP(E1335,Product_Dim!A:C,3,0)</f>
        <v>Electronics</v>
      </c>
      <c r="G1335" s="22" t="str" cm="1">
        <f t="array" ref="G1335:L1335">_xlfn.XLOOKUP(C1335,Sales_Fact!C1335:C3319,Sales_Fact!E1335:J3319)</f>
        <v>STORE16</v>
      </c>
      <c r="H1335" s="22">
        <v>3</v>
      </c>
      <c r="I1335" s="22">
        <v>183.44</v>
      </c>
      <c r="J1335" s="22">
        <v>0.28000000000000003</v>
      </c>
      <c r="K1335" s="22" t="str">
        <v>COD</v>
      </c>
      <c r="L1335" s="22">
        <v>396.23039999999992</v>
      </c>
    </row>
    <row r="1336" spans="1:12" x14ac:dyDescent="0.3">
      <c r="A1336" s="22" t="s">
        <v>3145</v>
      </c>
      <c r="B1336" s="34" cm="1">
        <f t="array" ref="B1336:C1336">_xlfn.XLOOKUP(A1336,Sales_Fact!A1336:A3320,Sales_Fact!B1336:C3320)</f>
        <v>45373</v>
      </c>
      <c r="C1336" s="22" t="str">
        <v>CUST1065</v>
      </c>
      <c r="D1336" s="22" t="str">
        <f>VLOOKUP('Combine Products &amp; Sales Facts'!C1336,'Customer Details'!A:B,2,0)</f>
        <v>Michael Thomas</v>
      </c>
      <c r="E1336" s="22" t="str">
        <f>VLOOKUP(C1336,Sales_Fact!C:D,2,0)</f>
        <v>PROD24</v>
      </c>
      <c r="F1336" s="22" t="str">
        <f>VLOOKUP(E1336,Product_Dim!A:C,3,0)</f>
        <v>Sports</v>
      </c>
      <c r="G1336" s="22" t="str" cm="1">
        <f t="array" ref="G1336:L1336">_xlfn.XLOOKUP(C1336,Sales_Fact!C1336:C3320,Sales_Fact!E1336:J3320)</f>
        <v>STORE13</v>
      </c>
      <c r="H1336" s="22">
        <v>4</v>
      </c>
      <c r="I1336" s="22">
        <v>898.58</v>
      </c>
      <c r="J1336" s="22">
        <v>0.16</v>
      </c>
      <c r="K1336" s="22" t="str">
        <v>PayPal</v>
      </c>
      <c r="L1336" s="22">
        <v>3019.2287999999999</v>
      </c>
    </row>
    <row r="1337" spans="1:12" x14ac:dyDescent="0.3">
      <c r="A1337" s="22" t="s">
        <v>3146</v>
      </c>
      <c r="B1337" s="34" cm="1">
        <f t="array" ref="B1337:C1337">_xlfn.XLOOKUP(A1337,Sales_Fact!A1337:A3321,Sales_Fact!B1337:C3321)</f>
        <v>45529</v>
      </c>
      <c r="C1337" s="22" t="str">
        <v>CUST1390</v>
      </c>
      <c r="D1337" s="22" t="str">
        <f>VLOOKUP('Combine Products &amp; Sales Facts'!C1337,'Customer Details'!A:B,2,0)</f>
        <v>Daniel Bell</v>
      </c>
      <c r="E1337" s="22" t="str">
        <f>VLOOKUP(C1337,Sales_Fact!C:D,2,0)</f>
        <v>PROD11</v>
      </c>
      <c r="F1337" s="22" t="str">
        <f>VLOOKUP(E1337,Product_Dim!A:C,3,0)</f>
        <v>Electronics</v>
      </c>
      <c r="G1337" s="22" t="str" cm="1">
        <f t="array" ref="G1337:L1337">_xlfn.XLOOKUP(C1337,Sales_Fact!C1337:C3321,Sales_Fact!E1337:J3321)</f>
        <v>STORE2</v>
      </c>
      <c r="H1337" s="22">
        <v>3</v>
      </c>
      <c r="I1337" s="22">
        <v>152.41</v>
      </c>
      <c r="J1337" s="22">
        <v>0.25</v>
      </c>
      <c r="K1337" s="22" t="str">
        <v>Credit Card</v>
      </c>
      <c r="L1337" s="22">
        <v>342.92250000000001</v>
      </c>
    </row>
    <row r="1338" spans="1:12" x14ac:dyDescent="0.3">
      <c r="A1338" s="22" t="s">
        <v>3147</v>
      </c>
      <c r="B1338" s="34" cm="1">
        <f t="array" ref="B1338:C1338">_xlfn.XLOOKUP(A1338,Sales_Fact!A1338:A3322,Sales_Fact!B1338:C3322)</f>
        <v>45872</v>
      </c>
      <c r="C1338" s="22" t="str">
        <v>CUST1223</v>
      </c>
      <c r="D1338" s="22" t="str">
        <f>VLOOKUP('Combine Products &amp; Sales Facts'!C1338,'Customer Details'!A:B,2,0)</f>
        <v>Robert Harris</v>
      </c>
      <c r="E1338" s="22" t="str">
        <f>VLOOKUP(C1338,Sales_Fact!C:D,2,0)</f>
        <v>PROD72</v>
      </c>
      <c r="F1338" s="22" t="str">
        <f>VLOOKUP(E1338,Product_Dim!A:C,3,0)</f>
        <v>Sports</v>
      </c>
      <c r="G1338" s="22" t="str" cm="1">
        <f t="array" ref="G1338:L1338">_xlfn.XLOOKUP(C1338,Sales_Fact!C1338:C3322,Sales_Fact!E1338:J3322)</f>
        <v>STORE14</v>
      </c>
      <c r="H1338" s="22">
        <v>3</v>
      </c>
      <c r="I1338" s="22">
        <v>972.58</v>
      </c>
      <c r="J1338" s="22">
        <v>0.28000000000000003</v>
      </c>
      <c r="K1338" s="22" t="str">
        <v>COD</v>
      </c>
      <c r="L1338" s="22">
        <v>2100.7728000000002</v>
      </c>
    </row>
    <row r="1339" spans="1:12" x14ac:dyDescent="0.3">
      <c r="A1339" s="22" t="s">
        <v>3148</v>
      </c>
      <c r="B1339" s="34" cm="1">
        <f t="array" ref="B1339:C1339">_xlfn.XLOOKUP(A1339,Sales_Fact!A1339:A3323,Sales_Fact!B1339:C3323)</f>
        <v>45267</v>
      </c>
      <c r="C1339" s="22" t="str">
        <v>CUST1466</v>
      </c>
      <c r="D1339" s="22" t="str">
        <f>VLOOKUP('Combine Products &amp; Sales Facts'!C1339,'Customer Details'!A:B,2,0)</f>
        <v>Cynthia Parrish</v>
      </c>
      <c r="E1339" s="22" t="str">
        <f>VLOOKUP(C1339,Sales_Fact!C:D,2,0)</f>
        <v>PROD48</v>
      </c>
      <c r="F1339" s="22" t="str">
        <f>VLOOKUP(E1339,Product_Dim!A:C,3,0)</f>
        <v>Electronics</v>
      </c>
      <c r="G1339" s="22" t="str" cm="1">
        <f t="array" ref="G1339:L1339">_xlfn.XLOOKUP(C1339,Sales_Fact!C1339:C3323,Sales_Fact!E1339:J3323)</f>
        <v>STORE11</v>
      </c>
      <c r="H1339" s="22">
        <v>4</v>
      </c>
      <c r="I1339" s="22">
        <v>136.4</v>
      </c>
      <c r="J1339" s="22">
        <v>0.04</v>
      </c>
      <c r="K1339" s="22" t="str">
        <v>COD</v>
      </c>
      <c r="L1339" s="22">
        <v>523.77599999999995</v>
      </c>
    </row>
    <row r="1340" spans="1:12" x14ac:dyDescent="0.3">
      <c r="A1340" s="22" t="s">
        <v>3149</v>
      </c>
      <c r="B1340" s="34" cm="1">
        <f t="array" ref="B1340:C1340">_xlfn.XLOOKUP(A1340,Sales_Fact!A1340:A3324,Sales_Fact!B1340:C3324)</f>
        <v>45894</v>
      </c>
      <c r="C1340" s="22" t="str">
        <v>CUST1400</v>
      </c>
      <c r="D1340" s="22" t="str">
        <f>VLOOKUP('Combine Products &amp; Sales Facts'!C1340,'Customer Details'!A:B,2,0)</f>
        <v>Mark Rogers</v>
      </c>
      <c r="E1340" s="22" t="str">
        <f>VLOOKUP(C1340,Sales_Fact!C:D,2,0)</f>
        <v>PROD39</v>
      </c>
      <c r="F1340" s="22" t="str">
        <f>VLOOKUP(E1340,Product_Dim!A:C,3,0)</f>
        <v>Electronics</v>
      </c>
      <c r="G1340" s="22" t="str" cm="1">
        <f t="array" ref="G1340:L1340">_xlfn.XLOOKUP(C1340,Sales_Fact!C1340:C3324,Sales_Fact!E1340:J3324)</f>
        <v>STORE15</v>
      </c>
      <c r="H1340" s="22">
        <v>1</v>
      </c>
      <c r="I1340" s="22">
        <v>509.63</v>
      </c>
      <c r="J1340" s="22">
        <v>0.27</v>
      </c>
      <c r="K1340" s="22" t="str">
        <v>COD</v>
      </c>
      <c r="L1340" s="22">
        <v>372.0299</v>
      </c>
    </row>
    <row r="1341" spans="1:12" x14ac:dyDescent="0.3">
      <c r="A1341" s="22" t="s">
        <v>3150</v>
      </c>
      <c r="B1341" s="34" cm="1">
        <f t="array" ref="B1341:C1341">_xlfn.XLOOKUP(A1341,Sales_Fact!A1341:A3325,Sales_Fact!B1341:C3325)</f>
        <v>45331</v>
      </c>
      <c r="C1341" s="22" t="str">
        <v>CUST1003</v>
      </c>
      <c r="D1341" s="22" t="str">
        <f>VLOOKUP('Combine Products &amp; Sales Facts'!C1341,'Customer Details'!A:B,2,0)</f>
        <v>Jeremy Harris</v>
      </c>
      <c r="E1341" s="22" t="str">
        <f>VLOOKUP(C1341,Sales_Fact!C:D,2,0)</f>
        <v>PROD0</v>
      </c>
      <c r="F1341" s="22" t="str">
        <f>VLOOKUP(E1341,Product_Dim!A:C,3,0)</f>
        <v>Electronics</v>
      </c>
      <c r="G1341" s="22" t="str" cm="1">
        <f t="array" ref="G1341:L1341">_xlfn.XLOOKUP(C1341,Sales_Fact!C1341:C3325,Sales_Fact!E1341:J3325)</f>
        <v>STORE3</v>
      </c>
      <c r="H1341" s="22">
        <v>4</v>
      </c>
      <c r="I1341" s="22">
        <v>360.28</v>
      </c>
      <c r="J1341" s="22">
        <v>0.09</v>
      </c>
      <c r="K1341" s="22" t="str">
        <v>COD</v>
      </c>
      <c r="L1341" s="22">
        <v>1311.4192</v>
      </c>
    </row>
    <row r="1342" spans="1:12" x14ac:dyDescent="0.3">
      <c r="A1342" s="22" t="s">
        <v>3151</v>
      </c>
      <c r="B1342" s="34" cm="1">
        <f t="array" ref="B1342:C1342">_xlfn.XLOOKUP(A1342,Sales_Fact!A1342:A3326,Sales_Fact!B1342:C3326)</f>
        <v>45910</v>
      </c>
      <c r="C1342" s="22" t="str">
        <v>CUST1080</v>
      </c>
      <c r="D1342" s="22" t="str">
        <f>VLOOKUP('Combine Products &amp; Sales Facts'!C1342,'Customer Details'!A:B,2,0)</f>
        <v>Jennifer Garcia</v>
      </c>
      <c r="E1342" s="22" t="str">
        <f>VLOOKUP(C1342,Sales_Fact!C:D,2,0)</f>
        <v>PROD34</v>
      </c>
      <c r="F1342" s="22" t="str">
        <f>VLOOKUP(E1342,Product_Dim!A:C,3,0)</f>
        <v>Electronics</v>
      </c>
      <c r="G1342" s="22" t="str" cm="1">
        <f t="array" ref="G1342:L1342">_xlfn.XLOOKUP(C1342,Sales_Fact!C1342:C3326,Sales_Fact!E1342:J3326)</f>
        <v>STORE15</v>
      </c>
      <c r="H1342" s="22">
        <v>3</v>
      </c>
      <c r="I1342" s="22">
        <v>882.05</v>
      </c>
      <c r="J1342" s="22">
        <v>0.06</v>
      </c>
      <c r="K1342" s="22" t="str">
        <v>PayPal</v>
      </c>
      <c r="L1342" s="22">
        <v>2487.3809999999989</v>
      </c>
    </row>
    <row r="1343" spans="1:12" x14ac:dyDescent="0.3">
      <c r="A1343" s="22" t="s">
        <v>3152</v>
      </c>
      <c r="B1343" s="34" cm="1">
        <f t="array" ref="B1343:C1343">_xlfn.XLOOKUP(A1343,Sales_Fact!A1343:A3327,Sales_Fact!B1343:C3327)</f>
        <v>45564</v>
      </c>
      <c r="C1343" s="22" t="str">
        <v>CUST1195</v>
      </c>
      <c r="D1343" s="22" t="str">
        <f>VLOOKUP('Combine Products &amp; Sales Facts'!C1343,'Customer Details'!A:B,2,0)</f>
        <v>Anthony Garcia</v>
      </c>
      <c r="E1343" s="22" t="str">
        <f>VLOOKUP(C1343,Sales_Fact!C:D,2,0)</f>
        <v>PROD19</v>
      </c>
      <c r="F1343" s="22" t="str">
        <f>VLOOKUP(E1343,Product_Dim!A:C,3,0)</f>
        <v>Sports</v>
      </c>
      <c r="G1343" s="22" t="str" cm="1">
        <f t="array" ref="G1343:L1343">_xlfn.XLOOKUP(C1343,Sales_Fact!C1343:C3327,Sales_Fact!E1343:J3327)</f>
        <v>STORE8</v>
      </c>
      <c r="H1343" s="22">
        <v>3</v>
      </c>
      <c r="I1343" s="22">
        <v>141.54</v>
      </c>
      <c r="J1343" s="22">
        <v>0.12</v>
      </c>
      <c r="K1343" s="22" t="str">
        <v>PayPal</v>
      </c>
      <c r="L1343" s="22">
        <v>373.66559999999998</v>
      </c>
    </row>
    <row r="1344" spans="1:12" x14ac:dyDescent="0.3">
      <c r="A1344" s="22" t="s">
        <v>3153</v>
      </c>
      <c r="B1344" s="34" cm="1">
        <f t="array" ref="B1344:C1344">_xlfn.XLOOKUP(A1344,Sales_Fact!A1344:A3328,Sales_Fact!B1344:C3328)</f>
        <v>45461</v>
      </c>
      <c r="C1344" s="22" t="str">
        <v>CUST1043</v>
      </c>
      <c r="D1344" s="22" t="str">
        <f>VLOOKUP('Combine Products &amp; Sales Facts'!C1344,'Customer Details'!A:B,2,0)</f>
        <v>Joseph Snow</v>
      </c>
      <c r="E1344" s="22" t="str">
        <f>VLOOKUP(C1344,Sales_Fact!C:D,2,0)</f>
        <v>PROD39</v>
      </c>
      <c r="F1344" s="22" t="str">
        <f>VLOOKUP(E1344,Product_Dim!A:C,3,0)</f>
        <v>Electronics</v>
      </c>
      <c r="G1344" s="22" t="str" cm="1">
        <f t="array" ref="G1344:L1344">_xlfn.XLOOKUP(C1344,Sales_Fact!C1344:C3328,Sales_Fact!E1344:J3328)</f>
        <v>STORE4</v>
      </c>
      <c r="H1344" s="22">
        <v>3</v>
      </c>
      <c r="I1344" s="22">
        <v>83.5</v>
      </c>
      <c r="J1344" s="22">
        <v>0.23</v>
      </c>
      <c r="K1344" s="22" t="str">
        <v>COD</v>
      </c>
      <c r="L1344" s="22">
        <v>192.88499999999999</v>
      </c>
    </row>
    <row r="1345" spans="1:12" x14ac:dyDescent="0.3">
      <c r="A1345" s="22" t="s">
        <v>3154</v>
      </c>
      <c r="B1345" s="34" cm="1">
        <f t="array" ref="B1345:C1345">_xlfn.XLOOKUP(A1345,Sales_Fact!A1345:A3329,Sales_Fact!B1345:C3329)</f>
        <v>45258</v>
      </c>
      <c r="C1345" s="22" t="str">
        <v>CUST1123</v>
      </c>
      <c r="D1345" s="22" t="str">
        <f>VLOOKUP('Combine Products &amp; Sales Facts'!C1345,'Customer Details'!A:B,2,0)</f>
        <v>Erin Hopkins</v>
      </c>
      <c r="E1345" s="22" t="str">
        <f>VLOOKUP(C1345,Sales_Fact!C:D,2,0)</f>
        <v>PROD12</v>
      </c>
      <c r="F1345" s="22" t="str">
        <f>VLOOKUP(E1345,Product_Dim!A:C,3,0)</f>
        <v>Beauty</v>
      </c>
      <c r="G1345" s="22" t="str" cm="1">
        <f t="array" ref="G1345:L1345">_xlfn.XLOOKUP(C1345,Sales_Fact!C1345:C3329,Sales_Fact!E1345:J3329)</f>
        <v>STORE6</v>
      </c>
      <c r="H1345" s="22">
        <v>2</v>
      </c>
      <c r="I1345" s="22">
        <v>629.73</v>
      </c>
      <c r="J1345" s="22">
        <v>7.0000000000000007E-2</v>
      </c>
      <c r="K1345" s="22" t="str">
        <v>PayPal</v>
      </c>
      <c r="L1345" s="22">
        <v>1171.2978000000001</v>
      </c>
    </row>
    <row r="1346" spans="1:12" x14ac:dyDescent="0.3">
      <c r="A1346" s="22" t="s">
        <v>3155</v>
      </c>
      <c r="B1346" s="34" cm="1">
        <f t="array" ref="B1346:C1346">_xlfn.XLOOKUP(A1346,Sales_Fact!A1346:A3330,Sales_Fact!B1346:C3330)</f>
        <v>45228</v>
      </c>
      <c r="C1346" s="22" t="str">
        <v>CUST1012</v>
      </c>
      <c r="D1346" s="22" t="str">
        <f>VLOOKUP('Combine Products &amp; Sales Facts'!C1346,'Customer Details'!A:B,2,0)</f>
        <v>Kenneth Lambert</v>
      </c>
      <c r="E1346" s="22" t="str">
        <f>VLOOKUP(C1346,Sales_Fact!C:D,2,0)</f>
        <v>PROD27</v>
      </c>
      <c r="F1346" s="22" t="str">
        <f>VLOOKUP(E1346,Product_Dim!A:C,3,0)</f>
        <v>Home</v>
      </c>
      <c r="G1346" s="22" t="str" cm="1">
        <f t="array" ref="G1346:L1346">_xlfn.XLOOKUP(C1346,Sales_Fact!C1346:C3330,Sales_Fact!E1346:J3330)</f>
        <v>STORE6</v>
      </c>
      <c r="H1346" s="22">
        <v>2</v>
      </c>
      <c r="I1346" s="22">
        <v>159.93</v>
      </c>
      <c r="J1346" s="22">
        <v>0.2</v>
      </c>
      <c r="K1346" s="22" t="str">
        <v>COD</v>
      </c>
      <c r="L1346" s="22">
        <v>255.88800000000001</v>
      </c>
    </row>
    <row r="1347" spans="1:12" x14ac:dyDescent="0.3">
      <c r="A1347" s="22" t="s">
        <v>3156</v>
      </c>
      <c r="B1347" s="34" cm="1">
        <f t="array" ref="B1347:C1347">_xlfn.XLOOKUP(A1347,Sales_Fact!A1347:A3331,Sales_Fact!B1347:C3331)</f>
        <v>45858</v>
      </c>
      <c r="C1347" s="22" t="str">
        <v>CUST1012</v>
      </c>
      <c r="D1347" s="22" t="str">
        <f>VLOOKUP('Combine Products &amp; Sales Facts'!C1347,'Customer Details'!A:B,2,0)</f>
        <v>Kenneth Lambert</v>
      </c>
      <c r="E1347" s="22" t="str">
        <f>VLOOKUP(C1347,Sales_Fact!C:D,2,0)</f>
        <v>PROD27</v>
      </c>
      <c r="F1347" s="22" t="str">
        <f>VLOOKUP(E1347,Product_Dim!A:C,3,0)</f>
        <v>Home</v>
      </c>
      <c r="G1347" s="22" t="str" cm="1">
        <f t="array" ref="G1347:L1347">_xlfn.XLOOKUP(C1347,Sales_Fact!C1347:C3331,Sales_Fact!E1347:J3331)</f>
        <v>STORE18</v>
      </c>
      <c r="H1347" s="22">
        <v>1</v>
      </c>
      <c r="I1347" s="22">
        <v>459.89</v>
      </c>
      <c r="J1347" s="22">
        <v>0.18</v>
      </c>
      <c r="K1347" s="22" t="str">
        <v>COD</v>
      </c>
      <c r="L1347" s="22">
        <v>377.10980000000001</v>
      </c>
    </row>
    <row r="1348" spans="1:12" x14ac:dyDescent="0.3">
      <c r="A1348" s="22" t="s">
        <v>3157</v>
      </c>
      <c r="B1348" s="34" cm="1">
        <f t="array" ref="B1348:C1348">_xlfn.XLOOKUP(A1348,Sales_Fact!A1348:A3332,Sales_Fact!B1348:C3332)</f>
        <v>45532</v>
      </c>
      <c r="C1348" s="22" t="str">
        <v>CUST1188</v>
      </c>
      <c r="D1348" s="22" t="str">
        <f>VLOOKUP('Combine Products &amp; Sales Facts'!C1348,'Customer Details'!A:B,2,0)</f>
        <v>Kimberly Brooks</v>
      </c>
      <c r="E1348" s="22" t="str">
        <f>VLOOKUP(C1348,Sales_Fact!C:D,2,0)</f>
        <v>PROD30</v>
      </c>
      <c r="F1348" s="22" t="str">
        <f>VLOOKUP(E1348,Product_Dim!A:C,3,0)</f>
        <v>Home</v>
      </c>
      <c r="G1348" s="22" t="str" cm="1">
        <f t="array" ref="G1348:L1348">_xlfn.XLOOKUP(C1348,Sales_Fact!C1348:C3332,Sales_Fact!E1348:J3332)</f>
        <v>STORE19</v>
      </c>
      <c r="H1348" s="22">
        <v>4</v>
      </c>
      <c r="I1348" s="22">
        <v>885.57</v>
      </c>
      <c r="J1348" s="22">
        <v>0.27</v>
      </c>
      <c r="K1348" s="22" t="str">
        <v>Credit Card</v>
      </c>
      <c r="L1348" s="22">
        <v>2585.8643999999999</v>
      </c>
    </row>
    <row r="1349" spans="1:12" x14ac:dyDescent="0.3">
      <c r="A1349" s="22" t="s">
        <v>3158</v>
      </c>
      <c r="B1349" s="34" cm="1">
        <f t="array" ref="B1349:C1349">_xlfn.XLOOKUP(A1349,Sales_Fact!A1349:A3333,Sales_Fact!B1349:C3333)</f>
        <v>45454</v>
      </c>
      <c r="C1349" s="22" t="str">
        <v>CUST1402</v>
      </c>
      <c r="D1349" s="22" t="str">
        <f>VLOOKUP('Combine Products &amp; Sales Facts'!C1349,'Customer Details'!A:B,2,0)</f>
        <v>Cassandra Perez</v>
      </c>
      <c r="E1349" s="22" t="str">
        <f>VLOOKUP(C1349,Sales_Fact!C:D,2,0)</f>
        <v>PROD21</v>
      </c>
      <c r="F1349" s="22" t="str">
        <f>VLOOKUP(E1349,Product_Dim!A:C,3,0)</f>
        <v>Home</v>
      </c>
      <c r="G1349" s="22" t="str" cm="1">
        <f t="array" ref="G1349:L1349">_xlfn.XLOOKUP(C1349,Sales_Fact!C1349:C3333,Sales_Fact!E1349:J3333)</f>
        <v>STORE15</v>
      </c>
      <c r="H1349" s="22">
        <v>3</v>
      </c>
      <c r="I1349" s="22">
        <v>789.05</v>
      </c>
      <c r="J1349" s="22">
        <v>0</v>
      </c>
      <c r="K1349" s="22" t="str">
        <v>PayPal</v>
      </c>
      <c r="L1349" s="22">
        <v>2367.15</v>
      </c>
    </row>
    <row r="1350" spans="1:12" x14ac:dyDescent="0.3">
      <c r="A1350" s="22" t="s">
        <v>3159</v>
      </c>
      <c r="B1350" s="34" cm="1">
        <f t="array" ref="B1350:C1350">_xlfn.XLOOKUP(A1350,Sales_Fact!A1350:A3334,Sales_Fact!B1350:C3334)</f>
        <v>45244</v>
      </c>
      <c r="C1350" s="22" t="str">
        <v>CUST1154</v>
      </c>
      <c r="D1350" s="22" t="str">
        <f>VLOOKUP('Combine Products &amp; Sales Facts'!C1350,'Customer Details'!A:B,2,0)</f>
        <v>Julie Hale</v>
      </c>
      <c r="E1350" s="22" t="str">
        <f>VLOOKUP(C1350,Sales_Fact!C:D,2,0)</f>
        <v>PROD63</v>
      </c>
      <c r="F1350" s="22" t="str">
        <f>VLOOKUP(E1350,Product_Dim!A:C,3,0)</f>
        <v>Beauty</v>
      </c>
      <c r="G1350" s="22" t="str" cm="1">
        <f t="array" ref="G1350:L1350">_xlfn.XLOOKUP(C1350,Sales_Fact!C1350:C3334,Sales_Fact!E1350:J3334)</f>
        <v>STORE0</v>
      </c>
      <c r="H1350" s="22">
        <v>1</v>
      </c>
      <c r="I1350" s="22">
        <v>570.52</v>
      </c>
      <c r="J1350" s="22">
        <v>0</v>
      </c>
      <c r="K1350" s="22" t="str">
        <v>PayPal</v>
      </c>
      <c r="L1350" s="22">
        <v>570.52</v>
      </c>
    </row>
    <row r="1351" spans="1:12" x14ac:dyDescent="0.3">
      <c r="A1351" s="22" t="s">
        <v>3160</v>
      </c>
      <c r="B1351" s="34" cm="1">
        <f t="array" ref="B1351:C1351">_xlfn.XLOOKUP(A1351,Sales_Fact!A1351:A3335,Sales_Fact!B1351:C3335)</f>
        <v>45322</v>
      </c>
      <c r="C1351" s="22" t="str">
        <v>CUST1179</v>
      </c>
      <c r="D1351" s="22" t="str">
        <f>VLOOKUP('Combine Products &amp; Sales Facts'!C1351,'Customer Details'!A:B,2,0)</f>
        <v>Nicholas Bradshaw</v>
      </c>
      <c r="E1351" s="22" t="str">
        <f>VLOOKUP(C1351,Sales_Fact!C:D,2,0)</f>
        <v>PROD34</v>
      </c>
      <c r="F1351" s="22" t="str">
        <f>VLOOKUP(E1351,Product_Dim!A:C,3,0)</f>
        <v>Electronics</v>
      </c>
      <c r="G1351" s="22" t="str" cm="1">
        <f t="array" ref="G1351:L1351">_xlfn.XLOOKUP(C1351,Sales_Fact!C1351:C3335,Sales_Fact!E1351:J3335)</f>
        <v>STORE16</v>
      </c>
      <c r="H1351" s="22">
        <v>4</v>
      </c>
      <c r="I1351" s="22">
        <v>310.79000000000002</v>
      </c>
      <c r="J1351" s="22">
        <v>0.22</v>
      </c>
      <c r="K1351" s="22" t="str">
        <v>COD</v>
      </c>
      <c r="L1351" s="22">
        <v>969.66480000000013</v>
      </c>
    </row>
    <row r="1352" spans="1:12" x14ac:dyDescent="0.3">
      <c r="A1352" s="22" t="s">
        <v>3161</v>
      </c>
      <c r="B1352" s="34" cm="1">
        <f t="array" ref="B1352:C1352">_xlfn.XLOOKUP(A1352,Sales_Fact!A1352:A3336,Sales_Fact!B1352:C3336)</f>
        <v>45757</v>
      </c>
      <c r="C1352" s="22" t="str">
        <v>CUST1057</v>
      </c>
      <c r="D1352" s="22" t="str">
        <f>VLOOKUP('Combine Products &amp; Sales Facts'!C1352,'Customer Details'!A:B,2,0)</f>
        <v>Jay Patel</v>
      </c>
      <c r="E1352" s="22" t="str">
        <f>VLOOKUP(C1352,Sales_Fact!C:D,2,0)</f>
        <v>PROD38</v>
      </c>
      <c r="F1352" s="22" t="str">
        <f>VLOOKUP(E1352,Product_Dim!A:C,3,0)</f>
        <v>Sports</v>
      </c>
      <c r="G1352" s="22" t="str" cm="1">
        <f t="array" ref="G1352:L1352">_xlfn.XLOOKUP(C1352,Sales_Fact!C1352:C3336,Sales_Fact!E1352:J3336)</f>
        <v>STORE17</v>
      </c>
      <c r="H1352" s="22">
        <v>4</v>
      </c>
      <c r="I1352" s="22">
        <v>255.67</v>
      </c>
      <c r="J1352" s="22">
        <v>0.17</v>
      </c>
      <c r="K1352" s="22" t="str">
        <v>Credit Card</v>
      </c>
      <c r="L1352" s="22">
        <v>848.82439999999997</v>
      </c>
    </row>
    <row r="1353" spans="1:12" x14ac:dyDescent="0.3">
      <c r="A1353" s="22" t="s">
        <v>3162</v>
      </c>
      <c r="B1353" s="34" cm="1">
        <f t="array" ref="B1353:C1353">_xlfn.XLOOKUP(A1353,Sales_Fact!A1353:A3337,Sales_Fact!B1353:C3337)</f>
        <v>45397</v>
      </c>
      <c r="C1353" s="22" t="str">
        <v>CUST1129</v>
      </c>
      <c r="D1353" s="22" t="str">
        <f>VLOOKUP('Combine Products &amp; Sales Facts'!C1353,'Customer Details'!A:B,2,0)</f>
        <v>Jessica Mitchell</v>
      </c>
      <c r="E1353" s="22" t="str">
        <f>VLOOKUP(C1353,Sales_Fact!C:D,2,0)</f>
        <v>PROD91</v>
      </c>
      <c r="F1353" s="22" t="str">
        <f>VLOOKUP(E1353,Product_Dim!A:C,3,0)</f>
        <v>Clothing</v>
      </c>
      <c r="G1353" s="22" t="str" cm="1">
        <f t="array" ref="G1353:L1353">_xlfn.XLOOKUP(C1353,Sales_Fact!C1353:C3337,Sales_Fact!E1353:J3337)</f>
        <v>STORE16</v>
      </c>
      <c r="H1353" s="22">
        <v>2</v>
      </c>
      <c r="I1353" s="22">
        <v>270.66000000000003</v>
      </c>
      <c r="J1353" s="22">
        <v>0.1</v>
      </c>
      <c r="K1353" s="22" t="str">
        <v>COD</v>
      </c>
      <c r="L1353" s="22">
        <v>487.18799999999999</v>
      </c>
    </row>
    <row r="1354" spans="1:12" x14ac:dyDescent="0.3">
      <c r="A1354" s="22" t="s">
        <v>3163</v>
      </c>
      <c r="B1354" s="34" cm="1">
        <f t="array" ref="B1354:C1354">_xlfn.XLOOKUP(A1354,Sales_Fact!A1354:A3338,Sales_Fact!B1354:C3338)</f>
        <v>45914</v>
      </c>
      <c r="C1354" s="22" t="str">
        <v>CUST1299</v>
      </c>
      <c r="D1354" s="22" t="str">
        <f>VLOOKUP('Combine Products &amp; Sales Facts'!C1354,'Customer Details'!A:B,2,0)</f>
        <v>Stephanie Jacobs</v>
      </c>
      <c r="E1354" s="22" t="str">
        <f>VLOOKUP(C1354,Sales_Fact!C:D,2,0)</f>
        <v>PROD23</v>
      </c>
      <c r="F1354" s="22" t="str">
        <f>VLOOKUP(E1354,Product_Dim!A:C,3,0)</f>
        <v>Clothing</v>
      </c>
      <c r="G1354" s="22" t="str" cm="1">
        <f t="array" ref="G1354:L1354">_xlfn.XLOOKUP(C1354,Sales_Fact!C1354:C3338,Sales_Fact!E1354:J3338)</f>
        <v>STORE17</v>
      </c>
      <c r="H1354" s="22">
        <v>3</v>
      </c>
      <c r="I1354" s="22">
        <v>373.35</v>
      </c>
      <c r="J1354" s="22">
        <v>0.2</v>
      </c>
      <c r="K1354" s="22" t="str">
        <v>COD</v>
      </c>
      <c r="L1354" s="22">
        <v>896.04000000000019</v>
      </c>
    </row>
    <row r="1355" spans="1:12" x14ac:dyDescent="0.3">
      <c r="A1355" s="22" t="s">
        <v>3164</v>
      </c>
      <c r="B1355" s="34" cm="1">
        <f t="array" ref="B1355:C1355">_xlfn.XLOOKUP(A1355,Sales_Fact!A1355:A3339,Sales_Fact!B1355:C3339)</f>
        <v>45432</v>
      </c>
      <c r="C1355" s="22" t="str">
        <v>CUST1036</v>
      </c>
      <c r="D1355" s="22" t="str">
        <f>VLOOKUP('Combine Products &amp; Sales Facts'!C1355,'Customer Details'!A:B,2,0)</f>
        <v>Thomas Phillips</v>
      </c>
      <c r="E1355" s="22" t="str">
        <f>VLOOKUP(C1355,Sales_Fact!C:D,2,0)</f>
        <v>PROD90</v>
      </c>
      <c r="F1355" s="22" t="str">
        <f>VLOOKUP(E1355,Product_Dim!A:C,3,0)</f>
        <v>Electronics</v>
      </c>
      <c r="G1355" s="22" t="str" cm="1">
        <f t="array" ref="G1355:L1355">_xlfn.XLOOKUP(C1355,Sales_Fact!C1355:C3339,Sales_Fact!E1355:J3339)</f>
        <v>STORE11</v>
      </c>
      <c r="H1355" s="22">
        <v>2</v>
      </c>
      <c r="I1355" s="22">
        <v>23.58</v>
      </c>
      <c r="J1355" s="22">
        <v>0.02</v>
      </c>
      <c r="K1355" s="22" t="str">
        <v>PayPal</v>
      </c>
      <c r="L1355" s="22">
        <v>46.216799999999999</v>
      </c>
    </row>
    <row r="1356" spans="1:12" x14ac:dyDescent="0.3">
      <c r="A1356" s="22" t="s">
        <v>3165</v>
      </c>
      <c r="B1356" s="34" cm="1">
        <f t="array" ref="B1356:C1356">_xlfn.XLOOKUP(A1356,Sales_Fact!A1356:A3340,Sales_Fact!B1356:C3340)</f>
        <v>45798</v>
      </c>
      <c r="C1356" s="22" t="str">
        <v>CUST1005</v>
      </c>
      <c r="D1356" s="22" t="str">
        <f>VLOOKUP('Combine Products &amp; Sales Facts'!C1356,'Customer Details'!A:B,2,0)</f>
        <v>Christine Vaughn</v>
      </c>
      <c r="E1356" s="22" t="str">
        <f>VLOOKUP(C1356,Sales_Fact!C:D,2,0)</f>
        <v>PROD61</v>
      </c>
      <c r="F1356" s="22" t="str">
        <f>VLOOKUP(E1356,Product_Dim!A:C,3,0)</f>
        <v>Sports</v>
      </c>
      <c r="G1356" s="22" t="str" cm="1">
        <f t="array" ref="G1356:L1356">_xlfn.XLOOKUP(C1356,Sales_Fact!C1356:C3340,Sales_Fact!E1356:J3340)</f>
        <v>STORE7</v>
      </c>
      <c r="H1356" s="22">
        <v>4</v>
      </c>
      <c r="I1356" s="22">
        <v>185.67</v>
      </c>
      <c r="J1356" s="22">
        <v>0.21</v>
      </c>
      <c r="K1356" s="22" t="str">
        <v>PayPal</v>
      </c>
      <c r="L1356" s="22">
        <v>586.71719999999993</v>
      </c>
    </row>
    <row r="1357" spans="1:12" x14ac:dyDescent="0.3">
      <c r="A1357" s="22" t="s">
        <v>3166</v>
      </c>
      <c r="B1357" s="34" cm="1">
        <f t="array" ref="B1357:C1357">_xlfn.XLOOKUP(A1357,Sales_Fact!A1357:A3341,Sales_Fact!B1357:C3341)</f>
        <v>45396</v>
      </c>
      <c r="C1357" s="22" t="str">
        <v>CUST1120</v>
      </c>
      <c r="D1357" s="22" t="str">
        <f>VLOOKUP('Combine Products &amp; Sales Facts'!C1357,'Customer Details'!A:B,2,0)</f>
        <v>Jacob Hopkins</v>
      </c>
      <c r="E1357" s="22" t="str">
        <f>VLOOKUP(C1357,Sales_Fact!C:D,2,0)</f>
        <v>PROD73</v>
      </c>
      <c r="F1357" s="22" t="str">
        <f>VLOOKUP(E1357,Product_Dim!A:C,3,0)</f>
        <v>Sports</v>
      </c>
      <c r="G1357" s="22" t="str" cm="1">
        <f t="array" ref="G1357:L1357">_xlfn.XLOOKUP(C1357,Sales_Fact!C1357:C3341,Sales_Fact!E1357:J3341)</f>
        <v>STORE13</v>
      </c>
      <c r="H1357" s="22">
        <v>3</v>
      </c>
      <c r="I1357" s="22">
        <v>928.74</v>
      </c>
      <c r="J1357" s="22">
        <v>0.27</v>
      </c>
      <c r="K1357" s="22" t="str">
        <v>PayPal</v>
      </c>
      <c r="L1357" s="22">
        <v>2033.9405999999999</v>
      </c>
    </row>
    <row r="1358" spans="1:12" x14ac:dyDescent="0.3">
      <c r="A1358" s="22" t="s">
        <v>3167</v>
      </c>
      <c r="B1358" s="34" cm="1">
        <f t="array" ref="B1358:C1358">_xlfn.XLOOKUP(A1358,Sales_Fact!A1358:A3342,Sales_Fact!B1358:C3342)</f>
        <v>45235</v>
      </c>
      <c r="C1358" s="22" t="str">
        <v>CUST1029</v>
      </c>
      <c r="D1358" s="22" t="str">
        <f>VLOOKUP('Combine Products &amp; Sales Facts'!C1358,'Customer Details'!A:B,2,0)</f>
        <v>David Arnold</v>
      </c>
      <c r="E1358" s="22" t="str">
        <f>VLOOKUP(C1358,Sales_Fact!C:D,2,0)</f>
        <v>PROD86</v>
      </c>
      <c r="F1358" s="22" t="str">
        <f>VLOOKUP(E1358,Product_Dim!A:C,3,0)</f>
        <v>Home</v>
      </c>
      <c r="G1358" s="22" t="str" cm="1">
        <f t="array" ref="G1358:L1358">_xlfn.XLOOKUP(C1358,Sales_Fact!C1358:C3342,Sales_Fact!E1358:J3342)</f>
        <v>STORE5</v>
      </c>
      <c r="H1358" s="22">
        <v>3</v>
      </c>
      <c r="I1358" s="22">
        <v>923.38</v>
      </c>
      <c r="J1358" s="22">
        <v>7.0000000000000007E-2</v>
      </c>
      <c r="K1358" s="22" t="str">
        <v>COD</v>
      </c>
      <c r="L1358" s="22">
        <v>2576.2302</v>
      </c>
    </row>
    <row r="1359" spans="1:12" x14ac:dyDescent="0.3">
      <c r="A1359" s="22" t="s">
        <v>3168</v>
      </c>
      <c r="B1359" s="34" cm="1">
        <f t="array" ref="B1359:C1359">_xlfn.XLOOKUP(A1359,Sales_Fact!A1359:A3343,Sales_Fact!B1359:C3343)</f>
        <v>45499</v>
      </c>
      <c r="C1359" s="22" t="str">
        <v>CUST1462</v>
      </c>
      <c r="D1359" s="22" t="str">
        <f>VLOOKUP('Combine Products &amp; Sales Facts'!C1359,'Customer Details'!A:B,2,0)</f>
        <v>Beth Martin</v>
      </c>
      <c r="E1359" s="22" t="str">
        <f>VLOOKUP(C1359,Sales_Fact!C:D,2,0)</f>
        <v>PROD33</v>
      </c>
      <c r="F1359" s="22" t="str">
        <f>VLOOKUP(E1359,Product_Dim!A:C,3,0)</f>
        <v>Home</v>
      </c>
      <c r="G1359" s="22" t="str" cm="1">
        <f t="array" ref="G1359:L1359">_xlfn.XLOOKUP(C1359,Sales_Fact!C1359:C3343,Sales_Fact!E1359:J3343)</f>
        <v>STORE9</v>
      </c>
      <c r="H1359" s="22">
        <v>2</v>
      </c>
      <c r="I1359" s="22">
        <v>409.26</v>
      </c>
      <c r="J1359" s="22">
        <v>0.1</v>
      </c>
      <c r="K1359" s="22" t="str">
        <v>PayPal</v>
      </c>
      <c r="L1359" s="22">
        <v>736.66800000000001</v>
      </c>
    </row>
    <row r="1360" spans="1:12" x14ac:dyDescent="0.3">
      <c r="A1360" s="22" t="s">
        <v>3169</v>
      </c>
      <c r="B1360" s="34" cm="1">
        <f t="array" ref="B1360:C1360">_xlfn.XLOOKUP(A1360,Sales_Fact!A1360:A3344,Sales_Fact!B1360:C3344)</f>
        <v>45272</v>
      </c>
      <c r="C1360" s="22" t="str">
        <v>CUST1254</v>
      </c>
      <c r="D1360" s="22" t="str">
        <f>VLOOKUP('Combine Products &amp; Sales Facts'!C1360,'Customer Details'!A:B,2,0)</f>
        <v>Linda Kline</v>
      </c>
      <c r="E1360" s="22" t="str">
        <f>VLOOKUP(C1360,Sales_Fact!C:D,2,0)</f>
        <v>PROD23</v>
      </c>
      <c r="F1360" s="22" t="str">
        <f>VLOOKUP(E1360,Product_Dim!A:C,3,0)</f>
        <v>Clothing</v>
      </c>
      <c r="G1360" s="22" t="str" cm="1">
        <f t="array" ref="G1360:L1360">_xlfn.XLOOKUP(C1360,Sales_Fact!C1360:C3344,Sales_Fact!E1360:J3344)</f>
        <v>STORE7</v>
      </c>
      <c r="H1360" s="22">
        <v>2</v>
      </c>
      <c r="I1360" s="22">
        <v>608.46</v>
      </c>
      <c r="J1360" s="22">
        <v>0.16</v>
      </c>
      <c r="K1360" s="22" t="str">
        <v>Credit Card</v>
      </c>
      <c r="L1360" s="22">
        <v>1022.2128</v>
      </c>
    </row>
    <row r="1361" spans="1:12" x14ac:dyDescent="0.3">
      <c r="A1361" s="22" t="s">
        <v>3170</v>
      </c>
      <c r="B1361" s="34" cm="1">
        <f t="array" ref="B1361:C1361">_xlfn.XLOOKUP(A1361,Sales_Fact!A1361:A3345,Sales_Fact!B1361:C3345)</f>
        <v>45785</v>
      </c>
      <c r="C1361" s="22" t="str">
        <v>CUST1212</v>
      </c>
      <c r="D1361" s="22" t="str">
        <f>VLOOKUP('Combine Products &amp; Sales Facts'!C1361,'Customer Details'!A:B,2,0)</f>
        <v>Blake Harrison</v>
      </c>
      <c r="E1361" s="22" t="str">
        <f>VLOOKUP(C1361,Sales_Fact!C:D,2,0)</f>
        <v>PROD13</v>
      </c>
      <c r="F1361" s="22" t="str">
        <f>VLOOKUP(E1361,Product_Dim!A:C,3,0)</f>
        <v>Electronics</v>
      </c>
      <c r="G1361" s="22" t="str" cm="1">
        <f t="array" ref="G1361:L1361">_xlfn.XLOOKUP(C1361,Sales_Fact!C1361:C3345,Sales_Fact!E1361:J3345)</f>
        <v>STORE19</v>
      </c>
      <c r="H1361" s="22">
        <v>4</v>
      </c>
      <c r="I1361" s="22">
        <v>150.47999999999999</v>
      </c>
      <c r="J1361" s="22">
        <v>0.09</v>
      </c>
      <c r="K1361" s="22" t="str">
        <v>Credit Card</v>
      </c>
      <c r="L1361" s="22">
        <v>547.74720000000002</v>
      </c>
    </row>
    <row r="1362" spans="1:12" x14ac:dyDescent="0.3">
      <c r="A1362" s="22" t="s">
        <v>3171</v>
      </c>
      <c r="B1362" s="34" cm="1">
        <f t="array" ref="B1362:C1362">_xlfn.XLOOKUP(A1362,Sales_Fact!A1362:A3346,Sales_Fact!B1362:C3346)</f>
        <v>45534</v>
      </c>
      <c r="C1362" s="22" t="str">
        <v>CUST1245</v>
      </c>
      <c r="D1362" s="22" t="str">
        <f>VLOOKUP('Combine Products &amp; Sales Facts'!C1362,'Customer Details'!A:B,2,0)</f>
        <v>Laura Soto</v>
      </c>
      <c r="E1362" s="22" t="str">
        <f>VLOOKUP(C1362,Sales_Fact!C:D,2,0)</f>
        <v>PROD39</v>
      </c>
      <c r="F1362" s="22" t="str">
        <f>VLOOKUP(E1362,Product_Dim!A:C,3,0)</f>
        <v>Electronics</v>
      </c>
      <c r="G1362" s="22" t="str" cm="1">
        <f t="array" ref="G1362:L1362">_xlfn.XLOOKUP(C1362,Sales_Fact!C1362:C3346,Sales_Fact!E1362:J3346)</f>
        <v>STORE14</v>
      </c>
      <c r="H1362" s="22">
        <v>4</v>
      </c>
      <c r="I1362" s="22">
        <v>207.41</v>
      </c>
      <c r="J1362" s="22">
        <v>0.02</v>
      </c>
      <c r="K1362" s="22" t="str">
        <v>Credit Card</v>
      </c>
      <c r="L1362" s="22">
        <v>813.04719999999998</v>
      </c>
    </row>
    <row r="1363" spans="1:12" x14ac:dyDescent="0.3">
      <c r="A1363" s="22" t="s">
        <v>3172</v>
      </c>
      <c r="B1363" s="34" cm="1">
        <f t="array" ref="B1363:C1363">_xlfn.XLOOKUP(A1363,Sales_Fact!A1363:A3347,Sales_Fact!B1363:C3347)</f>
        <v>45803</v>
      </c>
      <c r="C1363" s="22" t="str">
        <v>CUST1172</v>
      </c>
      <c r="D1363" s="22" t="str">
        <f>VLOOKUP('Combine Products &amp; Sales Facts'!C1363,'Customer Details'!A:B,2,0)</f>
        <v>Thomas Rhodes</v>
      </c>
      <c r="E1363" s="22" t="str">
        <f>VLOOKUP(C1363,Sales_Fact!C:D,2,0)</f>
        <v>PROD79</v>
      </c>
      <c r="F1363" s="22" t="str">
        <f>VLOOKUP(E1363,Product_Dim!A:C,3,0)</f>
        <v>Home</v>
      </c>
      <c r="G1363" s="22" t="str" cm="1">
        <f t="array" ref="G1363:L1363">_xlfn.XLOOKUP(C1363,Sales_Fact!C1363:C3347,Sales_Fact!E1363:J3347)</f>
        <v>STORE6</v>
      </c>
      <c r="H1363" s="22">
        <v>1</v>
      </c>
      <c r="I1363" s="22">
        <v>56.59</v>
      </c>
      <c r="J1363" s="22">
        <v>0.15</v>
      </c>
      <c r="K1363" s="22" t="str">
        <v>PayPal</v>
      </c>
      <c r="L1363" s="22">
        <v>48.101500000000001</v>
      </c>
    </row>
    <row r="1364" spans="1:12" x14ac:dyDescent="0.3">
      <c r="A1364" s="22" t="s">
        <v>3173</v>
      </c>
      <c r="B1364" s="34" cm="1">
        <f t="array" ref="B1364:C1364">_xlfn.XLOOKUP(A1364,Sales_Fact!A1364:A3348,Sales_Fact!B1364:C3348)</f>
        <v>45667</v>
      </c>
      <c r="C1364" s="22" t="str">
        <v>CUST1405</v>
      </c>
      <c r="D1364" s="22" t="str">
        <f>VLOOKUP('Combine Products &amp; Sales Facts'!C1364,'Customer Details'!A:B,2,0)</f>
        <v>Eric Wolfe</v>
      </c>
      <c r="E1364" s="22" t="str">
        <f>VLOOKUP(C1364,Sales_Fact!C:D,2,0)</f>
        <v>PROD48</v>
      </c>
      <c r="F1364" s="22" t="str">
        <f>VLOOKUP(E1364,Product_Dim!A:C,3,0)</f>
        <v>Electronics</v>
      </c>
      <c r="G1364" s="22" t="str" cm="1">
        <f t="array" ref="G1364:L1364">_xlfn.XLOOKUP(C1364,Sales_Fact!C1364:C3348,Sales_Fact!E1364:J3348)</f>
        <v>STORE4</v>
      </c>
      <c r="H1364" s="22">
        <v>4</v>
      </c>
      <c r="I1364" s="22">
        <v>995.4</v>
      </c>
      <c r="J1364" s="22">
        <v>0.27</v>
      </c>
      <c r="K1364" s="22" t="str">
        <v>Credit Card</v>
      </c>
      <c r="L1364" s="22">
        <v>2906.5680000000002</v>
      </c>
    </row>
    <row r="1365" spans="1:12" x14ac:dyDescent="0.3">
      <c r="A1365" s="22" t="s">
        <v>3174</v>
      </c>
      <c r="B1365" s="34" cm="1">
        <f t="array" ref="B1365:C1365">_xlfn.XLOOKUP(A1365,Sales_Fact!A1365:A3349,Sales_Fact!B1365:C3349)</f>
        <v>45656</v>
      </c>
      <c r="C1365" s="22" t="str">
        <v>CUST1064</v>
      </c>
      <c r="D1365" s="22" t="str">
        <f>VLOOKUP('Combine Products &amp; Sales Facts'!C1365,'Customer Details'!A:B,2,0)</f>
        <v>Mr. Mason Butler</v>
      </c>
      <c r="E1365" s="22" t="str">
        <f>VLOOKUP(C1365,Sales_Fact!C:D,2,0)</f>
        <v>PROD47</v>
      </c>
      <c r="F1365" s="22" t="str">
        <f>VLOOKUP(E1365,Product_Dim!A:C,3,0)</f>
        <v>Beauty</v>
      </c>
      <c r="G1365" s="22" t="str" cm="1">
        <f t="array" ref="G1365:L1365">_xlfn.XLOOKUP(C1365,Sales_Fact!C1365:C3349,Sales_Fact!E1365:J3349)</f>
        <v>STORE12</v>
      </c>
      <c r="H1365" s="22">
        <v>2</v>
      </c>
      <c r="I1365" s="22">
        <v>591.33000000000004</v>
      </c>
      <c r="J1365" s="22">
        <v>0.24</v>
      </c>
      <c r="K1365" s="22" t="str">
        <v>Credit Card</v>
      </c>
      <c r="L1365" s="22">
        <v>898.8216000000001</v>
      </c>
    </row>
    <row r="1366" spans="1:12" x14ac:dyDescent="0.3">
      <c r="A1366" s="22" t="s">
        <v>3175</v>
      </c>
      <c r="B1366" s="34" cm="1">
        <f t="array" ref="B1366:C1366">_xlfn.XLOOKUP(A1366,Sales_Fact!A1366:A3350,Sales_Fact!B1366:C3350)</f>
        <v>45869</v>
      </c>
      <c r="C1366" s="22" t="str">
        <v>CUST1378</v>
      </c>
      <c r="D1366" s="22" t="str">
        <f>VLOOKUP('Combine Products &amp; Sales Facts'!C1366,'Customer Details'!A:B,2,0)</f>
        <v>Frank Stewart</v>
      </c>
      <c r="E1366" s="22" t="str">
        <f>VLOOKUP(C1366,Sales_Fact!C:D,2,0)</f>
        <v>PROD91</v>
      </c>
      <c r="F1366" s="22" t="str">
        <f>VLOOKUP(E1366,Product_Dim!A:C,3,0)</f>
        <v>Clothing</v>
      </c>
      <c r="G1366" s="22" t="str" cm="1">
        <f t="array" ref="G1366:L1366">_xlfn.XLOOKUP(C1366,Sales_Fact!C1366:C3350,Sales_Fact!E1366:J3350)</f>
        <v>STORE17</v>
      </c>
      <c r="H1366" s="22">
        <v>2</v>
      </c>
      <c r="I1366" s="22">
        <v>204.89</v>
      </c>
      <c r="J1366" s="22">
        <v>0.24</v>
      </c>
      <c r="K1366" s="22" t="str">
        <v>Credit Card</v>
      </c>
      <c r="L1366" s="22">
        <v>311.43279999999999</v>
      </c>
    </row>
    <row r="1367" spans="1:12" x14ac:dyDescent="0.3">
      <c r="A1367" s="22" t="s">
        <v>3176</v>
      </c>
      <c r="B1367" s="34" cm="1">
        <f t="array" ref="B1367:C1367">_xlfn.XLOOKUP(A1367,Sales_Fact!A1367:A3351,Sales_Fact!B1367:C3351)</f>
        <v>45549</v>
      </c>
      <c r="C1367" s="22" t="str">
        <v>CUST1090</v>
      </c>
      <c r="D1367" s="22" t="str">
        <f>VLOOKUP('Combine Products &amp; Sales Facts'!C1367,'Customer Details'!A:B,2,0)</f>
        <v>Oscar Moon</v>
      </c>
      <c r="E1367" s="22" t="str">
        <f>VLOOKUP(C1367,Sales_Fact!C:D,2,0)</f>
        <v>PROD65</v>
      </c>
      <c r="F1367" s="22" t="str">
        <f>VLOOKUP(E1367,Product_Dim!A:C,3,0)</f>
        <v>Sports</v>
      </c>
      <c r="G1367" s="22" t="str" cm="1">
        <f t="array" ref="G1367:L1367">_xlfn.XLOOKUP(C1367,Sales_Fact!C1367:C3351,Sales_Fact!E1367:J3351)</f>
        <v>STORE14</v>
      </c>
      <c r="H1367" s="22">
        <v>2</v>
      </c>
      <c r="I1367" s="22">
        <v>546.41</v>
      </c>
      <c r="J1367" s="22">
        <v>0.08</v>
      </c>
      <c r="K1367" s="22" t="str">
        <v>COD</v>
      </c>
      <c r="L1367" s="22">
        <v>1005.3944</v>
      </c>
    </row>
    <row r="1368" spans="1:12" x14ac:dyDescent="0.3">
      <c r="A1368" s="22" t="s">
        <v>3177</v>
      </c>
      <c r="B1368" s="34" cm="1">
        <f t="array" ref="B1368:C1368">_xlfn.XLOOKUP(A1368,Sales_Fact!A1368:A3352,Sales_Fact!B1368:C3352)</f>
        <v>45409</v>
      </c>
      <c r="C1368" s="22" t="str">
        <v>CUST1056</v>
      </c>
      <c r="D1368" s="22" t="str">
        <f>VLOOKUP('Combine Products &amp; Sales Facts'!C1368,'Customer Details'!A:B,2,0)</f>
        <v>Christopher Sutton</v>
      </c>
      <c r="E1368" s="22" t="str">
        <f>VLOOKUP(C1368,Sales_Fact!C:D,2,0)</f>
        <v>PROD49</v>
      </c>
      <c r="F1368" s="22" t="str">
        <f>VLOOKUP(E1368,Product_Dim!A:C,3,0)</f>
        <v>Beauty</v>
      </c>
      <c r="G1368" s="22" t="str" cm="1">
        <f t="array" ref="G1368:L1368">_xlfn.XLOOKUP(C1368,Sales_Fact!C1368:C3352,Sales_Fact!E1368:J3352)</f>
        <v>STORE12</v>
      </c>
      <c r="H1368" s="22">
        <v>4</v>
      </c>
      <c r="I1368" s="22">
        <v>455.49</v>
      </c>
      <c r="J1368" s="22">
        <v>0.17</v>
      </c>
      <c r="K1368" s="22" t="str">
        <v>Credit Card</v>
      </c>
      <c r="L1368" s="22">
        <v>1512.2267999999999</v>
      </c>
    </row>
    <row r="1369" spans="1:12" x14ac:dyDescent="0.3">
      <c r="A1369" s="22" t="s">
        <v>3178</v>
      </c>
      <c r="B1369" s="34" cm="1">
        <f t="array" ref="B1369:C1369">_xlfn.XLOOKUP(A1369,Sales_Fact!A1369:A3353,Sales_Fact!B1369:C3353)</f>
        <v>45374</v>
      </c>
      <c r="C1369" s="22" t="str">
        <v>CUST1422</v>
      </c>
      <c r="D1369" s="22" t="str">
        <f>VLOOKUP('Combine Products &amp; Sales Facts'!C1369,'Customer Details'!A:B,2,0)</f>
        <v>Brittany Edwards Dds</v>
      </c>
      <c r="E1369" s="22" t="str">
        <f>VLOOKUP(C1369,Sales_Fact!C:D,2,0)</f>
        <v>PROD49</v>
      </c>
      <c r="F1369" s="22" t="str">
        <f>VLOOKUP(E1369,Product_Dim!A:C,3,0)</f>
        <v>Beauty</v>
      </c>
      <c r="G1369" s="22" t="str" cm="1">
        <f t="array" ref="G1369:L1369">_xlfn.XLOOKUP(C1369,Sales_Fact!C1369:C3353,Sales_Fact!E1369:J3353)</f>
        <v>STORE16</v>
      </c>
      <c r="H1369" s="22">
        <v>2</v>
      </c>
      <c r="I1369" s="22">
        <v>700.27</v>
      </c>
      <c r="J1369" s="22">
        <v>0.16</v>
      </c>
      <c r="K1369" s="22" t="str">
        <v>Credit Card</v>
      </c>
      <c r="L1369" s="22">
        <v>1176.4536000000001</v>
      </c>
    </row>
    <row r="1370" spans="1:12" x14ac:dyDescent="0.3">
      <c r="A1370" s="22" t="s">
        <v>3179</v>
      </c>
      <c r="B1370" s="34" cm="1">
        <f t="array" ref="B1370:C1370">_xlfn.XLOOKUP(A1370,Sales_Fact!A1370:A3354,Sales_Fact!B1370:C3354)</f>
        <v>45282</v>
      </c>
      <c r="C1370" s="22" t="str">
        <v>CUST1345</v>
      </c>
      <c r="D1370" s="22" t="str">
        <f>VLOOKUP('Combine Products &amp; Sales Facts'!C1370,'Customer Details'!A:B,2,0)</f>
        <v>Daniel Nelson</v>
      </c>
      <c r="E1370" s="22" t="str">
        <f>VLOOKUP(C1370,Sales_Fact!C:D,2,0)</f>
        <v>PROD22</v>
      </c>
      <c r="F1370" s="22" t="str">
        <f>VLOOKUP(E1370,Product_Dim!A:C,3,0)</f>
        <v>Sports</v>
      </c>
      <c r="G1370" s="22" t="str" cm="1">
        <f t="array" ref="G1370:L1370">_xlfn.XLOOKUP(C1370,Sales_Fact!C1370:C3354,Sales_Fact!E1370:J3354)</f>
        <v>STORE17</v>
      </c>
      <c r="H1370" s="22">
        <v>2</v>
      </c>
      <c r="I1370" s="22">
        <v>160.21</v>
      </c>
      <c r="J1370" s="22">
        <v>0.09</v>
      </c>
      <c r="K1370" s="22" t="str">
        <v>Credit Card</v>
      </c>
      <c r="L1370" s="22">
        <v>291.5822</v>
      </c>
    </row>
    <row r="1371" spans="1:12" x14ac:dyDescent="0.3">
      <c r="A1371" s="22" t="s">
        <v>3180</v>
      </c>
      <c r="B1371" s="34" cm="1">
        <f t="array" ref="B1371:C1371">_xlfn.XLOOKUP(A1371,Sales_Fact!A1371:A3355,Sales_Fact!B1371:C3355)</f>
        <v>45742</v>
      </c>
      <c r="C1371" s="22" t="str">
        <v>CUST1031</v>
      </c>
      <c r="D1371" s="22" t="str">
        <f>VLOOKUP('Combine Products &amp; Sales Facts'!C1371,'Customer Details'!A:B,2,0)</f>
        <v>Sarah Vance</v>
      </c>
      <c r="E1371" s="22" t="str">
        <f>VLOOKUP(C1371,Sales_Fact!C:D,2,0)</f>
        <v>PROD62</v>
      </c>
      <c r="F1371" s="22" t="str">
        <f>VLOOKUP(E1371,Product_Dim!A:C,3,0)</f>
        <v>Electronics</v>
      </c>
      <c r="G1371" s="22" t="str" cm="1">
        <f t="array" ref="G1371:L1371">_xlfn.XLOOKUP(C1371,Sales_Fact!C1371:C3355,Sales_Fact!E1371:J3355)</f>
        <v>STORE11</v>
      </c>
      <c r="H1371" s="22">
        <v>1</v>
      </c>
      <c r="I1371" s="22">
        <v>713.63</v>
      </c>
      <c r="J1371" s="22">
        <v>0.28000000000000003</v>
      </c>
      <c r="K1371" s="22" t="str">
        <v>COD</v>
      </c>
      <c r="L1371" s="22">
        <v>513.81359999999995</v>
      </c>
    </row>
    <row r="1372" spans="1:12" x14ac:dyDescent="0.3">
      <c r="A1372" s="22" t="s">
        <v>3181</v>
      </c>
      <c r="B1372" s="34" cm="1">
        <f t="array" ref="B1372:C1372">_xlfn.XLOOKUP(A1372,Sales_Fact!A1372:A3356,Sales_Fact!B1372:C3356)</f>
        <v>45447</v>
      </c>
      <c r="C1372" s="22" t="str">
        <v>CUST1227</v>
      </c>
      <c r="D1372" s="22" t="str">
        <f>VLOOKUP('Combine Products &amp; Sales Facts'!C1372,'Customer Details'!A:B,2,0)</f>
        <v>Gregory Pham</v>
      </c>
      <c r="E1372" s="22" t="str">
        <f>VLOOKUP(C1372,Sales_Fact!C:D,2,0)</f>
        <v>PROD93</v>
      </c>
      <c r="F1372" s="22" t="str">
        <f>VLOOKUP(E1372,Product_Dim!A:C,3,0)</f>
        <v>Electronics</v>
      </c>
      <c r="G1372" s="22" t="str" cm="1">
        <f t="array" ref="G1372:L1372">_xlfn.XLOOKUP(C1372,Sales_Fact!C1372:C3356,Sales_Fact!E1372:J3356)</f>
        <v>STORE7</v>
      </c>
      <c r="H1372" s="22">
        <v>2</v>
      </c>
      <c r="I1372" s="22">
        <v>224.69</v>
      </c>
      <c r="J1372" s="22">
        <v>0.2</v>
      </c>
      <c r="K1372" s="22" t="str">
        <v>COD</v>
      </c>
      <c r="L1372" s="22">
        <v>359.50400000000002</v>
      </c>
    </row>
    <row r="1373" spans="1:12" x14ac:dyDescent="0.3">
      <c r="A1373" s="22" t="s">
        <v>3182</v>
      </c>
      <c r="B1373" s="34" cm="1">
        <f t="array" ref="B1373:C1373">_xlfn.XLOOKUP(A1373,Sales_Fact!A1373:A3357,Sales_Fact!B1373:C3357)</f>
        <v>45733</v>
      </c>
      <c r="C1373" s="22" t="str">
        <v>CUST1453</v>
      </c>
      <c r="D1373" s="22" t="str">
        <f>VLOOKUP('Combine Products &amp; Sales Facts'!C1373,'Customer Details'!A:B,2,0)</f>
        <v>April Phillips</v>
      </c>
      <c r="E1373" s="22" t="str">
        <f>VLOOKUP(C1373,Sales_Fact!C:D,2,0)</f>
        <v>PROD12</v>
      </c>
      <c r="F1373" s="22" t="str">
        <f>VLOOKUP(E1373,Product_Dim!A:C,3,0)</f>
        <v>Beauty</v>
      </c>
      <c r="G1373" s="22" t="str" cm="1">
        <f t="array" ref="G1373:L1373">_xlfn.XLOOKUP(C1373,Sales_Fact!C1373:C3357,Sales_Fact!E1373:J3357)</f>
        <v>STORE14</v>
      </c>
      <c r="H1373" s="22">
        <v>2</v>
      </c>
      <c r="I1373" s="22">
        <v>740.57</v>
      </c>
      <c r="J1373" s="22">
        <v>0.06</v>
      </c>
      <c r="K1373" s="22" t="str">
        <v>Credit Card</v>
      </c>
      <c r="L1373" s="22">
        <v>1392.2716</v>
      </c>
    </row>
    <row r="1374" spans="1:12" x14ac:dyDescent="0.3">
      <c r="A1374" s="22" t="s">
        <v>3183</v>
      </c>
      <c r="B1374" s="34" cm="1">
        <f t="array" ref="B1374:C1374">_xlfn.XLOOKUP(A1374,Sales_Fact!A1374:A3358,Sales_Fact!B1374:C3358)</f>
        <v>45373</v>
      </c>
      <c r="C1374" s="22" t="str">
        <v>CUST1142</v>
      </c>
      <c r="D1374" s="22" t="str">
        <f>VLOOKUP('Combine Products &amp; Sales Facts'!C1374,'Customer Details'!A:B,2,0)</f>
        <v>Maria Ramirez</v>
      </c>
      <c r="E1374" s="22" t="str">
        <f>VLOOKUP(C1374,Sales_Fact!C:D,2,0)</f>
        <v>PROD69</v>
      </c>
      <c r="F1374" s="22" t="str">
        <f>VLOOKUP(E1374,Product_Dim!A:C,3,0)</f>
        <v>Clothing</v>
      </c>
      <c r="G1374" s="22" t="str" cm="1">
        <f t="array" ref="G1374:L1374">_xlfn.XLOOKUP(C1374,Sales_Fact!C1374:C3358,Sales_Fact!E1374:J3358)</f>
        <v>STORE3</v>
      </c>
      <c r="H1374" s="22">
        <v>3</v>
      </c>
      <c r="I1374" s="22">
        <v>250.14</v>
      </c>
      <c r="J1374" s="22">
        <v>0.23</v>
      </c>
      <c r="K1374" s="22" t="str">
        <v>PayPal</v>
      </c>
      <c r="L1374" s="22">
        <v>577.82339999999999</v>
      </c>
    </row>
    <row r="1375" spans="1:12" x14ac:dyDescent="0.3">
      <c r="A1375" s="22" t="s">
        <v>3184</v>
      </c>
      <c r="B1375" s="34" cm="1">
        <f t="array" ref="B1375:C1375">_xlfn.XLOOKUP(A1375,Sales_Fact!A1375:A3359,Sales_Fact!B1375:C3359)</f>
        <v>45655</v>
      </c>
      <c r="C1375" s="22" t="str">
        <v>CUST1020</v>
      </c>
      <c r="D1375" s="22" t="str">
        <f>VLOOKUP('Combine Products &amp; Sales Facts'!C1375,'Customer Details'!A:B,2,0)</f>
        <v>Bridget Allen</v>
      </c>
      <c r="E1375" s="22" t="str">
        <f>VLOOKUP(C1375,Sales_Fact!C:D,2,0)</f>
        <v>PROD70</v>
      </c>
      <c r="F1375" s="22" t="str">
        <f>VLOOKUP(E1375,Product_Dim!A:C,3,0)</f>
        <v>Home</v>
      </c>
      <c r="G1375" s="22" t="str" cm="1">
        <f t="array" ref="G1375:L1375">_xlfn.XLOOKUP(C1375,Sales_Fact!C1375:C3359,Sales_Fact!E1375:J3359)</f>
        <v>STORE19</v>
      </c>
      <c r="H1375" s="22">
        <v>3</v>
      </c>
      <c r="I1375" s="22">
        <v>34.97</v>
      </c>
      <c r="J1375" s="22">
        <v>0.01</v>
      </c>
      <c r="K1375" s="22" t="str">
        <v>Credit Card</v>
      </c>
      <c r="L1375" s="22">
        <v>103.8609</v>
      </c>
    </row>
    <row r="1376" spans="1:12" x14ac:dyDescent="0.3">
      <c r="A1376" s="22" t="s">
        <v>3185</v>
      </c>
      <c r="B1376" s="34" cm="1">
        <f t="array" ref="B1376:C1376">_xlfn.XLOOKUP(A1376,Sales_Fact!A1376:A3360,Sales_Fact!B1376:C3360)</f>
        <v>45868</v>
      </c>
      <c r="C1376" s="22" t="str">
        <v>CUST1304</v>
      </c>
      <c r="D1376" s="22" t="str">
        <f>VLOOKUP('Combine Products &amp; Sales Facts'!C1376,'Customer Details'!A:B,2,0)</f>
        <v>Miss Alexandria Li Dvm</v>
      </c>
      <c r="E1376" s="22" t="str">
        <f>VLOOKUP(C1376,Sales_Fact!C:D,2,0)</f>
        <v>PROD50</v>
      </c>
      <c r="F1376" s="22" t="str">
        <f>VLOOKUP(E1376,Product_Dim!A:C,3,0)</f>
        <v>Sports</v>
      </c>
      <c r="G1376" s="22" t="str" cm="1">
        <f t="array" ref="G1376:L1376">_xlfn.XLOOKUP(C1376,Sales_Fact!C1376:C3360,Sales_Fact!E1376:J3360)</f>
        <v>STORE16</v>
      </c>
      <c r="H1376" s="22">
        <v>1</v>
      </c>
      <c r="I1376" s="22">
        <v>653.91</v>
      </c>
      <c r="J1376" s="22">
        <v>0.3</v>
      </c>
      <c r="K1376" s="22" t="str">
        <v>PayPal</v>
      </c>
      <c r="L1376" s="22">
        <v>457.73700000000002</v>
      </c>
    </row>
    <row r="1377" spans="1:12" x14ac:dyDescent="0.3">
      <c r="A1377" s="22" t="s">
        <v>3186</v>
      </c>
      <c r="B1377" s="34" cm="1">
        <f t="array" ref="B1377:C1377">_xlfn.XLOOKUP(A1377,Sales_Fact!A1377:A3361,Sales_Fact!B1377:C3361)</f>
        <v>45338</v>
      </c>
      <c r="C1377" s="22" t="str">
        <v>CUST1363</v>
      </c>
      <c r="D1377" s="22" t="str">
        <f>VLOOKUP('Combine Products &amp; Sales Facts'!C1377,'Customer Details'!A:B,2,0)</f>
        <v>Elizabeth Smith</v>
      </c>
      <c r="E1377" s="22" t="str">
        <f>VLOOKUP(C1377,Sales_Fact!C:D,2,0)</f>
        <v>PROD91</v>
      </c>
      <c r="F1377" s="22" t="str">
        <f>VLOOKUP(E1377,Product_Dim!A:C,3,0)</f>
        <v>Clothing</v>
      </c>
      <c r="G1377" s="22" t="str" cm="1">
        <f t="array" ref="G1377:L1377">_xlfn.XLOOKUP(C1377,Sales_Fact!C1377:C3361,Sales_Fact!E1377:J3361)</f>
        <v>STORE3</v>
      </c>
      <c r="H1377" s="22">
        <v>1</v>
      </c>
      <c r="I1377" s="22">
        <v>997.87</v>
      </c>
      <c r="J1377" s="22">
        <v>0.24</v>
      </c>
      <c r="K1377" s="22" t="str">
        <v>Credit Card</v>
      </c>
      <c r="L1377" s="22">
        <v>758.38120000000004</v>
      </c>
    </row>
    <row r="1378" spans="1:12" x14ac:dyDescent="0.3">
      <c r="A1378" s="22" t="s">
        <v>3187</v>
      </c>
      <c r="B1378" s="34" cm="1">
        <f t="array" ref="B1378:C1378">_xlfn.XLOOKUP(A1378,Sales_Fact!A1378:A3362,Sales_Fact!B1378:C3362)</f>
        <v>45349</v>
      </c>
      <c r="C1378" s="22" t="str">
        <v>CUST1208</v>
      </c>
      <c r="D1378" s="22" t="str">
        <f>VLOOKUP('Combine Products &amp; Sales Facts'!C1378,'Customer Details'!A:B,2,0)</f>
        <v>John Perez</v>
      </c>
      <c r="E1378" s="22" t="str">
        <f>VLOOKUP(C1378,Sales_Fact!C:D,2,0)</f>
        <v>PROD34</v>
      </c>
      <c r="F1378" s="22" t="str">
        <f>VLOOKUP(E1378,Product_Dim!A:C,3,0)</f>
        <v>Electronics</v>
      </c>
      <c r="G1378" s="22" t="str" cm="1">
        <f t="array" ref="G1378:L1378">_xlfn.XLOOKUP(C1378,Sales_Fact!C1378:C3362,Sales_Fact!E1378:J3362)</f>
        <v>STORE14</v>
      </c>
      <c r="H1378" s="22">
        <v>1</v>
      </c>
      <c r="I1378" s="22">
        <v>174.27</v>
      </c>
      <c r="J1378" s="22">
        <v>0.27</v>
      </c>
      <c r="K1378" s="22" t="str">
        <v>COD</v>
      </c>
      <c r="L1378" s="22">
        <v>127.2171</v>
      </c>
    </row>
    <row r="1379" spans="1:12" x14ac:dyDescent="0.3">
      <c r="A1379" s="22" t="s">
        <v>3188</v>
      </c>
      <c r="B1379" s="34" cm="1">
        <f t="array" ref="B1379:C1379">_xlfn.XLOOKUP(A1379,Sales_Fact!A1379:A3363,Sales_Fact!B1379:C3363)</f>
        <v>45368</v>
      </c>
      <c r="C1379" s="22" t="str">
        <v>CUST1115</v>
      </c>
      <c r="D1379" s="22" t="str">
        <f>VLOOKUP('Combine Products &amp; Sales Facts'!C1379,'Customer Details'!A:B,2,0)</f>
        <v>Tyler Conrad</v>
      </c>
      <c r="E1379" s="22" t="str">
        <f>VLOOKUP(C1379,Sales_Fact!C:D,2,0)</f>
        <v>PROD21</v>
      </c>
      <c r="F1379" s="22" t="str">
        <f>VLOOKUP(E1379,Product_Dim!A:C,3,0)</f>
        <v>Home</v>
      </c>
      <c r="G1379" s="22" t="str" cm="1">
        <f t="array" ref="G1379:L1379">_xlfn.XLOOKUP(C1379,Sales_Fact!C1379:C3363,Sales_Fact!E1379:J3363)</f>
        <v>STORE7</v>
      </c>
      <c r="H1379" s="22">
        <v>3</v>
      </c>
      <c r="I1379" s="22">
        <v>847.44</v>
      </c>
      <c r="J1379" s="22">
        <v>0.17</v>
      </c>
      <c r="K1379" s="22" t="str">
        <v>Credit Card</v>
      </c>
      <c r="L1379" s="22">
        <v>2110.1255999999998</v>
      </c>
    </row>
    <row r="1380" spans="1:12" x14ac:dyDescent="0.3">
      <c r="A1380" s="22" t="s">
        <v>3189</v>
      </c>
      <c r="B1380" s="34" cm="1">
        <f t="array" ref="B1380:C1380">_xlfn.XLOOKUP(A1380,Sales_Fact!A1380:A3364,Sales_Fact!B1380:C3364)</f>
        <v>45243</v>
      </c>
      <c r="C1380" s="22" t="str">
        <v>CUST1428</v>
      </c>
      <c r="D1380" s="22" t="str">
        <f>VLOOKUP('Combine Products &amp; Sales Facts'!C1380,'Customer Details'!A:B,2,0)</f>
        <v>Samuel Mullins</v>
      </c>
      <c r="E1380" s="22" t="str">
        <f>VLOOKUP(C1380,Sales_Fact!C:D,2,0)</f>
        <v>PROD63</v>
      </c>
      <c r="F1380" s="22" t="str">
        <f>VLOOKUP(E1380,Product_Dim!A:C,3,0)</f>
        <v>Beauty</v>
      </c>
      <c r="G1380" s="22" t="str" cm="1">
        <f t="array" ref="G1380:L1380">_xlfn.XLOOKUP(C1380,Sales_Fact!C1380:C3364,Sales_Fact!E1380:J3364)</f>
        <v>STORE2</v>
      </c>
      <c r="H1380" s="22">
        <v>1</v>
      </c>
      <c r="I1380" s="22">
        <v>493.45</v>
      </c>
      <c r="J1380" s="22">
        <v>0.09</v>
      </c>
      <c r="K1380" s="22" t="str">
        <v>Credit Card</v>
      </c>
      <c r="L1380" s="22">
        <v>449.03949999999998</v>
      </c>
    </row>
    <row r="1381" spans="1:12" x14ac:dyDescent="0.3">
      <c r="A1381" s="22" t="s">
        <v>3190</v>
      </c>
      <c r="B1381" s="34" cm="1">
        <f t="array" ref="B1381:C1381">_xlfn.XLOOKUP(A1381,Sales_Fact!A1381:A3365,Sales_Fact!B1381:C3365)</f>
        <v>45577</v>
      </c>
      <c r="C1381" s="22" t="str">
        <v>CUST1232</v>
      </c>
      <c r="D1381" s="22" t="str">
        <f>VLOOKUP('Combine Products &amp; Sales Facts'!C1381,'Customer Details'!A:B,2,0)</f>
        <v>Christy Hill</v>
      </c>
      <c r="E1381" s="22" t="str">
        <f>VLOOKUP(C1381,Sales_Fact!C:D,2,0)</f>
        <v>PROD95</v>
      </c>
      <c r="F1381" s="22" t="str">
        <f>VLOOKUP(E1381,Product_Dim!A:C,3,0)</f>
        <v>Sports</v>
      </c>
      <c r="G1381" s="22" t="str" cm="1">
        <f t="array" ref="G1381:L1381">_xlfn.XLOOKUP(C1381,Sales_Fact!C1381:C3365,Sales_Fact!E1381:J3365)</f>
        <v>STORE2</v>
      </c>
      <c r="H1381" s="22">
        <v>4</v>
      </c>
      <c r="I1381" s="22">
        <v>111.66</v>
      </c>
      <c r="J1381" s="22">
        <v>0.14000000000000001</v>
      </c>
      <c r="K1381" s="22" t="str">
        <v>Credit Card</v>
      </c>
      <c r="L1381" s="22">
        <v>384.11040000000003</v>
      </c>
    </row>
    <row r="1382" spans="1:12" x14ac:dyDescent="0.3">
      <c r="A1382" s="22" t="s">
        <v>3191</v>
      </c>
      <c r="B1382" s="34" cm="1">
        <f t="array" ref="B1382:C1382">_xlfn.XLOOKUP(A1382,Sales_Fact!A1382:A3366,Sales_Fact!B1382:C3366)</f>
        <v>45343</v>
      </c>
      <c r="C1382" s="22" t="str">
        <v>CUST1278</v>
      </c>
      <c r="D1382" s="22" t="str">
        <f>VLOOKUP('Combine Products &amp; Sales Facts'!C1382,'Customer Details'!A:B,2,0)</f>
        <v>Stephen Fowler</v>
      </c>
      <c r="E1382" s="22" t="str">
        <f>VLOOKUP(C1382,Sales_Fact!C:D,2,0)</f>
        <v>PROD88</v>
      </c>
      <c r="F1382" s="22" t="str">
        <f>VLOOKUP(E1382,Product_Dim!A:C,3,0)</f>
        <v>Sports</v>
      </c>
      <c r="G1382" s="22" t="str" cm="1">
        <f t="array" ref="G1382:L1382">_xlfn.XLOOKUP(C1382,Sales_Fact!C1382:C3366,Sales_Fact!E1382:J3366)</f>
        <v>STORE11</v>
      </c>
      <c r="H1382" s="22">
        <v>1</v>
      </c>
      <c r="I1382" s="22">
        <v>413.65</v>
      </c>
      <c r="J1382" s="22">
        <v>0.1</v>
      </c>
      <c r="K1382" s="22" t="str">
        <v>COD</v>
      </c>
      <c r="L1382" s="22">
        <v>372.28500000000003</v>
      </c>
    </row>
    <row r="1383" spans="1:12" x14ac:dyDescent="0.3">
      <c r="A1383" s="22" t="s">
        <v>3192</v>
      </c>
      <c r="B1383" s="34" cm="1">
        <f t="array" ref="B1383:C1383">_xlfn.XLOOKUP(A1383,Sales_Fact!A1383:A3367,Sales_Fact!B1383:C3367)</f>
        <v>45744</v>
      </c>
      <c r="C1383" s="22" t="str">
        <v>CUST1475</v>
      </c>
      <c r="D1383" s="22" t="str">
        <f>VLOOKUP('Combine Products &amp; Sales Facts'!C1383,'Customer Details'!A:B,2,0)</f>
        <v>Barbara Berry</v>
      </c>
      <c r="E1383" s="22" t="str">
        <f>VLOOKUP(C1383,Sales_Fact!C:D,2,0)</f>
        <v>PROD73</v>
      </c>
      <c r="F1383" s="22" t="str">
        <f>VLOOKUP(E1383,Product_Dim!A:C,3,0)</f>
        <v>Sports</v>
      </c>
      <c r="G1383" s="22" t="str" cm="1">
        <f t="array" ref="G1383:L1383">_xlfn.XLOOKUP(C1383,Sales_Fact!C1383:C3367,Sales_Fact!E1383:J3367)</f>
        <v>STORE9</v>
      </c>
      <c r="H1383" s="22">
        <v>1</v>
      </c>
      <c r="I1383" s="22">
        <v>317.14999999999998</v>
      </c>
      <c r="J1383" s="22">
        <v>0.24</v>
      </c>
      <c r="K1383" s="22" t="str">
        <v>COD</v>
      </c>
      <c r="L1383" s="22">
        <v>241.03399999999999</v>
      </c>
    </row>
    <row r="1384" spans="1:12" x14ac:dyDescent="0.3">
      <c r="A1384" s="22" t="s">
        <v>3193</v>
      </c>
      <c r="B1384" s="34" cm="1">
        <f t="array" ref="B1384:C1384">_xlfn.XLOOKUP(A1384,Sales_Fact!A1384:A3368,Sales_Fact!B1384:C3368)</f>
        <v>45873</v>
      </c>
      <c r="C1384" s="22" t="str">
        <v>CUST1359</v>
      </c>
      <c r="D1384" s="22" t="str">
        <f>VLOOKUP('Combine Products &amp; Sales Facts'!C1384,'Customer Details'!A:B,2,0)</f>
        <v>Melanie Lam</v>
      </c>
      <c r="E1384" s="22" t="str">
        <f>VLOOKUP(C1384,Sales_Fact!C:D,2,0)</f>
        <v>PROD59</v>
      </c>
      <c r="F1384" s="22" t="str">
        <f>VLOOKUP(E1384,Product_Dim!A:C,3,0)</f>
        <v>Beauty</v>
      </c>
      <c r="G1384" s="22" t="str" cm="1">
        <f t="array" ref="G1384:L1384">_xlfn.XLOOKUP(C1384,Sales_Fact!C1384:C3368,Sales_Fact!E1384:J3368)</f>
        <v>STORE1</v>
      </c>
      <c r="H1384" s="22">
        <v>3</v>
      </c>
      <c r="I1384" s="22">
        <v>642.94000000000005</v>
      </c>
      <c r="J1384" s="22">
        <v>0.05</v>
      </c>
      <c r="K1384" s="22" t="str">
        <v>COD</v>
      </c>
      <c r="L1384" s="22">
        <v>1832.3789999999999</v>
      </c>
    </row>
    <row r="1385" spans="1:12" x14ac:dyDescent="0.3">
      <c r="A1385" s="22" t="s">
        <v>3194</v>
      </c>
      <c r="B1385" s="34" cm="1">
        <f t="array" ref="B1385:C1385">_xlfn.XLOOKUP(A1385,Sales_Fact!A1385:A3369,Sales_Fact!B1385:C3369)</f>
        <v>45601</v>
      </c>
      <c r="C1385" s="22" t="str">
        <v>CUST1133</v>
      </c>
      <c r="D1385" s="22" t="str">
        <f>VLOOKUP('Combine Products &amp; Sales Facts'!C1385,'Customer Details'!A:B,2,0)</f>
        <v>Hayley Pope</v>
      </c>
      <c r="E1385" s="22" t="str">
        <f>VLOOKUP(C1385,Sales_Fact!C:D,2,0)</f>
        <v>PROD36</v>
      </c>
      <c r="F1385" s="22" t="str">
        <f>VLOOKUP(E1385,Product_Dim!A:C,3,0)</f>
        <v>Clothing</v>
      </c>
      <c r="G1385" s="22" t="str" cm="1">
        <f t="array" ref="G1385:L1385">_xlfn.XLOOKUP(C1385,Sales_Fact!C1385:C3369,Sales_Fact!E1385:J3369)</f>
        <v>STORE10</v>
      </c>
      <c r="H1385" s="22">
        <v>4</v>
      </c>
      <c r="I1385" s="22">
        <v>559.59</v>
      </c>
      <c r="J1385" s="22">
        <v>0.19</v>
      </c>
      <c r="K1385" s="22" t="str">
        <v>COD</v>
      </c>
      <c r="L1385" s="22">
        <v>1813.0716</v>
      </c>
    </row>
    <row r="1386" spans="1:12" x14ac:dyDescent="0.3">
      <c r="A1386" s="22" t="s">
        <v>3195</v>
      </c>
      <c r="B1386" s="34" cm="1">
        <f t="array" ref="B1386:C1386">_xlfn.XLOOKUP(A1386,Sales_Fact!A1386:A3370,Sales_Fact!B1386:C3370)</f>
        <v>45458</v>
      </c>
      <c r="C1386" s="22" t="str">
        <v>CUST1114</v>
      </c>
      <c r="D1386" s="22" t="str">
        <f>VLOOKUP('Combine Products &amp; Sales Facts'!C1386,'Customer Details'!A:B,2,0)</f>
        <v>Ryan Hernandez</v>
      </c>
      <c r="E1386" s="22" t="str">
        <f>VLOOKUP(C1386,Sales_Fact!C:D,2,0)</f>
        <v>PROD59</v>
      </c>
      <c r="F1386" s="22" t="str">
        <f>VLOOKUP(E1386,Product_Dim!A:C,3,0)</f>
        <v>Beauty</v>
      </c>
      <c r="G1386" s="22" t="str" cm="1">
        <f t="array" ref="G1386:L1386">_xlfn.XLOOKUP(C1386,Sales_Fact!C1386:C3370,Sales_Fact!E1386:J3370)</f>
        <v>STORE18</v>
      </c>
      <c r="H1386" s="22">
        <v>1</v>
      </c>
      <c r="I1386" s="22">
        <v>758.54</v>
      </c>
      <c r="J1386" s="22">
        <v>0.28999999999999998</v>
      </c>
      <c r="K1386" s="22" t="str">
        <v>PayPal</v>
      </c>
      <c r="L1386" s="22">
        <v>538.5634</v>
      </c>
    </row>
    <row r="1387" spans="1:12" x14ac:dyDescent="0.3">
      <c r="A1387" s="22" t="s">
        <v>3196</v>
      </c>
      <c r="B1387" s="34" cm="1">
        <f t="array" ref="B1387:C1387">_xlfn.XLOOKUP(A1387,Sales_Fact!A1387:A3371,Sales_Fact!B1387:C3371)</f>
        <v>45649</v>
      </c>
      <c r="C1387" s="22" t="str">
        <v>CUST1462</v>
      </c>
      <c r="D1387" s="22" t="str">
        <f>VLOOKUP('Combine Products &amp; Sales Facts'!C1387,'Customer Details'!A:B,2,0)</f>
        <v>Beth Martin</v>
      </c>
      <c r="E1387" s="22" t="str">
        <f>VLOOKUP(C1387,Sales_Fact!C:D,2,0)</f>
        <v>PROD33</v>
      </c>
      <c r="F1387" s="22" t="str">
        <f>VLOOKUP(E1387,Product_Dim!A:C,3,0)</f>
        <v>Home</v>
      </c>
      <c r="G1387" s="22" t="str" cm="1">
        <f t="array" ref="G1387:L1387">_xlfn.XLOOKUP(C1387,Sales_Fact!C1387:C3371,Sales_Fact!E1387:J3371)</f>
        <v>STORE15</v>
      </c>
      <c r="H1387" s="22">
        <v>4</v>
      </c>
      <c r="I1387" s="22">
        <v>643.96</v>
      </c>
      <c r="J1387" s="22">
        <v>0.16</v>
      </c>
      <c r="K1387" s="22" t="str">
        <v>PayPal</v>
      </c>
      <c r="L1387" s="22">
        <v>2163.7055999999998</v>
      </c>
    </row>
    <row r="1388" spans="1:12" x14ac:dyDescent="0.3">
      <c r="A1388" s="22" t="s">
        <v>3197</v>
      </c>
      <c r="B1388" s="34" cm="1">
        <f t="array" ref="B1388:C1388">_xlfn.XLOOKUP(A1388,Sales_Fact!A1388:A3372,Sales_Fact!B1388:C3372)</f>
        <v>45653</v>
      </c>
      <c r="C1388" s="22" t="str">
        <v>CUST1243</v>
      </c>
      <c r="D1388" s="22" t="str">
        <f>VLOOKUP('Combine Products &amp; Sales Facts'!C1388,'Customer Details'!A:B,2,0)</f>
        <v>Brian Hammond</v>
      </c>
      <c r="E1388" s="22" t="str">
        <f>VLOOKUP(C1388,Sales_Fact!C:D,2,0)</f>
        <v>PROD69</v>
      </c>
      <c r="F1388" s="22" t="str">
        <f>VLOOKUP(E1388,Product_Dim!A:C,3,0)</f>
        <v>Clothing</v>
      </c>
      <c r="G1388" s="22" t="str" cm="1">
        <f t="array" ref="G1388:L1388">_xlfn.XLOOKUP(C1388,Sales_Fact!C1388:C3372,Sales_Fact!E1388:J3372)</f>
        <v>STORE9</v>
      </c>
      <c r="H1388" s="22">
        <v>1</v>
      </c>
      <c r="I1388" s="22">
        <v>882.73</v>
      </c>
      <c r="J1388" s="22">
        <v>0.1</v>
      </c>
      <c r="K1388" s="22" t="str">
        <v>Credit Card</v>
      </c>
      <c r="L1388" s="22">
        <v>794.45699999999999</v>
      </c>
    </row>
    <row r="1389" spans="1:12" x14ac:dyDescent="0.3">
      <c r="A1389" s="22" t="s">
        <v>3198</v>
      </c>
      <c r="B1389" s="34" cm="1">
        <f t="array" ref="B1389:C1389">_xlfn.XLOOKUP(A1389,Sales_Fact!A1389:A3373,Sales_Fact!B1389:C3373)</f>
        <v>45378</v>
      </c>
      <c r="C1389" s="22" t="str">
        <v>CUST1325</v>
      </c>
      <c r="D1389" s="22" t="str">
        <f>VLOOKUP('Combine Products &amp; Sales Facts'!C1389,'Customer Details'!A:B,2,0)</f>
        <v>Andrew Smith</v>
      </c>
      <c r="E1389" s="22" t="str">
        <f>VLOOKUP(C1389,Sales_Fact!C:D,2,0)</f>
        <v>PROD54</v>
      </c>
      <c r="F1389" s="22" t="str">
        <f>VLOOKUP(E1389,Product_Dim!A:C,3,0)</f>
        <v>Sports</v>
      </c>
      <c r="G1389" s="22" t="str" cm="1">
        <f t="array" ref="G1389:L1389">_xlfn.XLOOKUP(C1389,Sales_Fact!C1389:C3373,Sales_Fact!E1389:J3373)</f>
        <v>STORE19</v>
      </c>
      <c r="H1389" s="22">
        <v>2</v>
      </c>
      <c r="I1389" s="22">
        <v>600.03</v>
      </c>
      <c r="J1389" s="22">
        <v>0.26</v>
      </c>
      <c r="K1389" s="22" t="str">
        <v>PayPal</v>
      </c>
      <c r="L1389" s="22">
        <v>888.0444</v>
      </c>
    </row>
    <row r="1390" spans="1:12" x14ac:dyDescent="0.3">
      <c r="A1390" s="22" t="s">
        <v>3199</v>
      </c>
      <c r="B1390" s="34" cm="1">
        <f t="array" ref="B1390:C1390">_xlfn.XLOOKUP(A1390,Sales_Fact!A1390:A3374,Sales_Fact!B1390:C3374)</f>
        <v>45638</v>
      </c>
      <c r="C1390" s="22" t="str">
        <v>CUST1157</v>
      </c>
      <c r="D1390" s="22" t="str">
        <f>VLOOKUP('Combine Products &amp; Sales Facts'!C1390,'Customer Details'!A:B,2,0)</f>
        <v>Paul Zamora</v>
      </c>
      <c r="E1390" s="22" t="str">
        <f>VLOOKUP(C1390,Sales_Fact!C:D,2,0)</f>
        <v>PROD55</v>
      </c>
      <c r="F1390" s="22" t="str">
        <f>VLOOKUP(E1390,Product_Dim!A:C,3,0)</f>
        <v>Home</v>
      </c>
      <c r="G1390" s="22" t="str" cm="1">
        <f t="array" ref="G1390:L1390">_xlfn.XLOOKUP(C1390,Sales_Fact!C1390:C3374,Sales_Fact!E1390:J3374)</f>
        <v>STORE5</v>
      </c>
      <c r="H1390" s="22">
        <v>2</v>
      </c>
      <c r="I1390" s="22">
        <v>628.83000000000004</v>
      </c>
      <c r="J1390" s="22">
        <v>7.0000000000000007E-2</v>
      </c>
      <c r="K1390" s="22" t="str">
        <v>PayPal</v>
      </c>
      <c r="L1390" s="22">
        <v>1169.6238000000001</v>
      </c>
    </row>
    <row r="1391" spans="1:12" x14ac:dyDescent="0.3">
      <c r="A1391" s="22" t="s">
        <v>3200</v>
      </c>
      <c r="B1391" s="34" cm="1">
        <f t="array" ref="B1391:C1391">_xlfn.XLOOKUP(A1391,Sales_Fact!A1391:A3375,Sales_Fact!B1391:C3375)</f>
        <v>45277</v>
      </c>
      <c r="C1391" s="22" t="str">
        <v>CUST1175</v>
      </c>
      <c r="D1391" s="22" t="str">
        <f>VLOOKUP('Combine Products &amp; Sales Facts'!C1391,'Customer Details'!A:B,2,0)</f>
        <v>Michelle Rogers</v>
      </c>
      <c r="E1391" s="22" t="str">
        <f>VLOOKUP(C1391,Sales_Fact!C:D,2,0)</f>
        <v>PROD49</v>
      </c>
      <c r="F1391" s="22" t="str">
        <f>VLOOKUP(E1391,Product_Dim!A:C,3,0)</f>
        <v>Beauty</v>
      </c>
      <c r="G1391" s="22" t="str" cm="1">
        <f t="array" ref="G1391:L1391">_xlfn.XLOOKUP(C1391,Sales_Fact!C1391:C3375,Sales_Fact!E1391:J3375)</f>
        <v>STORE9</v>
      </c>
      <c r="H1391" s="22">
        <v>3</v>
      </c>
      <c r="I1391" s="22">
        <v>113.87</v>
      </c>
      <c r="J1391" s="22">
        <v>0.21</v>
      </c>
      <c r="K1391" s="22" t="str">
        <v>COD</v>
      </c>
      <c r="L1391" s="22">
        <v>269.87189999999998</v>
      </c>
    </row>
    <row r="1392" spans="1:12" x14ac:dyDescent="0.3">
      <c r="A1392" s="22" t="s">
        <v>3201</v>
      </c>
      <c r="B1392" s="34" cm="1">
        <f t="array" ref="B1392:C1392">_xlfn.XLOOKUP(A1392,Sales_Fact!A1392:A3376,Sales_Fact!B1392:C3376)</f>
        <v>45351</v>
      </c>
      <c r="C1392" s="22" t="str">
        <v>CUST1418</v>
      </c>
      <c r="D1392" s="22" t="str">
        <f>VLOOKUP('Combine Products &amp; Sales Facts'!C1392,'Customer Details'!A:B,2,0)</f>
        <v>Luke Parks</v>
      </c>
      <c r="E1392" s="22" t="str">
        <f>VLOOKUP(C1392,Sales_Fact!C:D,2,0)</f>
        <v>PROD89</v>
      </c>
      <c r="F1392" s="22" t="str">
        <f>VLOOKUP(E1392,Product_Dim!A:C,3,0)</f>
        <v>Beauty</v>
      </c>
      <c r="G1392" s="22" t="str" cm="1">
        <f t="array" ref="G1392:L1392">_xlfn.XLOOKUP(C1392,Sales_Fact!C1392:C3376,Sales_Fact!E1392:J3376)</f>
        <v>STORE7</v>
      </c>
      <c r="H1392" s="22">
        <v>4</v>
      </c>
      <c r="I1392" s="22">
        <v>282.07</v>
      </c>
      <c r="J1392" s="22">
        <v>0.18</v>
      </c>
      <c r="K1392" s="22" t="str">
        <v>PayPal</v>
      </c>
      <c r="L1392" s="22">
        <v>925.18960000000004</v>
      </c>
    </row>
    <row r="1393" spans="1:12" x14ac:dyDescent="0.3">
      <c r="A1393" s="22" t="s">
        <v>3202</v>
      </c>
      <c r="B1393" s="34" cm="1">
        <f t="array" ref="B1393:C1393">_xlfn.XLOOKUP(A1393,Sales_Fact!A1393:A3377,Sales_Fact!B1393:C3377)</f>
        <v>45290</v>
      </c>
      <c r="C1393" s="22" t="str">
        <v>CUST1156</v>
      </c>
      <c r="D1393" s="22" t="str">
        <f>VLOOKUP('Combine Products &amp; Sales Facts'!C1393,'Customer Details'!A:B,2,0)</f>
        <v>Maria Sanchez</v>
      </c>
      <c r="E1393" s="22" t="str">
        <f>VLOOKUP(C1393,Sales_Fact!C:D,2,0)</f>
        <v>PROD49</v>
      </c>
      <c r="F1393" s="22" t="str">
        <f>VLOOKUP(E1393,Product_Dim!A:C,3,0)</f>
        <v>Beauty</v>
      </c>
      <c r="G1393" s="22" t="str" cm="1">
        <f t="array" ref="G1393:L1393">_xlfn.XLOOKUP(C1393,Sales_Fact!C1393:C3377,Sales_Fact!E1393:J3377)</f>
        <v>STORE6</v>
      </c>
      <c r="H1393" s="22">
        <v>3</v>
      </c>
      <c r="I1393" s="22">
        <v>676.77</v>
      </c>
      <c r="J1393" s="22">
        <v>0.17</v>
      </c>
      <c r="K1393" s="22" t="str">
        <v>PayPal</v>
      </c>
      <c r="L1393" s="22">
        <v>1685.1573000000001</v>
      </c>
    </row>
    <row r="1394" spans="1:12" x14ac:dyDescent="0.3">
      <c r="A1394" s="22" t="s">
        <v>3203</v>
      </c>
      <c r="B1394" s="34" cm="1">
        <f t="array" ref="B1394:C1394">_xlfn.XLOOKUP(A1394,Sales_Fact!A1394:A3378,Sales_Fact!B1394:C3378)</f>
        <v>45638</v>
      </c>
      <c r="C1394" s="22" t="str">
        <v>CUST1220</v>
      </c>
      <c r="D1394" s="22" t="str">
        <f>VLOOKUP('Combine Products &amp; Sales Facts'!C1394,'Customer Details'!A:B,2,0)</f>
        <v>George Davis</v>
      </c>
      <c r="E1394" s="22" t="str">
        <f>VLOOKUP(C1394,Sales_Fact!C:D,2,0)</f>
        <v>PROD29</v>
      </c>
      <c r="F1394" s="22" t="str">
        <f>VLOOKUP(E1394,Product_Dim!A:C,3,0)</f>
        <v>Home</v>
      </c>
      <c r="G1394" s="22" t="str" cm="1">
        <f t="array" ref="G1394:L1394">_xlfn.XLOOKUP(C1394,Sales_Fact!C1394:C3378,Sales_Fact!E1394:J3378)</f>
        <v>STORE16</v>
      </c>
      <c r="H1394" s="22">
        <v>2</v>
      </c>
      <c r="I1394" s="22">
        <v>362.7</v>
      </c>
      <c r="J1394" s="22">
        <v>0.09</v>
      </c>
      <c r="K1394" s="22" t="str">
        <v>Credit Card</v>
      </c>
      <c r="L1394" s="22">
        <v>660.11400000000003</v>
      </c>
    </row>
    <row r="1395" spans="1:12" x14ac:dyDescent="0.3">
      <c r="A1395" s="22" t="s">
        <v>3204</v>
      </c>
      <c r="B1395" s="34" cm="1">
        <f t="array" ref="B1395:C1395">_xlfn.XLOOKUP(A1395,Sales_Fact!A1395:A3379,Sales_Fact!B1395:C3379)</f>
        <v>45679</v>
      </c>
      <c r="C1395" s="22" t="str">
        <v>CUST1135</v>
      </c>
      <c r="D1395" s="22" t="str">
        <f>VLOOKUP('Combine Products &amp; Sales Facts'!C1395,'Customer Details'!A:B,2,0)</f>
        <v>Matthew Hanna</v>
      </c>
      <c r="E1395" s="22" t="str">
        <f>VLOOKUP(C1395,Sales_Fact!C:D,2,0)</f>
        <v>PROD44</v>
      </c>
      <c r="F1395" s="22" t="str">
        <f>VLOOKUP(E1395,Product_Dim!A:C,3,0)</f>
        <v>Sports</v>
      </c>
      <c r="G1395" s="22" t="str" cm="1">
        <f t="array" ref="G1395:L1395">_xlfn.XLOOKUP(C1395,Sales_Fact!C1395:C3379,Sales_Fact!E1395:J3379)</f>
        <v>STORE2</v>
      </c>
      <c r="H1395" s="22">
        <v>1</v>
      </c>
      <c r="I1395" s="22">
        <v>908.5</v>
      </c>
      <c r="J1395" s="22">
        <v>0.2</v>
      </c>
      <c r="K1395" s="22" t="str">
        <v>COD</v>
      </c>
      <c r="L1395" s="22">
        <v>726.80000000000007</v>
      </c>
    </row>
    <row r="1396" spans="1:12" x14ac:dyDescent="0.3">
      <c r="A1396" s="22" t="s">
        <v>3205</v>
      </c>
      <c r="B1396" s="34" cm="1">
        <f t="array" ref="B1396:C1396">_xlfn.XLOOKUP(A1396,Sales_Fact!A1396:A3380,Sales_Fact!B1396:C3380)</f>
        <v>45296</v>
      </c>
      <c r="C1396" s="22" t="str">
        <v>CUST1067</v>
      </c>
      <c r="D1396" s="22" t="str">
        <f>VLOOKUP('Combine Products &amp; Sales Facts'!C1396,'Customer Details'!A:B,2,0)</f>
        <v>Amber Mcclain</v>
      </c>
      <c r="E1396" s="22" t="str">
        <f>VLOOKUP(C1396,Sales_Fact!C:D,2,0)</f>
        <v>PROD46</v>
      </c>
      <c r="F1396" s="22" t="str">
        <f>VLOOKUP(E1396,Product_Dim!A:C,3,0)</f>
        <v>Clothing</v>
      </c>
      <c r="G1396" s="22" t="str" cm="1">
        <f t="array" ref="G1396:L1396">_xlfn.XLOOKUP(C1396,Sales_Fact!C1396:C3380,Sales_Fact!E1396:J3380)</f>
        <v>STORE15</v>
      </c>
      <c r="H1396" s="22">
        <v>2</v>
      </c>
      <c r="I1396" s="22">
        <v>795.37</v>
      </c>
      <c r="J1396" s="22">
        <v>0.2</v>
      </c>
      <c r="K1396" s="22" t="str">
        <v>COD</v>
      </c>
      <c r="L1396" s="22">
        <v>1272.5920000000001</v>
      </c>
    </row>
    <row r="1397" spans="1:12" x14ac:dyDescent="0.3">
      <c r="A1397" s="22" t="s">
        <v>3206</v>
      </c>
      <c r="B1397" s="34" cm="1">
        <f t="array" ref="B1397:C1397">_xlfn.XLOOKUP(A1397,Sales_Fact!A1397:A3381,Sales_Fact!B1397:C3381)</f>
        <v>45760</v>
      </c>
      <c r="C1397" s="22" t="str">
        <v>CUST1144</v>
      </c>
      <c r="D1397" s="22" t="str">
        <f>VLOOKUP('Combine Products &amp; Sales Facts'!C1397,'Customer Details'!A:B,2,0)</f>
        <v>Justin Cross</v>
      </c>
      <c r="E1397" s="22" t="str">
        <f>VLOOKUP(C1397,Sales_Fact!C:D,2,0)</f>
        <v>PROD72</v>
      </c>
      <c r="F1397" s="22" t="str">
        <f>VLOOKUP(E1397,Product_Dim!A:C,3,0)</f>
        <v>Sports</v>
      </c>
      <c r="G1397" s="22" t="str" cm="1">
        <f t="array" ref="G1397:L1397">_xlfn.XLOOKUP(C1397,Sales_Fact!C1397:C3381,Sales_Fact!E1397:J3381)</f>
        <v>STORE4</v>
      </c>
      <c r="H1397" s="22">
        <v>2</v>
      </c>
      <c r="I1397" s="22">
        <v>326.85000000000002</v>
      </c>
      <c r="J1397" s="22">
        <v>0.17</v>
      </c>
      <c r="K1397" s="22" t="str">
        <v>COD</v>
      </c>
      <c r="L1397" s="22">
        <v>542.57100000000003</v>
      </c>
    </row>
    <row r="1398" spans="1:12" x14ac:dyDescent="0.3">
      <c r="A1398" s="22" t="s">
        <v>3207</v>
      </c>
      <c r="B1398" s="34" cm="1">
        <f t="array" ref="B1398:C1398">_xlfn.XLOOKUP(A1398,Sales_Fact!A1398:A3382,Sales_Fact!B1398:C3382)</f>
        <v>45603</v>
      </c>
      <c r="C1398" s="22" t="str">
        <v>CUST1350</v>
      </c>
      <c r="D1398" s="22" t="str">
        <f>VLOOKUP('Combine Products &amp; Sales Facts'!C1398,'Customer Details'!A:B,2,0)</f>
        <v>Charles Miller</v>
      </c>
      <c r="E1398" s="22" t="str">
        <f>VLOOKUP(C1398,Sales_Fact!C:D,2,0)</f>
        <v>PROD92</v>
      </c>
      <c r="F1398" s="22" t="str">
        <f>VLOOKUP(E1398,Product_Dim!A:C,3,0)</f>
        <v>Home</v>
      </c>
      <c r="G1398" s="22" t="str" cm="1">
        <f t="array" ref="G1398:L1398">_xlfn.XLOOKUP(C1398,Sales_Fact!C1398:C3382,Sales_Fact!E1398:J3382)</f>
        <v>STORE14</v>
      </c>
      <c r="H1398" s="22">
        <v>3</v>
      </c>
      <c r="I1398" s="22">
        <v>169.43</v>
      </c>
      <c r="J1398" s="22">
        <v>0.19</v>
      </c>
      <c r="K1398" s="22" t="str">
        <v>Credit Card</v>
      </c>
      <c r="L1398" s="22">
        <v>411.71490000000011</v>
      </c>
    </row>
    <row r="1399" spans="1:12" x14ac:dyDescent="0.3">
      <c r="A1399" s="22" t="s">
        <v>3208</v>
      </c>
      <c r="B1399" s="34" cm="1">
        <f t="array" ref="B1399:C1399">_xlfn.XLOOKUP(A1399,Sales_Fact!A1399:A3383,Sales_Fact!B1399:C3383)</f>
        <v>45413</v>
      </c>
      <c r="C1399" s="22" t="str">
        <v>CUST1163</v>
      </c>
      <c r="D1399" s="22" t="str">
        <f>VLOOKUP('Combine Products &amp; Sales Facts'!C1399,'Customer Details'!A:B,2,0)</f>
        <v>Joseph Jones</v>
      </c>
      <c r="E1399" s="22" t="str">
        <f>VLOOKUP(C1399,Sales_Fact!C:D,2,0)</f>
        <v>PROD97</v>
      </c>
      <c r="F1399" s="22" t="str">
        <f>VLOOKUP(E1399,Product_Dim!A:C,3,0)</f>
        <v>Sports</v>
      </c>
      <c r="G1399" s="22" t="str" cm="1">
        <f t="array" ref="G1399:L1399">_xlfn.XLOOKUP(C1399,Sales_Fact!C1399:C3383,Sales_Fact!E1399:J3383)</f>
        <v>STORE6</v>
      </c>
      <c r="H1399" s="22">
        <v>1</v>
      </c>
      <c r="I1399" s="22">
        <v>254.47</v>
      </c>
      <c r="J1399" s="22">
        <v>0.1</v>
      </c>
      <c r="K1399" s="22" t="str">
        <v>Credit Card</v>
      </c>
      <c r="L1399" s="22">
        <v>229.023</v>
      </c>
    </row>
    <row r="1400" spans="1:12" x14ac:dyDescent="0.3">
      <c r="A1400" s="22" t="s">
        <v>3209</v>
      </c>
      <c r="B1400" s="34" cm="1">
        <f t="array" ref="B1400:C1400">_xlfn.XLOOKUP(A1400,Sales_Fact!A1400:A3384,Sales_Fact!B1400:C3384)</f>
        <v>45506</v>
      </c>
      <c r="C1400" s="22" t="str">
        <v>CUST1418</v>
      </c>
      <c r="D1400" s="22" t="str">
        <f>VLOOKUP('Combine Products &amp; Sales Facts'!C1400,'Customer Details'!A:B,2,0)</f>
        <v>Luke Parks</v>
      </c>
      <c r="E1400" s="22" t="str">
        <f>VLOOKUP(C1400,Sales_Fact!C:D,2,0)</f>
        <v>PROD89</v>
      </c>
      <c r="F1400" s="22" t="str">
        <f>VLOOKUP(E1400,Product_Dim!A:C,3,0)</f>
        <v>Beauty</v>
      </c>
      <c r="G1400" s="22" t="str" cm="1">
        <f t="array" ref="G1400:L1400">_xlfn.XLOOKUP(C1400,Sales_Fact!C1400:C3384,Sales_Fact!E1400:J3384)</f>
        <v>STORE16</v>
      </c>
      <c r="H1400" s="22">
        <v>4</v>
      </c>
      <c r="I1400" s="22">
        <v>627.73</v>
      </c>
      <c r="J1400" s="22">
        <v>0.11</v>
      </c>
      <c r="K1400" s="22" t="str">
        <v>COD</v>
      </c>
      <c r="L1400" s="22">
        <v>2234.7188000000001</v>
      </c>
    </row>
    <row r="1401" spans="1:12" x14ac:dyDescent="0.3">
      <c r="A1401" s="22" t="s">
        <v>3210</v>
      </c>
      <c r="B1401" s="34" cm="1">
        <f t="array" ref="B1401:C1401">_xlfn.XLOOKUP(A1401,Sales_Fact!A1401:A3385,Sales_Fact!B1401:C3385)</f>
        <v>45394</v>
      </c>
      <c r="C1401" s="22" t="str">
        <v>CUST1371</v>
      </c>
      <c r="D1401" s="22" t="str">
        <f>VLOOKUP('Combine Products &amp; Sales Facts'!C1401,'Customer Details'!A:B,2,0)</f>
        <v>Michael Garner</v>
      </c>
      <c r="E1401" s="22" t="str">
        <f>VLOOKUP(C1401,Sales_Fact!C:D,2,0)</f>
        <v>PROD67</v>
      </c>
      <c r="F1401" s="22" t="str">
        <f>VLOOKUP(E1401,Product_Dim!A:C,3,0)</f>
        <v>Electronics</v>
      </c>
      <c r="G1401" s="22" t="str" cm="1">
        <f t="array" ref="G1401:L1401">_xlfn.XLOOKUP(C1401,Sales_Fact!C1401:C3385,Sales_Fact!E1401:J3385)</f>
        <v>STORE19</v>
      </c>
      <c r="H1401" s="22">
        <v>4</v>
      </c>
      <c r="I1401" s="22">
        <v>327.25</v>
      </c>
      <c r="J1401" s="22">
        <v>0.13</v>
      </c>
      <c r="K1401" s="22" t="str">
        <v>COD</v>
      </c>
      <c r="L1401" s="22">
        <v>1138.83</v>
      </c>
    </row>
    <row r="1402" spans="1:12" x14ac:dyDescent="0.3">
      <c r="A1402" s="22" t="s">
        <v>3211</v>
      </c>
      <c r="B1402" s="34" cm="1">
        <f t="array" ref="B1402:C1402">_xlfn.XLOOKUP(A1402,Sales_Fact!A1402:A3386,Sales_Fact!B1402:C3386)</f>
        <v>45755</v>
      </c>
      <c r="C1402" s="22" t="str">
        <v>CUST1145</v>
      </c>
      <c r="D1402" s="22" t="str">
        <f>VLOOKUP('Combine Products &amp; Sales Facts'!C1402,'Customer Details'!A:B,2,0)</f>
        <v>Cameron Simpson</v>
      </c>
      <c r="E1402" s="22" t="str">
        <f>VLOOKUP(C1402,Sales_Fact!C:D,2,0)</f>
        <v>PROD69</v>
      </c>
      <c r="F1402" s="22" t="str">
        <f>VLOOKUP(E1402,Product_Dim!A:C,3,0)</f>
        <v>Clothing</v>
      </c>
      <c r="G1402" s="22" t="str" cm="1">
        <f t="array" ref="G1402:L1402">_xlfn.XLOOKUP(C1402,Sales_Fact!C1402:C3386,Sales_Fact!E1402:J3386)</f>
        <v>STORE11</v>
      </c>
      <c r="H1402" s="22">
        <v>4</v>
      </c>
      <c r="I1402" s="22">
        <v>511.43</v>
      </c>
      <c r="J1402" s="22">
        <v>0.18</v>
      </c>
      <c r="K1402" s="22" t="str">
        <v>COD</v>
      </c>
      <c r="L1402" s="22">
        <v>1677.4903999999999</v>
      </c>
    </row>
    <row r="1403" spans="1:12" x14ac:dyDescent="0.3">
      <c r="A1403" s="22" t="s">
        <v>3212</v>
      </c>
      <c r="B1403" s="34" cm="1">
        <f t="array" ref="B1403:C1403">_xlfn.XLOOKUP(A1403,Sales_Fact!A1403:A3387,Sales_Fact!B1403:C3387)</f>
        <v>45473</v>
      </c>
      <c r="C1403" s="22" t="str">
        <v>CUST1165</v>
      </c>
      <c r="D1403" s="22" t="str">
        <f>VLOOKUP('Combine Products &amp; Sales Facts'!C1403,'Customer Details'!A:B,2,0)</f>
        <v>Jason Wheeler</v>
      </c>
      <c r="E1403" s="22" t="str">
        <f>VLOOKUP(C1403,Sales_Fact!C:D,2,0)</f>
        <v>PROD27</v>
      </c>
      <c r="F1403" s="22" t="str">
        <f>VLOOKUP(E1403,Product_Dim!A:C,3,0)</f>
        <v>Home</v>
      </c>
      <c r="G1403" s="22" t="str" cm="1">
        <f t="array" ref="G1403:L1403">_xlfn.XLOOKUP(C1403,Sales_Fact!C1403:C3387,Sales_Fact!E1403:J3387)</f>
        <v>STORE17</v>
      </c>
      <c r="H1403" s="22">
        <v>4</v>
      </c>
      <c r="I1403" s="22">
        <v>194.67</v>
      </c>
      <c r="J1403" s="22">
        <v>0.23</v>
      </c>
      <c r="K1403" s="22" t="str">
        <v>PayPal</v>
      </c>
      <c r="L1403" s="22">
        <v>599.58359999999993</v>
      </c>
    </row>
    <row r="1404" spans="1:12" x14ac:dyDescent="0.3">
      <c r="A1404" s="22" t="s">
        <v>3213</v>
      </c>
      <c r="B1404" s="34" cm="1">
        <f t="array" ref="B1404:C1404">_xlfn.XLOOKUP(A1404,Sales_Fact!A1404:A3388,Sales_Fact!B1404:C3388)</f>
        <v>45304</v>
      </c>
      <c r="C1404" s="22" t="str">
        <v>CUST1059</v>
      </c>
      <c r="D1404" s="22" t="str">
        <f>VLOOKUP('Combine Products &amp; Sales Facts'!C1404,'Customer Details'!A:B,2,0)</f>
        <v>Alyssa Vargas</v>
      </c>
      <c r="E1404" s="22" t="str">
        <f>VLOOKUP(C1404,Sales_Fact!C:D,2,0)</f>
        <v>PROD94</v>
      </c>
      <c r="F1404" s="22" t="str">
        <f>VLOOKUP(E1404,Product_Dim!A:C,3,0)</f>
        <v>Beauty</v>
      </c>
      <c r="G1404" s="22" t="str" cm="1">
        <f t="array" ref="G1404:L1404">_xlfn.XLOOKUP(C1404,Sales_Fact!C1404:C3388,Sales_Fact!E1404:J3388)</f>
        <v>STORE1</v>
      </c>
      <c r="H1404" s="22">
        <v>2</v>
      </c>
      <c r="I1404" s="22">
        <v>54.51</v>
      </c>
      <c r="J1404" s="22">
        <v>7.0000000000000007E-2</v>
      </c>
      <c r="K1404" s="22" t="str">
        <v>Credit Card</v>
      </c>
      <c r="L1404" s="22">
        <v>101.3886</v>
      </c>
    </row>
    <row r="1405" spans="1:12" x14ac:dyDescent="0.3">
      <c r="A1405" s="22" t="s">
        <v>3214</v>
      </c>
      <c r="B1405" s="34" cm="1">
        <f t="array" ref="B1405:C1405">_xlfn.XLOOKUP(A1405,Sales_Fact!A1405:A3389,Sales_Fact!B1405:C3389)</f>
        <v>45557</v>
      </c>
      <c r="C1405" s="22" t="str">
        <v>CUST1076</v>
      </c>
      <c r="D1405" s="22" t="str">
        <f>VLOOKUP('Combine Products &amp; Sales Facts'!C1405,'Customer Details'!A:B,2,0)</f>
        <v>Nathan Campbell</v>
      </c>
      <c r="E1405" s="22" t="str">
        <f>VLOOKUP(C1405,Sales_Fact!C:D,2,0)</f>
        <v>PROD32</v>
      </c>
      <c r="F1405" s="22" t="str">
        <f>VLOOKUP(E1405,Product_Dim!A:C,3,0)</f>
        <v>Beauty</v>
      </c>
      <c r="G1405" s="22" t="str" cm="1">
        <f t="array" ref="G1405:L1405">_xlfn.XLOOKUP(C1405,Sales_Fact!C1405:C3389,Sales_Fact!E1405:J3389)</f>
        <v>STORE11</v>
      </c>
      <c r="H1405" s="22">
        <v>4</v>
      </c>
      <c r="I1405" s="22">
        <v>964</v>
      </c>
      <c r="J1405" s="22">
        <v>0.14000000000000001</v>
      </c>
      <c r="K1405" s="22" t="str">
        <v>PayPal</v>
      </c>
      <c r="L1405" s="22">
        <v>3316.16</v>
      </c>
    </row>
    <row r="1406" spans="1:12" x14ac:dyDescent="0.3">
      <c r="A1406" s="22" t="s">
        <v>3215</v>
      </c>
      <c r="B1406" s="34" cm="1">
        <f t="array" ref="B1406:C1406">_xlfn.XLOOKUP(A1406,Sales_Fact!A1406:A3390,Sales_Fact!B1406:C3390)</f>
        <v>45527</v>
      </c>
      <c r="C1406" s="22" t="str">
        <v>CUST1040</v>
      </c>
      <c r="D1406" s="22" t="str">
        <f>VLOOKUP('Combine Products &amp; Sales Facts'!C1406,'Customer Details'!A:B,2,0)</f>
        <v>Eric Vega</v>
      </c>
      <c r="E1406" s="22" t="str">
        <f>VLOOKUP(C1406,Sales_Fact!C:D,2,0)</f>
        <v>PROD17</v>
      </c>
      <c r="F1406" s="22" t="str">
        <f>VLOOKUP(E1406,Product_Dim!A:C,3,0)</f>
        <v>Sports</v>
      </c>
      <c r="G1406" s="22" t="str" cm="1">
        <f t="array" ref="G1406:L1406">_xlfn.XLOOKUP(C1406,Sales_Fact!C1406:C3390,Sales_Fact!E1406:J3390)</f>
        <v>STORE4</v>
      </c>
      <c r="H1406" s="22">
        <v>1</v>
      </c>
      <c r="I1406" s="22">
        <v>170.12</v>
      </c>
      <c r="J1406" s="22">
        <v>0.26</v>
      </c>
      <c r="K1406" s="22" t="str">
        <v>PayPal</v>
      </c>
      <c r="L1406" s="22">
        <v>125.8888</v>
      </c>
    </row>
    <row r="1407" spans="1:12" x14ac:dyDescent="0.3">
      <c r="A1407" s="22" t="s">
        <v>3216</v>
      </c>
      <c r="B1407" s="34" cm="1">
        <f t="array" ref="B1407:C1407">_xlfn.XLOOKUP(A1407,Sales_Fact!A1407:A3391,Sales_Fact!B1407:C3391)</f>
        <v>45875</v>
      </c>
      <c r="C1407" s="22" t="str">
        <v>CUST1152</v>
      </c>
      <c r="D1407" s="22" t="str">
        <f>VLOOKUP('Combine Products &amp; Sales Facts'!C1407,'Customer Details'!A:B,2,0)</f>
        <v>Patrick Roberts</v>
      </c>
      <c r="E1407" s="22" t="str">
        <f>VLOOKUP(C1407,Sales_Fact!C:D,2,0)</f>
        <v>PROD70</v>
      </c>
      <c r="F1407" s="22" t="str">
        <f>VLOOKUP(E1407,Product_Dim!A:C,3,0)</f>
        <v>Home</v>
      </c>
      <c r="G1407" s="22" t="str" cm="1">
        <f t="array" ref="G1407:L1407">_xlfn.XLOOKUP(C1407,Sales_Fact!C1407:C3391,Sales_Fact!E1407:J3391)</f>
        <v>STORE19</v>
      </c>
      <c r="H1407" s="22">
        <v>2</v>
      </c>
      <c r="I1407" s="22">
        <v>664.5</v>
      </c>
      <c r="J1407" s="22">
        <v>0.23</v>
      </c>
      <c r="K1407" s="22" t="str">
        <v>Credit Card</v>
      </c>
      <c r="L1407" s="22">
        <v>1023.33</v>
      </c>
    </row>
    <row r="1408" spans="1:12" x14ac:dyDescent="0.3">
      <c r="A1408" s="22" t="s">
        <v>3217</v>
      </c>
      <c r="B1408" s="34" cm="1">
        <f t="array" ref="B1408:C1408">_xlfn.XLOOKUP(A1408,Sales_Fact!A1408:A3392,Sales_Fact!B1408:C3392)</f>
        <v>45936</v>
      </c>
      <c r="C1408" s="22" t="str">
        <v>CUST1371</v>
      </c>
      <c r="D1408" s="22" t="str">
        <f>VLOOKUP('Combine Products &amp; Sales Facts'!C1408,'Customer Details'!A:B,2,0)</f>
        <v>Michael Garner</v>
      </c>
      <c r="E1408" s="22" t="str">
        <f>VLOOKUP(C1408,Sales_Fact!C:D,2,0)</f>
        <v>PROD67</v>
      </c>
      <c r="F1408" s="22" t="str">
        <f>VLOOKUP(E1408,Product_Dim!A:C,3,0)</f>
        <v>Electronics</v>
      </c>
      <c r="G1408" s="22" t="str" cm="1">
        <f t="array" ref="G1408:L1408">_xlfn.XLOOKUP(C1408,Sales_Fact!C1408:C3392,Sales_Fact!E1408:J3392)</f>
        <v>STORE10</v>
      </c>
      <c r="H1408" s="22">
        <v>4</v>
      </c>
      <c r="I1408" s="22">
        <v>557.51</v>
      </c>
      <c r="J1408" s="22">
        <v>0.11</v>
      </c>
      <c r="K1408" s="22" t="str">
        <v>Credit Card</v>
      </c>
      <c r="L1408" s="22">
        <v>1984.7356</v>
      </c>
    </row>
    <row r="1409" spans="1:12" x14ac:dyDescent="0.3">
      <c r="A1409" s="22" t="s">
        <v>3218</v>
      </c>
      <c r="B1409" s="34" cm="1">
        <f t="array" ref="B1409:C1409">_xlfn.XLOOKUP(A1409,Sales_Fact!A1409:A3393,Sales_Fact!B1409:C3393)</f>
        <v>45807</v>
      </c>
      <c r="C1409" s="22" t="str">
        <v>CUST1397</v>
      </c>
      <c r="D1409" s="22" t="str">
        <f>VLOOKUP('Combine Products &amp; Sales Facts'!C1409,'Customer Details'!A:B,2,0)</f>
        <v>Charles Norman Phd</v>
      </c>
      <c r="E1409" s="22" t="str">
        <f>VLOOKUP(C1409,Sales_Fact!C:D,2,0)</f>
        <v>PROD94</v>
      </c>
      <c r="F1409" s="22" t="str">
        <f>VLOOKUP(E1409,Product_Dim!A:C,3,0)</f>
        <v>Beauty</v>
      </c>
      <c r="G1409" s="22" t="str" cm="1">
        <f t="array" ref="G1409:L1409">_xlfn.XLOOKUP(C1409,Sales_Fact!C1409:C3393,Sales_Fact!E1409:J3393)</f>
        <v>STORE1</v>
      </c>
      <c r="H1409" s="22">
        <v>2</v>
      </c>
      <c r="I1409" s="22">
        <v>410</v>
      </c>
      <c r="J1409" s="22">
        <v>0.13</v>
      </c>
      <c r="K1409" s="22" t="str">
        <v>COD</v>
      </c>
      <c r="L1409" s="22">
        <v>713.4</v>
      </c>
    </row>
    <row r="1410" spans="1:12" x14ac:dyDescent="0.3">
      <c r="A1410" s="22" t="s">
        <v>3219</v>
      </c>
      <c r="B1410" s="34" cm="1">
        <f t="array" ref="B1410:C1410">_xlfn.XLOOKUP(A1410,Sales_Fact!A1410:A3394,Sales_Fact!B1410:C3394)</f>
        <v>45473</v>
      </c>
      <c r="C1410" s="22" t="str">
        <v>CUST1306</v>
      </c>
      <c r="D1410" s="22" t="str">
        <f>VLOOKUP('Combine Products &amp; Sales Facts'!C1410,'Customer Details'!A:B,2,0)</f>
        <v>Angela Robinson</v>
      </c>
      <c r="E1410" s="22" t="str">
        <f>VLOOKUP(C1410,Sales_Fact!C:D,2,0)</f>
        <v>PROD5</v>
      </c>
      <c r="F1410" s="22" t="str">
        <f>VLOOKUP(E1410,Product_Dim!A:C,3,0)</f>
        <v>Clothing</v>
      </c>
      <c r="G1410" s="22" t="str" cm="1">
        <f t="array" ref="G1410:L1410">_xlfn.XLOOKUP(C1410,Sales_Fact!C1410:C3394,Sales_Fact!E1410:J3394)</f>
        <v>STORE5</v>
      </c>
      <c r="H1410" s="22">
        <v>2</v>
      </c>
      <c r="I1410" s="22">
        <v>879.93</v>
      </c>
      <c r="J1410" s="22">
        <v>0.28999999999999998</v>
      </c>
      <c r="K1410" s="22" t="str">
        <v>COD</v>
      </c>
      <c r="L1410" s="22">
        <v>1249.5006000000001</v>
      </c>
    </row>
    <row r="1411" spans="1:12" x14ac:dyDescent="0.3">
      <c r="A1411" s="22" t="s">
        <v>3220</v>
      </c>
      <c r="B1411" s="34" cm="1">
        <f t="array" ref="B1411:C1411">_xlfn.XLOOKUP(A1411,Sales_Fact!A1411:A3395,Sales_Fact!B1411:C3395)</f>
        <v>45664</v>
      </c>
      <c r="C1411" s="22" t="str">
        <v>CUST1007</v>
      </c>
      <c r="D1411" s="22" t="str">
        <f>VLOOKUP('Combine Products &amp; Sales Facts'!C1411,'Customer Details'!A:B,2,0)</f>
        <v>Daniel Boyd</v>
      </c>
      <c r="E1411" s="22" t="str">
        <f>VLOOKUP(C1411,Sales_Fact!C:D,2,0)</f>
        <v>PROD67</v>
      </c>
      <c r="F1411" s="22" t="str">
        <f>VLOOKUP(E1411,Product_Dim!A:C,3,0)</f>
        <v>Electronics</v>
      </c>
      <c r="G1411" s="22" t="str" cm="1">
        <f t="array" ref="G1411:L1411">_xlfn.XLOOKUP(C1411,Sales_Fact!C1411:C3395,Sales_Fact!E1411:J3395)</f>
        <v>STORE18</v>
      </c>
      <c r="H1411" s="22">
        <v>1</v>
      </c>
      <c r="I1411" s="22">
        <v>350.58</v>
      </c>
      <c r="J1411" s="22">
        <v>0.03</v>
      </c>
      <c r="K1411" s="22" t="str">
        <v>COD</v>
      </c>
      <c r="L1411" s="22">
        <v>340.06259999999997</v>
      </c>
    </row>
    <row r="1412" spans="1:12" x14ac:dyDescent="0.3">
      <c r="A1412" s="22" t="s">
        <v>3221</v>
      </c>
      <c r="B1412" s="34" cm="1">
        <f t="array" ref="B1412:C1412">_xlfn.XLOOKUP(A1412,Sales_Fact!A1412:A3396,Sales_Fact!B1412:C3396)</f>
        <v>45633</v>
      </c>
      <c r="C1412" s="22" t="str">
        <v>CUST1350</v>
      </c>
      <c r="D1412" s="22" t="str">
        <f>VLOOKUP('Combine Products &amp; Sales Facts'!C1412,'Customer Details'!A:B,2,0)</f>
        <v>Charles Miller</v>
      </c>
      <c r="E1412" s="22" t="str">
        <f>VLOOKUP(C1412,Sales_Fact!C:D,2,0)</f>
        <v>PROD92</v>
      </c>
      <c r="F1412" s="22" t="str">
        <f>VLOOKUP(E1412,Product_Dim!A:C,3,0)</f>
        <v>Home</v>
      </c>
      <c r="G1412" s="22" t="str" cm="1">
        <f t="array" ref="G1412:L1412">_xlfn.XLOOKUP(C1412,Sales_Fact!C1412:C3396,Sales_Fact!E1412:J3396)</f>
        <v>STORE3</v>
      </c>
      <c r="H1412" s="22">
        <v>4</v>
      </c>
      <c r="I1412" s="22">
        <v>348.58</v>
      </c>
      <c r="J1412" s="22">
        <v>0.16</v>
      </c>
      <c r="K1412" s="22" t="str">
        <v>Credit Card</v>
      </c>
      <c r="L1412" s="22">
        <v>1171.2288000000001</v>
      </c>
    </row>
    <row r="1413" spans="1:12" x14ac:dyDescent="0.3">
      <c r="A1413" s="22" t="s">
        <v>3222</v>
      </c>
      <c r="B1413" s="34" cm="1">
        <f t="array" ref="B1413:C1413">_xlfn.XLOOKUP(A1413,Sales_Fact!A1413:A3397,Sales_Fact!B1413:C3397)</f>
        <v>45548</v>
      </c>
      <c r="C1413" s="22" t="str">
        <v>CUST1459</v>
      </c>
      <c r="D1413" s="22" t="str">
        <f>VLOOKUP('Combine Products &amp; Sales Facts'!C1413,'Customer Details'!A:B,2,0)</f>
        <v>John Perez</v>
      </c>
      <c r="E1413" s="22" t="str">
        <f>VLOOKUP(C1413,Sales_Fact!C:D,2,0)</f>
        <v>PROD54</v>
      </c>
      <c r="F1413" s="22" t="str">
        <f>VLOOKUP(E1413,Product_Dim!A:C,3,0)</f>
        <v>Sports</v>
      </c>
      <c r="G1413" s="22" t="str" cm="1">
        <f t="array" ref="G1413:L1413">_xlfn.XLOOKUP(C1413,Sales_Fact!C1413:C3397,Sales_Fact!E1413:J3397)</f>
        <v>STORE3</v>
      </c>
      <c r="H1413" s="22">
        <v>3</v>
      </c>
      <c r="I1413" s="22">
        <v>247.66</v>
      </c>
      <c r="J1413" s="22">
        <v>0.02</v>
      </c>
      <c r="K1413" s="22" t="str">
        <v>COD</v>
      </c>
      <c r="L1413" s="22">
        <v>728.12040000000002</v>
      </c>
    </row>
    <row r="1414" spans="1:12" x14ac:dyDescent="0.3">
      <c r="A1414" s="22" t="s">
        <v>3223</v>
      </c>
      <c r="B1414" s="34" cm="1">
        <f t="array" ref="B1414:C1414">_xlfn.XLOOKUP(A1414,Sales_Fact!A1414:A3398,Sales_Fact!B1414:C3398)</f>
        <v>45244</v>
      </c>
      <c r="C1414" s="22" t="str">
        <v>CUST1388</v>
      </c>
      <c r="D1414" s="22" t="str">
        <f>VLOOKUP('Combine Products &amp; Sales Facts'!C1414,'Customer Details'!A:B,2,0)</f>
        <v>Timothy Valenzuela</v>
      </c>
      <c r="E1414" s="22" t="str">
        <f>VLOOKUP(C1414,Sales_Fact!C:D,2,0)</f>
        <v>PROD82</v>
      </c>
      <c r="F1414" s="22" t="str">
        <f>VLOOKUP(E1414,Product_Dim!A:C,3,0)</f>
        <v>Sports</v>
      </c>
      <c r="G1414" s="22" t="str" cm="1">
        <f t="array" ref="G1414:L1414">_xlfn.XLOOKUP(C1414,Sales_Fact!C1414:C3398,Sales_Fact!E1414:J3398)</f>
        <v>STORE15</v>
      </c>
      <c r="H1414" s="22">
        <v>3</v>
      </c>
      <c r="I1414" s="22">
        <v>836.27</v>
      </c>
      <c r="J1414" s="22">
        <v>0.16</v>
      </c>
      <c r="K1414" s="22" t="str">
        <v>Credit Card</v>
      </c>
      <c r="L1414" s="22">
        <v>2107.4004</v>
      </c>
    </row>
    <row r="1415" spans="1:12" x14ac:dyDescent="0.3">
      <c r="A1415" s="22" t="s">
        <v>3224</v>
      </c>
      <c r="B1415" s="34" cm="1">
        <f t="array" ref="B1415:C1415">_xlfn.XLOOKUP(A1415,Sales_Fact!A1415:A3399,Sales_Fact!B1415:C3399)</f>
        <v>45753</v>
      </c>
      <c r="C1415" s="22" t="str">
        <v>CUST1195</v>
      </c>
      <c r="D1415" s="22" t="str">
        <f>VLOOKUP('Combine Products &amp; Sales Facts'!C1415,'Customer Details'!A:B,2,0)</f>
        <v>Anthony Garcia</v>
      </c>
      <c r="E1415" s="22" t="str">
        <f>VLOOKUP(C1415,Sales_Fact!C:D,2,0)</f>
        <v>PROD19</v>
      </c>
      <c r="F1415" s="22" t="str">
        <f>VLOOKUP(E1415,Product_Dim!A:C,3,0)</f>
        <v>Sports</v>
      </c>
      <c r="G1415" s="22" t="str" cm="1">
        <f t="array" ref="G1415:L1415">_xlfn.XLOOKUP(C1415,Sales_Fact!C1415:C3399,Sales_Fact!E1415:J3399)</f>
        <v>STORE10</v>
      </c>
      <c r="H1415" s="22">
        <v>3</v>
      </c>
      <c r="I1415" s="22">
        <v>696.74</v>
      </c>
      <c r="J1415" s="22">
        <v>0.13</v>
      </c>
      <c r="K1415" s="22" t="str">
        <v>COD</v>
      </c>
      <c r="L1415" s="22">
        <v>1818.4914000000001</v>
      </c>
    </row>
    <row r="1416" spans="1:12" x14ac:dyDescent="0.3">
      <c r="A1416" s="22" t="s">
        <v>3225</v>
      </c>
      <c r="B1416" s="34" cm="1">
        <f t="array" ref="B1416:C1416">_xlfn.XLOOKUP(A1416,Sales_Fact!A1416:A3400,Sales_Fact!B1416:C3400)</f>
        <v>45804</v>
      </c>
      <c r="C1416" s="22" t="str">
        <v>CUST1245</v>
      </c>
      <c r="D1416" s="22" t="str">
        <f>VLOOKUP('Combine Products &amp; Sales Facts'!C1416,'Customer Details'!A:B,2,0)</f>
        <v>Laura Soto</v>
      </c>
      <c r="E1416" s="22" t="str">
        <f>VLOOKUP(C1416,Sales_Fact!C:D,2,0)</f>
        <v>PROD39</v>
      </c>
      <c r="F1416" s="22" t="str">
        <f>VLOOKUP(E1416,Product_Dim!A:C,3,0)</f>
        <v>Electronics</v>
      </c>
      <c r="G1416" s="22" t="str" cm="1">
        <f t="array" ref="G1416:L1416">_xlfn.XLOOKUP(C1416,Sales_Fact!C1416:C3400,Sales_Fact!E1416:J3400)</f>
        <v>STORE13</v>
      </c>
      <c r="H1416" s="22">
        <v>2</v>
      </c>
      <c r="I1416" s="22">
        <v>822.59</v>
      </c>
      <c r="J1416" s="22">
        <v>0.22</v>
      </c>
      <c r="K1416" s="22" t="str">
        <v>PayPal</v>
      </c>
      <c r="L1416" s="22">
        <v>1283.2403999999999</v>
      </c>
    </row>
    <row r="1417" spans="1:12" x14ac:dyDescent="0.3">
      <c r="A1417" s="22" t="s">
        <v>3226</v>
      </c>
      <c r="B1417" s="34" cm="1">
        <f t="array" ref="B1417:C1417">_xlfn.XLOOKUP(A1417,Sales_Fact!A1417:A3401,Sales_Fact!B1417:C3401)</f>
        <v>45263</v>
      </c>
      <c r="C1417" s="22" t="str">
        <v>CUST1222</v>
      </c>
      <c r="D1417" s="22" t="str">
        <f>VLOOKUP('Combine Products &amp; Sales Facts'!C1417,'Customer Details'!A:B,2,0)</f>
        <v>Alejandro Doyle</v>
      </c>
      <c r="E1417" s="22" t="str">
        <f>VLOOKUP(C1417,Sales_Fact!C:D,2,0)</f>
        <v>PROD46</v>
      </c>
      <c r="F1417" s="22" t="str">
        <f>VLOOKUP(E1417,Product_Dim!A:C,3,0)</f>
        <v>Clothing</v>
      </c>
      <c r="G1417" s="22" t="str" cm="1">
        <f t="array" ref="G1417:L1417">_xlfn.XLOOKUP(C1417,Sales_Fact!C1417:C3401,Sales_Fact!E1417:J3401)</f>
        <v>STORE2</v>
      </c>
      <c r="H1417" s="22">
        <v>1</v>
      </c>
      <c r="I1417" s="22">
        <v>462.23</v>
      </c>
      <c r="J1417" s="22">
        <v>0.3</v>
      </c>
      <c r="K1417" s="22" t="str">
        <v>PayPal</v>
      </c>
      <c r="L1417" s="22">
        <v>323.56099999999998</v>
      </c>
    </row>
    <row r="1418" spans="1:12" x14ac:dyDescent="0.3">
      <c r="A1418" s="22" t="s">
        <v>3227</v>
      </c>
      <c r="B1418" s="34" cm="1">
        <f t="array" ref="B1418:C1418">_xlfn.XLOOKUP(A1418,Sales_Fact!A1418:A3402,Sales_Fact!B1418:C3402)</f>
        <v>45906</v>
      </c>
      <c r="C1418" s="22" t="str">
        <v>CUST1447</v>
      </c>
      <c r="D1418" s="22" t="str">
        <f>VLOOKUP('Combine Products &amp; Sales Facts'!C1418,'Customer Details'!A:B,2,0)</f>
        <v>Monica Wright</v>
      </c>
      <c r="E1418" s="22" t="str">
        <f>VLOOKUP(C1418,Sales_Fact!C:D,2,0)</f>
        <v>PROD42</v>
      </c>
      <c r="F1418" s="22" t="str">
        <f>VLOOKUP(E1418,Product_Dim!A:C,3,0)</f>
        <v>Electronics</v>
      </c>
      <c r="G1418" s="22" t="str" cm="1">
        <f t="array" ref="G1418:L1418">_xlfn.XLOOKUP(C1418,Sales_Fact!C1418:C3402,Sales_Fact!E1418:J3402)</f>
        <v>STORE17</v>
      </c>
      <c r="H1418" s="22">
        <v>1</v>
      </c>
      <c r="I1418" s="22">
        <v>361.09</v>
      </c>
      <c r="J1418" s="22">
        <v>0.06</v>
      </c>
      <c r="K1418" s="22" t="str">
        <v>PayPal</v>
      </c>
      <c r="L1418" s="22">
        <v>339.42459999999988</v>
      </c>
    </row>
    <row r="1419" spans="1:12" x14ac:dyDescent="0.3">
      <c r="A1419" s="22" t="s">
        <v>3228</v>
      </c>
      <c r="B1419" s="34" cm="1">
        <f t="array" ref="B1419:C1419">_xlfn.XLOOKUP(A1419,Sales_Fact!A1419:A3403,Sales_Fact!B1419:C3403)</f>
        <v>45243</v>
      </c>
      <c r="C1419" s="22" t="str">
        <v>CUST1383</v>
      </c>
      <c r="D1419" s="22" t="str">
        <f>VLOOKUP('Combine Products &amp; Sales Facts'!C1419,'Customer Details'!A:B,2,0)</f>
        <v>Kristine Higgins</v>
      </c>
      <c r="E1419" s="22" t="str">
        <f>VLOOKUP(C1419,Sales_Fact!C:D,2,0)</f>
        <v>PROD58</v>
      </c>
      <c r="F1419" s="22" t="str">
        <f>VLOOKUP(E1419,Product_Dim!A:C,3,0)</f>
        <v>Clothing</v>
      </c>
      <c r="G1419" s="22" t="str" cm="1">
        <f t="array" ref="G1419:L1419">_xlfn.XLOOKUP(C1419,Sales_Fact!C1419:C3403,Sales_Fact!E1419:J3403)</f>
        <v>STORE19</v>
      </c>
      <c r="H1419" s="22">
        <v>3</v>
      </c>
      <c r="I1419" s="22">
        <v>59.37</v>
      </c>
      <c r="J1419" s="22">
        <v>0.03</v>
      </c>
      <c r="K1419" s="22" t="str">
        <v>PayPal</v>
      </c>
      <c r="L1419" s="22">
        <v>172.76669999999999</v>
      </c>
    </row>
    <row r="1420" spans="1:12" x14ac:dyDescent="0.3">
      <c r="A1420" s="22" t="s">
        <v>3229</v>
      </c>
      <c r="B1420" s="34" cm="1">
        <f t="array" ref="B1420:C1420">_xlfn.XLOOKUP(A1420,Sales_Fact!A1420:A3404,Sales_Fact!B1420:C3404)</f>
        <v>45686</v>
      </c>
      <c r="C1420" s="22" t="str">
        <v>CUST1036</v>
      </c>
      <c r="D1420" s="22" t="str">
        <f>VLOOKUP('Combine Products &amp; Sales Facts'!C1420,'Customer Details'!A:B,2,0)</f>
        <v>Thomas Phillips</v>
      </c>
      <c r="E1420" s="22" t="str">
        <f>VLOOKUP(C1420,Sales_Fact!C:D,2,0)</f>
        <v>PROD90</v>
      </c>
      <c r="F1420" s="22" t="str">
        <f>VLOOKUP(E1420,Product_Dim!A:C,3,0)</f>
        <v>Electronics</v>
      </c>
      <c r="G1420" s="22" t="str" cm="1">
        <f t="array" ref="G1420:L1420">_xlfn.XLOOKUP(C1420,Sales_Fact!C1420:C3404,Sales_Fact!E1420:J3404)</f>
        <v>STORE1</v>
      </c>
      <c r="H1420" s="22">
        <v>3</v>
      </c>
      <c r="I1420" s="22">
        <v>765.21</v>
      </c>
      <c r="J1420" s="22">
        <v>0.14000000000000001</v>
      </c>
      <c r="K1420" s="22" t="str">
        <v>COD</v>
      </c>
      <c r="L1420" s="22">
        <v>1974.2418</v>
      </c>
    </row>
    <row r="1421" spans="1:12" x14ac:dyDescent="0.3">
      <c r="A1421" s="22" t="s">
        <v>3230</v>
      </c>
      <c r="B1421" s="34" cm="1">
        <f t="array" ref="B1421:C1421">_xlfn.XLOOKUP(A1421,Sales_Fact!A1421:A3405,Sales_Fact!B1421:C3405)</f>
        <v>45472</v>
      </c>
      <c r="C1421" s="22" t="str">
        <v>CUST1243</v>
      </c>
      <c r="D1421" s="22" t="str">
        <f>VLOOKUP('Combine Products &amp; Sales Facts'!C1421,'Customer Details'!A:B,2,0)</f>
        <v>Brian Hammond</v>
      </c>
      <c r="E1421" s="22" t="str">
        <f>VLOOKUP(C1421,Sales_Fact!C:D,2,0)</f>
        <v>PROD69</v>
      </c>
      <c r="F1421" s="22" t="str">
        <f>VLOOKUP(E1421,Product_Dim!A:C,3,0)</f>
        <v>Clothing</v>
      </c>
      <c r="G1421" s="22" t="str" cm="1">
        <f t="array" ref="G1421:L1421">_xlfn.XLOOKUP(C1421,Sales_Fact!C1421:C3405,Sales_Fact!E1421:J3405)</f>
        <v>STORE12</v>
      </c>
      <c r="H1421" s="22">
        <v>4</v>
      </c>
      <c r="I1421" s="22">
        <v>303.56</v>
      </c>
      <c r="J1421" s="22">
        <v>0.2</v>
      </c>
      <c r="K1421" s="22" t="str">
        <v>COD</v>
      </c>
      <c r="L1421" s="22">
        <v>971.39200000000005</v>
      </c>
    </row>
    <row r="1422" spans="1:12" x14ac:dyDescent="0.3">
      <c r="A1422" s="22" t="s">
        <v>3231</v>
      </c>
      <c r="B1422" s="34" cm="1">
        <f t="array" ref="B1422:C1422">_xlfn.XLOOKUP(A1422,Sales_Fact!A1422:A3406,Sales_Fact!B1422:C3406)</f>
        <v>45779</v>
      </c>
      <c r="C1422" s="22" t="str">
        <v>CUST1443</v>
      </c>
      <c r="D1422" s="22" t="str">
        <f>VLOOKUP('Combine Products &amp; Sales Facts'!C1422,'Customer Details'!A:B,2,0)</f>
        <v>Adam Castro</v>
      </c>
      <c r="E1422" s="22" t="str">
        <f>VLOOKUP(C1422,Sales_Fact!C:D,2,0)</f>
        <v>PROD34</v>
      </c>
      <c r="F1422" s="22" t="str">
        <f>VLOOKUP(E1422,Product_Dim!A:C,3,0)</f>
        <v>Electronics</v>
      </c>
      <c r="G1422" s="22" t="str" cm="1">
        <f t="array" ref="G1422:L1422">_xlfn.XLOOKUP(C1422,Sales_Fact!C1422:C3406,Sales_Fact!E1422:J3406)</f>
        <v>STORE0</v>
      </c>
      <c r="H1422" s="22">
        <v>1</v>
      </c>
      <c r="I1422" s="22">
        <v>640.92999999999995</v>
      </c>
      <c r="J1422" s="22">
        <v>0.19</v>
      </c>
      <c r="K1422" s="22" t="str">
        <v>PayPal</v>
      </c>
      <c r="L1422" s="22">
        <v>519.15329999999994</v>
      </c>
    </row>
    <row r="1423" spans="1:12" x14ac:dyDescent="0.3">
      <c r="A1423" s="22" t="s">
        <v>3232</v>
      </c>
      <c r="B1423" s="34" cm="1">
        <f t="array" ref="B1423:C1423">_xlfn.XLOOKUP(A1423,Sales_Fact!A1423:A3407,Sales_Fact!B1423:C3407)</f>
        <v>45830</v>
      </c>
      <c r="C1423" s="22" t="str">
        <v>CUST1174</v>
      </c>
      <c r="D1423" s="22" t="str">
        <f>VLOOKUP('Combine Products &amp; Sales Facts'!C1423,'Customer Details'!A:B,2,0)</f>
        <v>Maria Davis</v>
      </c>
      <c r="E1423" s="22" t="str">
        <f>VLOOKUP(C1423,Sales_Fact!C:D,2,0)</f>
        <v>PROD86</v>
      </c>
      <c r="F1423" s="22" t="str">
        <f>VLOOKUP(E1423,Product_Dim!A:C,3,0)</f>
        <v>Home</v>
      </c>
      <c r="G1423" s="22" t="str" cm="1">
        <f t="array" ref="G1423:L1423">_xlfn.XLOOKUP(C1423,Sales_Fact!C1423:C3407,Sales_Fact!E1423:J3407)</f>
        <v>STORE10</v>
      </c>
      <c r="H1423" s="22">
        <v>2</v>
      </c>
      <c r="I1423" s="22">
        <v>611.25</v>
      </c>
      <c r="J1423" s="22">
        <v>0.22</v>
      </c>
      <c r="K1423" s="22" t="str">
        <v>Credit Card</v>
      </c>
      <c r="L1423" s="22">
        <v>953.55000000000007</v>
      </c>
    </row>
    <row r="1424" spans="1:12" x14ac:dyDescent="0.3">
      <c r="A1424" s="22" t="s">
        <v>3233</v>
      </c>
      <c r="B1424" s="34" cm="1">
        <f t="array" ref="B1424:C1424">_xlfn.XLOOKUP(A1424,Sales_Fact!A1424:A3408,Sales_Fact!B1424:C3408)</f>
        <v>45756</v>
      </c>
      <c r="C1424" s="22" t="str">
        <v>CUST1461</v>
      </c>
      <c r="D1424" s="22" t="str">
        <f>VLOOKUP('Combine Products &amp; Sales Facts'!C1424,'Customer Details'!A:B,2,0)</f>
        <v>Paul Cox</v>
      </c>
      <c r="E1424" s="22" t="str">
        <f>VLOOKUP(C1424,Sales_Fact!C:D,2,0)</f>
        <v>PROD65</v>
      </c>
      <c r="F1424" s="22" t="str">
        <f>VLOOKUP(E1424,Product_Dim!A:C,3,0)</f>
        <v>Sports</v>
      </c>
      <c r="G1424" s="22" t="str" cm="1">
        <f t="array" ref="G1424:L1424">_xlfn.XLOOKUP(C1424,Sales_Fact!C1424:C3408,Sales_Fact!E1424:J3408)</f>
        <v>STORE1</v>
      </c>
      <c r="H1424" s="22">
        <v>1</v>
      </c>
      <c r="I1424" s="22">
        <v>209.93</v>
      </c>
      <c r="J1424" s="22">
        <v>0.21</v>
      </c>
      <c r="K1424" s="22" t="str">
        <v>Credit Card</v>
      </c>
      <c r="L1424" s="22">
        <v>165.84469999999999</v>
      </c>
    </row>
    <row r="1425" spans="1:12" x14ac:dyDescent="0.3">
      <c r="A1425" s="22" t="s">
        <v>3234</v>
      </c>
      <c r="B1425" s="34" cm="1">
        <f t="array" ref="B1425:C1425">_xlfn.XLOOKUP(A1425,Sales_Fact!A1425:A3409,Sales_Fact!B1425:C3409)</f>
        <v>45847</v>
      </c>
      <c r="C1425" s="22" t="str">
        <v>CUST1110</v>
      </c>
      <c r="D1425" s="22" t="str">
        <f>VLOOKUP('Combine Products &amp; Sales Facts'!C1425,'Customer Details'!A:B,2,0)</f>
        <v>Ashley Griffin</v>
      </c>
      <c r="E1425" s="22" t="str">
        <f>VLOOKUP(C1425,Sales_Fact!C:D,2,0)</f>
        <v>PROD8</v>
      </c>
      <c r="F1425" s="22" t="str">
        <f>VLOOKUP(E1425,Product_Dim!A:C,3,0)</f>
        <v>Electronics</v>
      </c>
      <c r="G1425" s="22" t="str" cm="1">
        <f t="array" ref="G1425:L1425">_xlfn.XLOOKUP(C1425,Sales_Fact!C1425:C3409,Sales_Fact!E1425:J3409)</f>
        <v>STORE10</v>
      </c>
      <c r="H1425" s="22">
        <v>3</v>
      </c>
      <c r="I1425" s="22">
        <v>130.38999999999999</v>
      </c>
      <c r="J1425" s="22">
        <v>0.24</v>
      </c>
      <c r="K1425" s="22" t="str">
        <v>PayPal</v>
      </c>
      <c r="L1425" s="22">
        <v>297.28919999999999</v>
      </c>
    </row>
    <row r="1426" spans="1:12" x14ac:dyDescent="0.3">
      <c r="A1426" s="22" t="s">
        <v>3235</v>
      </c>
      <c r="B1426" s="34" cm="1">
        <f t="array" ref="B1426:C1426">_xlfn.XLOOKUP(A1426,Sales_Fact!A1426:A3410,Sales_Fact!B1426:C3410)</f>
        <v>45322</v>
      </c>
      <c r="C1426" s="22" t="str">
        <v>CUST1291</v>
      </c>
      <c r="D1426" s="22" t="str">
        <f>VLOOKUP('Combine Products &amp; Sales Facts'!C1426,'Customer Details'!A:B,2,0)</f>
        <v>James Powell</v>
      </c>
      <c r="E1426" s="22" t="str">
        <f>VLOOKUP(C1426,Sales_Fact!C:D,2,0)</f>
        <v>PROD93</v>
      </c>
      <c r="F1426" s="22" t="str">
        <f>VLOOKUP(E1426,Product_Dim!A:C,3,0)</f>
        <v>Electronics</v>
      </c>
      <c r="G1426" s="22" t="str" cm="1">
        <f t="array" ref="G1426:L1426">_xlfn.XLOOKUP(C1426,Sales_Fact!C1426:C3410,Sales_Fact!E1426:J3410)</f>
        <v>STORE7</v>
      </c>
      <c r="H1426" s="22">
        <v>2</v>
      </c>
      <c r="I1426" s="22">
        <v>846.18</v>
      </c>
      <c r="J1426" s="22">
        <v>0.1</v>
      </c>
      <c r="K1426" s="22" t="str">
        <v>COD</v>
      </c>
      <c r="L1426" s="22">
        <v>1523.124</v>
      </c>
    </row>
    <row r="1427" spans="1:12" x14ac:dyDescent="0.3">
      <c r="A1427" s="22" t="s">
        <v>3236</v>
      </c>
      <c r="B1427" s="34" cm="1">
        <f t="array" ref="B1427:C1427">_xlfn.XLOOKUP(A1427,Sales_Fact!A1427:A3411,Sales_Fact!B1427:C3411)</f>
        <v>45829</v>
      </c>
      <c r="C1427" s="22" t="str">
        <v>CUST1354</v>
      </c>
      <c r="D1427" s="22" t="str">
        <f>VLOOKUP('Combine Products &amp; Sales Facts'!C1427,'Customer Details'!A:B,2,0)</f>
        <v>Ryan Torres</v>
      </c>
      <c r="E1427" s="22" t="str">
        <f>VLOOKUP(C1427,Sales_Fact!C:D,2,0)</f>
        <v>PROD61</v>
      </c>
      <c r="F1427" s="22" t="str">
        <f>VLOOKUP(E1427,Product_Dim!A:C,3,0)</f>
        <v>Sports</v>
      </c>
      <c r="G1427" s="22" t="str" cm="1">
        <f t="array" ref="G1427:L1427">_xlfn.XLOOKUP(C1427,Sales_Fact!C1427:C3411,Sales_Fact!E1427:J3411)</f>
        <v>STORE14</v>
      </c>
      <c r="H1427" s="22">
        <v>2</v>
      </c>
      <c r="I1427" s="22">
        <v>424.53</v>
      </c>
      <c r="J1427" s="22">
        <v>0.14000000000000001</v>
      </c>
      <c r="K1427" s="22" t="str">
        <v>COD</v>
      </c>
      <c r="L1427" s="22">
        <v>730.19159999999999</v>
      </c>
    </row>
    <row r="1428" spans="1:12" x14ac:dyDescent="0.3">
      <c r="A1428" s="22" t="s">
        <v>3237</v>
      </c>
      <c r="B1428" s="34" cm="1">
        <f t="array" ref="B1428:C1428">_xlfn.XLOOKUP(A1428,Sales_Fact!A1428:A3412,Sales_Fact!B1428:C3412)</f>
        <v>45539</v>
      </c>
      <c r="C1428" s="22" t="str">
        <v>CUST1258</v>
      </c>
      <c r="D1428" s="22" t="str">
        <f>VLOOKUP('Combine Products &amp; Sales Facts'!C1428,'Customer Details'!A:B,2,0)</f>
        <v>Sarah Stewart</v>
      </c>
      <c r="E1428" s="22" t="str">
        <f>VLOOKUP(C1428,Sales_Fact!C:D,2,0)</f>
        <v>PROD88</v>
      </c>
      <c r="F1428" s="22" t="str">
        <f>VLOOKUP(E1428,Product_Dim!A:C,3,0)</f>
        <v>Sports</v>
      </c>
      <c r="G1428" s="22" t="str" cm="1">
        <f t="array" ref="G1428:L1428">_xlfn.XLOOKUP(C1428,Sales_Fact!C1428:C3412,Sales_Fact!E1428:J3412)</f>
        <v>STORE14</v>
      </c>
      <c r="H1428" s="22">
        <v>4</v>
      </c>
      <c r="I1428" s="22">
        <v>450.42</v>
      </c>
      <c r="J1428" s="22">
        <v>0.08</v>
      </c>
      <c r="K1428" s="22" t="str">
        <v>COD</v>
      </c>
      <c r="L1428" s="22">
        <v>1657.5455999999999</v>
      </c>
    </row>
    <row r="1429" spans="1:12" x14ac:dyDescent="0.3">
      <c r="A1429" s="22" t="s">
        <v>3238</v>
      </c>
      <c r="B1429" s="34" cm="1">
        <f t="array" ref="B1429:C1429">_xlfn.XLOOKUP(A1429,Sales_Fact!A1429:A3413,Sales_Fact!B1429:C3413)</f>
        <v>45893</v>
      </c>
      <c r="C1429" s="22" t="str">
        <v>CUST1156</v>
      </c>
      <c r="D1429" s="22" t="str">
        <f>VLOOKUP('Combine Products &amp; Sales Facts'!C1429,'Customer Details'!A:B,2,0)</f>
        <v>Maria Sanchez</v>
      </c>
      <c r="E1429" s="22" t="str">
        <f>VLOOKUP(C1429,Sales_Fact!C:D,2,0)</f>
        <v>PROD49</v>
      </c>
      <c r="F1429" s="22" t="str">
        <f>VLOOKUP(E1429,Product_Dim!A:C,3,0)</f>
        <v>Beauty</v>
      </c>
      <c r="G1429" s="22" t="str" cm="1">
        <f t="array" ref="G1429:L1429">_xlfn.XLOOKUP(C1429,Sales_Fact!C1429:C3413,Sales_Fact!E1429:J3413)</f>
        <v>STORE9</v>
      </c>
      <c r="H1429" s="22">
        <v>4</v>
      </c>
      <c r="I1429" s="22">
        <v>896.91</v>
      </c>
      <c r="J1429" s="22">
        <v>0.1</v>
      </c>
      <c r="K1429" s="22" t="str">
        <v>Credit Card</v>
      </c>
      <c r="L1429" s="22">
        <v>3228.8760000000002</v>
      </c>
    </row>
    <row r="1430" spans="1:12" x14ac:dyDescent="0.3">
      <c r="A1430" s="22" t="s">
        <v>3239</v>
      </c>
      <c r="B1430" s="34" cm="1">
        <f t="array" ref="B1430:C1430">_xlfn.XLOOKUP(A1430,Sales_Fact!A1430:A3414,Sales_Fact!B1430:C3414)</f>
        <v>45814</v>
      </c>
      <c r="C1430" s="22" t="str">
        <v>CUST1485</v>
      </c>
      <c r="D1430" s="22" t="str">
        <f>VLOOKUP('Combine Products &amp; Sales Facts'!C1430,'Customer Details'!A:B,2,0)</f>
        <v>Sara Ingram</v>
      </c>
      <c r="E1430" s="22" t="str">
        <f>VLOOKUP(C1430,Sales_Fact!C:D,2,0)</f>
        <v>PROD26</v>
      </c>
      <c r="F1430" s="22" t="str">
        <f>VLOOKUP(E1430,Product_Dim!A:C,3,0)</f>
        <v>Electronics</v>
      </c>
      <c r="G1430" s="22" t="str" cm="1">
        <f t="array" ref="G1430:L1430">_xlfn.XLOOKUP(C1430,Sales_Fact!C1430:C3414,Sales_Fact!E1430:J3414)</f>
        <v>STORE10</v>
      </c>
      <c r="H1430" s="22">
        <v>3</v>
      </c>
      <c r="I1430" s="22">
        <v>679.38</v>
      </c>
      <c r="J1430" s="22">
        <v>0.3</v>
      </c>
      <c r="K1430" s="22" t="str">
        <v>COD</v>
      </c>
      <c r="L1430" s="22">
        <v>1426.6980000000001</v>
      </c>
    </row>
    <row r="1431" spans="1:12" x14ac:dyDescent="0.3">
      <c r="A1431" s="22" t="s">
        <v>3240</v>
      </c>
      <c r="B1431" s="34" cm="1">
        <f t="array" ref="B1431:C1431">_xlfn.XLOOKUP(A1431,Sales_Fact!A1431:A3415,Sales_Fact!B1431:C3415)</f>
        <v>45571</v>
      </c>
      <c r="C1431" s="22" t="str">
        <v>CUST1016</v>
      </c>
      <c r="D1431" s="22" t="str">
        <f>VLOOKUP('Combine Products &amp; Sales Facts'!C1431,'Customer Details'!A:B,2,0)</f>
        <v>John Scott</v>
      </c>
      <c r="E1431" s="22" t="str">
        <f>VLOOKUP(C1431,Sales_Fact!C:D,2,0)</f>
        <v>PROD56</v>
      </c>
      <c r="F1431" s="22" t="str">
        <f>VLOOKUP(E1431,Product_Dim!A:C,3,0)</f>
        <v>Home</v>
      </c>
      <c r="G1431" s="22" t="str" cm="1">
        <f t="array" ref="G1431:L1431">_xlfn.XLOOKUP(C1431,Sales_Fact!C1431:C3415,Sales_Fact!E1431:J3415)</f>
        <v>STORE16</v>
      </c>
      <c r="H1431" s="22">
        <v>3</v>
      </c>
      <c r="I1431" s="22">
        <v>483.63</v>
      </c>
      <c r="J1431" s="22">
        <v>0</v>
      </c>
      <c r="K1431" s="22" t="str">
        <v>Credit Card</v>
      </c>
      <c r="L1431" s="22">
        <v>1450.89</v>
      </c>
    </row>
    <row r="1432" spans="1:12" x14ac:dyDescent="0.3">
      <c r="A1432" s="22" t="s">
        <v>3241</v>
      </c>
      <c r="B1432" s="34" cm="1">
        <f t="array" ref="B1432:C1432">_xlfn.XLOOKUP(A1432,Sales_Fact!A1432:A3416,Sales_Fact!B1432:C3416)</f>
        <v>45542</v>
      </c>
      <c r="C1432" s="22" t="str">
        <v>CUST1030</v>
      </c>
      <c r="D1432" s="22" t="str">
        <f>VLOOKUP('Combine Products &amp; Sales Facts'!C1432,'Customer Details'!A:B,2,0)</f>
        <v>Jessica Acevedo</v>
      </c>
      <c r="E1432" s="22" t="str">
        <f>VLOOKUP(C1432,Sales_Fact!C:D,2,0)</f>
        <v>PROD35</v>
      </c>
      <c r="F1432" s="22" t="str">
        <f>VLOOKUP(E1432,Product_Dim!A:C,3,0)</f>
        <v>Home</v>
      </c>
      <c r="G1432" s="22" t="str" cm="1">
        <f t="array" ref="G1432:L1432">_xlfn.XLOOKUP(C1432,Sales_Fact!C1432:C3416,Sales_Fact!E1432:J3416)</f>
        <v>STORE0</v>
      </c>
      <c r="H1432" s="22">
        <v>3</v>
      </c>
      <c r="I1432" s="22">
        <v>158.27000000000001</v>
      </c>
      <c r="J1432" s="22">
        <v>0.24</v>
      </c>
      <c r="K1432" s="22" t="str">
        <v>COD</v>
      </c>
      <c r="L1432" s="22">
        <v>360.85559999999998</v>
      </c>
    </row>
    <row r="1433" spans="1:12" x14ac:dyDescent="0.3">
      <c r="A1433" s="22" t="s">
        <v>3242</v>
      </c>
      <c r="B1433" s="34" cm="1">
        <f t="array" ref="B1433:C1433">_xlfn.XLOOKUP(A1433,Sales_Fact!A1433:A3417,Sales_Fact!B1433:C3417)</f>
        <v>45758</v>
      </c>
      <c r="C1433" s="22" t="str">
        <v>CUST1115</v>
      </c>
      <c r="D1433" s="22" t="str">
        <f>VLOOKUP('Combine Products &amp; Sales Facts'!C1433,'Customer Details'!A:B,2,0)</f>
        <v>Tyler Conrad</v>
      </c>
      <c r="E1433" s="22" t="str">
        <f>VLOOKUP(C1433,Sales_Fact!C:D,2,0)</f>
        <v>PROD21</v>
      </c>
      <c r="F1433" s="22" t="str">
        <f>VLOOKUP(E1433,Product_Dim!A:C,3,0)</f>
        <v>Home</v>
      </c>
      <c r="G1433" s="22" t="str" cm="1">
        <f t="array" ref="G1433:L1433">_xlfn.XLOOKUP(C1433,Sales_Fact!C1433:C3417,Sales_Fact!E1433:J3417)</f>
        <v>STORE15</v>
      </c>
      <c r="H1433" s="22">
        <v>4</v>
      </c>
      <c r="I1433" s="22">
        <v>601.5</v>
      </c>
      <c r="J1433" s="22">
        <v>0.18</v>
      </c>
      <c r="K1433" s="22" t="str">
        <v>Credit Card</v>
      </c>
      <c r="L1433" s="22">
        <v>1972.92</v>
      </c>
    </row>
    <row r="1434" spans="1:12" x14ac:dyDescent="0.3">
      <c r="A1434" s="22" t="s">
        <v>3243</v>
      </c>
      <c r="B1434" s="34" cm="1">
        <f t="array" ref="B1434:C1434">_xlfn.XLOOKUP(A1434,Sales_Fact!A1434:A3418,Sales_Fact!B1434:C3418)</f>
        <v>45709</v>
      </c>
      <c r="C1434" s="22" t="str">
        <v>CUST1069</v>
      </c>
      <c r="D1434" s="22" t="str">
        <f>VLOOKUP('Combine Products &amp; Sales Facts'!C1434,'Customer Details'!A:B,2,0)</f>
        <v>Roy Cole</v>
      </c>
      <c r="E1434" s="22" t="str">
        <f>VLOOKUP(C1434,Sales_Fact!C:D,2,0)</f>
        <v>PROD73</v>
      </c>
      <c r="F1434" s="22" t="str">
        <f>VLOOKUP(E1434,Product_Dim!A:C,3,0)</f>
        <v>Sports</v>
      </c>
      <c r="G1434" s="22" t="str" cm="1">
        <f t="array" ref="G1434:L1434">_xlfn.XLOOKUP(C1434,Sales_Fact!C1434:C3418,Sales_Fact!E1434:J3418)</f>
        <v>STORE18</v>
      </c>
      <c r="H1434" s="22">
        <v>2</v>
      </c>
      <c r="I1434" s="22">
        <v>46.39</v>
      </c>
      <c r="J1434" s="22">
        <v>7.0000000000000007E-2</v>
      </c>
      <c r="K1434" s="22" t="str">
        <v>Credit Card</v>
      </c>
      <c r="L1434" s="22">
        <v>86.285399999999996</v>
      </c>
    </row>
    <row r="1435" spans="1:12" x14ac:dyDescent="0.3">
      <c r="A1435" s="22" t="s">
        <v>3244</v>
      </c>
      <c r="B1435" s="34" cm="1">
        <f t="array" ref="B1435:C1435">_xlfn.XLOOKUP(A1435,Sales_Fact!A1435:A3419,Sales_Fact!B1435:C3419)</f>
        <v>45587</v>
      </c>
      <c r="C1435" s="22" t="str">
        <v>CUST1119</v>
      </c>
      <c r="D1435" s="22" t="str">
        <f>VLOOKUP('Combine Products &amp; Sales Facts'!C1435,'Customer Details'!A:B,2,0)</f>
        <v>Michael Jones</v>
      </c>
      <c r="E1435" s="22" t="str">
        <f>VLOOKUP(C1435,Sales_Fact!C:D,2,0)</f>
        <v>PROD90</v>
      </c>
      <c r="F1435" s="22" t="str">
        <f>VLOOKUP(E1435,Product_Dim!A:C,3,0)</f>
        <v>Electronics</v>
      </c>
      <c r="G1435" s="22" t="str" cm="1">
        <f t="array" ref="G1435:L1435">_xlfn.XLOOKUP(C1435,Sales_Fact!C1435:C3419,Sales_Fact!E1435:J3419)</f>
        <v>STORE8</v>
      </c>
      <c r="H1435" s="22">
        <v>4</v>
      </c>
      <c r="I1435" s="22">
        <v>892.28</v>
      </c>
      <c r="J1435" s="22">
        <v>0.23</v>
      </c>
      <c r="K1435" s="22" t="str">
        <v>Credit Card</v>
      </c>
      <c r="L1435" s="22">
        <v>2748.2224000000001</v>
      </c>
    </row>
    <row r="1436" spans="1:12" x14ac:dyDescent="0.3">
      <c r="A1436" s="22" t="s">
        <v>3245</v>
      </c>
      <c r="B1436" s="34" cm="1">
        <f t="array" ref="B1436:C1436">_xlfn.XLOOKUP(A1436,Sales_Fact!A1436:A3420,Sales_Fact!B1436:C3420)</f>
        <v>45494</v>
      </c>
      <c r="C1436" s="22" t="str">
        <v>CUST1221</v>
      </c>
      <c r="D1436" s="22" t="str">
        <f>VLOOKUP('Combine Products &amp; Sales Facts'!C1436,'Customer Details'!A:B,2,0)</f>
        <v>Lisa Young</v>
      </c>
      <c r="E1436" s="22" t="str">
        <f>VLOOKUP(C1436,Sales_Fact!C:D,2,0)</f>
        <v>PROD83</v>
      </c>
      <c r="F1436" s="22" t="str">
        <f>VLOOKUP(E1436,Product_Dim!A:C,3,0)</f>
        <v>Beauty</v>
      </c>
      <c r="G1436" s="22" t="str" cm="1">
        <f t="array" ref="G1436:L1436">_xlfn.XLOOKUP(C1436,Sales_Fact!C1436:C3420,Sales_Fact!E1436:J3420)</f>
        <v>STORE7</v>
      </c>
      <c r="H1436" s="22">
        <v>2</v>
      </c>
      <c r="I1436" s="22">
        <v>164.23</v>
      </c>
      <c r="J1436" s="22">
        <v>0.17</v>
      </c>
      <c r="K1436" s="22" t="str">
        <v>Credit Card</v>
      </c>
      <c r="L1436" s="22">
        <v>272.62180000000001</v>
      </c>
    </row>
    <row r="1437" spans="1:12" x14ac:dyDescent="0.3">
      <c r="A1437" s="22" t="s">
        <v>3246</v>
      </c>
      <c r="B1437" s="34" cm="1">
        <f t="array" ref="B1437:C1437">_xlfn.XLOOKUP(A1437,Sales_Fact!A1437:A3421,Sales_Fact!B1437:C3421)</f>
        <v>45305</v>
      </c>
      <c r="C1437" s="22" t="str">
        <v>CUST1452</v>
      </c>
      <c r="D1437" s="22" t="str">
        <f>VLOOKUP('Combine Products &amp; Sales Facts'!C1437,'Customer Details'!A:B,2,0)</f>
        <v>Jeffery Wolf</v>
      </c>
      <c r="E1437" s="22" t="str">
        <f>VLOOKUP(C1437,Sales_Fact!C:D,2,0)</f>
        <v>PROD59</v>
      </c>
      <c r="F1437" s="22" t="str">
        <f>VLOOKUP(E1437,Product_Dim!A:C,3,0)</f>
        <v>Beauty</v>
      </c>
      <c r="G1437" s="22" t="str" cm="1">
        <f t="array" ref="G1437:L1437">_xlfn.XLOOKUP(C1437,Sales_Fact!C1437:C3421,Sales_Fact!E1437:J3421)</f>
        <v>STORE7</v>
      </c>
      <c r="H1437" s="22">
        <v>1</v>
      </c>
      <c r="I1437" s="22">
        <v>484.23</v>
      </c>
      <c r="J1437" s="22">
        <v>0.12</v>
      </c>
      <c r="K1437" s="22" t="str">
        <v>COD</v>
      </c>
      <c r="L1437" s="22">
        <v>426.12240000000003</v>
      </c>
    </row>
    <row r="1438" spans="1:12" x14ac:dyDescent="0.3">
      <c r="A1438" s="22" t="s">
        <v>3247</v>
      </c>
      <c r="B1438" s="34" cm="1">
        <f t="array" ref="B1438:C1438">_xlfn.XLOOKUP(A1438,Sales_Fact!A1438:A3422,Sales_Fact!B1438:C3422)</f>
        <v>45383</v>
      </c>
      <c r="C1438" s="22" t="str">
        <v>CUST1005</v>
      </c>
      <c r="D1438" s="22" t="str">
        <f>VLOOKUP('Combine Products &amp; Sales Facts'!C1438,'Customer Details'!A:B,2,0)</f>
        <v>Christine Vaughn</v>
      </c>
      <c r="E1438" s="22" t="str">
        <f>VLOOKUP(C1438,Sales_Fact!C:D,2,0)</f>
        <v>PROD61</v>
      </c>
      <c r="F1438" s="22" t="str">
        <f>VLOOKUP(E1438,Product_Dim!A:C,3,0)</f>
        <v>Sports</v>
      </c>
      <c r="G1438" s="22" t="str" cm="1">
        <f t="array" ref="G1438:L1438">_xlfn.XLOOKUP(C1438,Sales_Fact!C1438:C3422,Sales_Fact!E1438:J3422)</f>
        <v>STORE18</v>
      </c>
      <c r="H1438" s="22">
        <v>3</v>
      </c>
      <c r="I1438" s="22">
        <v>341.51</v>
      </c>
      <c r="J1438" s="22">
        <v>0.22</v>
      </c>
      <c r="K1438" s="22" t="str">
        <v>COD</v>
      </c>
      <c r="L1438" s="22">
        <v>799.13340000000005</v>
      </c>
    </row>
    <row r="1439" spans="1:12" x14ac:dyDescent="0.3">
      <c r="A1439" s="22" t="s">
        <v>3248</v>
      </c>
      <c r="B1439" s="34" cm="1">
        <f t="array" ref="B1439:C1439">_xlfn.XLOOKUP(A1439,Sales_Fact!A1439:A3423,Sales_Fact!B1439:C3423)</f>
        <v>45788</v>
      </c>
      <c r="C1439" s="22" t="str">
        <v>CUST1109</v>
      </c>
      <c r="D1439" s="22" t="str">
        <f>VLOOKUP('Combine Products &amp; Sales Facts'!C1439,'Customer Details'!A:B,2,0)</f>
        <v>Amy Walker</v>
      </c>
      <c r="E1439" s="22" t="str">
        <f>VLOOKUP(C1439,Sales_Fact!C:D,2,0)</f>
        <v>PROD34</v>
      </c>
      <c r="F1439" s="22" t="str">
        <f>VLOOKUP(E1439,Product_Dim!A:C,3,0)</f>
        <v>Electronics</v>
      </c>
      <c r="G1439" s="22" t="str" cm="1">
        <f t="array" ref="G1439:L1439">_xlfn.XLOOKUP(C1439,Sales_Fact!C1439:C3423,Sales_Fact!E1439:J3423)</f>
        <v>STORE13</v>
      </c>
      <c r="H1439" s="22">
        <v>3</v>
      </c>
      <c r="I1439" s="22">
        <v>758.87</v>
      </c>
      <c r="J1439" s="22">
        <v>0.11</v>
      </c>
      <c r="K1439" s="22" t="str">
        <v>PayPal</v>
      </c>
      <c r="L1439" s="22">
        <v>2026.1829</v>
      </c>
    </row>
    <row r="1440" spans="1:12" x14ac:dyDescent="0.3">
      <c r="A1440" s="22" t="s">
        <v>3249</v>
      </c>
      <c r="B1440" s="34" cm="1">
        <f t="array" ref="B1440:C1440">_xlfn.XLOOKUP(A1440,Sales_Fact!A1440:A3424,Sales_Fact!B1440:C3424)</f>
        <v>45855</v>
      </c>
      <c r="C1440" s="22" t="str">
        <v>CUST1470</v>
      </c>
      <c r="D1440" s="22" t="str">
        <f>VLOOKUP('Combine Products &amp; Sales Facts'!C1440,'Customer Details'!A:B,2,0)</f>
        <v>Manuel Fisher</v>
      </c>
      <c r="E1440" s="22" t="str">
        <f>VLOOKUP(C1440,Sales_Fact!C:D,2,0)</f>
        <v>PROD59</v>
      </c>
      <c r="F1440" s="22" t="str">
        <f>VLOOKUP(E1440,Product_Dim!A:C,3,0)</f>
        <v>Beauty</v>
      </c>
      <c r="G1440" s="22" t="str" cm="1">
        <f t="array" ref="G1440:L1440">_xlfn.XLOOKUP(C1440,Sales_Fact!C1440:C3424,Sales_Fact!E1440:J3424)</f>
        <v>STORE12</v>
      </c>
      <c r="H1440" s="22">
        <v>3</v>
      </c>
      <c r="I1440" s="22">
        <v>560.52</v>
      </c>
      <c r="J1440" s="22">
        <v>0.17</v>
      </c>
      <c r="K1440" s="22" t="str">
        <v>Credit Card</v>
      </c>
      <c r="L1440" s="22">
        <v>1395.6948</v>
      </c>
    </row>
    <row r="1441" spans="1:12" x14ac:dyDescent="0.3">
      <c r="A1441" s="22" t="s">
        <v>3250</v>
      </c>
      <c r="B1441" s="34" cm="1">
        <f t="array" ref="B1441:C1441">_xlfn.XLOOKUP(A1441,Sales_Fact!A1441:A3425,Sales_Fact!B1441:C3425)</f>
        <v>45533</v>
      </c>
      <c r="C1441" s="22" t="str">
        <v>CUST1351</v>
      </c>
      <c r="D1441" s="22" t="str">
        <f>VLOOKUP('Combine Products &amp; Sales Facts'!C1441,'Customer Details'!A:B,2,0)</f>
        <v>Jeffrey Mccarthy</v>
      </c>
      <c r="E1441" s="22" t="str">
        <f>VLOOKUP(C1441,Sales_Fact!C:D,2,0)</f>
        <v>PROD26</v>
      </c>
      <c r="F1441" s="22" t="str">
        <f>VLOOKUP(E1441,Product_Dim!A:C,3,0)</f>
        <v>Electronics</v>
      </c>
      <c r="G1441" s="22" t="str" cm="1">
        <f t="array" ref="G1441:L1441">_xlfn.XLOOKUP(C1441,Sales_Fact!C1441:C3425,Sales_Fact!E1441:J3425)</f>
        <v>STORE17</v>
      </c>
      <c r="H1441" s="22">
        <v>2</v>
      </c>
      <c r="I1441" s="22">
        <v>977.18</v>
      </c>
      <c r="J1441" s="22">
        <v>0.19</v>
      </c>
      <c r="K1441" s="22" t="str">
        <v>Credit Card</v>
      </c>
      <c r="L1441" s="22">
        <v>1583.0316</v>
      </c>
    </row>
    <row r="1442" spans="1:12" x14ac:dyDescent="0.3">
      <c r="A1442" s="22" t="s">
        <v>3251</v>
      </c>
      <c r="B1442" s="34" cm="1">
        <f t="array" ref="B1442:C1442">_xlfn.XLOOKUP(A1442,Sales_Fact!A1442:A3426,Sales_Fact!B1442:C3426)</f>
        <v>45763</v>
      </c>
      <c r="C1442" s="22" t="str">
        <v>CUST1236</v>
      </c>
      <c r="D1442" s="22" t="str">
        <f>VLOOKUP('Combine Products &amp; Sales Facts'!C1442,'Customer Details'!A:B,2,0)</f>
        <v>Joshua Wilson</v>
      </c>
      <c r="E1442" s="22" t="str">
        <f>VLOOKUP(C1442,Sales_Fact!C:D,2,0)</f>
        <v>PROD16</v>
      </c>
      <c r="F1442" s="22" t="str">
        <f>VLOOKUP(E1442,Product_Dim!A:C,3,0)</f>
        <v>Beauty</v>
      </c>
      <c r="G1442" s="22" t="str" cm="1">
        <f t="array" ref="G1442:L1442">_xlfn.XLOOKUP(C1442,Sales_Fact!C1442:C3426,Sales_Fact!E1442:J3426)</f>
        <v>STORE14</v>
      </c>
      <c r="H1442" s="22">
        <v>4</v>
      </c>
      <c r="I1442" s="22">
        <v>761.35</v>
      </c>
      <c r="J1442" s="22">
        <v>0.08</v>
      </c>
      <c r="K1442" s="22" t="str">
        <v>Credit Card</v>
      </c>
      <c r="L1442" s="22">
        <v>2801.768</v>
      </c>
    </row>
    <row r="1443" spans="1:12" x14ac:dyDescent="0.3">
      <c r="A1443" s="22" t="s">
        <v>3252</v>
      </c>
      <c r="B1443" s="34" cm="1">
        <f t="array" ref="B1443:C1443">_xlfn.XLOOKUP(A1443,Sales_Fact!A1443:A3427,Sales_Fact!B1443:C3427)</f>
        <v>45900</v>
      </c>
      <c r="C1443" s="22" t="str">
        <v>CUST1179</v>
      </c>
      <c r="D1443" s="22" t="str">
        <f>VLOOKUP('Combine Products &amp; Sales Facts'!C1443,'Customer Details'!A:B,2,0)</f>
        <v>Nicholas Bradshaw</v>
      </c>
      <c r="E1443" s="22" t="str">
        <f>VLOOKUP(C1443,Sales_Fact!C:D,2,0)</f>
        <v>PROD34</v>
      </c>
      <c r="F1443" s="22" t="str">
        <f>VLOOKUP(E1443,Product_Dim!A:C,3,0)</f>
        <v>Electronics</v>
      </c>
      <c r="G1443" s="22" t="str" cm="1">
        <f t="array" ref="G1443:L1443">_xlfn.XLOOKUP(C1443,Sales_Fact!C1443:C3427,Sales_Fact!E1443:J3427)</f>
        <v>STORE18</v>
      </c>
      <c r="H1443" s="22">
        <v>2</v>
      </c>
      <c r="I1443" s="22">
        <v>947.56</v>
      </c>
      <c r="J1443" s="22">
        <v>0.02</v>
      </c>
      <c r="K1443" s="22" t="str">
        <v>COD</v>
      </c>
      <c r="L1443" s="22">
        <v>1857.2175999999999</v>
      </c>
    </row>
    <row r="1444" spans="1:12" x14ac:dyDescent="0.3">
      <c r="A1444" s="22" t="s">
        <v>3253</v>
      </c>
      <c r="B1444" s="34" cm="1">
        <f t="array" ref="B1444:C1444">_xlfn.XLOOKUP(A1444,Sales_Fact!A1444:A3428,Sales_Fact!B1444:C3428)</f>
        <v>45943</v>
      </c>
      <c r="C1444" s="22" t="str">
        <v>CUST1238</v>
      </c>
      <c r="D1444" s="22" t="str">
        <f>VLOOKUP('Combine Products &amp; Sales Facts'!C1444,'Customer Details'!A:B,2,0)</f>
        <v>Steven Smith</v>
      </c>
      <c r="E1444" s="22" t="str">
        <f>VLOOKUP(C1444,Sales_Fact!C:D,2,0)</f>
        <v>PROD43</v>
      </c>
      <c r="F1444" s="22" t="str">
        <f>VLOOKUP(E1444,Product_Dim!A:C,3,0)</f>
        <v>Electronics</v>
      </c>
      <c r="G1444" s="22" t="str" cm="1">
        <f t="array" ref="G1444:L1444">_xlfn.XLOOKUP(C1444,Sales_Fact!C1444:C3428,Sales_Fact!E1444:J3428)</f>
        <v>STORE18</v>
      </c>
      <c r="H1444" s="22">
        <v>4</v>
      </c>
      <c r="I1444" s="22">
        <v>975.47</v>
      </c>
      <c r="J1444" s="22">
        <v>0.04</v>
      </c>
      <c r="K1444" s="22" t="str">
        <v>Credit Card</v>
      </c>
      <c r="L1444" s="22">
        <v>3745.8047999999999</v>
      </c>
    </row>
    <row r="1445" spans="1:12" x14ac:dyDescent="0.3">
      <c r="A1445" s="22" t="s">
        <v>3254</v>
      </c>
      <c r="B1445" s="34" cm="1">
        <f t="array" ref="B1445:C1445">_xlfn.XLOOKUP(A1445,Sales_Fact!A1445:A3429,Sales_Fact!B1445:C3429)</f>
        <v>45448</v>
      </c>
      <c r="C1445" s="22" t="str">
        <v>CUST1477</v>
      </c>
      <c r="D1445" s="22" t="str">
        <f>VLOOKUP('Combine Products &amp; Sales Facts'!C1445,'Customer Details'!A:B,2,0)</f>
        <v>Andrea Harris</v>
      </c>
      <c r="E1445" s="22" t="str">
        <f>VLOOKUP(C1445,Sales_Fact!C:D,2,0)</f>
        <v>PROD76</v>
      </c>
      <c r="F1445" s="22" t="str">
        <f>VLOOKUP(E1445,Product_Dim!A:C,3,0)</f>
        <v>Electronics</v>
      </c>
      <c r="G1445" s="22" t="str" cm="1">
        <f t="array" ref="G1445:L1445">_xlfn.XLOOKUP(C1445,Sales_Fact!C1445:C3429,Sales_Fact!E1445:J3429)</f>
        <v>STORE9</v>
      </c>
      <c r="H1445" s="22">
        <v>3</v>
      </c>
      <c r="I1445" s="22">
        <v>769.06</v>
      </c>
      <c r="J1445" s="22">
        <v>0.23</v>
      </c>
      <c r="K1445" s="22" t="str">
        <v>COD</v>
      </c>
      <c r="L1445" s="22">
        <v>1776.5286000000001</v>
      </c>
    </row>
    <row r="1446" spans="1:12" x14ac:dyDescent="0.3">
      <c r="A1446" s="22" t="s">
        <v>3255</v>
      </c>
      <c r="B1446" s="34" cm="1">
        <f t="array" ref="B1446:C1446">_xlfn.XLOOKUP(A1446,Sales_Fact!A1446:A3430,Sales_Fact!B1446:C3430)</f>
        <v>45929</v>
      </c>
      <c r="C1446" s="22" t="str">
        <v>CUST1486</v>
      </c>
      <c r="D1446" s="22" t="str">
        <f>VLOOKUP('Combine Products &amp; Sales Facts'!C1446,'Customer Details'!A:B,2,0)</f>
        <v>Eric Lee</v>
      </c>
      <c r="E1446" s="22" t="str">
        <f>VLOOKUP(C1446,Sales_Fact!C:D,2,0)</f>
        <v>PROD40</v>
      </c>
      <c r="F1446" s="22" t="str">
        <f>VLOOKUP(E1446,Product_Dim!A:C,3,0)</f>
        <v>Electronics</v>
      </c>
      <c r="G1446" s="22" t="str" cm="1">
        <f t="array" ref="G1446:L1446">_xlfn.XLOOKUP(C1446,Sales_Fact!C1446:C3430,Sales_Fact!E1446:J3430)</f>
        <v>STORE2</v>
      </c>
      <c r="H1446" s="22">
        <v>3</v>
      </c>
      <c r="I1446" s="22">
        <v>824.75</v>
      </c>
      <c r="J1446" s="22">
        <v>0.23</v>
      </c>
      <c r="K1446" s="22" t="str">
        <v>Credit Card</v>
      </c>
      <c r="L1446" s="22">
        <v>1905.1724999999999</v>
      </c>
    </row>
    <row r="1447" spans="1:12" x14ac:dyDescent="0.3">
      <c r="A1447" s="22" t="s">
        <v>3256</v>
      </c>
      <c r="B1447" s="34" cm="1">
        <f t="array" ref="B1447:C1447">_xlfn.XLOOKUP(A1447,Sales_Fact!A1447:A3431,Sales_Fact!B1447:C3431)</f>
        <v>45478</v>
      </c>
      <c r="C1447" s="22" t="str">
        <v>CUST1401</v>
      </c>
      <c r="D1447" s="22" t="str">
        <f>VLOOKUP('Combine Products &amp; Sales Facts'!C1447,'Customer Details'!A:B,2,0)</f>
        <v>Terry Moses</v>
      </c>
      <c r="E1447" s="22" t="str">
        <f>VLOOKUP(C1447,Sales_Fact!C:D,2,0)</f>
        <v>PROD34</v>
      </c>
      <c r="F1447" s="22" t="str">
        <f>VLOOKUP(E1447,Product_Dim!A:C,3,0)</f>
        <v>Electronics</v>
      </c>
      <c r="G1447" s="22" t="str" cm="1">
        <f t="array" ref="G1447:L1447">_xlfn.XLOOKUP(C1447,Sales_Fact!C1447:C3431,Sales_Fact!E1447:J3431)</f>
        <v>STORE4</v>
      </c>
      <c r="H1447" s="22">
        <v>2</v>
      </c>
      <c r="I1447" s="22">
        <v>821.35</v>
      </c>
      <c r="J1447" s="22">
        <v>0.11</v>
      </c>
      <c r="K1447" s="22" t="str">
        <v>PayPal</v>
      </c>
      <c r="L1447" s="22">
        <v>1462.0029999999999</v>
      </c>
    </row>
    <row r="1448" spans="1:12" x14ac:dyDescent="0.3">
      <c r="A1448" s="22" t="s">
        <v>3257</v>
      </c>
      <c r="B1448" s="34" cm="1">
        <f t="array" ref="B1448:C1448">_xlfn.XLOOKUP(A1448,Sales_Fact!A1448:A3432,Sales_Fact!B1448:C3432)</f>
        <v>45723</v>
      </c>
      <c r="C1448" s="22" t="str">
        <v>CUST1405</v>
      </c>
      <c r="D1448" s="22" t="str">
        <f>VLOOKUP('Combine Products &amp; Sales Facts'!C1448,'Customer Details'!A:B,2,0)</f>
        <v>Eric Wolfe</v>
      </c>
      <c r="E1448" s="22" t="str">
        <f>VLOOKUP(C1448,Sales_Fact!C:D,2,0)</f>
        <v>PROD48</v>
      </c>
      <c r="F1448" s="22" t="str">
        <f>VLOOKUP(E1448,Product_Dim!A:C,3,0)</f>
        <v>Electronics</v>
      </c>
      <c r="G1448" s="22" t="str" cm="1">
        <f t="array" ref="G1448:L1448">_xlfn.XLOOKUP(C1448,Sales_Fact!C1448:C3432,Sales_Fact!E1448:J3432)</f>
        <v>STORE10</v>
      </c>
      <c r="H1448" s="22">
        <v>1</v>
      </c>
      <c r="I1448" s="22">
        <v>120.57</v>
      </c>
      <c r="J1448" s="22">
        <v>0.06</v>
      </c>
      <c r="K1448" s="22" t="str">
        <v>PayPal</v>
      </c>
      <c r="L1448" s="22">
        <v>113.33580000000001</v>
      </c>
    </row>
    <row r="1449" spans="1:12" x14ac:dyDescent="0.3">
      <c r="A1449" s="22" t="s">
        <v>3258</v>
      </c>
      <c r="B1449" s="34" cm="1">
        <f t="array" ref="B1449:C1449">_xlfn.XLOOKUP(A1449,Sales_Fact!A1449:A3433,Sales_Fact!B1449:C3433)</f>
        <v>45240</v>
      </c>
      <c r="C1449" s="22" t="str">
        <v>CUST1335</v>
      </c>
      <c r="D1449" s="22" t="str">
        <f>VLOOKUP('Combine Products &amp; Sales Facts'!C1449,'Customer Details'!A:B,2,0)</f>
        <v>Jennifer Woods</v>
      </c>
      <c r="E1449" s="22" t="str">
        <f>VLOOKUP(C1449,Sales_Fact!C:D,2,0)</f>
        <v>PROD29</v>
      </c>
      <c r="F1449" s="22" t="str">
        <f>VLOOKUP(E1449,Product_Dim!A:C,3,0)</f>
        <v>Home</v>
      </c>
      <c r="G1449" s="22" t="str" cm="1">
        <f t="array" ref="G1449:L1449">_xlfn.XLOOKUP(C1449,Sales_Fact!C1449:C3433,Sales_Fact!E1449:J3433)</f>
        <v>STORE1</v>
      </c>
      <c r="H1449" s="22">
        <v>1</v>
      </c>
      <c r="I1449" s="22">
        <v>122.27</v>
      </c>
      <c r="J1449" s="22">
        <v>0.26</v>
      </c>
      <c r="K1449" s="22" t="str">
        <v>PayPal</v>
      </c>
      <c r="L1449" s="22">
        <v>90.479799999999997</v>
      </c>
    </row>
    <row r="1450" spans="1:12" x14ac:dyDescent="0.3">
      <c r="A1450" s="22" t="s">
        <v>3259</v>
      </c>
      <c r="B1450" s="34" cm="1">
        <f t="array" ref="B1450:C1450">_xlfn.XLOOKUP(A1450,Sales_Fact!A1450:A3434,Sales_Fact!B1450:C3434)</f>
        <v>45890</v>
      </c>
      <c r="C1450" s="22" t="str">
        <v>CUST1170</v>
      </c>
      <c r="D1450" s="22" t="str">
        <f>VLOOKUP('Combine Products &amp; Sales Facts'!C1450,'Customer Details'!A:B,2,0)</f>
        <v>Christopher Garcia Dds</v>
      </c>
      <c r="E1450" s="22" t="str">
        <f>VLOOKUP(C1450,Sales_Fact!C:D,2,0)</f>
        <v>PROD83</v>
      </c>
      <c r="F1450" s="22" t="str">
        <f>VLOOKUP(E1450,Product_Dim!A:C,3,0)</f>
        <v>Beauty</v>
      </c>
      <c r="G1450" s="22" t="str" cm="1">
        <f t="array" ref="G1450:L1450">_xlfn.XLOOKUP(C1450,Sales_Fact!C1450:C3434,Sales_Fact!E1450:J3434)</f>
        <v>STORE2</v>
      </c>
      <c r="H1450" s="22">
        <v>2</v>
      </c>
      <c r="I1450" s="22">
        <v>182.89</v>
      </c>
      <c r="J1450" s="22">
        <v>0.11</v>
      </c>
      <c r="K1450" s="22" t="str">
        <v>Credit Card</v>
      </c>
      <c r="L1450" s="22">
        <v>325.54419999999999</v>
      </c>
    </row>
    <row r="1451" spans="1:12" x14ac:dyDescent="0.3">
      <c r="A1451" s="22" t="s">
        <v>3260</v>
      </c>
      <c r="B1451" s="34" cm="1">
        <f t="array" ref="B1451:C1451">_xlfn.XLOOKUP(A1451,Sales_Fact!A1451:A3435,Sales_Fact!B1451:C3435)</f>
        <v>45796</v>
      </c>
      <c r="C1451" s="22" t="str">
        <v>CUST1371</v>
      </c>
      <c r="D1451" s="22" t="str">
        <f>VLOOKUP('Combine Products &amp; Sales Facts'!C1451,'Customer Details'!A:B,2,0)</f>
        <v>Michael Garner</v>
      </c>
      <c r="E1451" s="22" t="str">
        <f>VLOOKUP(C1451,Sales_Fact!C:D,2,0)</f>
        <v>PROD67</v>
      </c>
      <c r="F1451" s="22" t="str">
        <f>VLOOKUP(E1451,Product_Dim!A:C,3,0)</f>
        <v>Electronics</v>
      </c>
      <c r="G1451" s="22" t="str" cm="1">
        <f t="array" ref="G1451:L1451">_xlfn.XLOOKUP(C1451,Sales_Fact!C1451:C3435,Sales_Fact!E1451:J3435)</f>
        <v>STORE4</v>
      </c>
      <c r="H1451" s="22">
        <v>1</v>
      </c>
      <c r="I1451" s="22">
        <v>695.26</v>
      </c>
      <c r="J1451" s="22">
        <v>0.23</v>
      </c>
      <c r="K1451" s="22" t="str">
        <v>PayPal</v>
      </c>
      <c r="L1451" s="22">
        <v>535.35019999999997</v>
      </c>
    </row>
    <row r="1452" spans="1:12" x14ac:dyDescent="0.3">
      <c r="A1452" s="22" t="s">
        <v>3261</v>
      </c>
      <c r="B1452" s="34" cm="1">
        <f t="array" ref="B1452:C1452">_xlfn.XLOOKUP(A1452,Sales_Fact!A1452:A3436,Sales_Fact!B1452:C3436)</f>
        <v>45895</v>
      </c>
      <c r="C1452" s="22" t="str">
        <v>CUST1027</v>
      </c>
      <c r="D1452" s="22" t="str">
        <f>VLOOKUP('Combine Products &amp; Sales Facts'!C1452,'Customer Details'!A:B,2,0)</f>
        <v>Leslie Johnson</v>
      </c>
      <c r="E1452" s="22" t="str">
        <f>VLOOKUP(C1452,Sales_Fact!C:D,2,0)</f>
        <v>PROD24</v>
      </c>
      <c r="F1452" s="22" t="str">
        <f>VLOOKUP(E1452,Product_Dim!A:C,3,0)</f>
        <v>Sports</v>
      </c>
      <c r="G1452" s="22" t="str" cm="1">
        <f t="array" ref="G1452:L1452">_xlfn.XLOOKUP(C1452,Sales_Fact!C1452:C3436,Sales_Fact!E1452:J3436)</f>
        <v>STORE6</v>
      </c>
      <c r="H1452" s="22">
        <v>2</v>
      </c>
      <c r="I1452" s="22">
        <v>408.8</v>
      </c>
      <c r="J1452" s="22">
        <v>0.17</v>
      </c>
      <c r="K1452" s="22" t="str">
        <v>COD</v>
      </c>
      <c r="L1452" s="22">
        <v>678.60799999999995</v>
      </c>
    </row>
    <row r="1453" spans="1:12" x14ac:dyDescent="0.3">
      <c r="A1453" s="22" t="s">
        <v>3262</v>
      </c>
      <c r="B1453" s="34" cm="1">
        <f t="array" ref="B1453:C1453">_xlfn.XLOOKUP(A1453,Sales_Fact!A1453:A3437,Sales_Fact!B1453:C3437)</f>
        <v>45676</v>
      </c>
      <c r="C1453" s="22" t="str">
        <v>CUST1226</v>
      </c>
      <c r="D1453" s="22" t="str">
        <f>VLOOKUP('Combine Products &amp; Sales Facts'!C1453,'Customer Details'!A:B,2,0)</f>
        <v>Alexis Castaneda</v>
      </c>
      <c r="E1453" s="22" t="str">
        <f>VLOOKUP(C1453,Sales_Fact!C:D,2,0)</f>
        <v>PROD49</v>
      </c>
      <c r="F1453" s="22" t="str">
        <f>VLOOKUP(E1453,Product_Dim!A:C,3,0)</f>
        <v>Beauty</v>
      </c>
      <c r="G1453" s="22" t="str" cm="1">
        <f t="array" ref="G1453:L1453">_xlfn.XLOOKUP(C1453,Sales_Fact!C1453:C3437,Sales_Fact!E1453:J3437)</f>
        <v>STORE8</v>
      </c>
      <c r="H1453" s="22">
        <v>3</v>
      </c>
      <c r="I1453" s="22">
        <v>512.15</v>
      </c>
      <c r="J1453" s="22">
        <v>0.12</v>
      </c>
      <c r="K1453" s="22" t="str">
        <v>Credit Card</v>
      </c>
      <c r="L1453" s="22">
        <v>1352.076</v>
      </c>
    </row>
    <row r="1454" spans="1:12" x14ac:dyDescent="0.3">
      <c r="A1454" s="22" t="s">
        <v>3263</v>
      </c>
      <c r="B1454" s="34" cm="1">
        <f t="array" ref="B1454:C1454">_xlfn.XLOOKUP(A1454,Sales_Fact!A1454:A3438,Sales_Fact!B1454:C3438)</f>
        <v>45568</v>
      </c>
      <c r="C1454" s="22" t="str">
        <v>CUST1409</v>
      </c>
      <c r="D1454" s="22" t="str">
        <f>VLOOKUP('Combine Products &amp; Sales Facts'!C1454,'Customer Details'!A:B,2,0)</f>
        <v>Sarah Smith</v>
      </c>
      <c r="E1454" s="22" t="str">
        <f>VLOOKUP(C1454,Sales_Fact!C:D,2,0)</f>
        <v>PROD97</v>
      </c>
      <c r="F1454" s="22" t="str">
        <f>VLOOKUP(E1454,Product_Dim!A:C,3,0)</f>
        <v>Sports</v>
      </c>
      <c r="G1454" s="22" t="str" cm="1">
        <f t="array" ref="G1454:L1454">_xlfn.XLOOKUP(C1454,Sales_Fact!C1454:C3438,Sales_Fact!E1454:J3438)</f>
        <v>STORE8</v>
      </c>
      <c r="H1454" s="22">
        <v>3</v>
      </c>
      <c r="I1454" s="22">
        <v>136.4</v>
      </c>
      <c r="J1454" s="22">
        <v>0.15</v>
      </c>
      <c r="K1454" s="22" t="str">
        <v>PayPal</v>
      </c>
      <c r="L1454" s="22">
        <v>347.82000000000011</v>
      </c>
    </row>
    <row r="1455" spans="1:12" x14ac:dyDescent="0.3">
      <c r="A1455" s="22" t="s">
        <v>3264</v>
      </c>
      <c r="B1455" s="34" cm="1">
        <f t="array" ref="B1455:C1455">_xlfn.XLOOKUP(A1455,Sales_Fact!A1455:A3439,Sales_Fact!B1455:C3439)</f>
        <v>45272</v>
      </c>
      <c r="C1455" s="22" t="str">
        <v>CUST1175</v>
      </c>
      <c r="D1455" s="22" t="str">
        <f>VLOOKUP('Combine Products &amp; Sales Facts'!C1455,'Customer Details'!A:B,2,0)</f>
        <v>Michelle Rogers</v>
      </c>
      <c r="E1455" s="22" t="str">
        <f>VLOOKUP(C1455,Sales_Fact!C:D,2,0)</f>
        <v>PROD49</v>
      </c>
      <c r="F1455" s="22" t="str">
        <f>VLOOKUP(E1455,Product_Dim!A:C,3,0)</f>
        <v>Beauty</v>
      </c>
      <c r="G1455" s="22" t="str" cm="1">
        <f t="array" ref="G1455:L1455">_xlfn.XLOOKUP(C1455,Sales_Fact!C1455:C3439,Sales_Fact!E1455:J3439)</f>
        <v>STORE3</v>
      </c>
      <c r="H1455" s="22">
        <v>2</v>
      </c>
      <c r="I1455" s="22">
        <v>42.51</v>
      </c>
      <c r="J1455" s="22">
        <v>0.04</v>
      </c>
      <c r="K1455" s="22" t="str">
        <v>COD</v>
      </c>
      <c r="L1455" s="22">
        <v>81.619199999999992</v>
      </c>
    </row>
    <row r="1456" spans="1:12" x14ac:dyDescent="0.3">
      <c r="A1456" s="22" t="s">
        <v>3265</v>
      </c>
      <c r="B1456" s="34" cm="1">
        <f t="array" ref="B1456:C1456">_xlfn.XLOOKUP(A1456,Sales_Fact!A1456:A3440,Sales_Fact!B1456:C3440)</f>
        <v>45718</v>
      </c>
      <c r="C1456" s="22" t="str">
        <v>CUST1359</v>
      </c>
      <c r="D1456" s="22" t="str">
        <f>VLOOKUP('Combine Products &amp; Sales Facts'!C1456,'Customer Details'!A:B,2,0)</f>
        <v>Melanie Lam</v>
      </c>
      <c r="E1456" s="22" t="str">
        <f>VLOOKUP(C1456,Sales_Fact!C:D,2,0)</f>
        <v>PROD59</v>
      </c>
      <c r="F1456" s="22" t="str">
        <f>VLOOKUP(E1456,Product_Dim!A:C,3,0)</f>
        <v>Beauty</v>
      </c>
      <c r="G1456" s="22" t="str" cm="1">
        <f t="array" ref="G1456:L1456">_xlfn.XLOOKUP(C1456,Sales_Fact!C1456:C3440,Sales_Fact!E1456:J3440)</f>
        <v>STORE7</v>
      </c>
      <c r="H1456" s="22">
        <v>3</v>
      </c>
      <c r="I1456" s="22">
        <v>582.1</v>
      </c>
      <c r="J1456" s="22">
        <v>0.12</v>
      </c>
      <c r="K1456" s="22" t="str">
        <v>PayPal</v>
      </c>
      <c r="L1456" s="22">
        <v>1536.7439999999999</v>
      </c>
    </row>
    <row r="1457" spans="1:12" x14ac:dyDescent="0.3">
      <c r="A1457" s="22" t="s">
        <v>3266</v>
      </c>
      <c r="B1457" s="34" cm="1">
        <f t="array" ref="B1457:C1457">_xlfn.XLOOKUP(A1457,Sales_Fact!A1457:A3441,Sales_Fact!B1457:C3441)</f>
        <v>45356</v>
      </c>
      <c r="C1457" s="22" t="str">
        <v>CUST1219</v>
      </c>
      <c r="D1457" s="22" t="str">
        <f>VLOOKUP('Combine Products &amp; Sales Facts'!C1457,'Customer Details'!A:B,2,0)</f>
        <v>Jordan Wells</v>
      </c>
      <c r="E1457" s="22" t="str">
        <f>VLOOKUP(C1457,Sales_Fact!C:D,2,0)</f>
        <v>PROD37</v>
      </c>
      <c r="F1457" s="22" t="str">
        <f>VLOOKUP(E1457,Product_Dim!A:C,3,0)</f>
        <v>Clothing</v>
      </c>
      <c r="G1457" s="22" t="str" cm="1">
        <f t="array" ref="G1457:L1457">_xlfn.XLOOKUP(C1457,Sales_Fact!C1457:C3441,Sales_Fact!E1457:J3441)</f>
        <v>STORE17</v>
      </c>
      <c r="H1457" s="22">
        <v>4</v>
      </c>
      <c r="I1457" s="22">
        <v>461.52</v>
      </c>
      <c r="J1457" s="22">
        <v>0</v>
      </c>
      <c r="K1457" s="22" t="str">
        <v>COD</v>
      </c>
      <c r="L1457" s="22">
        <v>1846.08</v>
      </c>
    </row>
    <row r="1458" spans="1:12" x14ac:dyDescent="0.3">
      <c r="A1458" s="22" t="s">
        <v>3267</v>
      </c>
      <c r="B1458" s="34" cm="1">
        <f t="array" ref="B1458:C1458">_xlfn.XLOOKUP(A1458,Sales_Fact!A1458:A3442,Sales_Fact!B1458:C3442)</f>
        <v>45552</v>
      </c>
      <c r="C1458" s="22" t="str">
        <v>CUST1496</v>
      </c>
      <c r="D1458" s="22" t="str">
        <f>VLOOKUP('Combine Products &amp; Sales Facts'!C1458,'Customer Details'!A:B,2,0)</f>
        <v>Christopher Ford</v>
      </c>
      <c r="E1458" s="22" t="str">
        <f>VLOOKUP(C1458,Sales_Fact!C:D,2,0)</f>
        <v>PROD51</v>
      </c>
      <c r="F1458" s="22" t="str">
        <f>VLOOKUP(E1458,Product_Dim!A:C,3,0)</f>
        <v>Electronics</v>
      </c>
      <c r="G1458" s="22" t="str" cm="1">
        <f t="array" ref="G1458:L1458">_xlfn.XLOOKUP(C1458,Sales_Fact!C1458:C3442,Sales_Fact!E1458:J3442)</f>
        <v>STORE11</v>
      </c>
      <c r="H1458" s="22">
        <v>1</v>
      </c>
      <c r="I1458" s="22">
        <v>558.41999999999996</v>
      </c>
      <c r="J1458" s="22">
        <v>0.03</v>
      </c>
      <c r="K1458" s="22" t="str">
        <v>Credit Card</v>
      </c>
      <c r="L1458" s="22">
        <v>541.66739999999993</v>
      </c>
    </row>
    <row r="1459" spans="1:12" x14ac:dyDescent="0.3">
      <c r="A1459" s="22" t="s">
        <v>3268</v>
      </c>
      <c r="B1459" s="34" cm="1">
        <f t="array" ref="B1459:C1459">_xlfn.XLOOKUP(A1459,Sales_Fact!A1459:A3443,Sales_Fact!B1459:C3443)</f>
        <v>45288</v>
      </c>
      <c r="C1459" s="22" t="str">
        <v>CUST1263</v>
      </c>
      <c r="D1459" s="22" t="str">
        <f>VLOOKUP('Combine Products &amp; Sales Facts'!C1459,'Customer Details'!A:B,2,0)</f>
        <v>Crystal Davis</v>
      </c>
      <c r="E1459" s="22" t="str">
        <f>VLOOKUP(C1459,Sales_Fact!C:D,2,0)</f>
        <v>PROD65</v>
      </c>
      <c r="F1459" s="22" t="str">
        <f>VLOOKUP(E1459,Product_Dim!A:C,3,0)</f>
        <v>Sports</v>
      </c>
      <c r="G1459" s="22" t="str" cm="1">
        <f t="array" ref="G1459:L1459">_xlfn.XLOOKUP(C1459,Sales_Fact!C1459:C3443,Sales_Fact!E1459:J3443)</f>
        <v>STORE18</v>
      </c>
      <c r="H1459" s="22">
        <v>4</v>
      </c>
      <c r="I1459" s="22">
        <v>700.98</v>
      </c>
      <c r="J1459" s="22">
        <v>0.12</v>
      </c>
      <c r="K1459" s="22" t="str">
        <v>PayPal</v>
      </c>
      <c r="L1459" s="22">
        <v>2467.4495999999999</v>
      </c>
    </row>
    <row r="1460" spans="1:12" x14ac:dyDescent="0.3">
      <c r="A1460" s="22" t="s">
        <v>3269</v>
      </c>
      <c r="B1460" s="34" cm="1">
        <f t="array" ref="B1460:C1460">_xlfn.XLOOKUP(A1460,Sales_Fact!A1460:A3444,Sales_Fact!B1460:C3444)</f>
        <v>45605</v>
      </c>
      <c r="C1460" s="22" t="str">
        <v>CUST1405</v>
      </c>
      <c r="D1460" s="22" t="str">
        <f>VLOOKUP('Combine Products &amp; Sales Facts'!C1460,'Customer Details'!A:B,2,0)</f>
        <v>Eric Wolfe</v>
      </c>
      <c r="E1460" s="22" t="str">
        <f>VLOOKUP(C1460,Sales_Fact!C:D,2,0)</f>
        <v>PROD48</v>
      </c>
      <c r="F1460" s="22" t="str">
        <f>VLOOKUP(E1460,Product_Dim!A:C,3,0)</f>
        <v>Electronics</v>
      </c>
      <c r="G1460" s="22" t="str" cm="1">
        <f t="array" ref="G1460:L1460">_xlfn.XLOOKUP(C1460,Sales_Fact!C1460:C3444,Sales_Fact!E1460:J3444)</f>
        <v>STORE18</v>
      </c>
      <c r="H1460" s="22">
        <v>2</v>
      </c>
      <c r="I1460" s="22">
        <v>227.97</v>
      </c>
      <c r="J1460" s="22">
        <v>0.08</v>
      </c>
      <c r="K1460" s="22" t="str">
        <v>COD</v>
      </c>
      <c r="L1460" s="22">
        <v>419.46480000000003</v>
      </c>
    </row>
    <row r="1461" spans="1:12" x14ac:dyDescent="0.3">
      <c r="A1461" s="22" t="s">
        <v>3270</v>
      </c>
      <c r="B1461" s="34" cm="1">
        <f t="array" ref="B1461:C1461">_xlfn.XLOOKUP(A1461,Sales_Fact!A1461:A3445,Sales_Fact!B1461:C3445)</f>
        <v>45516</v>
      </c>
      <c r="C1461" s="22" t="str">
        <v>CUST1474</v>
      </c>
      <c r="D1461" s="22" t="str">
        <f>VLOOKUP('Combine Products &amp; Sales Facts'!C1461,'Customer Details'!A:B,2,0)</f>
        <v>Joshua Howard</v>
      </c>
      <c r="E1461" s="22" t="str">
        <f>VLOOKUP(C1461,Sales_Fact!C:D,2,0)</f>
        <v>PROD99</v>
      </c>
      <c r="F1461" s="22" t="str">
        <f>VLOOKUP(E1461,Product_Dim!A:C,3,0)</f>
        <v>Home</v>
      </c>
      <c r="G1461" s="22" t="str" cm="1">
        <f t="array" ref="G1461:L1461">_xlfn.XLOOKUP(C1461,Sales_Fact!C1461:C3445,Sales_Fact!E1461:J3445)</f>
        <v>STORE11</v>
      </c>
      <c r="H1461" s="22">
        <v>4</v>
      </c>
      <c r="I1461" s="22">
        <v>278.70999999999998</v>
      </c>
      <c r="J1461" s="22">
        <v>0.2</v>
      </c>
      <c r="K1461" s="22" t="str">
        <v>PayPal</v>
      </c>
      <c r="L1461" s="22">
        <v>891.87199999999996</v>
      </c>
    </row>
    <row r="1462" spans="1:12" x14ac:dyDescent="0.3">
      <c r="A1462" s="22" t="s">
        <v>3271</v>
      </c>
      <c r="B1462" s="34" cm="1">
        <f t="array" ref="B1462:C1462">_xlfn.XLOOKUP(A1462,Sales_Fact!A1462:A3446,Sales_Fact!B1462:C3446)</f>
        <v>45379</v>
      </c>
      <c r="C1462" s="22" t="str">
        <v>CUST1259</v>
      </c>
      <c r="D1462" s="22" t="str">
        <f>VLOOKUP('Combine Products &amp; Sales Facts'!C1462,'Customer Details'!A:B,2,0)</f>
        <v>Beth Allen</v>
      </c>
      <c r="E1462" s="22" t="str">
        <f>VLOOKUP(C1462,Sales_Fact!C:D,2,0)</f>
        <v>PROD13</v>
      </c>
      <c r="F1462" s="22" t="str">
        <f>VLOOKUP(E1462,Product_Dim!A:C,3,0)</f>
        <v>Electronics</v>
      </c>
      <c r="G1462" s="22" t="str" cm="1">
        <f t="array" ref="G1462:L1462">_xlfn.XLOOKUP(C1462,Sales_Fact!C1462:C3446,Sales_Fact!E1462:J3446)</f>
        <v>STORE8</v>
      </c>
      <c r="H1462" s="22">
        <v>2</v>
      </c>
      <c r="I1462" s="22">
        <v>916.12</v>
      </c>
      <c r="J1462" s="22">
        <v>0.05</v>
      </c>
      <c r="K1462" s="22" t="str">
        <v>PayPal</v>
      </c>
      <c r="L1462" s="22">
        <v>1740.6279999999999</v>
      </c>
    </row>
    <row r="1463" spans="1:12" x14ac:dyDescent="0.3">
      <c r="A1463" s="22" t="s">
        <v>3272</v>
      </c>
      <c r="B1463" s="34" cm="1">
        <f t="array" ref="B1463:C1463">_xlfn.XLOOKUP(A1463,Sales_Fact!A1463:A3447,Sales_Fact!B1463:C3447)</f>
        <v>45567</v>
      </c>
      <c r="C1463" s="22" t="str">
        <v>CUST1133</v>
      </c>
      <c r="D1463" s="22" t="str">
        <f>VLOOKUP('Combine Products &amp; Sales Facts'!C1463,'Customer Details'!A:B,2,0)</f>
        <v>Hayley Pope</v>
      </c>
      <c r="E1463" s="22" t="str">
        <f>VLOOKUP(C1463,Sales_Fact!C:D,2,0)</f>
        <v>PROD36</v>
      </c>
      <c r="F1463" s="22" t="str">
        <f>VLOOKUP(E1463,Product_Dim!A:C,3,0)</f>
        <v>Clothing</v>
      </c>
      <c r="G1463" s="22" t="str" cm="1">
        <f t="array" ref="G1463:L1463">_xlfn.XLOOKUP(C1463,Sales_Fact!C1463:C3447,Sales_Fact!E1463:J3447)</f>
        <v>STORE12</v>
      </c>
      <c r="H1463" s="22">
        <v>4</v>
      </c>
      <c r="I1463" s="22">
        <v>228.98</v>
      </c>
      <c r="J1463" s="22">
        <v>0.22</v>
      </c>
      <c r="K1463" s="22" t="str">
        <v>PayPal</v>
      </c>
      <c r="L1463" s="22">
        <v>714.41759999999999</v>
      </c>
    </row>
    <row r="1464" spans="1:12" x14ac:dyDescent="0.3">
      <c r="A1464" s="22" t="s">
        <v>3273</v>
      </c>
      <c r="B1464" s="34" cm="1">
        <f t="array" ref="B1464:C1464">_xlfn.XLOOKUP(A1464,Sales_Fact!A1464:A3448,Sales_Fact!B1464:C3448)</f>
        <v>45510</v>
      </c>
      <c r="C1464" s="22" t="str">
        <v>CUST1234</v>
      </c>
      <c r="D1464" s="22" t="str">
        <f>VLOOKUP('Combine Products &amp; Sales Facts'!C1464,'Customer Details'!A:B,2,0)</f>
        <v>Nathaniel Hill</v>
      </c>
      <c r="E1464" s="22" t="str">
        <f>VLOOKUP(C1464,Sales_Fact!C:D,2,0)</f>
        <v>PROD98</v>
      </c>
      <c r="F1464" s="22" t="str">
        <f>VLOOKUP(E1464,Product_Dim!A:C,3,0)</f>
        <v>Electronics</v>
      </c>
      <c r="G1464" s="22" t="str" cm="1">
        <f t="array" ref="G1464:L1464">_xlfn.XLOOKUP(C1464,Sales_Fact!C1464:C3448,Sales_Fact!E1464:J3448)</f>
        <v>STORE15</v>
      </c>
      <c r="H1464" s="22">
        <v>4</v>
      </c>
      <c r="I1464" s="22">
        <v>904.82</v>
      </c>
      <c r="J1464" s="22">
        <v>0.09</v>
      </c>
      <c r="K1464" s="22" t="str">
        <v>PayPal</v>
      </c>
      <c r="L1464" s="22">
        <v>3293.5448000000001</v>
      </c>
    </row>
    <row r="1465" spans="1:12" x14ac:dyDescent="0.3">
      <c r="A1465" s="22" t="s">
        <v>3274</v>
      </c>
      <c r="B1465" s="34" cm="1">
        <f t="array" ref="B1465:C1465">_xlfn.XLOOKUP(A1465,Sales_Fact!A1465:A3449,Sales_Fact!B1465:C3449)</f>
        <v>45806</v>
      </c>
      <c r="C1465" s="22" t="str">
        <v>CUST1081</v>
      </c>
      <c r="D1465" s="22" t="str">
        <f>VLOOKUP('Combine Products &amp; Sales Facts'!C1465,'Customer Details'!A:B,2,0)</f>
        <v>Krystal Ford</v>
      </c>
      <c r="E1465" s="22" t="str">
        <f>VLOOKUP(C1465,Sales_Fact!C:D,2,0)</f>
        <v>PROD45</v>
      </c>
      <c r="F1465" s="22" t="str">
        <f>VLOOKUP(E1465,Product_Dim!A:C,3,0)</f>
        <v>Sports</v>
      </c>
      <c r="G1465" s="22" t="str" cm="1">
        <f t="array" ref="G1465:L1465">_xlfn.XLOOKUP(C1465,Sales_Fact!C1465:C3449,Sales_Fact!E1465:J3449)</f>
        <v>STORE11</v>
      </c>
      <c r="H1465" s="22">
        <v>1</v>
      </c>
      <c r="I1465" s="22">
        <v>588.61</v>
      </c>
      <c r="J1465" s="22">
        <v>0.1</v>
      </c>
      <c r="K1465" s="22" t="str">
        <v>PayPal</v>
      </c>
      <c r="L1465" s="22">
        <v>529.74900000000002</v>
      </c>
    </row>
    <row r="1466" spans="1:12" x14ac:dyDescent="0.3">
      <c r="A1466" s="22" t="s">
        <v>3275</v>
      </c>
      <c r="B1466" s="34" cm="1">
        <f t="array" ref="B1466:C1466">_xlfn.XLOOKUP(A1466,Sales_Fact!A1466:A3450,Sales_Fact!B1466:C3450)</f>
        <v>45240</v>
      </c>
      <c r="C1466" s="22" t="str">
        <v>CUST1113</v>
      </c>
      <c r="D1466" s="22" t="str">
        <f>VLOOKUP('Combine Products &amp; Sales Facts'!C1466,'Customer Details'!A:B,2,0)</f>
        <v>Edward Hall</v>
      </c>
      <c r="E1466" s="22" t="str">
        <f>VLOOKUP(C1466,Sales_Fact!C:D,2,0)</f>
        <v>PROD47</v>
      </c>
      <c r="F1466" s="22" t="str">
        <f>VLOOKUP(E1466,Product_Dim!A:C,3,0)</f>
        <v>Beauty</v>
      </c>
      <c r="G1466" s="22" t="str" cm="1">
        <f t="array" ref="G1466:L1466">_xlfn.XLOOKUP(C1466,Sales_Fact!C1466:C3450,Sales_Fact!E1466:J3450)</f>
        <v>STORE3</v>
      </c>
      <c r="H1466" s="22">
        <v>4</v>
      </c>
      <c r="I1466" s="22">
        <v>695.97</v>
      </c>
      <c r="J1466" s="22">
        <v>0.02</v>
      </c>
      <c r="K1466" s="22" t="str">
        <v>Credit Card</v>
      </c>
      <c r="L1466" s="22">
        <v>2728.2024000000001</v>
      </c>
    </row>
    <row r="1467" spans="1:12" x14ac:dyDescent="0.3">
      <c r="A1467" s="22" t="s">
        <v>3276</v>
      </c>
      <c r="B1467" s="34" cm="1">
        <f t="array" ref="B1467:C1467">_xlfn.XLOOKUP(A1467,Sales_Fact!A1467:A3451,Sales_Fact!B1467:C3451)</f>
        <v>45309</v>
      </c>
      <c r="C1467" s="22" t="str">
        <v>CUST1301</v>
      </c>
      <c r="D1467" s="22" t="str">
        <f>VLOOKUP('Combine Products &amp; Sales Facts'!C1467,'Customer Details'!A:B,2,0)</f>
        <v>Ryan Kane</v>
      </c>
      <c r="E1467" s="22" t="str">
        <f>VLOOKUP(C1467,Sales_Fact!C:D,2,0)</f>
        <v>PROD84</v>
      </c>
      <c r="F1467" s="22" t="str">
        <f>VLOOKUP(E1467,Product_Dim!A:C,3,0)</f>
        <v>Home</v>
      </c>
      <c r="G1467" s="22" t="str" cm="1">
        <f t="array" ref="G1467:L1467">_xlfn.XLOOKUP(C1467,Sales_Fact!C1467:C3451,Sales_Fact!E1467:J3451)</f>
        <v>STORE11</v>
      </c>
      <c r="H1467" s="22">
        <v>2</v>
      </c>
      <c r="I1467" s="22">
        <v>181.42</v>
      </c>
      <c r="J1467" s="22">
        <v>0.08</v>
      </c>
      <c r="K1467" s="22" t="str">
        <v>PayPal</v>
      </c>
      <c r="L1467" s="22">
        <v>333.81279999999998</v>
      </c>
    </row>
    <row r="1468" spans="1:12" x14ac:dyDescent="0.3">
      <c r="A1468" s="22" t="s">
        <v>3277</v>
      </c>
      <c r="B1468" s="34" cm="1">
        <f t="array" ref="B1468:C1468">_xlfn.XLOOKUP(A1468,Sales_Fact!A1468:A3452,Sales_Fact!B1468:C3452)</f>
        <v>45375</v>
      </c>
      <c r="C1468" s="22" t="str">
        <v>CUST1023</v>
      </c>
      <c r="D1468" s="22" t="str">
        <f>VLOOKUP('Combine Products &amp; Sales Facts'!C1468,'Customer Details'!A:B,2,0)</f>
        <v>Jonathan Steele</v>
      </c>
      <c r="E1468" s="22" t="str">
        <f>VLOOKUP(C1468,Sales_Fact!C:D,2,0)</f>
        <v>PROD68</v>
      </c>
      <c r="F1468" s="22" t="str">
        <f>VLOOKUP(E1468,Product_Dim!A:C,3,0)</f>
        <v>Home</v>
      </c>
      <c r="G1468" s="22" t="str" cm="1">
        <f t="array" ref="G1468:L1468">_xlfn.XLOOKUP(C1468,Sales_Fact!C1468:C3452,Sales_Fact!E1468:J3452)</f>
        <v>STORE13</v>
      </c>
      <c r="H1468" s="22">
        <v>1</v>
      </c>
      <c r="I1468" s="22">
        <v>439.55</v>
      </c>
      <c r="J1468" s="22">
        <v>0.28999999999999998</v>
      </c>
      <c r="K1468" s="22" t="str">
        <v>COD</v>
      </c>
      <c r="L1468" s="22">
        <v>312.08049999999997</v>
      </c>
    </row>
    <row r="1469" spans="1:12" x14ac:dyDescent="0.3">
      <c r="A1469" s="22" t="s">
        <v>3278</v>
      </c>
      <c r="B1469" s="34" cm="1">
        <f t="array" ref="B1469:C1469">_xlfn.XLOOKUP(A1469,Sales_Fact!A1469:A3453,Sales_Fact!B1469:C3453)</f>
        <v>45733</v>
      </c>
      <c r="C1469" s="22" t="str">
        <v>CUST1114</v>
      </c>
      <c r="D1469" s="22" t="str">
        <f>VLOOKUP('Combine Products &amp; Sales Facts'!C1469,'Customer Details'!A:B,2,0)</f>
        <v>Ryan Hernandez</v>
      </c>
      <c r="E1469" s="22" t="str">
        <f>VLOOKUP(C1469,Sales_Fact!C:D,2,0)</f>
        <v>PROD59</v>
      </c>
      <c r="F1469" s="22" t="str">
        <f>VLOOKUP(E1469,Product_Dim!A:C,3,0)</f>
        <v>Beauty</v>
      </c>
      <c r="G1469" s="22" t="str" cm="1">
        <f t="array" ref="G1469:L1469">_xlfn.XLOOKUP(C1469,Sales_Fact!C1469:C3453,Sales_Fact!E1469:J3453)</f>
        <v>STORE18</v>
      </c>
      <c r="H1469" s="22">
        <v>3</v>
      </c>
      <c r="I1469" s="22">
        <v>471.27</v>
      </c>
      <c r="J1469" s="22">
        <v>0.27</v>
      </c>
      <c r="K1469" s="22" t="str">
        <v>COD</v>
      </c>
      <c r="L1469" s="22">
        <v>1032.0813000000001</v>
      </c>
    </row>
    <row r="1470" spans="1:12" x14ac:dyDescent="0.3">
      <c r="A1470" s="22" t="s">
        <v>3279</v>
      </c>
      <c r="B1470" s="34" cm="1">
        <f t="array" ref="B1470:C1470">_xlfn.XLOOKUP(A1470,Sales_Fact!A1470:A3454,Sales_Fact!B1470:C3454)</f>
        <v>45435</v>
      </c>
      <c r="C1470" s="22" t="str">
        <v>CUST1044</v>
      </c>
      <c r="D1470" s="22" t="str">
        <f>VLOOKUP('Combine Products &amp; Sales Facts'!C1470,'Customer Details'!A:B,2,0)</f>
        <v>Denise Williams</v>
      </c>
      <c r="E1470" s="22" t="str">
        <f>VLOOKUP(C1470,Sales_Fact!C:D,2,0)</f>
        <v>PROD1</v>
      </c>
      <c r="F1470" s="22" t="str">
        <f>VLOOKUP(E1470,Product_Dim!A:C,3,0)</f>
        <v>Clothing</v>
      </c>
      <c r="G1470" s="22" t="str" cm="1">
        <f t="array" ref="G1470:L1470">_xlfn.XLOOKUP(C1470,Sales_Fact!C1470:C3454,Sales_Fact!E1470:J3454)</f>
        <v>STORE12</v>
      </c>
      <c r="H1470" s="22">
        <v>1</v>
      </c>
      <c r="I1470" s="22">
        <v>758.89</v>
      </c>
      <c r="J1470" s="22">
        <v>0.1</v>
      </c>
      <c r="K1470" s="22" t="str">
        <v>Credit Card</v>
      </c>
      <c r="L1470" s="22">
        <v>683.00099999999998</v>
      </c>
    </row>
    <row r="1471" spans="1:12" x14ac:dyDescent="0.3">
      <c r="A1471" s="22" t="s">
        <v>3280</v>
      </c>
      <c r="B1471" s="34" cm="1">
        <f t="array" ref="B1471:C1471">_xlfn.XLOOKUP(A1471,Sales_Fact!A1471:A3455,Sales_Fact!B1471:C3455)</f>
        <v>45864</v>
      </c>
      <c r="C1471" s="22" t="str">
        <v>CUST1485</v>
      </c>
      <c r="D1471" s="22" t="str">
        <f>VLOOKUP('Combine Products &amp; Sales Facts'!C1471,'Customer Details'!A:B,2,0)</f>
        <v>Sara Ingram</v>
      </c>
      <c r="E1471" s="22" t="str">
        <f>VLOOKUP(C1471,Sales_Fact!C:D,2,0)</f>
        <v>PROD26</v>
      </c>
      <c r="F1471" s="22" t="str">
        <f>VLOOKUP(E1471,Product_Dim!A:C,3,0)</f>
        <v>Electronics</v>
      </c>
      <c r="G1471" s="22" t="str" cm="1">
        <f t="array" ref="G1471:L1471">_xlfn.XLOOKUP(C1471,Sales_Fact!C1471:C3455,Sales_Fact!E1471:J3455)</f>
        <v>STORE15</v>
      </c>
      <c r="H1471" s="22">
        <v>4</v>
      </c>
      <c r="I1471" s="22">
        <v>918.1</v>
      </c>
      <c r="J1471" s="22">
        <v>0.19</v>
      </c>
      <c r="K1471" s="22" t="str">
        <v>COD</v>
      </c>
      <c r="L1471" s="22">
        <v>2974.6439999999998</v>
      </c>
    </row>
    <row r="1472" spans="1:12" x14ac:dyDescent="0.3">
      <c r="A1472" s="22" t="s">
        <v>3281</v>
      </c>
      <c r="B1472" s="34" cm="1">
        <f t="array" ref="B1472:C1472">_xlfn.XLOOKUP(A1472,Sales_Fact!A1472:A3456,Sales_Fact!B1472:C3456)</f>
        <v>45569</v>
      </c>
      <c r="C1472" s="22" t="str">
        <v>CUST1259</v>
      </c>
      <c r="D1472" s="22" t="str">
        <f>VLOOKUP('Combine Products &amp; Sales Facts'!C1472,'Customer Details'!A:B,2,0)</f>
        <v>Beth Allen</v>
      </c>
      <c r="E1472" s="22" t="str">
        <f>VLOOKUP(C1472,Sales_Fact!C:D,2,0)</f>
        <v>PROD13</v>
      </c>
      <c r="F1472" s="22" t="str">
        <f>VLOOKUP(E1472,Product_Dim!A:C,3,0)</f>
        <v>Electronics</v>
      </c>
      <c r="G1472" s="22" t="str" cm="1">
        <f t="array" ref="G1472:L1472">_xlfn.XLOOKUP(C1472,Sales_Fact!C1472:C3456,Sales_Fact!E1472:J3456)</f>
        <v>STORE11</v>
      </c>
      <c r="H1472" s="22">
        <v>1</v>
      </c>
      <c r="I1472" s="22">
        <v>861.5</v>
      </c>
      <c r="J1472" s="22">
        <v>0.05</v>
      </c>
      <c r="K1472" s="22" t="str">
        <v>COD</v>
      </c>
      <c r="L1472" s="22">
        <v>818.42499999999995</v>
      </c>
    </row>
    <row r="1473" spans="1:12" x14ac:dyDescent="0.3">
      <c r="A1473" s="22" t="s">
        <v>3282</v>
      </c>
      <c r="B1473" s="34" cm="1">
        <f t="array" ref="B1473:C1473">_xlfn.XLOOKUP(A1473,Sales_Fact!A1473:A3457,Sales_Fact!B1473:C3457)</f>
        <v>45664</v>
      </c>
      <c r="C1473" s="22" t="str">
        <v>CUST1462</v>
      </c>
      <c r="D1473" s="22" t="str">
        <f>VLOOKUP('Combine Products &amp; Sales Facts'!C1473,'Customer Details'!A:B,2,0)</f>
        <v>Beth Martin</v>
      </c>
      <c r="E1473" s="22" t="str">
        <f>VLOOKUP(C1473,Sales_Fact!C:D,2,0)</f>
        <v>PROD33</v>
      </c>
      <c r="F1473" s="22" t="str">
        <f>VLOOKUP(E1473,Product_Dim!A:C,3,0)</f>
        <v>Home</v>
      </c>
      <c r="G1473" s="22" t="str" cm="1">
        <f t="array" ref="G1473:L1473">_xlfn.XLOOKUP(C1473,Sales_Fact!C1473:C3457,Sales_Fact!E1473:J3457)</f>
        <v>STORE14</v>
      </c>
      <c r="H1473" s="22">
        <v>1</v>
      </c>
      <c r="I1473" s="22">
        <v>588.29999999999995</v>
      </c>
      <c r="J1473" s="22">
        <v>0.26</v>
      </c>
      <c r="K1473" s="22" t="str">
        <v>COD</v>
      </c>
      <c r="L1473" s="22">
        <v>435.34199999999998</v>
      </c>
    </row>
    <row r="1474" spans="1:12" x14ac:dyDescent="0.3">
      <c r="A1474" s="22" t="s">
        <v>3283</v>
      </c>
      <c r="B1474" s="34" cm="1">
        <f t="array" ref="B1474:C1474">_xlfn.XLOOKUP(A1474,Sales_Fact!A1474:A3458,Sales_Fact!B1474:C3458)</f>
        <v>45645</v>
      </c>
      <c r="C1474" s="22" t="str">
        <v>CUST1462</v>
      </c>
      <c r="D1474" s="22" t="str">
        <f>VLOOKUP('Combine Products &amp; Sales Facts'!C1474,'Customer Details'!A:B,2,0)</f>
        <v>Beth Martin</v>
      </c>
      <c r="E1474" s="22" t="str">
        <f>VLOOKUP(C1474,Sales_Fact!C:D,2,0)</f>
        <v>PROD33</v>
      </c>
      <c r="F1474" s="22" t="str">
        <f>VLOOKUP(E1474,Product_Dim!A:C,3,0)</f>
        <v>Home</v>
      </c>
      <c r="G1474" s="22" t="str" cm="1">
        <f t="array" ref="G1474:L1474">_xlfn.XLOOKUP(C1474,Sales_Fact!C1474:C3458,Sales_Fact!E1474:J3458)</f>
        <v>STORE7</v>
      </c>
      <c r="H1474" s="22">
        <v>1</v>
      </c>
      <c r="I1474" s="22">
        <v>917.26</v>
      </c>
      <c r="J1474" s="22">
        <v>0.05</v>
      </c>
      <c r="K1474" s="22" t="str">
        <v>PayPal</v>
      </c>
      <c r="L1474" s="22">
        <v>871.39699999999993</v>
      </c>
    </row>
    <row r="1475" spans="1:12" x14ac:dyDescent="0.3">
      <c r="A1475" s="22" t="s">
        <v>3284</v>
      </c>
      <c r="B1475" s="34" cm="1">
        <f t="array" ref="B1475:C1475">_xlfn.XLOOKUP(A1475,Sales_Fact!A1475:A3459,Sales_Fact!B1475:C3459)</f>
        <v>45449</v>
      </c>
      <c r="C1475" s="22" t="str">
        <v>CUST1233</v>
      </c>
      <c r="D1475" s="22" t="str">
        <f>VLOOKUP('Combine Products &amp; Sales Facts'!C1475,'Customer Details'!A:B,2,0)</f>
        <v>Michelle Gonzalez</v>
      </c>
      <c r="E1475" s="22" t="str">
        <f>VLOOKUP(C1475,Sales_Fact!C:D,2,0)</f>
        <v>PROD88</v>
      </c>
      <c r="F1475" s="22" t="str">
        <f>VLOOKUP(E1475,Product_Dim!A:C,3,0)</f>
        <v>Sports</v>
      </c>
      <c r="G1475" s="22" t="str" cm="1">
        <f t="array" ref="G1475:L1475">_xlfn.XLOOKUP(C1475,Sales_Fact!C1475:C3459,Sales_Fact!E1475:J3459)</f>
        <v>STORE18</v>
      </c>
      <c r="H1475" s="22">
        <v>4</v>
      </c>
      <c r="I1475" s="22">
        <v>96.78</v>
      </c>
      <c r="J1475" s="22">
        <v>0.11</v>
      </c>
      <c r="K1475" s="22" t="str">
        <v>PayPal</v>
      </c>
      <c r="L1475" s="22">
        <v>344.53680000000003</v>
      </c>
    </row>
    <row r="1476" spans="1:12" x14ac:dyDescent="0.3">
      <c r="A1476" s="22" t="s">
        <v>3285</v>
      </c>
      <c r="B1476" s="34" cm="1">
        <f t="array" ref="B1476:C1476">_xlfn.XLOOKUP(A1476,Sales_Fact!A1476:A3460,Sales_Fact!B1476:C3460)</f>
        <v>45629</v>
      </c>
      <c r="C1476" s="22" t="str">
        <v>CUST1478</v>
      </c>
      <c r="D1476" s="22" t="str">
        <f>VLOOKUP('Combine Products &amp; Sales Facts'!C1476,'Customer Details'!A:B,2,0)</f>
        <v>Earl Smith Dds</v>
      </c>
      <c r="E1476" s="22" t="str">
        <f>VLOOKUP(C1476,Sales_Fact!C:D,2,0)</f>
        <v>PROD39</v>
      </c>
      <c r="F1476" s="22" t="str">
        <f>VLOOKUP(E1476,Product_Dim!A:C,3,0)</f>
        <v>Electronics</v>
      </c>
      <c r="G1476" s="22" t="str" cm="1">
        <f t="array" ref="G1476:L1476">_xlfn.XLOOKUP(C1476,Sales_Fact!C1476:C3460,Sales_Fact!E1476:J3460)</f>
        <v>STORE4</v>
      </c>
      <c r="H1476" s="22">
        <v>3</v>
      </c>
      <c r="I1476" s="22">
        <v>199.41</v>
      </c>
      <c r="J1476" s="22">
        <v>0.16</v>
      </c>
      <c r="K1476" s="22" t="str">
        <v>COD</v>
      </c>
      <c r="L1476" s="22">
        <v>502.51319999999998</v>
      </c>
    </row>
    <row r="1477" spans="1:12" x14ac:dyDescent="0.3">
      <c r="A1477" s="22" t="s">
        <v>3286</v>
      </c>
      <c r="B1477" s="34" cm="1">
        <f t="array" ref="B1477:C1477">_xlfn.XLOOKUP(A1477,Sales_Fact!A1477:A3461,Sales_Fact!B1477:C3461)</f>
        <v>45739</v>
      </c>
      <c r="C1477" s="22" t="str">
        <v>CUST1019</v>
      </c>
      <c r="D1477" s="22" t="str">
        <f>VLOOKUP('Combine Products &amp; Sales Facts'!C1477,'Customer Details'!A:B,2,0)</f>
        <v>Michael Torres</v>
      </c>
      <c r="E1477" s="22" t="str">
        <f>VLOOKUP(C1477,Sales_Fact!C:D,2,0)</f>
        <v>PROD76</v>
      </c>
      <c r="F1477" s="22" t="str">
        <f>VLOOKUP(E1477,Product_Dim!A:C,3,0)</f>
        <v>Electronics</v>
      </c>
      <c r="G1477" s="22" t="str" cm="1">
        <f t="array" ref="G1477:L1477">_xlfn.XLOOKUP(C1477,Sales_Fact!C1477:C3461,Sales_Fact!E1477:J3461)</f>
        <v>STORE9</v>
      </c>
      <c r="H1477" s="22">
        <v>1</v>
      </c>
      <c r="I1477" s="22">
        <v>687.91</v>
      </c>
      <c r="J1477" s="22">
        <v>0.25</v>
      </c>
      <c r="K1477" s="22" t="str">
        <v>Credit Card</v>
      </c>
      <c r="L1477" s="22">
        <v>515.9325</v>
      </c>
    </row>
    <row r="1478" spans="1:12" x14ac:dyDescent="0.3">
      <c r="A1478" s="22" t="s">
        <v>3287</v>
      </c>
      <c r="B1478" s="34" cm="1">
        <f t="array" ref="B1478:C1478">_xlfn.XLOOKUP(A1478,Sales_Fact!A1478:A3462,Sales_Fact!B1478:C3462)</f>
        <v>45849</v>
      </c>
      <c r="C1478" s="22" t="str">
        <v>CUST1039</v>
      </c>
      <c r="D1478" s="22" t="str">
        <f>VLOOKUP('Combine Products &amp; Sales Facts'!C1478,'Customer Details'!A:B,2,0)</f>
        <v>Tonya Reynolds</v>
      </c>
      <c r="E1478" s="22" t="str">
        <f>VLOOKUP(C1478,Sales_Fact!C:D,2,0)</f>
        <v>PROD74</v>
      </c>
      <c r="F1478" s="22" t="str">
        <f>VLOOKUP(E1478,Product_Dim!A:C,3,0)</f>
        <v>Electronics</v>
      </c>
      <c r="G1478" s="22" t="str" cm="1">
        <f t="array" ref="G1478:L1478">_xlfn.XLOOKUP(C1478,Sales_Fact!C1478:C3462,Sales_Fact!E1478:J3462)</f>
        <v>STORE2</v>
      </c>
      <c r="H1478" s="22">
        <v>3</v>
      </c>
      <c r="I1478" s="22">
        <v>769.62</v>
      </c>
      <c r="J1478" s="22">
        <v>0.09</v>
      </c>
      <c r="K1478" s="22" t="str">
        <v>PayPal</v>
      </c>
      <c r="L1478" s="22">
        <v>2101.0626000000002</v>
      </c>
    </row>
    <row r="1479" spans="1:12" x14ac:dyDescent="0.3">
      <c r="A1479" s="22" t="s">
        <v>3288</v>
      </c>
      <c r="B1479" s="34" cm="1">
        <f t="array" ref="B1479:C1479">_xlfn.XLOOKUP(A1479,Sales_Fact!A1479:A3463,Sales_Fact!B1479:C3463)</f>
        <v>45230</v>
      </c>
      <c r="C1479" s="22" t="str">
        <v>CUST1220</v>
      </c>
      <c r="D1479" s="22" t="str">
        <f>VLOOKUP('Combine Products &amp; Sales Facts'!C1479,'Customer Details'!A:B,2,0)</f>
        <v>George Davis</v>
      </c>
      <c r="E1479" s="22" t="str">
        <f>VLOOKUP(C1479,Sales_Fact!C:D,2,0)</f>
        <v>PROD29</v>
      </c>
      <c r="F1479" s="22" t="str">
        <f>VLOOKUP(E1479,Product_Dim!A:C,3,0)</f>
        <v>Home</v>
      </c>
      <c r="G1479" s="22" t="str" cm="1">
        <f t="array" ref="G1479:L1479">_xlfn.XLOOKUP(C1479,Sales_Fact!C1479:C3463,Sales_Fact!E1479:J3463)</f>
        <v>STORE3</v>
      </c>
      <c r="H1479" s="22">
        <v>1</v>
      </c>
      <c r="I1479" s="22">
        <v>492.05</v>
      </c>
      <c r="J1479" s="22">
        <v>0.27</v>
      </c>
      <c r="K1479" s="22" t="str">
        <v>Credit Card</v>
      </c>
      <c r="L1479" s="22">
        <v>359.19650000000001</v>
      </c>
    </row>
    <row r="1480" spans="1:12" x14ac:dyDescent="0.3">
      <c r="A1480" s="22" t="s">
        <v>3289</v>
      </c>
      <c r="B1480" s="34" cm="1">
        <f t="array" ref="B1480:C1480">_xlfn.XLOOKUP(A1480,Sales_Fact!A1480:A3464,Sales_Fact!B1480:C3464)</f>
        <v>45292</v>
      </c>
      <c r="C1480" s="22" t="str">
        <v>CUST1104</v>
      </c>
      <c r="D1480" s="22" t="str">
        <f>VLOOKUP('Combine Products &amp; Sales Facts'!C1480,'Customer Details'!A:B,2,0)</f>
        <v>Christopher Lester</v>
      </c>
      <c r="E1480" s="22" t="str">
        <f>VLOOKUP(C1480,Sales_Fact!C:D,2,0)</f>
        <v>PROD25</v>
      </c>
      <c r="F1480" s="22" t="str">
        <f>VLOOKUP(E1480,Product_Dim!A:C,3,0)</f>
        <v>Clothing</v>
      </c>
      <c r="G1480" s="22" t="str" cm="1">
        <f t="array" ref="G1480:L1480">_xlfn.XLOOKUP(C1480,Sales_Fact!C1480:C3464,Sales_Fact!E1480:J3464)</f>
        <v>STORE12</v>
      </c>
      <c r="H1480" s="22">
        <v>2</v>
      </c>
      <c r="I1480" s="22">
        <v>428.55</v>
      </c>
      <c r="J1480" s="22">
        <v>0</v>
      </c>
      <c r="K1480" s="22" t="str">
        <v>PayPal</v>
      </c>
      <c r="L1480" s="22">
        <v>857.1</v>
      </c>
    </row>
    <row r="1481" spans="1:12" x14ac:dyDescent="0.3">
      <c r="A1481" s="22" t="s">
        <v>3290</v>
      </c>
      <c r="B1481" s="34" cm="1">
        <f t="array" ref="B1481:C1481">_xlfn.XLOOKUP(A1481,Sales_Fact!A1481:A3465,Sales_Fact!B1481:C3465)</f>
        <v>45251</v>
      </c>
      <c r="C1481" s="22" t="str">
        <v>CUST1229</v>
      </c>
      <c r="D1481" s="22" t="str">
        <f>VLOOKUP('Combine Products &amp; Sales Facts'!C1481,'Customer Details'!A:B,2,0)</f>
        <v>Tanner Thompson</v>
      </c>
      <c r="E1481" s="22" t="str">
        <f>VLOOKUP(C1481,Sales_Fact!C:D,2,0)</f>
        <v>PROD52</v>
      </c>
      <c r="F1481" s="22" t="str">
        <f>VLOOKUP(E1481,Product_Dim!A:C,3,0)</f>
        <v>Sports</v>
      </c>
      <c r="G1481" s="22" t="str" cm="1">
        <f t="array" ref="G1481:L1481">_xlfn.XLOOKUP(C1481,Sales_Fact!C1481:C3465,Sales_Fact!E1481:J3465)</f>
        <v>STORE15</v>
      </c>
      <c r="H1481" s="22">
        <v>4</v>
      </c>
      <c r="I1481" s="22">
        <v>316.18</v>
      </c>
      <c r="J1481" s="22">
        <v>0.12</v>
      </c>
      <c r="K1481" s="22" t="str">
        <v>Credit Card</v>
      </c>
      <c r="L1481" s="22">
        <v>1112.9536000000001</v>
      </c>
    </row>
    <row r="1482" spans="1:12" x14ac:dyDescent="0.3">
      <c r="A1482" s="22" t="s">
        <v>3291</v>
      </c>
      <c r="B1482" s="34" cm="1">
        <f t="array" ref="B1482:C1482">_xlfn.XLOOKUP(A1482,Sales_Fact!A1482:A3466,Sales_Fact!B1482:C3466)</f>
        <v>45555</v>
      </c>
      <c r="C1482" s="22" t="str">
        <v>CUST1007</v>
      </c>
      <c r="D1482" s="22" t="str">
        <f>VLOOKUP('Combine Products &amp; Sales Facts'!C1482,'Customer Details'!A:B,2,0)</f>
        <v>Daniel Boyd</v>
      </c>
      <c r="E1482" s="22" t="str">
        <f>VLOOKUP(C1482,Sales_Fact!C:D,2,0)</f>
        <v>PROD67</v>
      </c>
      <c r="F1482" s="22" t="str">
        <f>VLOOKUP(E1482,Product_Dim!A:C,3,0)</f>
        <v>Electronics</v>
      </c>
      <c r="G1482" s="22" t="str" cm="1">
        <f t="array" ref="G1482:L1482">_xlfn.XLOOKUP(C1482,Sales_Fact!C1482:C3466,Sales_Fact!E1482:J3466)</f>
        <v>STORE3</v>
      </c>
      <c r="H1482" s="22">
        <v>3</v>
      </c>
      <c r="I1482" s="22">
        <v>162.16999999999999</v>
      </c>
      <c r="J1482" s="22">
        <v>0.15</v>
      </c>
      <c r="K1482" s="22" t="str">
        <v>PayPal</v>
      </c>
      <c r="L1482" s="22">
        <v>413.5335</v>
      </c>
    </row>
    <row r="1483" spans="1:12" x14ac:dyDescent="0.3">
      <c r="A1483" s="22" t="s">
        <v>3292</v>
      </c>
      <c r="B1483" s="34" cm="1">
        <f t="array" ref="B1483:C1483">_xlfn.XLOOKUP(A1483,Sales_Fact!A1483:A3467,Sales_Fact!B1483:C3467)</f>
        <v>45385</v>
      </c>
      <c r="C1483" s="22" t="str">
        <v>CUST1331</v>
      </c>
      <c r="D1483" s="22" t="str">
        <f>VLOOKUP('Combine Products &amp; Sales Facts'!C1483,'Customer Details'!A:B,2,0)</f>
        <v>Maria Phillips</v>
      </c>
      <c r="E1483" s="22" t="str">
        <f>VLOOKUP(C1483,Sales_Fact!C:D,2,0)</f>
        <v>PROD4</v>
      </c>
      <c r="F1483" s="22" t="str">
        <f>VLOOKUP(E1483,Product_Dim!A:C,3,0)</f>
        <v>Clothing</v>
      </c>
      <c r="G1483" s="22" t="str" cm="1">
        <f t="array" ref="G1483:L1483">_xlfn.XLOOKUP(C1483,Sales_Fact!C1483:C3467,Sales_Fact!E1483:J3467)</f>
        <v>STORE3</v>
      </c>
      <c r="H1483" s="22">
        <v>3</v>
      </c>
      <c r="I1483" s="22">
        <v>698.14</v>
      </c>
      <c r="J1483" s="22">
        <v>0.04</v>
      </c>
      <c r="K1483" s="22" t="str">
        <v>PayPal</v>
      </c>
      <c r="L1483" s="22">
        <v>2010.6432</v>
      </c>
    </row>
    <row r="1484" spans="1:12" x14ac:dyDescent="0.3">
      <c r="A1484" s="22" t="s">
        <v>3293</v>
      </c>
      <c r="B1484" s="34" cm="1">
        <f t="array" ref="B1484:C1484">_xlfn.XLOOKUP(A1484,Sales_Fact!A1484:A3468,Sales_Fact!B1484:C3468)</f>
        <v>45787</v>
      </c>
      <c r="C1484" s="22" t="str">
        <v>CUST1310</v>
      </c>
      <c r="D1484" s="22" t="str">
        <f>VLOOKUP('Combine Products &amp; Sales Facts'!C1484,'Customer Details'!A:B,2,0)</f>
        <v>Kara Dodson</v>
      </c>
      <c r="E1484" s="22" t="str">
        <f>VLOOKUP(C1484,Sales_Fact!C:D,2,0)</f>
        <v>PROD17</v>
      </c>
      <c r="F1484" s="22" t="str">
        <f>VLOOKUP(E1484,Product_Dim!A:C,3,0)</f>
        <v>Sports</v>
      </c>
      <c r="G1484" s="22" t="str" cm="1">
        <f t="array" ref="G1484:L1484">_xlfn.XLOOKUP(C1484,Sales_Fact!C1484:C3468,Sales_Fact!E1484:J3468)</f>
        <v>STORE18</v>
      </c>
      <c r="H1484" s="22">
        <v>1</v>
      </c>
      <c r="I1484" s="22">
        <v>478.08</v>
      </c>
      <c r="J1484" s="22">
        <v>7.0000000000000007E-2</v>
      </c>
      <c r="K1484" s="22" t="str">
        <v>COD</v>
      </c>
      <c r="L1484" s="22">
        <v>444.61439999999988</v>
      </c>
    </row>
    <row r="1485" spans="1:12" x14ac:dyDescent="0.3">
      <c r="A1485" s="22" t="s">
        <v>3294</v>
      </c>
      <c r="B1485" s="34" cm="1">
        <f t="array" ref="B1485:C1485">_xlfn.XLOOKUP(A1485,Sales_Fact!A1485:A3469,Sales_Fact!B1485:C3469)</f>
        <v>45822</v>
      </c>
      <c r="C1485" s="22" t="str">
        <v>CUST1208</v>
      </c>
      <c r="D1485" s="22" t="str">
        <f>VLOOKUP('Combine Products &amp; Sales Facts'!C1485,'Customer Details'!A:B,2,0)</f>
        <v>John Perez</v>
      </c>
      <c r="E1485" s="22" t="str">
        <f>VLOOKUP(C1485,Sales_Fact!C:D,2,0)</f>
        <v>PROD34</v>
      </c>
      <c r="F1485" s="22" t="str">
        <f>VLOOKUP(E1485,Product_Dim!A:C,3,0)</f>
        <v>Electronics</v>
      </c>
      <c r="G1485" s="22" t="str" cm="1">
        <f t="array" ref="G1485:L1485">_xlfn.XLOOKUP(C1485,Sales_Fact!C1485:C3469,Sales_Fact!E1485:J3469)</f>
        <v>STORE7</v>
      </c>
      <c r="H1485" s="22">
        <v>2</v>
      </c>
      <c r="I1485" s="22">
        <v>958.64</v>
      </c>
      <c r="J1485" s="22">
        <v>0.2</v>
      </c>
      <c r="K1485" s="22" t="str">
        <v>PayPal</v>
      </c>
      <c r="L1485" s="22">
        <v>1533.8240000000001</v>
      </c>
    </row>
    <row r="1486" spans="1:12" x14ac:dyDescent="0.3">
      <c r="A1486" s="22" t="s">
        <v>3295</v>
      </c>
      <c r="B1486" s="34" cm="1">
        <f t="array" ref="B1486:C1486">_xlfn.XLOOKUP(A1486,Sales_Fact!A1486:A3470,Sales_Fact!B1486:C3470)</f>
        <v>45590</v>
      </c>
      <c r="C1486" s="22" t="str">
        <v>CUST1464</v>
      </c>
      <c r="D1486" s="22" t="str">
        <f>VLOOKUP('Combine Products &amp; Sales Facts'!C1486,'Customer Details'!A:B,2,0)</f>
        <v>David Pierce</v>
      </c>
      <c r="E1486" s="22" t="str">
        <f>VLOOKUP(C1486,Sales_Fact!C:D,2,0)</f>
        <v>PROD33</v>
      </c>
      <c r="F1486" s="22" t="str">
        <f>VLOOKUP(E1486,Product_Dim!A:C,3,0)</f>
        <v>Home</v>
      </c>
      <c r="G1486" s="22" t="str" cm="1">
        <f t="array" ref="G1486:L1486">_xlfn.XLOOKUP(C1486,Sales_Fact!C1486:C3470,Sales_Fact!E1486:J3470)</f>
        <v>STORE12</v>
      </c>
      <c r="H1486" s="22">
        <v>2</v>
      </c>
      <c r="I1486" s="22">
        <v>581.19000000000005</v>
      </c>
      <c r="J1486" s="22">
        <v>7.0000000000000007E-2</v>
      </c>
      <c r="K1486" s="22" t="str">
        <v>COD</v>
      </c>
      <c r="L1486" s="22">
        <v>1081.0134</v>
      </c>
    </row>
    <row r="1487" spans="1:12" x14ac:dyDescent="0.3">
      <c r="A1487" s="22" t="s">
        <v>3296</v>
      </c>
      <c r="B1487" s="34" cm="1">
        <f t="array" ref="B1487:C1487">_xlfn.XLOOKUP(A1487,Sales_Fact!A1487:A3471,Sales_Fact!B1487:C3471)</f>
        <v>45618</v>
      </c>
      <c r="C1487" s="22" t="str">
        <v>CUST1112</v>
      </c>
      <c r="D1487" s="22" t="str">
        <f>VLOOKUP('Combine Products &amp; Sales Facts'!C1487,'Customer Details'!A:B,2,0)</f>
        <v>David Cole</v>
      </c>
      <c r="E1487" s="22" t="str">
        <f>VLOOKUP(C1487,Sales_Fact!C:D,2,0)</f>
        <v>PROD40</v>
      </c>
      <c r="F1487" s="22" t="str">
        <f>VLOOKUP(E1487,Product_Dim!A:C,3,0)</f>
        <v>Electronics</v>
      </c>
      <c r="G1487" s="22" t="str" cm="1">
        <f t="array" ref="G1487:L1487">_xlfn.XLOOKUP(C1487,Sales_Fact!C1487:C3471,Sales_Fact!E1487:J3471)</f>
        <v>STORE11</v>
      </c>
      <c r="H1487" s="22">
        <v>1</v>
      </c>
      <c r="I1487" s="22">
        <v>736.54</v>
      </c>
      <c r="J1487" s="22">
        <v>0.16</v>
      </c>
      <c r="K1487" s="22" t="str">
        <v>PayPal</v>
      </c>
      <c r="L1487" s="22">
        <v>618.69359999999995</v>
      </c>
    </row>
    <row r="1488" spans="1:12" x14ac:dyDescent="0.3">
      <c r="A1488" s="22" t="s">
        <v>3297</v>
      </c>
      <c r="B1488" s="34" cm="1">
        <f t="array" ref="B1488:C1488">_xlfn.XLOOKUP(A1488,Sales_Fact!A1488:A3472,Sales_Fact!B1488:C3472)</f>
        <v>45586</v>
      </c>
      <c r="C1488" s="22" t="str">
        <v>CUST1401</v>
      </c>
      <c r="D1488" s="22" t="str">
        <f>VLOOKUP('Combine Products &amp; Sales Facts'!C1488,'Customer Details'!A:B,2,0)</f>
        <v>Terry Moses</v>
      </c>
      <c r="E1488" s="22" t="str">
        <f>VLOOKUP(C1488,Sales_Fact!C:D,2,0)</f>
        <v>PROD34</v>
      </c>
      <c r="F1488" s="22" t="str">
        <f>VLOOKUP(E1488,Product_Dim!A:C,3,0)</f>
        <v>Electronics</v>
      </c>
      <c r="G1488" s="22" t="str" cm="1">
        <f t="array" ref="G1488:L1488">_xlfn.XLOOKUP(C1488,Sales_Fact!C1488:C3472,Sales_Fact!E1488:J3472)</f>
        <v>STORE15</v>
      </c>
      <c r="H1488" s="22">
        <v>1</v>
      </c>
      <c r="I1488" s="22">
        <v>524</v>
      </c>
      <c r="J1488" s="22">
        <v>0.28000000000000003</v>
      </c>
      <c r="K1488" s="22" t="str">
        <v>Credit Card</v>
      </c>
      <c r="L1488" s="22">
        <v>377.28</v>
      </c>
    </row>
    <row r="1489" spans="1:12" x14ac:dyDescent="0.3">
      <c r="A1489" s="22" t="s">
        <v>3298</v>
      </c>
      <c r="B1489" s="34" cm="1">
        <f t="array" ref="B1489:C1489">_xlfn.XLOOKUP(A1489,Sales_Fact!A1489:A3473,Sales_Fact!B1489:C3473)</f>
        <v>45548</v>
      </c>
      <c r="C1489" s="22" t="str">
        <v>CUST1046</v>
      </c>
      <c r="D1489" s="22" t="str">
        <f>VLOOKUP('Combine Products &amp; Sales Facts'!C1489,'Customer Details'!A:B,2,0)</f>
        <v>Michelle Garcia Dds</v>
      </c>
      <c r="E1489" s="22" t="str">
        <f>VLOOKUP(C1489,Sales_Fact!C:D,2,0)</f>
        <v>PROD23</v>
      </c>
      <c r="F1489" s="22" t="str">
        <f>VLOOKUP(E1489,Product_Dim!A:C,3,0)</f>
        <v>Clothing</v>
      </c>
      <c r="G1489" s="22" t="str" cm="1">
        <f t="array" ref="G1489:L1489">_xlfn.XLOOKUP(C1489,Sales_Fact!C1489:C3473,Sales_Fact!E1489:J3473)</f>
        <v>STORE3</v>
      </c>
      <c r="H1489" s="22">
        <v>4</v>
      </c>
      <c r="I1489" s="22">
        <v>566.09</v>
      </c>
      <c r="J1489" s="22">
        <v>0.28000000000000003</v>
      </c>
      <c r="K1489" s="22" t="str">
        <v>COD</v>
      </c>
      <c r="L1489" s="22">
        <v>1630.3391999999999</v>
      </c>
    </row>
    <row r="1490" spans="1:12" x14ac:dyDescent="0.3">
      <c r="A1490" s="22" t="s">
        <v>3299</v>
      </c>
      <c r="B1490" s="34" cm="1">
        <f t="array" ref="B1490:C1490">_xlfn.XLOOKUP(A1490,Sales_Fact!A1490:A3474,Sales_Fact!B1490:C3474)</f>
        <v>45772</v>
      </c>
      <c r="C1490" s="22" t="str">
        <v>CUST1259</v>
      </c>
      <c r="D1490" s="22" t="str">
        <f>VLOOKUP('Combine Products &amp; Sales Facts'!C1490,'Customer Details'!A:B,2,0)</f>
        <v>Beth Allen</v>
      </c>
      <c r="E1490" s="22" t="str">
        <f>VLOOKUP(C1490,Sales_Fact!C:D,2,0)</f>
        <v>PROD13</v>
      </c>
      <c r="F1490" s="22" t="str">
        <f>VLOOKUP(E1490,Product_Dim!A:C,3,0)</f>
        <v>Electronics</v>
      </c>
      <c r="G1490" s="22" t="str" cm="1">
        <f t="array" ref="G1490:L1490">_xlfn.XLOOKUP(C1490,Sales_Fact!C1490:C3474,Sales_Fact!E1490:J3474)</f>
        <v>STORE10</v>
      </c>
      <c r="H1490" s="22">
        <v>1</v>
      </c>
      <c r="I1490" s="22">
        <v>251.99</v>
      </c>
      <c r="J1490" s="22">
        <v>0.09</v>
      </c>
      <c r="K1490" s="22" t="str">
        <v>Credit Card</v>
      </c>
      <c r="L1490" s="22">
        <v>229.3109</v>
      </c>
    </row>
    <row r="1491" spans="1:12" x14ac:dyDescent="0.3">
      <c r="A1491" s="22" t="s">
        <v>3300</v>
      </c>
      <c r="B1491" s="34" cm="1">
        <f t="array" ref="B1491:C1491">_xlfn.XLOOKUP(A1491,Sales_Fact!A1491:A3475,Sales_Fact!B1491:C3475)</f>
        <v>45361</v>
      </c>
      <c r="C1491" s="22" t="str">
        <v>CUST1221</v>
      </c>
      <c r="D1491" s="22" t="str">
        <f>VLOOKUP('Combine Products &amp; Sales Facts'!C1491,'Customer Details'!A:B,2,0)</f>
        <v>Lisa Young</v>
      </c>
      <c r="E1491" s="22" t="str">
        <f>VLOOKUP(C1491,Sales_Fact!C:D,2,0)</f>
        <v>PROD83</v>
      </c>
      <c r="F1491" s="22" t="str">
        <f>VLOOKUP(E1491,Product_Dim!A:C,3,0)</f>
        <v>Beauty</v>
      </c>
      <c r="G1491" s="22" t="str" cm="1">
        <f t="array" ref="G1491:L1491">_xlfn.XLOOKUP(C1491,Sales_Fact!C1491:C3475,Sales_Fact!E1491:J3475)</f>
        <v>STORE19</v>
      </c>
      <c r="H1491" s="22">
        <v>1</v>
      </c>
      <c r="I1491" s="22">
        <v>259.2</v>
      </c>
      <c r="J1491" s="22">
        <v>0.27</v>
      </c>
      <c r="K1491" s="22" t="str">
        <v>COD</v>
      </c>
      <c r="L1491" s="22">
        <v>189.21600000000001</v>
      </c>
    </row>
    <row r="1492" spans="1:12" x14ac:dyDescent="0.3">
      <c r="A1492" s="22" t="s">
        <v>3301</v>
      </c>
      <c r="B1492" s="34" cm="1">
        <f t="array" ref="B1492:C1492">_xlfn.XLOOKUP(A1492,Sales_Fact!A1492:A3476,Sales_Fact!B1492:C3476)</f>
        <v>45235</v>
      </c>
      <c r="C1492" s="22" t="str">
        <v>CUST1446</v>
      </c>
      <c r="D1492" s="22" t="str">
        <f>VLOOKUP('Combine Products &amp; Sales Facts'!C1492,'Customer Details'!A:B,2,0)</f>
        <v>Shannon Turner</v>
      </c>
      <c r="E1492" s="22" t="str">
        <f>VLOOKUP(C1492,Sales_Fact!C:D,2,0)</f>
        <v>PROD31</v>
      </c>
      <c r="F1492" s="22" t="str">
        <f>VLOOKUP(E1492,Product_Dim!A:C,3,0)</f>
        <v>Sports</v>
      </c>
      <c r="G1492" s="22" t="str" cm="1">
        <f t="array" ref="G1492:L1492">_xlfn.XLOOKUP(C1492,Sales_Fact!C1492:C3476,Sales_Fact!E1492:J3476)</f>
        <v>STORE15</v>
      </c>
      <c r="H1492" s="22">
        <v>1</v>
      </c>
      <c r="I1492" s="22">
        <v>935.66</v>
      </c>
      <c r="J1492" s="22">
        <v>0.26</v>
      </c>
      <c r="K1492" s="22" t="str">
        <v>PayPal</v>
      </c>
      <c r="L1492" s="22">
        <v>692.38839999999993</v>
      </c>
    </row>
    <row r="1493" spans="1:12" x14ac:dyDescent="0.3">
      <c r="A1493" s="22" t="s">
        <v>3302</v>
      </c>
      <c r="B1493" s="34" cm="1">
        <f t="array" ref="B1493:C1493">_xlfn.XLOOKUP(A1493,Sales_Fact!A1493:A3477,Sales_Fact!B1493:C3477)</f>
        <v>45864</v>
      </c>
      <c r="C1493" s="22" t="str">
        <v>CUST1469</v>
      </c>
      <c r="D1493" s="22" t="str">
        <f>VLOOKUP('Combine Products &amp; Sales Facts'!C1493,'Customer Details'!A:B,2,0)</f>
        <v>James Foster</v>
      </c>
      <c r="E1493" s="22" t="str">
        <f>VLOOKUP(C1493,Sales_Fact!C:D,2,0)</f>
        <v>PROD45</v>
      </c>
      <c r="F1493" s="22" t="str">
        <f>VLOOKUP(E1493,Product_Dim!A:C,3,0)</f>
        <v>Sports</v>
      </c>
      <c r="G1493" s="22" t="str" cm="1">
        <f t="array" ref="G1493:L1493">_xlfn.XLOOKUP(C1493,Sales_Fact!C1493:C3477,Sales_Fact!E1493:J3477)</f>
        <v>STORE8</v>
      </c>
      <c r="H1493" s="22">
        <v>4</v>
      </c>
      <c r="I1493" s="22">
        <v>480.75</v>
      </c>
      <c r="J1493" s="22">
        <v>0.02</v>
      </c>
      <c r="K1493" s="22" t="str">
        <v>Credit Card</v>
      </c>
      <c r="L1493" s="22">
        <v>1884.54</v>
      </c>
    </row>
    <row r="1494" spans="1:12" x14ac:dyDescent="0.3">
      <c r="A1494" s="22" t="s">
        <v>3303</v>
      </c>
      <c r="B1494" s="34" cm="1">
        <f t="array" ref="B1494:C1494">_xlfn.XLOOKUP(A1494,Sales_Fact!A1494:A3478,Sales_Fact!B1494:C3478)</f>
        <v>45681</v>
      </c>
      <c r="C1494" s="22" t="str">
        <v>CUST1369</v>
      </c>
      <c r="D1494" s="22" t="str">
        <f>VLOOKUP('Combine Products &amp; Sales Facts'!C1494,'Customer Details'!A:B,2,0)</f>
        <v>Gregory Allen</v>
      </c>
      <c r="E1494" s="22" t="str">
        <f>VLOOKUP(C1494,Sales_Fact!C:D,2,0)</f>
        <v>PROD33</v>
      </c>
      <c r="F1494" s="22" t="str">
        <f>VLOOKUP(E1494,Product_Dim!A:C,3,0)</f>
        <v>Home</v>
      </c>
      <c r="G1494" s="22" t="str" cm="1">
        <f t="array" ref="G1494:L1494">_xlfn.XLOOKUP(C1494,Sales_Fact!C1494:C3478,Sales_Fact!E1494:J3478)</f>
        <v>STORE15</v>
      </c>
      <c r="H1494" s="22">
        <v>2</v>
      </c>
      <c r="I1494" s="22">
        <v>457.83</v>
      </c>
      <c r="J1494" s="22">
        <v>0.01</v>
      </c>
      <c r="K1494" s="22" t="str">
        <v>COD</v>
      </c>
      <c r="L1494" s="22">
        <v>906.50339999999994</v>
      </c>
    </row>
    <row r="1495" spans="1:12" x14ac:dyDescent="0.3">
      <c r="A1495" s="22" t="s">
        <v>3304</v>
      </c>
      <c r="B1495" s="34" cm="1">
        <f t="array" ref="B1495:C1495">_xlfn.XLOOKUP(A1495,Sales_Fact!A1495:A3479,Sales_Fact!B1495:C3479)</f>
        <v>45905</v>
      </c>
      <c r="C1495" s="22" t="str">
        <v>CUST1164</v>
      </c>
      <c r="D1495" s="22" t="str">
        <f>VLOOKUP('Combine Products &amp; Sales Facts'!C1495,'Customer Details'!A:B,2,0)</f>
        <v>Daniel Rivas</v>
      </c>
      <c r="E1495" s="22" t="str">
        <f>VLOOKUP(C1495,Sales_Fact!C:D,2,0)</f>
        <v>PROD48</v>
      </c>
      <c r="F1495" s="22" t="str">
        <f>VLOOKUP(E1495,Product_Dim!A:C,3,0)</f>
        <v>Electronics</v>
      </c>
      <c r="G1495" s="22" t="str" cm="1">
        <f t="array" ref="G1495:L1495">_xlfn.XLOOKUP(C1495,Sales_Fact!C1495:C3479,Sales_Fact!E1495:J3479)</f>
        <v>STORE14</v>
      </c>
      <c r="H1495" s="22">
        <v>1</v>
      </c>
      <c r="I1495" s="22">
        <v>994.63</v>
      </c>
      <c r="J1495" s="22">
        <v>0.28000000000000003</v>
      </c>
      <c r="K1495" s="22" t="str">
        <v>Credit Card</v>
      </c>
      <c r="L1495" s="22">
        <v>716.1336</v>
      </c>
    </row>
    <row r="1496" spans="1:12" x14ac:dyDescent="0.3">
      <c r="A1496" s="22" t="s">
        <v>3305</v>
      </c>
      <c r="B1496" s="34" cm="1">
        <f t="array" ref="B1496:C1496">_xlfn.XLOOKUP(A1496,Sales_Fact!A1496:A3480,Sales_Fact!B1496:C3480)</f>
        <v>45765</v>
      </c>
      <c r="C1496" s="22" t="str">
        <v>CUST1245</v>
      </c>
      <c r="D1496" s="22" t="str">
        <f>VLOOKUP('Combine Products &amp; Sales Facts'!C1496,'Customer Details'!A:B,2,0)</f>
        <v>Laura Soto</v>
      </c>
      <c r="E1496" s="22" t="str">
        <f>VLOOKUP(C1496,Sales_Fact!C:D,2,0)</f>
        <v>PROD39</v>
      </c>
      <c r="F1496" s="22" t="str">
        <f>VLOOKUP(E1496,Product_Dim!A:C,3,0)</f>
        <v>Electronics</v>
      </c>
      <c r="G1496" s="22" t="str" cm="1">
        <f t="array" ref="G1496:L1496">_xlfn.XLOOKUP(C1496,Sales_Fact!C1496:C3480,Sales_Fact!E1496:J3480)</f>
        <v>STORE0</v>
      </c>
      <c r="H1496" s="22">
        <v>3</v>
      </c>
      <c r="I1496" s="22">
        <v>65.569999999999993</v>
      </c>
      <c r="J1496" s="22">
        <v>0.3</v>
      </c>
      <c r="K1496" s="22" t="str">
        <v>COD</v>
      </c>
      <c r="L1496" s="22">
        <v>137.697</v>
      </c>
    </row>
    <row r="1497" spans="1:12" x14ac:dyDescent="0.3">
      <c r="A1497" s="22" t="s">
        <v>3306</v>
      </c>
      <c r="B1497" s="34" cm="1">
        <f t="array" ref="B1497:C1497">_xlfn.XLOOKUP(A1497,Sales_Fact!A1497:A3481,Sales_Fact!B1497:C3481)</f>
        <v>45821</v>
      </c>
      <c r="C1497" s="22" t="str">
        <v>CUST1160</v>
      </c>
      <c r="D1497" s="22" t="str">
        <f>VLOOKUP('Combine Products &amp; Sales Facts'!C1497,'Customer Details'!A:B,2,0)</f>
        <v>John Lawson</v>
      </c>
      <c r="E1497" s="22" t="str">
        <f>VLOOKUP(C1497,Sales_Fact!C:D,2,0)</f>
        <v>PROD47</v>
      </c>
      <c r="F1497" s="22" t="str">
        <f>VLOOKUP(E1497,Product_Dim!A:C,3,0)</f>
        <v>Beauty</v>
      </c>
      <c r="G1497" s="22" t="str" cm="1">
        <f t="array" ref="G1497:L1497">_xlfn.XLOOKUP(C1497,Sales_Fact!C1497:C3481,Sales_Fact!E1497:J3481)</f>
        <v>STORE17</v>
      </c>
      <c r="H1497" s="22">
        <v>3</v>
      </c>
      <c r="I1497" s="22">
        <v>622.98</v>
      </c>
      <c r="J1497" s="22">
        <v>0.28000000000000003</v>
      </c>
      <c r="K1497" s="22" t="str">
        <v>PayPal</v>
      </c>
      <c r="L1497" s="22">
        <v>1345.6368</v>
      </c>
    </row>
    <row r="1498" spans="1:12" x14ac:dyDescent="0.3">
      <c r="A1498" s="22" t="s">
        <v>3307</v>
      </c>
      <c r="B1498" s="34" cm="1">
        <f t="array" ref="B1498:C1498">_xlfn.XLOOKUP(A1498,Sales_Fact!A1498:A3482,Sales_Fact!B1498:C3482)</f>
        <v>45691</v>
      </c>
      <c r="C1498" s="22" t="str">
        <v>CUST1250</v>
      </c>
      <c r="D1498" s="22" t="str">
        <f>VLOOKUP('Combine Products &amp; Sales Facts'!C1498,'Customer Details'!A:B,2,0)</f>
        <v>Veronica Newman</v>
      </c>
      <c r="E1498" s="22" t="str">
        <f>VLOOKUP(C1498,Sales_Fact!C:D,2,0)</f>
        <v>PROD55</v>
      </c>
      <c r="F1498" s="22" t="str">
        <f>VLOOKUP(E1498,Product_Dim!A:C,3,0)</f>
        <v>Home</v>
      </c>
      <c r="G1498" s="22" t="str" cm="1">
        <f t="array" ref="G1498:L1498">_xlfn.XLOOKUP(C1498,Sales_Fact!C1498:C3482,Sales_Fact!E1498:J3482)</f>
        <v>STORE13</v>
      </c>
      <c r="H1498" s="22">
        <v>1</v>
      </c>
      <c r="I1498" s="22">
        <v>170.68</v>
      </c>
      <c r="J1498" s="22">
        <v>0.13</v>
      </c>
      <c r="K1498" s="22" t="str">
        <v>PayPal</v>
      </c>
      <c r="L1498" s="22">
        <v>148.49160000000001</v>
      </c>
    </row>
    <row r="1499" spans="1:12" x14ac:dyDescent="0.3">
      <c r="A1499" s="22" t="s">
        <v>3308</v>
      </c>
      <c r="B1499" s="34" cm="1">
        <f t="array" ref="B1499:C1499">_xlfn.XLOOKUP(A1499,Sales_Fact!A1499:A3483,Sales_Fact!B1499:C3483)</f>
        <v>45860</v>
      </c>
      <c r="C1499" s="22" t="str">
        <v>CUST1096</v>
      </c>
      <c r="D1499" s="22" t="str">
        <f>VLOOKUP('Combine Products &amp; Sales Facts'!C1499,'Customer Details'!A:B,2,0)</f>
        <v>Samantha Walker</v>
      </c>
      <c r="E1499" s="22" t="str">
        <f>VLOOKUP(C1499,Sales_Fact!C:D,2,0)</f>
        <v>PROD65</v>
      </c>
      <c r="F1499" s="22" t="str">
        <f>VLOOKUP(E1499,Product_Dim!A:C,3,0)</f>
        <v>Sports</v>
      </c>
      <c r="G1499" s="22" t="str" cm="1">
        <f t="array" ref="G1499:L1499">_xlfn.XLOOKUP(C1499,Sales_Fact!C1499:C3483,Sales_Fact!E1499:J3483)</f>
        <v>STORE8</v>
      </c>
      <c r="H1499" s="22">
        <v>4</v>
      </c>
      <c r="I1499" s="22">
        <v>797.83</v>
      </c>
      <c r="J1499" s="22">
        <v>0.08</v>
      </c>
      <c r="K1499" s="22" t="str">
        <v>Credit Card</v>
      </c>
      <c r="L1499" s="22">
        <v>2936.0144</v>
      </c>
    </row>
    <row r="1500" spans="1:12" x14ac:dyDescent="0.3">
      <c r="A1500" s="22" t="s">
        <v>3309</v>
      </c>
      <c r="B1500" s="34" cm="1">
        <f t="array" ref="B1500:C1500">_xlfn.XLOOKUP(A1500,Sales_Fact!A1500:A3484,Sales_Fact!B1500:C3484)</f>
        <v>45922</v>
      </c>
      <c r="C1500" s="22" t="str">
        <v>CUST1098</v>
      </c>
      <c r="D1500" s="22" t="str">
        <f>VLOOKUP('Combine Products &amp; Sales Facts'!C1500,'Customer Details'!A:B,2,0)</f>
        <v>Brittney Morgan</v>
      </c>
      <c r="E1500" s="22" t="str">
        <f>VLOOKUP(C1500,Sales_Fact!C:D,2,0)</f>
        <v>PROD62</v>
      </c>
      <c r="F1500" s="22" t="str">
        <f>VLOOKUP(E1500,Product_Dim!A:C,3,0)</f>
        <v>Electronics</v>
      </c>
      <c r="G1500" s="22" t="str" cm="1">
        <f t="array" ref="G1500:L1500">_xlfn.XLOOKUP(C1500,Sales_Fact!C1500:C3484,Sales_Fact!E1500:J3484)</f>
        <v>STORE16</v>
      </c>
      <c r="H1500" s="22">
        <v>1</v>
      </c>
      <c r="I1500" s="22">
        <v>372.75</v>
      </c>
      <c r="J1500" s="22">
        <v>0.12</v>
      </c>
      <c r="K1500" s="22" t="str">
        <v>Credit Card</v>
      </c>
      <c r="L1500" s="22">
        <v>328.02</v>
      </c>
    </row>
    <row r="1501" spans="1:12" x14ac:dyDescent="0.3">
      <c r="A1501" s="22" t="s">
        <v>3310</v>
      </c>
      <c r="B1501" s="34" cm="1">
        <f t="array" ref="B1501:C1501">_xlfn.XLOOKUP(A1501,Sales_Fact!A1501:A3485,Sales_Fact!B1501:C3485)</f>
        <v>45477</v>
      </c>
      <c r="C1501" s="22" t="str">
        <v>CUST1396</v>
      </c>
      <c r="D1501" s="22" t="str">
        <f>VLOOKUP('Combine Products &amp; Sales Facts'!C1501,'Customer Details'!A:B,2,0)</f>
        <v>Alexander Byrd</v>
      </c>
      <c r="E1501" s="22" t="str">
        <f>VLOOKUP(C1501,Sales_Fact!C:D,2,0)</f>
        <v>PROD43</v>
      </c>
      <c r="F1501" s="22" t="str">
        <f>VLOOKUP(E1501,Product_Dim!A:C,3,0)</f>
        <v>Electronics</v>
      </c>
      <c r="G1501" s="22" t="str" cm="1">
        <f t="array" ref="G1501:L1501">_xlfn.XLOOKUP(C1501,Sales_Fact!C1501:C3485,Sales_Fact!E1501:J3485)</f>
        <v>STORE4</v>
      </c>
      <c r="H1501" s="22">
        <v>1</v>
      </c>
      <c r="I1501" s="22">
        <v>994.18</v>
      </c>
      <c r="J1501" s="22">
        <v>0.05</v>
      </c>
      <c r="K1501" s="22" t="str">
        <v>PayPal</v>
      </c>
      <c r="L1501" s="22">
        <v>944.47099999999989</v>
      </c>
    </row>
    <row r="1502" spans="1:12" x14ac:dyDescent="0.3">
      <c r="A1502" s="22" t="s">
        <v>3311</v>
      </c>
      <c r="B1502" s="34" cm="1">
        <f t="array" ref="B1502:C1502">_xlfn.XLOOKUP(A1502,Sales_Fact!A1502:A3486,Sales_Fact!B1502:C3486)</f>
        <v>45504</v>
      </c>
      <c r="C1502" s="22" t="str">
        <v>CUST1422</v>
      </c>
      <c r="D1502" s="22" t="str">
        <f>VLOOKUP('Combine Products &amp; Sales Facts'!C1502,'Customer Details'!A:B,2,0)</f>
        <v>Brittany Edwards Dds</v>
      </c>
      <c r="E1502" s="22" t="str">
        <f>VLOOKUP(C1502,Sales_Fact!C:D,2,0)</f>
        <v>PROD49</v>
      </c>
      <c r="F1502" s="22" t="str">
        <f>VLOOKUP(E1502,Product_Dim!A:C,3,0)</f>
        <v>Beauty</v>
      </c>
      <c r="G1502" s="22" t="str" cm="1">
        <f t="array" ref="G1502:L1502">_xlfn.XLOOKUP(C1502,Sales_Fact!C1502:C3486,Sales_Fact!E1502:J3486)</f>
        <v>STORE13</v>
      </c>
      <c r="H1502" s="22">
        <v>1</v>
      </c>
      <c r="I1502" s="22">
        <v>136.12</v>
      </c>
      <c r="J1502" s="22">
        <v>7.0000000000000007E-2</v>
      </c>
      <c r="K1502" s="22" t="str">
        <v>Credit Card</v>
      </c>
      <c r="L1502" s="22">
        <v>126.5916</v>
      </c>
    </row>
    <row r="1503" spans="1:12" x14ac:dyDescent="0.3">
      <c r="A1503" s="22" t="s">
        <v>3312</v>
      </c>
      <c r="B1503" s="34" cm="1">
        <f t="array" ref="B1503:C1503">_xlfn.XLOOKUP(A1503,Sales_Fact!A1503:A3487,Sales_Fact!B1503:C3487)</f>
        <v>45862</v>
      </c>
      <c r="C1503" s="22" t="str">
        <v>CUST1030</v>
      </c>
      <c r="D1503" s="22" t="str">
        <f>VLOOKUP('Combine Products &amp; Sales Facts'!C1503,'Customer Details'!A:B,2,0)</f>
        <v>Jessica Acevedo</v>
      </c>
      <c r="E1503" s="22" t="str">
        <f>VLOOKUP(C1503,Sales_Fact!C:D,2,0)</f>
        <v>PROD35</v>
      </c>
      <c r="F1503" s="22" t="str">
        <f>VLOOKUP(E1503,Product_Dim!A:C,3,0)</f>
        <v>Home</v>
      </c>
      <c r="G1503" s="22" t="str" cm="1">
        <f t="array" ref="G1503:L1503">_xlfn.XLOOKUP(C1503,Sales_Fact!C1503:C3487,Sales_Fact!E1503:J3487)</f>
        <v>STORE18</v>
      </c>
      <c r="H1503" s="22">
        <v>3</v>
      </c>
      <c r="I1503" s="22">
        <v>634.45000000000005</v>
      </c>
      <c r="J1503" s="22">
        <v>0.17</v>
      </c>
      <c r="K1503" s="22" t="str">
        <v>PayPal</v>
      </c>
      <c r="L1503" s="22">
        <v>1579.7805000000001</v>
      </c>
    </row>
    <row r="1504" spans="1:12" x14ac:dyDescent="0.3">
      <c r="A1504" s="22" t="s">
        <v>3313</v>
      </c>
      <c r="B1504" s="34" cm="1">
        <f t="array" ref="B1504:C1504">_xlfn.XLOOKUP(A1504,Sales_Fact!A1504:A3488,Sales_Fact!B1504:C3488)</f>
        <v>45579</v>
      </c>
      <c r="C1504" s="22" t="str">
        <v>CUST1329</v>
      </c>
      <c r="D1504" s="22" t="str">
        <f>VLOOKUP('Combine Products &amp; Sales Facts'!C1504,'Customer Details'!A:B,2,0)</f>
        <v>Victor Mcintosh</v>
      </c>
      <c r="E1504" s="22" t="str">
        <f>VLOOKUP(C1504,Sales_Fact!C:D,2,0)</f>
        <v>PROD57</v>
      </c>
      <c r="F1504" s="22" t="str">
        <f>VLOOKUP(E1504,Product_Dim!A:C,3,0)</f>
        <v>Sports</v>
      </c>
      <c r="G1504" s="22" t="str" cm="1">
        <f t="array" ref="G1504:L1504">_xlfn.XLOOKUP(C1504,Sales_Fact!C1504:C3488,Sales_Fact!E1504:J3488)</f>
        <v>STORE0</v>
      </c>
      <c r="H1504" s="22">
        <v>4</v>
      </c>
      <c r="I1504" s="22">
        <v>179.62</v>
      </c>
      <c r="J1504" s="22">
        <v>0.05</v>
      </c>
      <c r="K1504" s="22" t="str">
        <v>Credit Card</v>
      </c>
      <c r="L1504" s="22">
        <v>682.55600000000004</v>
      </c>
    </row>
    <row r="1505" spans="1:12" x14ac:dyDescent="0.3">
      <c r="A1505" s="22" t="s">
        <v>3314</v>
      </c>
      <c r="B1505" s="34" cm="1">
        <f t="array" ref="B1505:C1505">_xlfn.XLOOKUP(A1505,Sales_Fact!A1505:A3489,Sales_Fact!B1505:C3489)</f>
        <v>45658</v>
      </c>
      <c r="C1505" s="22" t="str">
        <v>CUST1294</v>
      </c>
      <c r="D1505" s="22" t="str">
        <f>VLOOKUP('Combine Products &amp; Sales Facts'!C1505,'Customer Details'!A:B,2,0)</f>
        <v>Lisa Chandler</v>
      </c>
      <c r="E1505" s="22" t="str">
        <f>VLOOKUP(C1505,Sales_Fact!C:D,2,0)</f>
        <v>PROD82</v>
      </c>
      <c r="F1505" s="22" t="str">
        <f>VLOOKUP(E1505,Product_Dim!A:C,3,0)</f>
        <v>Sports</v>
      </c>
      <c r="G1505" s="22" t="str" cm="1">
        <f t="array" ref="G1505:L1505">_xlfn.XLOOKUP(C1505,Sales_Fact!C1505:C3489,Sales_Fact!E1505:J3489)</f>
        <v>STORE18</v>
      </c>
      <c r="H1505" s="22">
        <v>4</v>
      </c>
      <c r="I1505" s="22">
        <v>558.83000000000004</v>
      </c>
      <c r="J1505" s="22">
        <v>0.16</v>
      </c>
      <c r="K1505" s="22" t="str">
        <v>PayPal</v>
      </c>
      <c r="L1505" s="22">
        <v>1877.6687999999999</v>
      </c>
    </row>
    <row r="1506" spans="1:12" x14ac:dyDescent="0.3">
      <c r="A1506" s="22" t="s">
        <v>3315</v>
      </c>
      <c r="B1506" s="34" cm="1">
        <f t="array" ref="B1506:C1506">_xlfn.XLOOKUP(A1506,Sales_Fact!A1506:A3490,Sales_Fact!B1506:C3490)</f>
        <v>45664</v>
      </c>
      <c r="C1506" s="22" t="str">
        <v>CUST1171</v>
      </c>
      <c r="D1506" s="22" t="str">
        <f>VLOOKUP('Combine Products &amp; Sales Facts'!C1506,'Customer Details'!A:B,2,0)</f>
        <v>Amy Wilson</v>
      </c>
      <c r="E1506" s="22" t="str">
        <f>VLOOKUP(C1506,Sales_Fact!C:D,2,0)</f>
        <v>PROD90</v>
      </c>
      <c r="F1506" s="22" t="str">
        <f>VLOOKUP(E1506,Product_Dim!A:C,3,0)</f>
        <v>Electronics</v>
      </c>
      <c r="G1506" s="22" t="str" cm="1">
        <f t="array" ref="G1506:L1506">_xlfn.XLOOKUP(C1506,Sales_Fact!C1506:C3490,Sales_Fact!E1506:J3490)</f>
        <v>STORE6</v>
      </c>
      <c r="H1506" s="22">
        <v>2</v>
      </c>
      <c r="I1506" s="22">
        <v>859.74</v>
      </c>
      <c r="J1506" s="22">
        <v>0.25</v>
      </c>
      <c r="K1506" s="22" t="str">
        <v>COD</v>
      </c>
      <c r="L1506" s="22">
        <v>1289.6099999999999</v>
      </c>
    </row>
    <row r="1507" spans="1:12" x14ac:dyDescent="0.3">
      <c r="A1507" s="22" t="s">
        <v>3316</v>
      </c>
      <c r="B1507" s="34" cm="1">
        <f t="array" ref="B1507:C1507">_xlfn.XLOOKUP(A1507,Sales_Fact!A1507:A3491,Sales_Fact!B1507:C3491)</f>
        <v>45936</v>
      </c>
      <c r="C1507" s="22" t="str">
        <v>CUST1106</v>
      </c>
      <c r="D1507" s="22" t="str">
        <f>VLOOKUP('Combine Products &amp; Sales Facts'!C1507,'Customer Details'!A:B,2,0)</f>
        <v>Howard Summers</v>
      </c>
      <c r="E1507" s="22" t="str">
        <f>VLOOKUP(C1507,Sales_Fact!C:D,2,0)</f>
        <v>PROD65</v>
      </c>
      <c r="F1507" s="22" t="str">
        <f>VLOOKUP(E1507,Product_Dim!A:C,3,0)</f>
        <v>Sports</v>
      </c>
      <c r="G1507" s="22" t="str" cm="1">
        <f t="array" ref="G1507:L1507">_xlfn.XLOOKUP(C1507,Sales_Fact!C1507:C3491,Sales_Fact!E1507:J3491)</f>
        <v>STORE16</v>
      </c>
      <c r="H1507" s="22">
        <v>3</v>
      </c>
      <c r="I1507" s="22">
        <v>578.47</v>
      </c>
      <c r="J1507" s="22">
        <v>0.06</v>
      </c>
      <c r="K1507" s="22" t="str">
        <v>COD</v>
      </c>
      <c r="L1507" s="22">
        <v>1631.2854</v>
      </c>
    </row>
    <row r="1508" spans="1:12" x14ac:dyDescent="0.3">
      <c r="A1508" s="22" t="s">
        <v>3317</v>
      </c>
      <c r="B1508" s="34" cm="1">
        <f t="array" ref="B1508:C1508">_xlfn.XLOOKUP(A1508,Sales_Fact!A1508:A3492,Sales_Fact!B1508:C3492)</f>
        <v>45344</v>
      </c>
      <c r="C1508" s="22" t="str">
        <v>CUST1055</v>
      </c>
      <c r="D1508" s="22" t="str">
        <f>VLOOKUP('Combine Products &amp; Sales Facts'!C1508,'Customer Details'!A:B,2,0)</f>
        <v>Wayne Mcpherson</v>
      </c>
      <c r="E1508" s="22" t="str">
        <f>VLOOKUP(C1508,Sales_Fact!C:D,2,0)</f>
        <v>PROD15</v>
      </c>
      <c r="F1508" s="22" t="str">
        <f>VLOOKUP(E1508,Product_Dim!A:C,3,0)</f>
        <v>Electronics</v>
      </c>
      <c r="G1508" s="22" t="str" cm="1">
        <f t="array" ref="G1508:L1508">_xlfn.XLOOKUP(C1508,Sales_Fact!C1508:C3492,Sales_Fact!E1508:J3492)</f>
        <v>STORE12</v>
      </c>
      <c r="H1508" s="22">
        <v>1</v>
      </c>
      <c r="I1508" s="22">
        <v>440.48</v>
      </c>
      <c r="J1508" s="22">
        <v>0.11</v>
      </c>
      <c r="K1508" s="22" t="str">
        <v>COD</v>
      </c>
      <c r="L1508" s="22">
        <v>392.02720000000011</v>
      </c>
    </row>
    <row r="1509" spans="1:12" x14ac:dyDescent="0.3">
      <c r="A1509" s="22" t="s">
        <v>3318</v>
      </c>
      <c r="B1509" s="34" cm="1">
        <f t="array" ref="B1509:C1509">_xlfn.XLOOKUP(A1509,Sales_Fact!A1509:A3493,Sales_Fact!B1509:C3493)</f>
        <v>45329</v>
      </c>
      <c r="C1509" s="22" t="str">
        <v>CUST1016</v>
      </c>
      <c r="D1509" s="22" t="str">
        <f>VLOOKUP('Combine Products &amp; Sales Facts'!C1509,'Customer Details'!A:B,2,0)</f>
        <v>John Scott</v>
      </c>
      <c r="E1509" s="22" t="str">
        <f>VLOOKUP(C1509,Sales_Fact!C:D,2,0)</f>
        <v>PROD56</v>
      </c>
      <c r="F1509" s="22" t="str">
        <f>VLOOKUP(E1509,Product_Dim!A:C,3,0)</f>
        <v>Home</v>
      </c>
      <c r="G1509" s="22" t="str" cm="1">
        <f t="array" ref="G1509:L1509">_xlfn.XLOOKUP(C1509,Sales_Fact!C1509:C3493,Sales_Fact!E1509:J3493)</f>
        <v>STORE19</v>
      </c>
      <c r="H1509" s="22">
        <v>2</v>
      </c>
      <c r="I1509" s="22">
        <v>303.67</v>
      </c>
      <c r="J1509" s="22">
        <v>0.05</v>
      </c>
      <c r="K1509" s="22" t="str">
        <v>PayPal</v>
      </c>
      <c r="L1509" s="22">
        <v>576.97299999999996</v>
      </c>
    </row>
    <row r="1510" spans="1:12" x14ac:dyDescent="0.3">
      <c r="A1510" s="22" t="s">
        <v>3319</v>
      </c>
      <c r="B1510" s="34" cm="1">
        <f t="array" ref="B1510:C1510">_xlfn.XLOOKUP(A1510,Sales_Fact!A1510:A3494,Sales_Fact!B1510:C3494)</f>
        <v>45895</v>
      </c>
      <c r="C1510" s="22" t="str">
        <v>CUST1336</v>
      </c>
      <c r="D1510" s="22" t="str">
        <f>VLOOKUP('Combine Products &amp; Sales Facts'!C1510,'Customer Details'!A:B,2,0)</f>
        <v>John Jones</v>
      </c>
      <c r="E1510" s="22" t="str">
        <f>VLOOKUP(C1510,Sales_Fact!C:D,2,0)</f>
        <v>PROD11</v>
      </c>
      <c r="F1510" s="22" t="str">
        <f>VLOOKUP(E1510,Product_Dim!A:C,3,0)</f>
        <v>Electronics</v>
      </c>
      <c r="G1510" s="22" t="str" cm="1">
        <f t="array" ref="G1510:L1510">_xlfn.XLOOKUP(C1510,Sales_Fact!C1510:C3494,Sales_Fact!E1510:J3494)</f>
        <v>STORE14</v>
      </c>
      <c r="H1510" s="22">
        <v>2</v>
      </c>
      <c r="I1510" s="22">
        <v>611.21</v>
      </c>
      <c r="J1510" s="22">
        <v>0.22</v>
      </c>
      <c r="K1510" s="22" t="str">
        <v>COD</v>
      </c>
      <c r="L1510" s="22">
        <v>953.48760000000004</v>
      </c>
    </row>
    <row r="1511" spans="1:12" x14ac:dyDescent="0.3">
      <c r="A1511" s="22" t="s">
        <v>3320</v>
      </c>
      <c r="B1511" s="34" cm="1">
        <f t="array" ref="B1511:C1511">_xlfn.XLOOKUP(A1511,Sales_Fact!A1511:A3495,Sales_Fact!B1511:C3495)</f>
        <v>45239</v>
      </c>
      <c r="C1511" s="22" t="str">
        <v>CUST1202</v>
      </c>
      <c r="D1511" s="22" t="str">
        <f>VLOOKUP('Combine Products &amp; Sales Facts'!C1511,'Customer Details'!A:B,2,0)</f>
        <v>Christina Garcia</v>
      </c>
      <c r="E1511" s="22" t="str">
        <f>VLOOKUP(C1511,Sales_Fact!C:D,2,0)</f>
        <v>PROD78</v>
      </c>
      <c r="F1511" s="22" t="str">
        <f>VLOOKUP(E1511,Product_Dim!A:C,3,0)</f>
        <v>Home</v>
      </c>
      <c r="G1511" s="22" t="str" cm="1">
        <f t="array" ref="G1511:L1511">_xlfn.XLOOKUP(C1511,Sales_Fact!C1511:C3495,Sales_Fact!E1511:J3495)</f>
        <v>STORE15</v>
      </c>
      <c r="H1511" s="22">
        <v>2</v>
      </c>
      <c r="I1511" s="22">
        <v>768.08</v>
      </c>
      <c r="J1511" s="22">
        <v>0.26</v>
      </c>
      <c r="K1511" s="22" t="str">
        <v>PayPal</v>
      </c>
      <c r="L1511" s="22">
        <v>1136.7583999999999</v>
      </c>
    </row>
    <row r="1512" spans="1:12" x14ac:dyDescent="0.3">
      <c r="A1512" s="22" t="s">
        <v>3321</v>
      </c>
      <c r="B1512" s="34" cm="1">
        <f t="array" ref="B1512:C1512">_xlfn.XLOOKUP(A1512,Sales_Fact!A1512:A3496,Sales_Fact!B1512:C3496)</f>
        <v>45296</v>
      </c>
      <c r="C1512" s="22" t="str">
        <v>CUST1296</v>
      </c>
      <c r="D1512" s="22" t="str">
        <f>VLOOKUP('Combine Products &amp; Sales Facts'!C1512,'Customer Details'!A:B,2,0)</f>
        <v>Jared Moran</v>
      </c>
      <c r="E1512" s="22" t="str">
        <f>VLOOKUP(C1512,Sales_Fact!C:D,2,0)</f>
        <v>PROD14</v>
      </c>
      <c r="F1512" s="22" t="str">
        <f>VLOOKUP(E1512,Product_Dim!A:C,3,0)</f>
        <v>Home</v>
      </c>
      <c r="G1512" s="22" t="str" cm="1">
        <f t="array" ref="G1512:L1512">_xlfn.XLOOKUP(C1512,Sales_Fact!C1512:C3496,Sales_Fact!E1512:J3496)</f>
        <v>STORE18</v>
      </c>
      <c r="H1512" s="22">
        <v>1</v>
      </c>
      <c r="I1512" s="22">
        <v>616.82000000000005</v>
      </c>
      <c r="J1512" s="22">
        <v>0.24</v>
      </c>
      <c r="K1512" s="22" t="str">
        <v>Credit Card</v>
      </c>
      <c r="L1512" s="22">
        <v>468.78320000000002</v>
      </c>
    </row>
    <row r="1513" spans="1:12" x14ac:dyDescent="0.3">
      <c r="A1513" s="22" t="s">
        <v>3322</v>
      </c>
      <c r="B1513" s="34" cm="1">
        <f t="array" ref="B1513:C1513">_xlfn.XLOOKUP(A1513,Sales_Fact!A1513:A3497,Sales_Fact!B1513:C3497)</f>
        <v>45672</v>
      </c>
      <c r="C1513" s="22" t="str">
        <v>CUST1183</v>
      </c>
      <c r="D1513" s="22" t="str">
        <f>VLOOKUP('Combine Products &amp; Sales Facts'!C1513,'Customer Details'!A:B,2,0)</f>
        <v>Mario Jacobs</v>
      </c>
      <c r="E1513" s="22" t="str">
        <f>VLOOKUP(C1513,Sales_Fact!C:D,2,0)</f>
        <v>PROD38</v>
      </c>
      <c r="F1513" s="22" t="str">
        <f>VLOOKUP(E1513,Product_Dim!A:C,3,0)</f>
        <v>Sports</v>
      </c>
      <c r="G1513" s="22" t="str" cm="1">
        <f t="array" ref="G1513:L1513">_xlfn.XLOOKUP(C1513,Sales_Fact!C1513:C3497,Sales_Fact!E1513:J3497)</f>
        <v>STORE18</v>
      </c>
      <c r="H1513" s="22">
        <v>1</v>
      </c>
      <c r="I1513" s="22">
        <v>470.34</v>
      </c>
      <c r="J1513" s="22">
        <v>0.18</v>
      </c>
      <c r="K1513" s="22" t="str">
        <v>COD</v>
      </c>
      <c r="L1513" s="22">
        <v>385.67880000000002</v>
      </c>
    </row>
    <row r="1514" spans="1:12" x14ac:dyDescent="0.3">
      <c r="A1514" s="22" t="s">
        <v>3323</v>
      </c>
      <c r="B1514" s="34" cm="1">
        <f t="array" ref="B1514:C1514">_xlfn.XLOOKUP(A1514,Sales_Fact!A1514:A3498,Sales_Fact!B1514:C3498)</f>
        <v>45499</v>
      </c>
      <c r="C1514" s="22" t="str">
        <v>CUST1219</v>
      </c>
      <c r="D1514" s="22" t="str">
        <f>VLOOKUP('Combine Products &amp; Sales Facts'!C1514,'Customer Details'!A:B,2,0)</f>
        <v>Jordan Wells</v>
      </c>
      <c r="E1514" s="22" t="str">
        <f>VLOOKUP(C1514,Sales_Fact!C:D,2,0)</f>
        <v>PROD37</v>
      </c>
      <c r="F1514" s="22" t="str">
        <f>VLOOKUP(E1514,Product_Dim!A:C,3,0)</f>
        <v>Clothing</v>
      </c>
      <c r="G1514" s="22" t="str" cm="1">
        <f t="array" ref="G1514:L1514">_xlfn.XLOOKUP(C1514,Sales_Fact!C1514:C3498,Sales_Fact!E1514:J3498)</f>
        <v>STORE8</v>
      </c>
      <c r="H1514" s="22">
        <v>2</v>
      </c>
      <c r="I1514" s="22">
        <v>616.36</v>
      </c>
      <c r="J1514" s="22">
        <v>0.12</v>
      </c>
      <c r="K1514" s="22" t="str">
        <v>PayPal</v>
      </c>
      <c r="L1514" s="22">
        <v>1084.7936</v>
      </c>
    </row>
    <row r="1515" spans="1:12" x14ac:dyDescent="0.3">
      <c r="A1515" s="22" t="s">
        <v>3324</v>
      </c>
      <c r="B1515" s="34" cm="1">
        <f t="array" ref="B1515:C1515">_xlfn.XLOOKUP(A1515,Sales_Fact!A1515:A3499,Sales_Fact!B1515:C3499)</f>
        <v>45434</v>
      </c>
      <c r="C1515" s="22" t="str">
        <v>CUST1082</v>
      </c>
      <c r="D1515" s="22" t="str">
        <f>VLOOKUP('Combine Products &amp; Sales Facts'!C1515,'Customer Details'!A:B,2,0)</f>
        <v>George Rosario</v>
      </c>
      <c r="E1515" s="22" t="str">
        <f>VLOOKUP(C1515,Sales_Fact!C:D,2,0)</f>
        <v>PROD92</v>
      </c>
      <c r="F1515" s="22" t="str">
        <f>VLOOKUP(E1515,Product_Dim!A:C,3,0)</f>
        <v>Home</v>
      </c>
      <c r="G1515" s="22" t="str" cm="1">
        <f t="array" ref="G1515:L1515">_xlfn.XLOOKUP(C1515,Sales_Fact!C1515:C3499,Sales_Fact!E1515:J3499)</f>
        <v>STORE9</v>
      </c>
      <c r="H1515" s="22">
        <v>3</v>
      </c>
      <c r="I1515" s="22">
        <v>657.24</v>
      </c>
      <c r="J1515" s="22">
        <v>0.18</v>
      </c>
      <c r="K1515" s="22" t="str">
        <v>PayPal</v>
      </c>
      <c r="L1515" s="22">
        <v>1616.8104000000001</v>
      </c>
    </row>
    <row r="1516" spans="1:12" x14ac:dyDescent="0.3">
      <c r="A1516" s="22" t="s">
        <v>3325</v>
      </c>
      <c r="B1516" s="34" cm="1">
        <f t="array" ref="B1516:C1516">_xlfn.XLOOKUP(A1516,Sales_Fact!A1516:A3500,Sales_Fact!B1516:C3500)</f>
        <v>45893</v>
      </c>
      <c r="C1516" s="22" t="str">
        <v>CUST1034</v>
      </c>
      <c r="D1516" s="22" t="str">
        <f>VLOOKUP('Combine Products &amp; Sales Facts'!C1516,'Customer Details'!A:B,2,0)</f>
        <v>Christopher Olson</v>
      </c>
      <c r="E1516" s="22" t="str">
        <f>VLOOKUP(C1516,Sales_Fact!C:D,2,0)</f>
        <v>PROD28</v>
      </c>
      <c r="F1516" s="22" t="str">
        <f>VLOOKUP(E1516,Product_Dim!A:C,3,0)</f>
        <v>Sports</v>
      </c>
      <c r="G1516" s="22" t="str" cm="1">
        <f t="array" ref="G1516:L1516">_xlfn.XLOOKUP(C1516,Sales_Fact!C1516:C3500,Sales_Fact!E1516:J3500)</f>
        <v>STORE19</v>
      </c>
      <c r="H1516" s="22">
        <v>2</v>
      </c>
      <c r="I1516" s="22">
        <v>392.45</v>
      </c>
      <c r="J1516" s="22">
        <v>0.04</v>
      </c>
      <c r="K1516" s="22" t="str">
        <v>PayPal</v>
      </c>
      <c r="L1516" s="22">
        <v>753.50399999999991</v>
      </c>
    </row>
    <row r="1517" spans="1:12" x14ac:dyDescent="0.3">
      <c r="A1517" s="22" t="s">
        <v>3326</v>
      </c>
      <c r="B1517" s="34" cm="1">
        <f t="array" ref="B1517:C1517">_xlfn.XLOOKUP(A1517,Sales_Fact!A1517:A3501,Sales_Fact!B1517:C3501)</f>
        <v>45346</v>
      </c>
      <c r="C1517" s="22" t="str">
        <v>CUST1245</v>
      </c>
      <c r="D1517" s="22" t="str">
        <f>VLOOKUP('Combine Products &amp; Sales Facts'!C1517,'Customer Details'!A:B,2,0)</f>
        <v>Laura Soto</v>
      </c>
      <c r="E1517" s="22" t="str">
        <f>VLOOKUP(C1517,Sales_Fact!C:D,2,0)</f>
        <v>PROD39</v>
      </c>
      <c r="F1517" s="22" t="str">
        <f>VLOOKUP(E1517,Product_Dim!A:C,3,0)</f>
        <v>Electronics</v>
      </c>
      <c r="G1517" s="22" t="str" cm="1">
        <f t="array" ref="G1517:L1517">_xlfn.XLOOKUP(C1517,Sales_Fact!C1517:C3501,Sales_Fact!E1517:J3501)</f>
        <v>STORE14</v>
      </c>
      <c r="H1517" s="22">
        <v>3</v>
      </c>
      <c r="I1517" s="22">
        <v>62.03</v>
      </c>
      <c r="J1517" s="22">
        <v>0.01</v>
      </c>
      <c r="K1517" s="22" t="str">
        <v>COD</v>
      </c>
      <c r="L1517" s="22">
        <v>184.22909999999999</v>
      </c>
    </row>
    <row r="1518" spans="1:12" x14ac:dyDescent="0.3">
      <c r="A1518" s="22" t="s">
        <v>3327</v>
      </c>
      <c r="B1518" s="34" cm="1">
        <f t="array" ref="B1518:C1518">_xlfn.XLOOKUP(A1518,Sales_Fact!A1518:A3502,Sales_Fact!B1518:C3502)</f>
        <v>45613</v>
      </c>
      <c r="C1518" s="22" t="str">
        <v>CUST1092</v>
      </c>
      <c r="D1518" s="22" t="str">
        <f>VLOOKUP('Combine Products &amp; Sales Facts'!C1518,'Customer Details'!A:B,2,0)</f>
        <v>Robert Jackson</v>
      </c>
      <c r="E1518" s="22" t="str">
        <f>VLOOKUP(C1518,Sales_Fact!C:D,2,0)</f>
        <v>PROD10</v>
      </c>
      <c r="F1518" s="22" t="str">
        <f>VLOOKUP(E1518,Product_Dim!A:C,3,0)</f>
        <v>Home</v>
      </c>
      <c r="G1518" s="22" t="str" cm="1">
        <f t="array" ref="G1518:L1518">_xlfn.XLOOKUP(C1518,Sales_Fact!C1518:C3502,Sales_Fact!E1518:J3502)</f>
        <v>STORE3</v>
      </c>
      <c r="H1518" s="22">
        <v>4</v>
      </c>
      <c r="I1518" s="22">
        <v>933.73</v>
      </c>
      <c r="J1518" s="22">
        <v>0.25</v>
      </c>
      <c r="K1518" s="22" t="str">
        <v>PayPal</v>
      </c>
      <c r="L1518" s="22">
        <v>2801.19</v>
      </c>
    </row>
    <row r="1519" spans="1:12" x14ac:dyDescent="0.3">
      <c r="A1519" s="22" t="s">
        <v>3328</v>
      </c>
      <c r="B1519" s="34" cm="1">
        <f t="array" ref="B1519:C1519">_xlfn.XLOOKUP(A1519,Sales_Fact!A1519:A3503,Sales_Fact!B1519:C3503)</f>
        <v>45928</v>
      </c>
      <c r="C1519" s="22" t="str">
        <v>CUST1155</v>
      </c>
      <c r="D1519" s="22" t="str">
        <f>VLOOKUP('Combine Products &amp; Sales Facts'!C1519,'Customer Details'!A:B,2,0)</f>
        <v>Curtis Haynes</v>
      </c>
      <c r="E1519" s="22" t="str">
        <f>VLOOKUP(C1519,Sales_Fact!C:D,2,0)</f>
        <v>PROD72</v>
      </c>
      <c r="F1519" s="22" t="str">
        <f>VLOOKUP(E1519,Product_Dim!A:C,3,0)</f>
        <v>Sports</v>
      </c>
      <c r="G1519" s="22" t="str" cm="1">
        <f t="array" ref="G1519:L1519">_xlfn.XLOOKUP(C1519,Sales_Fact!C1519:C3503,Sales_Fact!E1519:J3503)</f>
        <v>STORE16</v>
      </c>
      <c r="H1519" s="22">
        <v>3</v>
      </c>
      <c r="I1519" s="22">
        <v>615.30999999999995</v>
      </c>
      <c r="J1519" s="22">
        <v>0.14000000000000001</v>
      </c>
      <c r="K1519" s="22" t="str">
        <v>PayPal</v>
      </c>
      <c r="L1519" s="22">
        <v>1587.4998000000001</v>
      </c>
    </row>
    <row r="1520" spans="1:12" x14ac:dyDescent="0.3">
      <c r="A1520" s="22" t="s">
        <v>3329</v>
      </c>
      <c r="B1520" s="34" cm="1">
        <f t="array" ref="B1520:C1520">_xlfn.XLOOKUP(A1520,Sales_Fact!A1520:A3504,Sales_Fact!B1520:C3504)</f>
        <v>45619</v>
      </c>
      <c r="C1520" s="22" t="str">
        <v>CUST1373</v>
      </c>
      <c r="D1520" s="22" t="str">
        <f>VLOOKUP('Combine Products &amp; Sales Facts'!C1520,'Customer Details'!A:B,2,0)</f>
        <v>James Orozco</v>
      </c>
      <c r="E1520" s="22" t="str">
        <f>VLOOKUP(C1520,Sales_Fact!C:D,2,0)</f>
        <v>PROD72</v>
      </c>
      <c r="F1520" s="22" t="str">
        <f>VLOOKUP(E1520,Product_Dim!A:C,3,0)</f>
        <v>Sports</v>
      </c>
      <c r="G1520" s="22" t="str" cm="1">
        <f t="array" ref="G1520:L1520">_xlfn.XLOOKUP(C1520,Sales_Fact!C1520:C3504,Sales_Fact!E1520:J3504)</f>
        <v>STORE18</v>
      </c>
      <c r="H1520" s="22">
        <v>4</v>
      </c>
      <c r="I1520" s="22">
        <v>790.38</v>
      </c>
      <c r="J1520" s="22">
        <v>0.22</v>
      </c>
      <c r="K1520" s="22" t="str">
        <v>COD</v>
      </c>
      <c r="L1520" s="22">
        <v>2465.9856</v>
      </c>
    </row>
    <row r="1521" spans="1:12" x14ac:dyDescent="0.3">
      <c r="A1521" s="22" t="s">
        <v>3330</v>
      </c>
      <c r="B1521" s="34" cm="1">
        <f t="array" ref="B1521:C1521">_xlfn.XLOOKUP(A1521,Sales_Fact!A1521:A3505,Sales_Fact!B1521:C3505)</f>
        <v>45533</v>
      </c>
      <c r="C1521" s="22" t="str">
        <v>CUST1269</v>
      </c>
      <c r="D1521" s="22" t="str">
        <f>VLOOKUP('Combine Products &amp; Sales Facts'!C1521,'Customer Details'!A:B,2,0)</f>
        <v>Tyrone Olson</v>
      </c>
      <c r="E1521" s="22" t="str">
        <f>VLOOKUP(C1521,Sales_Fact!C:D,2,0)</f>
        <v>PROD77</v>
      </c>
      <c r="F1521" s="22" t="str">
        <f>VLOOKUP(E1521,Product_Dim!A:C,3,0)</f>
        <v>Electronics</v>
      </c>
      <c r="G1521" s="22" t="str" cm="1">
        <f t="array" ref="G1521:L1521">_xlfn.XLOOKUP(C1521,Sales_Fact!C1521:C3505,Sales_Fact!E1521:J3505)</f>
        <v>STORE17</v>
      </c>
      <c r="H1521" s="22">
        <v>2</v>
      </c>
      <c r="I1521" s="22">
        <v>102.85</v>
      </c>
      <c r="J1521" s="22">
        <v>0.08</v>
      </c>
      <c r="K1521" s="22" t="str">
        <v>PayPal</v>
      </c>
      <c r="L1521" s="22">
        <v>189.244</v>
      </c>
    </row>
    <row r="1522" spans="1:12" x14ac:dyDescent="0.3">
      <c r="A1522" s="22" t="s">
        <v>3331</v>
      </c>
      <c r="B1522" s="34" cm="1">
        <f t="array" ref="B1522:C1522">_xlfn.XLOOKUP(A1522,Sales_Fact!A1522:A3506,Sales_Fact!B1522:C3506)</f>
        <v>45781</v>
      </c>
      <c r="C1522" s="22" t="str">
        <v>CUST1039</v>
      </c>
      <c r="D1522" s="22" t="str">
        <f>VLOOKUP('Combine Products &amp; Sales Facts'!C1522,'Customer Details'!A:B,2,0)</f>
        <v>Tonya Reynolds</v>
      </c>
      <c r="E1522" s="22" t="str">
        <f>VLOOKUP(C1522,Sales_Fact!C:D,2,0)</f>
        <v>PROD74</v>
      </c>
      <c r="F1522" s="22" t="str">
        <f>VLOOKUP(E1522,Product_Dim!A:C,3,0)</f>
        <v>Electronics</v>
      </c>
      <c r="G1522" s="22" t="str" cm="1">
        <f t="array" ref="G1522:L1522">_xlfn.XLOOKUP(C1522,Sales_Fact!C1522:C3506,Sales_Fact!E1522:J3506)</f>
        <v>STORE16</v>
      </c>
      <c r="H1522" s="22">
        <v>3</v>
      </c>
      <c r="I1522" s="22">
        <v>866.78</v>
      </c>
      <c r="J1522" s="22">
        <v>0.27</v>
      </c>
      <c r="K1522" s="22" t="str">
        <v>PayPal</v>
      </c>
      <c r="L1522" s="22">
        <v>1898.2482</v>
      </c>
    </row>
    <row r="1523" spans="1:12" x14ac:dyDescent="0.3">
      <c r="A1523" s="22" t="s">
        <v>3332</v>
      </c>
      <c r="B1523" s="34" cm="1">
        <f t="array" ref="B1523:C1523">_xlfn.XLOOKUP(A1523,Sales_Fact!A1523:A3507,Sales_Fact!B1523:C3507)</f>
        <v>45378</v>
      </c>
      <c r="C1523" s="22" t="str">
        <v>CUST1208</v>
      </c>
      <c r="D1523" s="22" t="str">
        <f>VLOOKUP('Combine Products &amp; Sales Facts'!C1523,'Customer Details'!A:B,2,0)</f>
        <v>John Perez</v>
      </c>
      <c r="E1523" s="22" t="str">
        <f>VLOOKUP(C1523,Sales_Fact!C:D,2,0)</f>
        <v>PROD34</v>
      </c>
      <c r="F1523" s="22" t="str">
        <f>VLOOKUP(E1523,Product_Dim!A:C,3,0)</f>
        <v>Electronics</v>
      </c>
      <c r="G1523" s="22" t="str" cm="1">
        <f t="array" ref="G1523:L1523">_xlfn.XLOOKUP(C1523,Sales_Fact!C1523:C3507,Sales_Fact!E1523:J3507)</f>
        <v>STORE16</v>
      </c>
      <c r="H1523" s="22">
        <v>3</v>
      </c>
      <c r="I1523" s="22">
        <v>392.84</v>
      </c>
      <c r="J1523" s="22">
        <v>0.27</v>
      </c>
      <c r="K1523" s="22" t="str">
        <v>PayPal</v>
      </c>
      <c r="L1523" s="22">
        <v>860.31959999999992</v>
      </c>
    </row>
    <row r="1524" spans="1:12" x14ac:dyDescent="0.3">
      <c r="A1524" s="22" t="s">
        <v>3333</v>
      </c>
      <c r="B1524" s="34" cm="1">
        <f t="array" ref="B1524:C1524">_xlfn.XLOOKUP(A1524,Sales_Fact!A1524:A3508,Sales_Fact!B1524:C3508)</f>
        <v>45688</v>
      </c>
      <c r="C1524" s="22" t="str">
        <v>CUST1323</v>
      </c>
      <c r="D1524" s="22" t="str">
        <f>VLOOKUP('Combine Products &amp; Sales Facts'!C1524,'Customer Details'!A:B,2,0)</f>
        <v>Kristy Dunlap</v>
      </c>
      <c r="E1524" s="22" t="str">
        <f>VLOOKUP(C1524,Sales_Fact!C:D,2,0)</f>
        <v>PROD49</v>
      </c>
      <c r="F1524" s="22" t="str">
        <f>VLOOKUP(E1524,Product_Dim!A:C,3,0)</f>
        <v>Beauty</v>
      </c>
      <c r="G1524" s="22" t="str" cm="1">
        <f t="array" ref="G1524:L1524">_xlfn.XLOOKUP(C1524,Sales_Fact!C1524:C3508,Sales_Fact!E1524:J3508)</f>
        <v>STORE5</v>
      </c>
      <c r="H1524" s="22">
        <v>2</v>
      </c>
      <c r="I1524" s="22">
        <v>753.1</v>
      </c>
      <c r="J1524" s="22">
        <v>0.19</v>
      </c>
      <c r="K1524" s="22" t="str">
        <v>PayPal</v>
      </c>
      <c r="L1524" s="22">
        <v>1220.0219999999999</v>
      </c>
    </row>
    <row r="1525" spans="1:12" x14ac:dyDescent="0.3">
      <c r="A1525" s="22" t="s">
        <v>3334</v>
      </c>
      <c r="B1525" s="34" cm="1">
        <f t="array" ref="B1525:C1525">_xlfn.XLOOKUP(A1525,Sales_Fact!A1525:A3509,Sales_Fact!B1525:C3509)</f>
        <v>45927</v>
      </c>
      <c r="C1525" s="22" t="str">
        <v>CUST1007</v>
      </c>
      <c r="D1525" s="22" t="str">
        <f>VLOOKUP('Combine Products &amp; Sales Facts'!C1525,'Customer Details'!A:B,2,0)</f>
        <v>Daniel Boyd</v>
      </c>
      <c r="E1525" s="22" t="str">
        <f>VLOOKUP(C1525,Sales_Fact!C:D,2,0)</f>
        <v>PROD67</v>
      </c>
      <c r="F1525" s="22" t="str">
        <f>VLOOKUP(E1525,Product_Dim!A:C,3,0)</f>
        <v>Electronics</v>
      </c>
      <c r="G1525" s="22" t="str" cm="1">
        <f t="array" ref="G1525:L1525">_xlfn.XLOOKUP(C1525,Sales_Fact!C1525:C3509,Sales_Fact!E1525:J3509)</f>
        <v>STORE17</v>
      </c>
      <c r="H1525" s="22">
        <v>2</v>
      </c>
      <c r="I1525" s="22">
        <v>700.91</v>
      </c>
      <c r="J1525" s="22">
        <v>0.1</v>
      </c>
      <c r="K1525" s="22" t="str">
        <v>PayPal</v>
      </c>
      <c r="L1525" s="22">
        <v>1261.6379999999999</v>
      </c>
    </row>
    <row r="1526" spans="1:12" x14ac:dyDescent="0.3">
      <c r="A1526" s="22" t="s">
        <v>3335</v>
      </c>
      <c r="B1526" s="34" cm="1">
        <f t="array" ref="B1526:C1526">_xlfn.XLOOKUP(A1526,Sales_Fact!A1526:A3510,Sales_Fact!B1526:C3510)</f>
        <v>45775</v>
      </c>
      <c r="C1526" s="22" t="str">
        <v>CUST1072</v>
      </c>
      <c r="D1526" s="22" t="str">
        <f>VLOOKUP('Combine Products &amp; Sales Facts'!C1526,'Customer Details'!A:B,2,0)</f>
        <v>Tonya Burch</v>
      </c>
      <c r="E1526" s="22" t="str">
        <f>VLOOKUP(C1526,Sales_Fact!C:D,2,0)</f>
        <v>PROD26</v>
      </c>
      <c r="F1526" s="22" t="str">
        <f>VLOOKUP(E1526,Product_Dim!A:C,3,0)</f>
        <v>Electronics</v>
      </c>
      <c r="G1526" s="22" t="str" cm="1">
        <f t="array" ref="G1526:L1526">_xlfn.XLOOKUP(C1526,Sales_Fact!C1526:C3510,Sales_Fact!E1526:J3510)</f>
        <v>STORE12</v>
      </c>
      <c r="H1526" s="22">
        <v>4</v>
      </c>
      <c r="I1526" s="22">
        <v>935.98</v>
      </c>
      <c r="J1526" s="22">
        <v>0.11</v>
      </c>
      <c r="K1526" s="22" t="str">
        <v>PayPal</v>
      </c>
      <c r="L1526" s="22">
        <v>3332.0888</v>
      </c>
    </row>
    <row r="1527" spans="1:12" x14ac:dyDescent="0.3">
      <c r="A1527" s="22" t="s">
        <v>3336</v>
      </c>
      <c r="B1527" s="34" cm="1">
        <f t="array" ref="B1527:C1527">_xlfn.XLOOKUP(A1527,Sales_Fact!A1527:A3511,Sales_Fact!B1527:C3511)</f>
        <v>45849</v>
      </c>
      <c r="C1527" s="22" t="str">
        <v>CUST1485</v>
      </c>
      <c r="D1527" s="22" t="str">
        <f>VLOOKUP('Combine Products &amp; Sales Facts'!C1527,'Customer Details'!A:B,2,0)</f>
        <v>Sara Ingram</v>
      </c>
      <c r="E1527" s="22" t="str">
        <f>VLOOKUP(C1527,Sales_Fact!C:D,2,0)</f>
        <v>PROD26</v>
      </c>
      <c r="F1527" s="22" t="str">
        <f>VLOOKUP(E1527,Product_Dim!A:C,3,0)</f>
        <v>Electronics</v>
      </c>
      <c r="G1527" s="22" t="str" cm="1">
        <f t="array" ref="G1527:L1527">_xlfn.XLOOKUP(C1527,Sales_Fact!C1527:C3511,Sales_Fact!E1527:J3511)</f>
        <v>STORE16</v>
      </c>
      <c r="H1527" s="22">
        <v>1</v>
      </c>
      <c r="I1527" s="22">
        <v>539.9</v>
      </c>
      <c r="J1527" s="22">
        <v>7.0000000000000007E-2</v>
      </c>
      <c r="K1527" s="22" t="str">
        <v>Credit Card</v>
      </c>
      <c r="L1527" s="22">
        <v>502.10700000000003</v>
      </c>
    </row>
    <row r="1528" spans="1:12" x14ac:dyDescent="0.3">
      <c r="A1528" s="22" t="s">
        <v>3337</v>
      </c>
      <c r="B1528" s="34" cm="1">
        <f t="array" ref="B1528:C1528">_xlfn.XLOOKUP(A1528,Sales_Fact!A1528:A3512,Sales_Fact!B1528:C3512)</f>
        <v>45573</v>
      </c>
      <c r="C1528" s="22" t="str">
        <v>CUST1171</v>
      </c>
      <c r="D1528" s="22" t="str">
        <f>VLOOKUP('Combine Products &amp; Sales Facts'!C1528,'Customer Details'!A:B,2,0)</f>
        <v>Amy Wilson</v>
      </c>
      <c r="E1528" s="22" t="str">
        <f>VLOOKUP(C1528,Sales_Fact!C:D,2,0)</f>
        <v>PROD90</v>
      </c>
      <c r="F1528" s="22" t="str">
        <f>VLOOKUP(E1528,Product_Dim!A:C,3,0)</f>
        <v>Electronics</v>
      </c>
      <c r="G1528" s="22" t="str" cm="1">
        <f t="array" ref="G1528:L1528">_xlfn.XLOOKUP(C1528,Sales_Fact!C1528:C3512,Sales_Fact!E1528:J3512)</f>
        <v>STORE6</v>
      </c>
      <c r="H1528" s="22">
        <v>1</v>
      </c>
      <c r="I1528" s="22">
        <v>312.81</v>
      </c>
      <c r="J1528" s="22">
        <v>0.14000000000000001</v>
      </c>
      <c r="K1528" s="22" t="str">
        <v>PayPal</v>
      </c>
      <c r="L1528" s="22">
        <v>269.01659999999998</v>
      </c>
    </row>
    <row r="1529" spans="1:12" x14ac:dyDescent="0.3">
      <c r="A1529" s="22" t="s">
        <v>3338</v>
      </c>
      <c r="B1529" s="34" cm="1">
        <f t="array" ref="B1529:C1529">_xlfn.XLOOKUP(A1529,Sales_Fact!A1529:A3513,Sales_Fact!B1529:C3513)</f>
        <v>45356</v>
      </c>
      <c r="C1529" s="22" t="str">
        <v>CUST1249</v>
      </c>
      <c r="D1529" s="22" t="str">
        <f>VLOOKUP('Combine Products &amp; Sales Facts'!C1529,'Customer Details'!A:B,2,0)</f>
        <v>Lauren George</v>
      </c>
      <c r="E1529" s="22" t="str">
        <f>VLOOKUP(C1529,Sales_Fact!C:D,2,0)</f>
        <v>PROD19</v>
      </c>
      <c r="F1529" s="22" t="str">
        <f>VLOOKUP(E1529,Product_Dim!A:C,3,0)</f>
        <v>Sports</v>
      </c>
      <c r="G1529" s="22" t="str" cm="1">
        <f t="array" ref="G1529:L1529">_xlfn.XLOOKUP(C1529,Sales_Fact!C1529:C3513,Sales_Fact!E1529:J3513)</f>
        <v>STORE7</v>
      </c>
      <c r="H1529" s="22">
        <v>3</v>
      </c>
      <c r="I1529" s="22">
        <v>855.96</v>
      </c>
      <c r="J1529" s="22">
        <v>0.28999999999999998</v>
      </c>
      <c r="K1529" s="22" t="str">
        <v>COD</v>
      </c>
      <c r="L1529" s="22">
        <v>1823.1948</v>
      </c>
    </row>
    <row r="1530" spans="1:12" x14ac:dyDescent="0.3">
      <c r="A1530" s="22" t="s">
        <v>3339</v>
      </c>
      <c r="B1530" s="34" cm="1">
        <f t="array" ref="B1530:C1530">_xlfn.XLOOKUP(A1530,Sales_Fact!A1530:A3514,Sales_Fact!B1530:C3514)</f>
        <v>45326</v>
      </c>
      <c r="C1530" s="22" t="str">
        <v>CUST1355</v>
      </c>
      <c r="D1530" s="22" t="str">
        <f>VLOOKUP('Combine Products &amp; Sales Facts'!C1530,'Customer Details'!A:B,2,0)</f>
        <v>Carlos Flores</v>
      </c>
      <c r="E1530" s="22" t="str">
        <f>VLOOKUP(C1530,Sales_Fact!C:D,2,0)</f>
        <v>PROD91</v>
      </c>
      <c r="F1530" s="22" t="str">
        <f>VLOOKUP(E1530,Product_Dim!A:C,3,0)</f>
        <v>Clothing</v>
      </c>
      <c r="G1530" s="22" t="str" cm="1">
        <f t="array" ref="G1530:L1530">_xlfn.XLOOKUP(C1530,Sales_Fact!C1530:C3514,Sales_Fact!E1530:J3514)</f>
        <v>STORE11</v>
      </c>
      <c r="H1530" s="22">
        <v>3</v>
      </c>
      <c r="I1530" s="22">
        <v>305</v>
      </c>
      <c r="J1530" s="22">
        <v>0.01</v>
      </c>
      <c r="K1530" s="22" t="str">
        <v>COD</v>
      </c>
      <c r="L1530" s="22">
        <v>905.85</v>
      </c>
    </row>
    <row r="1531" spans="1:12" x14ac:dyDescent="0.3">
      <c r="A1531" s="22" t="s">
        <v>3340</v>
      </c>
      <c r="B1531" s="34" cm="1">
        <f t="array" ref="B1531:C1531">_xlfn.XLOOKUP(A1531,Sales_Fact!A1531:A3515,Sales_Fact!B1531:C3515)</f>
        <v>45361</v>
      </c>
      <c r="C1531" s="22" t="str">
        <v>CUST1468</v>
      </c>
      <c r="D1531" s="22" t="str">
        <f>VLOOKUP('Combine Products &amp; Sales Facts'!C1531,'Customer Details'!A:B,2,0)</f>
        <v>Gregory Curtis</v>
      </c>
      <c r="E1531" s="22" t="str">
        <f>VLOOKUP(C1531,Sales_Fact!C:D,2,0)</f>
        <v>PROD75</v>
      </c>
      <c r="F1531" s="22" t="str">
        <f>VLOOKUP(E1531,Product_Dim!A:C,3,0)</f>
        <v>Clothing</v>
      </c>
      <c r="G1531" s="22" t="str" cm="1">
        <f t="array" ref="G1531:L1531">_xlfn.XLOOKUP(C1531,Sales_Fact!C1531:C3515,Sales_Fact!E1531:J3515)</f>
        <v>STORE12</v>
      </c>
      <c r="H1531" s="22">
        <v>3</v>
      </c>
      <c r="I1531" s="22">
        <v>831.15</v>
      </c>
      <c r="J1531" s="22">
        <v>0.19</v>
      </c>
      <c r="K1531" s="22" t="str">
        <v>Credit Card</v>
      </c>
      <c r="L1531" s="22">
        <v>2019.6945000000001</v>
      </c>
    </row>
    <row r="1532" spans="1:12" x14ac:dyDescent="0.3">
      <c r="A1532" s="22" t="s">
        <v>3341</v>
      </c>
      <c r="B1532" s="34" cm="1">
        <f t="array" ref="B1532:C1532">_xlfn.XLOOKUP(A1532,Sales_Fact!A1532:A3516,Sales_Fact!B1532:C3516)</f>
        <v>45926</v>
      </c>
      <c r="C1532" s="22" t="str">
        <v>CUST1207</v>
      </c>
      <c r="D1532" s="22" t="str">
        <f>VLOOKUP('Combine Products &amp; Sales Facts'!C1532,'Customer Details'!A:B,2,0)</f>
        <v>Jacqueline Pacheco</v>
      </c>
      <c r="E1532" s="22" t="str">
        <f>VLOOKUP(C1532,Sales_Fact!C:D,2,0)</f>
        <v>PROD96</v>
      </c>
      <c r="F1532" s="22" t="str">
        <f>VLOOKUP(E1532,Product_Dim!A:C,3,0)</f>
        <v>Clothing</v>
      </c>
      <c r="G1532" s="22" t="str" cm="1">
        <f t="array" ref="G1532:L1532">_xlfn.XLOOKUP(C1532,Sales_Fact!C1532:C3516,Sales_Fact!E1532:J3516)</f>
        <v>STORE3</v>
      </c>
      <c r="H1532" s="22">
        <v>2</v>
      </c>
      <c r="I1532" s="22">
        <v>644.97</v>
      </c>
      <c r="J1532" s="22">
        <v>0.24</v>
      </c>
      <c r="K1532" s="22" t="str">
        <v>COD</v>
      </c>
      <c r="L1532" s="22">
        <v>980.35440000000006</v>
      </c>
    </row>
    <row r="1533" spans="1:12" x14ac:dyDescent="0.3">
      <c r="A1533" s="22" t="s">
        <v>3342</v>
      </c>
      <c r="B1533" s="34" cm="1">
        <f t="array" ref="B1533:C1533">_xlfn.XLOOKUP(A1533,Sales_Fact!A1533:A3517,Sales_Fact!B1533:C3517)</f>
        <v>45839</v>
      </c>
      <c r="C1533" s="22" t="str">
        <v>CUST1095</v>
      </c>
      <c r="D1533" s="22" t="str">
        <f>VLOOKUP('Combine Products &amp; Sales Facts'!C1533,'Customer Details'!A:B,2,0)</f>
        <v>Amy Fowler</v>
      </c>
      <c r="E1533" s="22" t="str">
        <f>VLOOKUP(C1533,Sales_Fact!C:D,2,0)</f>
        <v>PROD40</v>
      </c>
      <c r="F1533" s="22" t="str">
        <f>VLOOKUP(E1533,Product_Dim!A:C,3,0)</f>
        <v>Electronics</v>
      </c>
      <c r="G1533" s="22" t="str" cm="1">
        <f t="array" ref="G1533:L1533">_xlfn.XLOOKUP(C1533,Sales_Fact!C1533:C3517,Sales_Fact!E1533:J3517)</f>
        <v>STORE1</v>
      </c>
      <c r="H1533" s="22">
        <v>1</v>
      </c>
      <c r="I1533" s="22">
        <v>149.56</v>
      </c>
      <c r="J1533" s="22">
        <v>0.09</v>
      </c>
      <c r="K1533" s="22" t="str">
        <v>Credit Card</v>
      </c>
      <c r="L1533" s="22">
        <v>136.09960000000001</v>
      </c>
    </row>
    <row r="1534" spans="1:12" x14ac:dyDescent="0.3">
      <c r="A1534" s="22" t="s">
        <v>3343</v>
      </c>
      <c r="B1534" s="34" cm="1">
        <f t="array" ref="B1534:C1534">_xlfn.XLOOKUP(A1534,Sales_Fact!A1534:A3518,Sales_Fact!B1534:C3518)</f>
        <v>45434</v>
      </c>
      <c r="C1534" s="22" t="str">
        <v>CUST1217</v>
      </c>
      <c r="D1534" s="22" t="str">
        <f>VLOOKUP('Combine Products &amp; Sales Facts'!C1534,'Customer Details'!A:B,2,0)</f>
        <v>Kathy Copeland</v>
      </c>
      <c r="E1534" s="22" t="str">
        <f>VLOOKUP(C1534,Sales_Fact!C:D,2,0)</f>
        <v>PROD43</v>
      </c>
      <c r="F1534" s="22" t="str">
        <f>VLOOKUP(E1534,Product_Dim!A:C,3,0)</f>
        <v>Electronics</v>
      </c>
      <c r="G1534" s="22" t="str" cm="1">
        <f t="array" ref="G1534:L1534">_xlfn.XLOOKUP(C1534,Sales_Fact!C1534:C3518,Sales_Fact!E1534:J3518)</f>
        <v>STORE19</v>
      </c>
      <c r="H1534" s="22">
        <v>1</v>
      </c>
      <c r="I1534" s="22">
        <v>661.77</v>
      </c>
      <c r="J1534" s="22">
        <v>0.03</v>
      </c>
      <c r="K1534" s="22" t="str">
        <v>PayPal</v>
      </c>
      <c r="L1534" s="22">
        <v>641.91689999999994</v>
      </c>
    </row>
    <row r="1535" spans="1:12" x14ac:dyDescent="0.3">
      <c r="A1535" s="22" t="s">
        <v>3344</v>
      </c>
      <c r="B1535" s="34" cm="1">
        <f t="array" ref="B1535:C1535">_xlfn.XLOOKUP(A1535,Sales_Fact!A1535:A3519,Sales_Fact!B1535:C3519)</f>
        <v>45819</v>
      </c>
      <c r="C1535" s="22" t="str">
        <v>CUST1108</v>
      </c>
      <c r="D1535" s="22" t="str">
        <f>VLOOKUP('Combine Products &amp; Sales Facts'!C1535,'Customer Details'!A:B,2,0)</f>
        <v>Travis Holland</v>
      </c>
      <c r="E1535" s="22" t="str">
        <f>VLOOKUP(C1535,Sales_Fact!C:D,2,0)</f>
        <v>PROD30</v>
      </c>
      <c r="F1535" s="22" t="str">
        <f>VLOOKUP(E1535,Product_Dim!A:C,3,0)</f>
        <v>Home</v>
      </c>
      <c r="G1535" s="22" t="str" cm="1">
        <f t="array" ref="G1535:L1535">_xlfn.XLOOKUP(C1535,Sales_Fact!C1535:C3519,Sales_Fact!E1535:J3519)</f>
        <v>STORE7</v>
      </c>
      <c r="H1535" s="22">
        <v>3</v>
      </c>
      <c r="I1535" s="22">
        <v>99.67</v>
      </c>
      <c r="J1535" s="22">
        <v>0.17</v>
      </c>
      <c r="K1535" s="22" t="str">
        <v>Credit Card</v>
      </c>
      <c r="L1535" s="22">
        <v>248.17830000000001</v>
      </c>
    </row>
    <row r="1536" spans="1:12" x14ac:dyDescent="0.3">
      <c r="A1536" s="22" t="s">
        <v>3345</v>
      </c>
      <c r="B1536" s="34" cm="1">
        <f t="array" ref="B1536:C1536">_xlfn.XLOOKUP(A1536,Sales_Fact!A1536:A3520,Sales_Fact!B1536:C3520)</f>
        <v>45553</v>
      </c>
      <c r="C1536" s="22" t="str">
        <v>CUST1221</v>
      </c>
      <c r="D1536" s="22" t="str">
        <f>VLOOKUP('Combine Products &amp; Sales Facts'!C1536,'Customer Details'!A:B,2,0)</f>
        <v>Lisa Young</v>
      </c>
      <c r="E1536" s="22" t="str">
        <f>VLOOKUP(C1536,Sales_Fact!C:D,2,0)</f>
        <v>PROD83</v>
      </c>
      <c r="F1536" s="22" t="str">
        <f>VLOOKUP(E1536,Product_Dim!A:C,3,0)</f>
        <v>Beauty</v>
      </c>
      <c r="G1536" s="22" t="str" cm="1">
        <f t="array" ref="G1536:L1536">_xlfn.XLOOKUP(C1536,Sales_Fact!C1536:C3520,Sales_Fact!E1536:J3520)</f>
        <v>STORE1</v>
      </c>
      <c r="H1536" s="22">
        <v>3</v>
      </c>
      <c r="I1536" s="22">
        <v>103.66</v>
      </c>
      <c r="J1536" s="22">
        <v>0.26</v>
      </c>
      <c r="K1536" s="22" t="str">
        <v>COD</v>
      </c>
      <c r="L1536" s="22">
        <v>230.12520000000001</v>
      </c>
    </row>
    <row r="1537" spans="1:12" x14ac:dyDescent="0.3">
      <c r="A1537" s="22" t="s">
        <v>3346</v>
      </c>
      <c r="B1537" s="34" cm="1">
        <f t="array" ref="B1537:C1537">_xlfn.XLOOKUP(A1537,Sales_Fact!A1537:A3521,Sales_Fact!B1537:C3521)</f>
        <v>45258</v>
      </c>
      <c r="C1537" s="22" t="str">
        <v>CUST1436</v>
      </c>
      <c r="D1537" s="22" t="str">
        <f>VLOOKUP('Combine Products &amp; Sales Facts'!C1537,'Customer Details'!A:B,2,0)</f>
        <v>Sharon Simpson</v>
      </c>
      <c r="E1537" s="22" t="str">
        <f>VLOOKUP(C1537,Sales_Fact!C:D,2,0)</f>
        <v>PROD52</v>
      </c>
      <c r="F1537" s="22" t="str">
        <f>VLOOKUP(E1537,Product_Dim!A:C,3,0)</f>
        <v>Sports</v>
      </c>
      <c r="G1537" s="22" t="str" cm="1">
        <f t="array" ref="G1537:L1537">_xlfn.XLOOKUP(C1537,Sales_Fact!C1537:C3521,Sales_Fact!E1537:J3521)</f>
        <v>STORE2</v>
      </c>
      <c r="H1537" s="22">
        <v>4</v>
      </c>
      <c r="I1537" s="22">
        <v>54.4</v>
      </c>
      <c r="J1537" s="22">
        <v>0.22</v>
      </c>
      <c r="K1537" s="22" t="str">
        <v>Credit Card</v>
      </c>
      <c r="L1537" s="22">
        <v>169.72800000000001</v>
      </c>
    </row>
    <row r="1538" spans="1:12" x14ac:dyDescent="0.3">
      <c r="A1538" s="22" t="s">
        <v>3347</v>
      </c>
      <c r="B1538" s="34" cm="1">
        <f t="array" ref="B1538:C1538">_xlfn.XLOOKUP(A1538,Sales_Fact!A1538:A3522,Sales_Fact!B1538:C3522)</f>
        <v>45435</v>
      </c>
      <c r="C1538" s="22" t="str">
        <v>CUST1490</v>
      </c>
      <c r="D1538" s="22" t="str">
        <f>VLOOKUP('Combine Products &amp; Sales Facts'!C1538,'Customer Details'!A:B,2,0)</f>
        <v>Scott Harris</v>
      </c>
      <c r="E1538" s="22" t="str">
        <f>VLOOKUP(C1538,Sales_Fact!C:D,2,0)</f>
        <v>PROD47</v>
      </c>
      <c r="F1538" s="22" t="str">
        <f>VLOOKUP(E1538,Product_Dim!A:C,3,0)</f>
        <v>Beauty</v>
      </c>
      <c r="G1538" s="22" t="str" cm="1">
        <f t="array" ref="G1538:L1538">_xlfn.XLOOKUP(C1538,Sales_Fact!C1538:C3522,Sales_Fact!E1538:J3522)</f>
        <v>STORE14</v>
      </c>
      <c r="H1538" s="22">
        <v>1</v>
      </c>
      <c r="I1538" s="22">
        <v>46.66</v>
      </c>
      <c r="J1538" s="22">
        <v>0.2</v>
      </c>
      <c r="K1538" s="22" t="str">
        <v>Credit Card</v>
      </c>
      <c r="L1538" s="22">
        <v>37.328000000000003</v>
      </c>
    </row>
    <row r="1539" spans="1:12" x14ac:dyDescent="0.3">
      <c r="A1539" s="22" t="s">
        <v>3348</v>
      </c>
      <c r="B1539" s="34" cm="1">
        <f t="array" ref="B1539:C1539">_xlfn.XLOOKUP(A1539,Sales_Fact!A1539:A3523,Sales_Fact!B1539:C3523)</f>
        <v>45447</v>
      </c>
      <c r="C1539" s="22" t="str">
        <v>CUST1007</v>
      </c>
      <c r="D1539" s="22" t="str">
        <f>VLOOKUP('Combine Products &amp; Sales Facts'!C1539,'Customer Details'!A:B,2,0)</f>
        <v>Daniel Boyd</v>
      </c>
      <c r="E1539" s="22" t="str">
        <f>VLOOKUP(C1539,Sales_Fact!C:D,2,0)</f>
        <v>PROD67</v>
      </c>
      <c r="F1539" s="22" t="str">
        <f>VLOOKUP(E1539,Product_Dim!A:C,3,0)</f>
        <v>Electronics</v>
      </c>
      <c r="G1539" s="22" t="str" cm="1">
        <f t="array" ref="G1539:L1539">_xlfn.XLOOKUP(C1539,Sales_Fact!C1539:C3523,Sales_Fact!E1539:J3523)</f>
        <v>STORE11</v>
      </c>
      <c r="H1539" s="22">
        <v>4</v>
      </c>
      <c r="I1539" s="22">
        <v>871.2</v>
      </c>
      <c r="J1539" s="22">
        <v>0.28999999999999998</v>
      </c>
      <c r="K1539" s="22" t="str">
        <v>Credit Card</v>
      </c>
      <c r="L1539" s="22">
        <v>2474.2080000000001</v>
      </c>
    </row>
    <row r="1540" spans="1:12" x14ac:dyDescent="0.3">
      <c r="A1540" s="22" t="s">
        <v>3349</v>
      </c>
      <c r="B1540" s="34" cm="1">
        <f t="array" ref="B1540:C1540">_xlfn.XLOOKUP(A1540,Sales_Fact!A1540:A3524,Sales_Fact!B1540:C3524)</f>
        <v>45724</v>
      </c>
      <c r="C1540" s="22" t="str">
        <v>CUST1379</v>
      </c>
      <c r="D1540" s="22" t="str">
        <f>VLOOKUP('Combine Products &amp; Sales Facts'!C1540,'Customer Details'!A:B,2,0)</f>
        <v>Tanya Lopez</v>
      </c>
      <c r="E1540" s="22" t="str">
        <f>VLOOKUP(C1540,Sales_Fact!C:D,2,0)</f>
        <v>PROD20</v>
      </c>
      <c r="F1540" s="22" t="str">
        <f>VLOOKUP(E1540,Product_Dim!A:C,3,0)</f>
        <v>Sports</v>
      </c>
      <c r="G1540" s="22" t="str" cm="1">
        <f t="array" ref="G1540:L1540">_xlfn.XLOOKUP(C1540,Sales_Fact!C1540:C3524,Sales_Fact!E1540:J3524)</f>
        <v>STORE14</v>
      </c>
      <c r="H1540" s="22">
        <v>4</v>
      </c>
      <c r="I1540" s="22">
        <v>317.11</v>
      </c>
      <c r="J1540" s="22">
        <v>0.16</v>
      </c>
      <c r="K1540" s="22" t="str">
        <v>PayPal</v>
      </c>
      <c r="L1540" s="22">
        <v>1065.4896000000001</v>
      </c>
    </row>
    <row r="1541" spans="1:12" x14ac:dyDescent="0.3">
      <c r="A1541" s="22" t="s">
        <v>3350</v>
      </c>
      <c r="B1541" s="34" cm="1">
        <f t="array" ref="B1541:C1541">_xlfn.XLOOKUP(A1541,Sales_Fact!A1541:A3525,Sales_Fact!B1541:C3525)</f>
        <v>45338</v>
      </c>
      <c r="C1541" s="22" t="str">
        <v>CUST1258</v>
      </c>
      <c r="D1541" s="22" t="str">
        <f>VLOOKUP('Combine Products &amp; Sales Facts'!C1541,'Customer Details'!A:B,2,0)</f>
        <v>Sarah Stewart</v>
      </c>
      <c r="E1541" s="22" t="str">
        <f>VLOOKUP(C1541,Sales_Fact!C:D,2,0)</f>
        <v>PROD88</v>
      </c>
      <c r="F1541" s="22" t="str">
        <f>VLOOKUP(E1541,Product_Dim!A:C,3,0)</f>
        <v>Sports</v>
      </c>
      <c r="G1541" s="22" t="str" cm="1">
        <f t="array" ref="G1541:L1541">_xlfn.XLOOKUP(C1541,Sales_Fact!C1541:C3525,Sales_Fact!E1541:J3525)</f>
        <v>STORE13</v>
      </c>
      <c r="H1541" s="22">
        <v>2</v>
      </c>
      <c r="I1541" s="22">
        <v>388.34</v>
      </c>
      <c r="J1541" s="22">
        <v>0.09</v>
      </c>
      <c r="K1541" s="22" t="str">
        <v>PayPal</v>
      </c>
      <c r="L1541" s="22">
        <v>706.77879999999993</v>
      </c>
    </row>
    <row r="1542" spans="1:12" x14ac:dyDescent="0.3">
      <c r="A1542" s="22" t="s">
        <v>3351</v>
      </c>
      <c r="B1542" s="34" cm="1">
        <f t="array" ref="B1542:C1542">_xlfn.XLOOKUP(A1542,Sales_Fact!A1542:A3526,Sales_Fact!B1542:C3526)</f>
        <v>45252</v>
      </c>
      <c r="C1542" s="22" t="str">
        <v>CUST1319</v>
      </c>
      <c r="D1542" s="22" t="str">
        <f>VLOOKUP('Combine Products &amp; Sales Facts'!C1542,'Customer Details'!A:B,2,0)</f>
        <v>Casey Simpson</v>
      </c>
      <c r="E1542" s="22" t="str">
        <f>VLOOKUP(C1542,Sales_Fact!C:D,2,0)</f>
        <v>PROD49</v>
      </c>
      <c r="F1542" s="22" t="str">
        <f>VLOOKUP(E1542,Product_Dim!A:C,3,0)</f>
        <v>Beauty</v>
      </c>
      <c r="G1542" s="22" t="str" cm="1">
        <f t="array" ref="G1542:L1542">_xlfn.XLOOKUP(C1542,Sales_Fact!C1542:C3526,Sales_Fact!E1542:J3526)</f>
        <v>STORE6</v>
      </c>
      <c r="H1542" s="22">
        <v>4</v>
      </c>
      <c r="I1542" s="22">
        <v>998.2</v>
      </c>
      <c r="J1542" s="22">
        <v>0.15</v>
      </c>
      <c r="K1542" s="22" t="str">
        <v>Credit Card</v>
      </c>
      <c r="L1542" s="22">
        <v>3393.88</v>
      </c>
    </row>
    <row r="1543" spans="1:12" x14ac:dyDescent="0.3">
      <c r="A1543" s="22" t="s">
        <v>3352</v>
      </c>
      <c r="B1543" s="34" cm="1">
        <f t="array" ref="B1543:C1543">_xlfn.XLOOKUP(A1543,Sales_Fact!A1543:A3527,Sales_Fact!B1543:C3527)</f>
        <v>45606</v>
      </c>
      <c r="C1543" s="22" t="str">
        <v>CUST1493</v>
      </c>
      <c r="D1543" s="22" t="str">
        <f>VLOOKUP('Combine Products &amp; Sales Facts'!C1543,'Customer Details'!A:B,2,0)</f>
        <v>Amanda Powell</v>
      </c>
      <c r="E1543" s="22" t="str">
        <f>VLOOKUP(C1543,Sales_Fact!C:D,2,0)</f>
        <v>PROD59</v>
      </c>
      <c r="F1543" s="22" t="str">
        <f>VLOOKUP(E1543,Product_Dim!A:C,3,0)</f>
        <v>Beauty</v>
      </c>
      <c r="G1543" s="22" t="str" cm="1">
        <f t="array" ref="G1543:L1543">_xlfn.XLOOKUP(C1543,Sales_Fact!C1543:C3527,Sales_Fact!E1543:J3527)</f>
        <v>STORE0</v>
      </c>
      <c r="H1543" s="22">
        <v>1</v>
      </c>
      <c r="I1543" s="22">
        <v>887.38</v>
      </c>
      <c r="J1543" s="22">
        <v>0.01</v>
      </c>
      <c r="K1543" s="22" t="str">
        <v>COD</v>
      </c>
      <c r="L1543" s="22">
        <v>878.50620000000004</v>
      </c>
    </row>
    <row r="1544" spans="1:12" x14ac:dyDescent="0.3">
      <c r="A1544" s="22" t="s">
        <v>3353</v>
      </c>
      <c r="B1544" s="34" cm="1">
        <f t="array" ref="B1544:C1544">_xlfn.XLOOKUP(A1544,Sales_Fact!A1544:A3528,Sales_Fact!B1544:C3528)</f>
        <v>45524</v>
      </c>
      <c r="C1544" s="22" t="str">
        <v>CUST1312</v>
      </c>
      <c r="D1544" s="22" t="str">
        <f>VLOOKUP('Combine Products &amp; Sales Facts'!C1544,'Customer Details'!A:B,2,0)</f>
        <v>Jason Mullins</v>
      </c>
      <c r="E1544" s="22" t="str">
        <f>VLOOKUP(C1544,Sales_Fact!C:D,2,0)</f>
        <v>PROD74</v>
      </c>
      <c r="F1544" s="22" t="str">
        <f>VLOOKUP(E1544,Product_Dim!A:C,3,0)</f>
        <v>Electronics</v>
      </c>
      <c r="G1544" s="22" t="str" cm="1">
        <f t="array" ref="G1544:L1544">_xlfn.XLOOKUP(C1544,Sales_Fact!C1544:C3528,Sales_Fact!E1544:J3528)</f>
        <v>STORE12</v>
      </c>
      <c r="H1544" s="22">
        <v>4</v>
      </c>
      <c r="I1544" s="22">
        <v>332.97</v>
      </c>
      <c r="J1544" s="22">
        <v>0.28000000000000003</v>
      </c>
      <c r="K1544" s="22" t="str">
        <v>Credit Card</v>
      </c>
      <c r="L1544" s="22">
        <v>958.95360000000005</v>
      </c>
    </row>
    <row r="1545" spans="1:12" x14ac:dyDescent="0.3">
      <c r="A1545" s="22" t="s">
        <v>3354</v>
      </c>
      <c r="B1545" s="34" cm="1">
        <f t="array" ref="B1545:C1545">_xlfn.XLOOKUP(A1545,Sales_Fact!A1545:A3529,Sales_Fact!B1545:C3529)</f>
        <v>45934</v>
      </c>
      <c r="C1545" s="22" t="str">
        <v>CUST1021</v>
      </c>
      <c r="D1545" s="22" t="str">
        <f>VLOOKUP('Combine Products &amp; Sales Facts'!C1545,'Customer Details'!A:B,2,0)</f>
        <v>Jeff Martinez</v>
      </c>
      <c r="E1545" s="22" t="str">
        <f>VLOOKUP(C1545,Sales_Fact!C:D,2,0)</f>
        <v>PROD26</v>
      </c>
      <c r="F1545" s="22" t="str">
        <f>VLOOKUP(E1545,Product_Dim!A:C,3,0)</f>
        <v>Electronics</v>
      </c>
      <c r="G1545" s="22" t="str" cm="1">
        <f t="array" ref="G1545:L1545">_xlfn.XLOOKUP(C1545,Sales_Fact!C1545:C3529,Sales_Fact!E1545:J3529)</f>
        <v>STORE0</v>
      </c>
      <c r="H1545" s="22">
        <v>2</v>
      </c>
      <c r="I1545" s="22">
        <v>157.91</v>
      </c>
      <c r="J1545" s="22">
        <v>0.09</v>
      </c>
      <c r="K1545" s="22" t="str">
        <v>COD</v>
      </c>
      <c r="L1545" s="22">
        <v>287.39620000000002</v>
      </c>
    </row>
    <row r="1546" spans="1:12" x14ac:dyDescent="0.3">
      <c r="A1546" s="22" t="s">
        <v>3355</v>
      </c>
      <c r="B1546" s="34" cm="1">
        <f t="array" ref="B1546:C1546">_xlfn.XLOOKUP(A1546,Sales_Fact!A1546:A3530,Sales_Fact!B1546:C3530)</f>
        <v>45539</v>
      </c>
      <c r="C1546" s="22" t="str">
        <v>CUST1356</v>
      </c>
      <c r="D1546" s="22" t="str">
        <f>VLOOKUP('Combine Products &amp; Sales Facts'!C1546,'Customer Details'!A:B,2,0)</f>
        <v>Steve Hunt</v>
      </c>
      <c r="E1546" s="22" t="str">
        <f>VLOOKUP(C1546,Sales_Fact!C:D,2,0)</f>
        <v>PROD88</v>
      </c>
      <c r="F1546" s="22" t="str">
        <f>VLOOKUP(E1546,Product_Dim!A:C,3,0)</f>
        <v>Sports</v>
      </c>
      <c r="G1546" s="22" t="str" cm="1">
        <f t="array" ref="G1546:L1546">_xlfn.XLOOKUP(C1546,Sales_Fact!C1546:C3530,Sales_Fact!E1546:J3530)</f>
        <v>STORE18</v>
      </c>
      <c r="H1546" s="22">
        <v>1</v>
      </c>
      <c r="I1546" s="22">
        <v>548.15</v>
      </c>
      <c r="J1546" s="22">
        <v>0.11</v>
      </c>
      <c r="K1546" s="22" t="str">
        <v>Credit Card</v>
      </c>
      <c r="L1546" s="22">
        <v>487.8535</v>
      </c>
    </row>
    <row r="1547" spans="1:12" x14ac:dyDescent="0.3">
      <c r="A1547" s="22" t="s">
        <v>3356</v>
      </c>
      <c r="B1547" s="34" cm="1">
        <f t="array" ref="B1547:C1547">_xlfn.XLOOKUP(A1547,Sales_Fact!A1547:A3531,Sales_Fact!B1547:C3531)</f>
        <v>45555</v>
      </c>
      <c r="C1547" s="22" t="str">
        <v>CUST1209</v>
      </c>
      <c r="D1547" s="22" t="str">
        <f>VLOOKUP('Combine Products &amp; Sales Facts'!C1547,'Customer Details'!A:B,2,0)</f>
        <v>Joan Johnson</v>
      </c>
      <c r="E1547" s="22" t="str">
        <f>VLOOKUP(C1547,Sales_Fact!C:D,2,0)</f>
        <v>PROD42</v>
      </c>
      <c r="F1547" s="22" t="str">
        <f>VLOOKUP(E1547,Product_Dim!A:C,3,0)</f>
        <v>Electronics</v>
      </c>
      <c r="G1547" s="22" t="str" cm="1">
        <f t="array" ref="G1547:L1547">_xlfn.XLOOKUP(C1547,Sales_Fact!C1547:C3531,Sales_Fact!E1547:J3531)</f>
        <v>STORE15</v>
      </c>
      <c r="H1547" s="22">
        <v>1</v>
      </c>
      <c r="I1547" s="22">
        <v>135.13</v>
      </c>
      <c r="J1547" s="22">
        <v>0.04</v>
      </c>
      <c r="K1547" s="22" t="str">
        <v>Credit Card</v>
      </c>
      <c r="L1547" s="22">
        <v>129.72479999999999</v>
      </c>
    </row>
    <row r="1548" spans="1:12" x14ac:dyDescent="0.3">
      <c r="A1548" s="22" t="s">
        <v>3357</v>
      </c>
      <c r="B1548" s="34" cm="1">
        <f t="array" ref="B1548:C1548">_xlfn.XLOOKUP(A1548,Sales_Fact!A1548:A3532,Sales_Fact!B1548:C3532)</f>
        <v>45281</v>
      </c>
      <c r="C1548" s="22" t="str">
        <v>CUST1219</v>
      </c>
      <c r="D1548" s="22" t="str">
        <f>VLOOKUP('Combine Products &amp; Sales Facts'!C1548,'Customer Details'!A:B,2,0)</f>
        <v>Jordan Wells</v>
      </c>
      <c r="E1548" s="22" t="str">
        <f>VLOOKUP(C1548,Sales_Fact!C:D,2,0)</f>
        <v>PROD37</v>
      </c>
      <c r="F1548" s="22" t="str">
        <f>VLOOKUP(E1548,Product_Dim!A:C,3,0)</f>
        <v>Clothing</v>
      </c>
      <c r="G1548" s="22" t="str" cm="1">
        <f t="array" ref="G1548:L1548">_xlfn.XLOOKUP(C1548,Sales_Fact!C1548:C3532,Sales_Fact!E1548:J3532)</f>
        <v>STORE3</v>
      </c>
      <c r="H1548" s="22">
        <v>3</v>
      </c>
      <c r="I1548" s="22">
        <v>579.26</v>
      </c>
      <c r="J1548" s="22">
        <v>0.19</v>
      </c>
      <c r="K1548" s="22" t="str">
        <v>Credit Card</v>
      </c>
      <c r="L1548" s="22">
        <v>1407.6017999999999</v>
      </c>
    </row>
    <row r="1549" spans="1:12" x14ac:dyDescent="0.3">
      <c r="A1549" s="22" t="s">
        <v>3358</v>
      </c>
      <c r="B1549" s="34" cm="1">
        <f t="array" ref="B1549:C1549">_xlfn.XLOOKUP(A1549,Sales_Fact!A1549:A3533,Sales_Fact!B1549:C3533)</f>
        <v>45582</v>
      </c>
      <c r="C1549" s="22" t="str">
        <v>CUST1389</v>
      </c>
      <c r="D1549" s="22" t="str">
        <f>VLOOKUP('Combine Products &amp; Sales Facts'!C1549,'Customer Details'!A:B,2,0)</f>
        <v>Cynthia Lopez</v>
      </c>
      <c r="E1549" s="22" t="str">
        <f>VLOOKUP(C1549,Sales_Fact!C:D,2,0)</f>
        <v>PROD91</v>
      </c>
      <c r="F1549" s="22" t="str">
        <f>VLOOKUP(E1549,Product_Dim!A:C,3,0)</f>
        <v>Clothing</v>
      </c>
      <c r="G1549" s="22" t="str" cm="1">
        <f t="array" ref="G1549:L1549">_xlfn.XLOOKUP(C1549,Sales_Fact!C1549:C3533,Sales_Fact!E1549:J3533)</f>
        <v>STORE0</v>
      </c>
      <c r="H1549" s="22">
        <v>1</v>
      </c>
      <c r="I1549" s="22">
        <v>465.63</v>
      </c>
      <c r="J1549" s="22">
        <v>0.25</v>
      </c>
      <c r="K1549" s="22" t="str">
        <v>Credit Card</v>
      </c>
      <c r="L1549" s="22">
        <v>349.22250000000003</v>
      </c>
    </row>
    <row r="1550" spans="1:12" x14ac:dyDescent="0.3">
      <c r="A1550" s="22" t="s">
        <v>3359</v>
      </c>
      <c r="B1550" s="34" cm="1">
        <f t="array" ref="B1550:C1550">_xlfn.XLOOKUP(A1550,Sales_Fact!A1550:A3534,Sales_Fact!B1550:C3534)</f>
        <v>45372</v>
      </c>
      <c r="C1550" s="22" t="str">
        <v>CUST1047</v>
      </c>
      <c r="D1550" s="22" t="str">
        <f>VLOOKUP('Combine Products &amp; Sales Facts'!C1550,'Customer Details'!A:B,2,0)</f>
        <v>Gina Knight</v>
      </c>
      <c r="E1550" s="22" t="str">
        <f>VLOOKUP(C1550,Sales_Fact!C:D,2,0)</f>
        <v>PROD64</v>
      </c>
      <c r="F1550" s="22" t="str">
        <f>VLOOKUP(E1550,Product_Dim!A:C,3,0)</f>
        <v>Beauty</v>
      </c>
      <c r="G1550" s="22" t="str" cm="1">
        <f t="array" ref="G1550:L1550">_xlfn.XLOOKUP(C1550,Sales_Fact!C1550:C3534,Sales_Fact!E1550:J3534)</f>
        <v>STORE16</v>
      </c>
      <c r="H1550" s="22">
        <v>2</v>
      </c>
      <c r="I1550" s="22">
        <v>675.61</v>
      </c>
      <c r="J1550" s="22">
        <v>0.08</v>
      </c>
      <c r="K1550" s="22" t="str">
        <v>COD</v>
      </c>
      <c r="L1550" s="22">
        <v>1243.1224</v>
      </c>
    </row>
    <row r="1551" spans="1:12" x14ac:dyDescent="0.3">
      <c r="A1551" s="22" t="s">
        <v>3360</v>
      </c>
      <c r="B1551" s="34" cm="1">
        <f t="array" ref="B1551:C1551">_xlfn.XLOOKUP(A1551,Sales_Fact!A1551:A3535,Sales_Fact!B1551:C3535)</f>
        <v>45458</v>
      </c>
      <c r="C1551" s="22" t="str">
        <v>CUST1416</v>
      </c>
      <c r="D1551" s="22" t="str">
        <f>VLOOKUP('Combine Products &amp; Sales Facts'!C1551,'Customer Details'!A:B,2,0)</f>
        <v>Jennifer Myers</v>
      </c>
      <c r="E1551" s="22" t="str">
        <f>VLOOKUP(C1551,Sales_Fact!C:D,2,0)</f>
        <v>PROD49</v>
      </c>
      <c r="F1551" s="22" t="str">
        <f>VLOOKUP(E1551,Product_Dim!A:C,3,0)</f>
        <v>Beauty</v>
      </c>
      <c r="G1551" s="22" t="str" cm="1">
        <f t="array" ref="G1551:L1551">_xlfn.XLOOKUP(C1551,Sales_Fact!C1551:C3535,Sales_Fact!E1551:J3535)</f>
        <v>STORE6</v>
      </c>
      <c r="H1551" s="22">
        <v>1</v>
      </c>
      <c r="I1551" s="22">
        <v>718.99</v>
      </c>
      <c r="J1551" s="22">
        <v>0.08</v>
      </c>
      <c r="K1551" s="22" t="str">
        <v>PayPal</v>
      </c>
      <c r="L1551" s="22">
        <v>661.47080000000005</v>
      </c>
    </row>
    <row r="1552" spans="1:12" x14ac:dyDescent="0.3">
      <c r="A1552" s="22" t="s">
        <v>3361</v>
      </c>
      <c r="B1552" s="34" cm="1">
        <f t="array" ref="B1552:C1552">_xlfn.XLOOKUP(A1552,Sales_Fact!A1552:A3536,Sales_Fact!B1552:C3536)</f>
        <v>45943</v>
      </c>
      <c r="C1552" s="22" t="str">
        <v>CUST1376</v>
      </c>
      <c r="D1552" s="22" t="str">
        <f>VLOOKUP('Combine Products &amp; Sales Facts'!C1552,'Customer Details'!A:B,2,0)</f>
        <v>Michele Burke</v>
      </c>
      <c r="E1552" s="22" t="str">
        <f>VLOOKUP(C1552,Sales_Fact!C:D,2,0)</f>
        <v>PROD85</v>
      </c>
      <c r="F1552" s="22" t="str">
        <f>VLOOKUP(E1552,Product_Dim!A:C,3,0)</f>
        <v>Clothing</v>
      </c>
      <c r="G1552" s="22" t="str" cm="1">
        <f t="array" ref="G1552:L1552">_xlfn.XLOOKUP(C1552,Sales_Fact!C1552:C3536,Sales_Fact!E1552:J3536)</f>
        <v>STORE10</v>
      </c>
      <c r="H1552" s="22">
        <v>2</v>
      </c>
      <c r="I1552" s="22">
        <v>675.65</v>
      </c>
      <c r="J1552" s="22">
        <v>0.2</v>
      </c>
      <c r="K1552" s="22" t="str">
        <v>COD</v>
      </c>
      <c r="L1552" s="22">
        <v>1081.04</v>
      </c>
    </row>
    <row r="1553" spans="1:12" x14ac:dyDescent="0.3">
      <c r="A1553" s="22" t="s">
        <v>3362</v>
      </c>
      <c r="B1553" s="34" cm="1">
        <f t="array" ref="B1553:C1553">_xlfn.XLOOKUP(A1553,Sales_Fact!A1553:A3537,Sales_Fact!B1553:C3537)</f>
        <v>45374</v>
      </c>
      <c r="C1553" s="22" t="str">
        <v>CUST1336</v>
      </c>
      <c r="D1553" s="22" t="str">
        <f>VLOOKUP('Combine Products &amp; Sales Facts'!C1553,'Customer Details'!A:B,2,0)</f>
        <v>John Jones</v>
      </c>
      <c r="E1553" s="22" t="str">
        <f>VLOOKUP(C1553,Sales_Fact!C:D,2,0)</f>
        <v>PROD11</v>
      </c>
      <c r="F1553" s="22" t="str">
        <f>VLOOKUP(E1553,Product_Dim!A:C,3,0)</f>
        <v>Electronics</v>
      </c>
      <c r="G1553" s="22" t="str" cm="1">
        <f t="array" ref="G1553:L1553">_xlfn.XLOOKUP(C1553,Sales_Fact!C1553:C3537,Sales_Fact!E1553:J3537)</f>
        <v>STORE15</v>
      </c>
      <c r="H1553" s="22">
        <v>4</v>
      </c>
      <c r="I1553" s="22">
        <v>284.24</v>
      </c>
      <c r="J1553" s="22">
        <v>0.1</v>
      </c>
      <c r="K1553" s="22" t="str">
        <v>Credit Card</v>
      </c>
      <c r="L1553" s="22">
        <v>1023.264</v>
      </c>
    </row>
    <row r="1554" spans="1:12" x14ac:dyDescent="0.3">
      <c r="A1554" s="22" t="s">
        <v>3363</v>
      </c>
      <c r="B1554" s="34" cm="1">
        <f t="array" ref="B1554:C1554">_xlfn.XLOOKUP(A1554,Sales_Fact!A1554:A3538,Sales_Fact!B1554:C3538)</f>
        <v>45374</v>
      </c>
      <c r="C1554" s="22" t="str">
        <v>CUST1213</v>
      </c>
      <c r="D1554" s="22" t="str">
        <f>VLOOKUP('Combine Products &amp; Sales Facts'!C1554,'Customer Details'!A:B,2,0)</f>
        <v>Stuart Johnson</v>
      </c>
      <c r="E1554" s="22" t="str">
        <f>VLOOKUP(C1554,Sales_Fact!C:D,2,0)</f>
        <v>PROD21</v>
      </c>
      <c r="F1554" s="22" t="str">
        <f>VLOOKUP(E1554,Product_Dim!A:C,3,0)</f>
        <v>Home</v>
      </c>
      <c r="G1554" s="22" t="str" cm="1">
        <f t="array" ref="G1554:L1554">_xlfn.XLOOKUP(C1554,Sales_Fact!C1554:C3538,Sales_Fact!E1554:J3538)</f>
        <v>STORE3</v>
      </c>
      <c r="H1554" s="22">
        <v>1</v>
      </c>
      <c r="I1554" s="22">
        <v>94.26</v>
      </c>
      <c r="J1554" s="22">
        <v>0.18</v>
      </c>
      <c r="K1554" s="22" t="str">
        <v>PayPal</v>
      </c>
      <c r="L1554" s="22">
        <v>77.293200000000013</v>
      </c>
    </row>
    <row r="1555" spans="1:12" x14ac:dyDescent="0.3">
      <c r="A1555" s="22" t="s">
        <v>3364</v>
      </c>
      <c r="B1555" s="34" cm="1">
        <f t="array" ref="B1555:C1555">_xlfn.XLOOKUP(A1555,Sales_Fact!A1555:A3539,Sales_Fact!B1555:C3539)</f>
        <v>45789</v>
      </c>
      <c r="C1555" s="22" t="str">
        <v>CUST1416</v>
      </c>
      <c r="D1555" s="22" t="str">
        <f>VLOOKUP('Combine Products &amp; Sales Facts'!C1555,'Customer Details'!A:B,2,0)</f>
        <v>Jennifer Myers</v>
      </c>
      <c r="E1555" s="22" t="str">
        <f>VLOOKUP(C1555,Sales_Fact!C:D,2,0)</f>
        <v>PROD49</v>
      </c>
      <c r="F1555" s="22" t="str">
        <f>VLOOKUP(E1555,Product_Dim!A:C,3,0)</f>
        <v>Beauty</v>
      </c>
      <c r="G1555" s="22" t="str" cm="1">
        <f t="array" ref="G1555:L1555">_xlfn.XLOOKUP(C1555,Sales_Fact!C1555:C3539,Sales_Fact!E1555:J3539)</f>
        <v>STORE10</v>
      </c>
      <c r="H1555" s="22">
        <v>4</v>
      </c>
      <c r="I1555" s="22">
        <v>458.58</v>
      </c>
      <c r="J1555" s="22">
        <v>0.28999999999999998</v>
      </c>
      <c r="K1555" s="22" t="str">
        <v>COD</v>
      </c>
      <c r="L1555" s="22">
        <v>1302.3671999999999</v>
      </c>
    </row>
    <row r="1556" spans="1:12" x14ac:dyDescent="0.3">
      <c r="A1556" s="22" t="s">
        <v>3365</v>
      </c>
      <c r="B1556" s="34" cm="1">
        <f t="array" ref="B1556:C1556">_xlfn.XLOOKUP(A1556,Sales_Fact!A1556:A3540,Sales_Fact!B1556:C3540)</f>
        <v>45452</v>
      </c>
      <c r="C1556" s="22" t="str">
        <v>CUST1113</v>
      </c>
      <c r="D1556" s="22" t="str">
        <f>VLOOKUP('Combine Products &amp; Sales Facts'!C1556,'Customer Details'!A:B,2,0)</f>
        <v>Edward Hall</v>
      </c>
      <c r="E1556" s="22" t="str">
        <f>VLOOKUP(C1556,Sales_Fact!C:D,2,0)</f>
        <v>PROD47</v>
      </c>
      <c r="F1556" s="22" t="str">
        <f>VLOOKUP(E1556,Product_Dim!A:C,3,0)</f>
        <v>Beauty</v>
      </c>
      <c r="G1556" s="22" t="str" cm="1">
        <f t="array" ref="G1556:L1556">_xlfn.XLOOKUP(C1556,Sales_Fact!C1556:C3540,Sales_Fact!E1556:J3540)</f>
        <v>STORE10</v>
      </c>
      <c r="H1556" s="22">
        <v>4</v>
      </c>
      <c r="I1556" s="22">
        <v>704.49</v>
      </c>
      <c r="J1556" s="22">
        <v>0.05</v>
      </c>
      <c r="K1556" s="22" t="str">
        <v>COD</v>
      </c>
      <c r="L1556" s="22">
        <v>2677.0619999999999</v>
      </c>
    </row>
    <row r="1557" spans="1:12" x14ac:dyDescent="0.3">
      <c r="A1557" s="22" t="s">
        <v>3366</v>
      </c>
      <c r="B1557" s="34" cm="1">
        <f t="array" ref="B1557:C1557">_xlfn.XLOOKUP(A1557,Sales_Fact!A1557:A3541,Sales_Fact!B1557:C3541)</f>
        <v>45284</v>
      </c>
      <c r="C1557" s="22" t="str">
        <v>CUST1032</v>
      </c>
      <c r="D1557" s="22" t="str">
        <f>VLOOKUP('Combine Products &amp; Sales Facts'!C1557,'Customer Details'!A:B,2,0)</f>
        <v>Mike Jennings</v>
      </c>
      <c r="E1557" s="22" t="str">
        <f>VLOOKUP(C1557,Sales_Fact!C:D,2,0)</f>
        <v>PROD16</v>
      </c>
      <c r="F1557" s="22" t="str">
        <f>VLOOKUP(E1557,Product_Dim!A:C,3,0)</f>
        <v>Beauty</v>
      </c>
      <c r="G1557" s="22" t="str" cm="1">
        <f t="array" ref="G1557:L1557">_xlfn.XLOOKUP(C1557,Sales_Fact!C1557:C3541,Sales_Fact!E1557:J3541)</f>
        <v>STORE19</v>
      </c>
      <c r="H1557" s="22">
        <v>4</v>
      </c>
      <c r="I1557" s="22">
        <v>822.32</v>
      </c>
      <c r="J1557" s="22">
        <v>0.26</v>
      </c>
      <c r="K1557" s="22" t="str">
        <v>PayPal</v>
      </c>
      <c r="L1557" s="22">
        <v>2434.0672</v>
      </c>
    </row>
    <row r="1558" spans="1:12" x14ac:dyDescent="0.3">
      <c r="A1558" s="22" t="s">
        <v>3367</v>
      </c>
      <c r="B1558" s="34" cm="1">
        <f t="array" ref="B1558:C1558">_xlfn.XLOOKUP(A1558,Sales_Fact!A1558:A3542,Sales_Fact!B1558:C3542)</f>
        <v>45325</v>
      </c>
      <c r="C1558" s="22" t="str">
        <v>CUST1245</v>
      </c>
      <c r="D1558" s="22" t="str">
        <f>VLOOKUP('Combine Products &amp; Sales Facts'!C1558,'Customer Details'!A:B,2,0)</f>
        <v>Laura Soto</v>
      </c>
      <c r="E1558" s="22" t="str">
        <f>VLOOKUP(C1558,Sales_Fact!C:D,2,0)</f>
        <v>PROD39</v>
      </c>
      <c r="F1558" s="22" t="str">
        <f>VLOOKUP(E1558,Product_Dim!A:C,3,0)</f>
        <v>Electronics</v>
      </c>
      <c r="G1558" s="22" t="str" cm="1">
        <f t="array" ref="G1558:L1558">_xlfn.XLOOKUP(C1558,Sales_Fact!C1558:C3542,Sales_Fact!E1558:J3542)</f>
        <v>STORE13</v>
      </c>
      <c r="H1558" s="22">
        <v>4</v>
      </c>
      <c r="I1558" s="22">
        <v>785.41</v>
      </c>
      <c r="J1558" s="22">
        <v>0.13</v>
      </c>
      <c r="K1558" s="22" t="str">
        <v>COD</v>
      </c>
      <c r="L1558" s="22">
        <v>2733.2267999999999</v>
      </c>
    </row>
    <row r="1559" spans="1:12" x14ac:dyDescent="0.3">
      <c r="A1559" s="22" t="s">
        <v>3368</v>
      </c>
      <c r="B1559" s="34" cm="1">
        <f t="array" ref="B1559:C1559">_xlfn.XLOOKUP(A1559,Sales_Fact!A1559:A3543,Sales_Fact!B1559:C3543)</f>
        <v>45465</v>
      </c>
      <c r="C1559" s="22" t="str">
        <v>CUST1031</v>
      </c>
      <c r="D1559" s="22" t="str">
        <f>VLOOKUP('Combine Products &amp; Sales Facts'!C1559,'Customer Details'!A:B,2,0)</f>
        <v>Sarah Vance</v>
      </c>
      <c r="E1559" s="22" t="str">
        <f>VLOOKUP(C1559,Sales_Fact!C:D,2,0)</f>
        <v>PROD62</v>
      </c>
      <c r="F1559" s="22" t="str">
        <f>VLOOKUP(E1559,Product_Dim!A:C,3,0)</f>
        <v>Electronics</v>
      </c>
      <c r="G1559" s="22" t="str" cm="1">
        <f t="array" ref="G1559:L1559">_xlfn.XLOOKUP(C1559,Sales_Fact!C1559:C3543,Sales_Fact!E1559:J3543)</f>
        <v>STORE14</v>
      </c>
      <c r="H1559" s="22">
        <v>1</v>
      </c>
      <c r="I1559" s="22">
        <v>405.8</v>
      </c>
      <c r="J1559" s="22">
        <v>0.11</v>
      </c>
      <c r="K1559" s="22" t="str">
        <v>PayPal</v>
      </c>
      <c r="L1559" s="22">
        <v>361.16199999999998</v>
      </c>
    </row>
    <row r="1560" spans="1:12" x14ac:dyDescent="0.3">
      <c r="A1560" s="22" t="s">
        <v>3369</v>
      </c>
      <c r="B1560" s="34" cm="1">
        <f t="array" ref="B1560:C1560">_xlfn.XLOOKUP(A1560,Sales_Fact!A1560:A3544,Sales_Fact!B1560:C3544)</f>
        <v>45612</v>
      </c>
      <c r="C1560" s="22" t="str">
        <v>CUST1433</v>
      </c>
      <c r="D1560" s="22" t="str">
        <f>VLOOKUP('Combine Products &amp; Sales Facts'!C1560,'Customer Details'!A:B,2,0)</f>
        <v>Thomas Moore</v>
      </c>
      <c r="E1560" s="22" t="str">
        <f>VLOOKUP(C1560,Sales_Fact!C:D,2,0)</f>
        <v>PROD64</v>
      </c>
      <c r="F1560" s="22" t="str">
        <f>VLOOKUP(E1560,Product_Dim!A:C,3,0)</f>
        <v>Beauty</v>
      </c>
      <c r="G1560" s="22" t="str" cm="1">
        <f t="array" ref="G1560:L1560">_xlfn.XLOOKUP(C1560,Sales_Fact!C1560:C3544,Sales_Fact!E1560:J3544)</f>
        <v>STORE9</v>
      </c>
      <c r="H1560" s="22">
        <v>2</v>
      </c>
      <c r="I1560" s="22">
        <v>976.83</v>
      </c>
      <c r="J1560" s="22">
        <v>0.1</v>
      </c>
      <c r="K1560" s="22" t="str">
        <v>PayPal</v>
      </c>
      <c r="L1560" s="22">
        <v>1758.2940000000001</v>
      </c>
    </row>
    <row r="1561" spans="1:12" x14ac:dyDescent="0.3">
      <c r="A1561" s="22" t="s">
        <v>3370</v>
      </c>
      <c r="B1561" s="34" cm="1">
        <f t="array" ref="B1561:C1561">_xlfn.XLOOKUP(A1561,Sales_Fact!A1561:A3545,Sales_Fact!B1561:C3545)</f>
        <v>45472</v>
      </c>
      <c r="C1561" s="22" t="str">
        <v>CUST1273</v>
      </c>
      <c r="D1561" s="22" t="str">
        <f>VLOOKUP('Combine Products &amp; Sales Facts'!C1561,'Customer Details'!A:B,2,0)</f>
        <v>Samantha Robinson</v>
      </c>
      <c r="E1561" s="22" t="str">
        <f>VLOOKUP(C1561,Sales_Fact!C:D,2,0)</f>
        <v>PROD20</v>
      </c>
      <c r="F1561" s="22" t="str">
        <f>VLOOKUP(E1561,Product_Dim!A:C,3,0)</f>
        <v>Sports</v>
      </c>
      <c r="G1561" s="22" t="str" cm="1">
        <f t="array" ref="G1561:L1561">_xlfn.XLOOKUP(C1561,Sales_Fact!C1561:C3545,Sales_Fact!E1561:J3545)</f>
        <v>STORE2</v>
      </c>
      <c r="H1561" s="22">
        <v>1</v>
      </c>
      <c r="I1561" s="22">
        <v>644.15</v>
      </c>
      <c r="J1561" s="22">
        <v>0.06</v>
      </c>
      <c r="K1561" s="22" t="str">
        <v>Credit Card</v>
      </c>
      <c r="L1561" s="22">
        <v>605.50099999999998</v>
      </c>
    </row>
    <row r="1562" spans="1:12" x14ac:dyDescent="0.3">
      <c r="A1562" s="22" t="s">
        <v>3371</v>
      </c>
      <c r="B1562" s="34" cm="1">
        <f t="array" ref="B1562:C1562">_xlfn.XLOOKUP(A1562,Sales_Fact!A1562:A3546,Sales_Fact!B1562:C3546)</f>
        <v>45897</v>
      </c>
      <c r="C1562" s="22" t="str">
        <v>CUST1337</v>
      </c>
      <c r="D1562" s="22" t="str">
        <f>VLOOKUP('Combine Products &amp; Sales Facts'!C1562,'Customer Details'!A:B,2,0)</f>
        <v>Carol Lewis</v>
      </c>
      <c r="E1562" s="22" t="str">
        <f>VLOOKUP(C1562,Sales_Fact!C:D,2,0)</f>
        <v>PROD71</v>
      </c>
      <c r="F1562" s="22" t="str">
        <f>VLOOKUP(E1562,Product_Dim!A:C,3,0)</f>
        <v>Beauty</v>
      </c>
      <c r="G1562" s="22" t="str" cm="1">
        <f t="array" ref="G1562:L1562">_xlfn.XLOOKUP(C1562,Sales_Fact!C1562:C3546,Sales_Fact!E1562:J3546)</f>
        <v>STORE13</v>
      </c>
      <c r="H1562" s="22">
        <v>1</v>
      </c>
      <c r="I1562" s="22">
        <v>470.55</v>
      </c>
      <c r="J1562" s="22">
        <v>0.23</v>
      </c>
      <c r="K1562" s="22" t="str">
        <v>PayPal</v>
      </c>
      <c r="L1562" s="22">
        <v>362.32350000000002</v>
      </c>
    </row>
    <row r="1563" spans="1:12" x14ac:dyDescent="0.3">
      <c r="A1563" s="22" t="s">
        <v>3372</v>
      </c>
      <c r="B1563" s="34" cm="1">
        <f t="array" ref="B1563:C1563">_xlfn.XLOOKUP(A1563,Sales_Fact!A1563:A3547,Sales_Fact!B1563:C3547)</f>
        <v>45241</v>
      </c>
      <c r="C1563" s="22" t="str">
        <v>CUST1478</v>
      </c>
      <c r="D1563" s="22" t="str">
        <f>VLOOKUP('Combine Products &amp; Sales Facts'!C1563,'Customer Details'!A:B,2,0)</f>
        <v>Earl Smith Dds</v>
      </c>
      <c r="E1563" s="22" t="str">
        <f>VLOOKUP(C1563,Sales_Fact!C:D,2,0)</f>
        <v>PROD39</v>
      </c>
      <c r="F1563" s="22" t="str">
        <f>VLOOKUP(E1563,Product_Dim!A:C,3,0)</f>
        <v>Electronics</v>
      </c>
      <c r="G1563" s="22" t="str" cm="1">
        <f t="array" ref="G1563:L1563">_xlfn.XLOOKUP(C1563,Sales_Fact!C1563:C3547,Sales_Fact!E1563:J3547)</f>
        <v>STORE6</v>
      </c>
      <c r="H1563" s="22">
        <v>3</v>
      </c>
      <c r="I1563" s="22">
        <v>598.82000000000005</v>
      </c>
      <c r="J1563" s="22">
        <v>0.19</v>
      </c>
      <c r="K1563" s="22" t="str">
        <v>COD</v>
      </c>
      <c r="L1563" s="22">
        <v>1455.1325999999999</v>
      </c>
    </row>
    <row r="1564" spans="1:12" x14ac:dyDescent="0.3">
      <c r="A1564" s="22" t="s">
        <v>3373</v>
      </c>
      <c r="B1564" s="34" cm="1">
        <f t="array" ref="B1564:C1564">_xlfn.XLOOKUP(A1564,Sales_Fact!A1564:A3548,Sales_Fact!B1564:C3548)</f>
        <v>45851</v>
      </c>
      <c r="C1564" s="22" t="str">
        <v>CUST1101</v>
      </c>
      <c r="D1564" s="22" t="str">
        <f>VLOOKUP('Combine Products &amp; Sales Facts'!C1564,'Customer Details'!A:B,2,0)</f>
        <v>Colleen Maynard</v>
      </c>
      <c r="E1564" s="22" t="str">
        <f>VLOOKUP(C1564,Sales_Fact!C:D,2,0)</f>
        <v>PROD89</v>
      </c>
      <c r="F1564" s="22" t="str">
        <f>VLOOKUP(E1564,Product_Dim!A:C,3,0)</f>
        <v>Beauty</v>
      </c>
      <c r="G1564" s="22" t="str" cm="1">
        <f t="array" ref="G1564:L1564">_xlfn.XLOOKUP(C1564,Sales_Fact!C1564:C3548,Sales_Fact!E1564:J3548)</f>
        <v>STORE12</v>
      </c>
      <c r="H1564" s="22">
        <v>4</v>
      </c>
      <c r="I1564" s="22">
        <v>659.17</v>
      </c>
      <c r="J1564" s="22">
        <v>0.12</v>
      </c>
      <c r="K1564" s="22" t="str">
        <v>Credit Card</v>
      </c>
      <c r="L1564" s="22">
        <v>2320.2784000000001</v>
      </c>
    </row>
    <row r="1565" spans="1:12" x14ac:dyDescent="0.3">
      <c r="A1565" s="22" t="s">
        <v>3374</v>
      </c>
      <c r="B1565" s="34" cm="1">
        <f t="array" ref="B1565:C1565">_xlfn.XLOOKUP(A1565,Sales_Fact!A1565:A3549,Sales_Fact!B1565:C3549)</f>
        <v>45572</v>
      </c>
      <c r="C1565" s="22" t="str">
        <v>CUST1104</v>
      </c>
      <c r="D1565" s="22" t="str">
        <f>VLOOKUP('Combine Products &amp; Sales Facts'!C1565,'Customer Details'!A:B,2,0)</f>
        <v>Christopher Lester</v>
      </c>
      <c r="E1565" s="22" t="str">
        <f>VLOOKUP(C1565,Sales_Fact!C:D,2,0)</f>
        <v>PROD25</v>
      </c>
      <c r="F1565" s="22" t="str">
        <f>VLOOKUP(E1565,Product_Dim!A:C,3,0)</f>
        <v>Clothing</v>
      </c>
      <c r="G1565" s="22" t="str" cm="1">
        <f t="array" ref="G1565:L1565">_xlfn.XLOOKUP(C1565,Sales_Fact!C1565:C3549,Sales_Fact!E1565:J3549)</f>
        <v>STORE1</v>
      </c>
      <c r="H1565" s="22">
        <v>2</v>
      </c>
      <c r="I1565" s="22">
        <v>216.02</v>
      </c>
      <c r="J1565" s="22">
        <v>0.25</v>
      </c>
      <c r="K1565" s="22" t="str">
        <v>Credit Card</v>
      </c>
      <c r="L1565" s="22">
        <v>324.02999999999997</v>
      </c>
    </row>
    <row r="1566" spans="1:12" x14ac:dyDescent="0.3">
      <c r="A1566" s="22" t="s">
        <v>3375</v>
      </c>
      <c r="B1566" s="34" cm="1">
        <f t="array" ref="B1566:C1566">_xlfn.XLOOKUP(A1566,Sales_Fact!A1566:A3550,Sales_Fact!B1566:C3550)</f>
        <v>45774</v>
      </c>
      <c r="C1566" s="22" t="str">
        <v>CUST1030</v>
      </c>
      <c r="D1566" s="22" t="str">
        <f>VLOOKUP('Combine Products &amp; Sales Facts'!C1566,'Customer Details'!A:B,2,0)</f>
        <v>Jessica Acevedo</v>
      </c>
      <c r="E1566" s="22" t="str">
        <f>VLOOKUP(C1566,Sales_Fact!C:D,2,0)</f>
        <v>PROD35</v>
      </c>
      <c r="F1566" s="22" t="str">
        <f>VLOOKUP(E1566,Product_Dim!A:C,3,0)</f>
        <v>Home</v>
      </c>
      <c r="G1566" s="22" t="str" cm="1">
        <f t="array" ref="G1566:L1566">_xlfn.XLOOKUP(C1566,Sales_Fact!C1566:C3550,Sales_Fact!E1566:J3550)</f>
        <v>STORE10</v>
      </c>
      <c r="H1566" s="22">
        <v>2</v>
      </c>
      <c r="I1566" s="22">
        <v>613.47</v>
      </c>
      <c r="J1566" s="22">
        <v>0.02</v>
      </c>
      <c r="K1566" s="22" t="str">
        <v>PayPal</v>
      </c>
      <c r="L1566" s="22">
        <v>1202.4012</v>
      </c>
    </row>
    <row r="1567" spans="1:12" x14ac:dyDescent="0.3">
      <c r="A1567" s="22" t="s">
        <v>3376</v>
      </c>
      <c r="B1567" s="34" cm="1">
        <f t="array" ref="B1567:C1567">_xlfn.XLOOKUP(A1567,Sales_Fact!A1567:A3551,Sales_Fact!B1567:C3551)</f>
        <v>45921</v>
      </c>
      <c r="C1567" s="22" t="str">
        <v>CUST1098</v>
      </c>
      <c r="D1567" s="22" t="str">
        <f>VLOOKUP('Combine Products &amp; Sales Facts'!C1567,'Customer Details'!A:B,2,0)</f>
        <v>Brittney Morgan</v>
      </c>
      <c r="E1567" s="22" t="str">
        <f>VLOOKUP(C1567,Sales_Fact!C:D,2,0)</f>
        <v>PROD62</v>
      </c>
      <c r="F1567" s="22" t="str">
        <f>VLOOKUP(E1567,Product_Dim!A:C,3,0)</f>
        <v>Electronics</v>
      </c>
      <c r="G1567" s="22" t="str" cm="1">
        <f t="array" ref="G1567:L1567">_xlfn.XLOOKUP(C1567,Sales_Fact!C1567:C3551,Sales_Fact!E1567:J3551)</f>
        <v>STORE12</v>
      </c>
      <c r="H1567" s="22">
        <v>2</v>
      </c>
      <c r="I1567" s="22">
        <v>485.17</v>
      </c>
      <c r="J1567" s="22">
        <v>0.11</v>
      </c>
      <c r="K1567" s="22" t="str">
        <v>PayPal</v>
      </c>
      <c r="L1567" s="22">
        <v>863.60260000000005</v>
      </c>
    </row>
    <row r="1568" spans="1:12" x14ac:dyDescent="0.3">
      <c r="A1568" s="22" t="s">
        <v>3377</v>
      </c>
      <c r="B1568" s="34" cm="1">
        <f t="array" ref="B1568:C1568">_xlfn.XLOOKUP(A1568,Sales_Fact!A1568:A3552,Sales_Fact!B1568:C3552)</f>
        <v>45268</v>
      </c>
      <c r="C1568" s="22" t="str">
        <v>CUST1307</v>
      </c>
      <c r="D1568" s="22" t="str">
        <f>VLOOKUP('Combine Products &amp; Sales Facts'!C1568,'Customer Details'!A:B,2,0)</f>
        <v>Brandy Thompson</v>
      </c>
      <c r="E1568" s="22" t="str">
        <f>VLOOKUP(C1568,Sales_Fact!C:D,2,0)</f>
        <v>PROD93</v>
      </c>
      <c r="F1568" s="22" t="str">
        <f>VLOOKUP(E1568,Product_Dim!A:C,3,0)</f>
        <v>Electronics</v>
      </c>
      <c r="G1568" s="22" t="str" cm="1">
        <f t="array" ref="G1568:L1568">_xlfn.XLOOKUP(C1568,Sales_Fact!C1568:C3552,Sales_Fact!E1568:J3552)</f>
        <v>STORE10</v>
      </c>
      <c r="H1568" s="22">
        <v>1</v>
      </c>
      <c r="I1568" s="22">
        <v>209.7</v>
      </c>
      <c r="J1568" s="22">
        <v>0.2</v>
      </c>
      <c r="K1568" s="22" t="str">
        <v>PayPal</v>
      </c>
      <c r="L1568" s="22">
        <v>167.76</v>
      </c>
    </row>
    <row r="1569" spans="1:12" x14ac:dyDescent="0.3">
      <c r="A1569" s="22" t="s">
        <v>3378</v>
      </c>
      <c r="B1569" s="34" cm="1">
        <f t="array" ref="B1569:C1569">_xlfn.XLOOKUP(A1569,Sales_Fact!A1569:A3553,Sales_Fact!B1569:C3553)</f>
        <v>45402</v>
      </c>
      <c r="C1569" s="22" t="str">
        <v>CUST1326</v>
      </c>
      <c r="D1569" s="22" t="str">
        <f>VLOOKUP('Combine Products &amp; Sales Facts'!C1569,'Customer Details'!A:B,2,0)</f>
        <v>Robert King</v>
      </c>
      <c r="E1569" s="22" t="str">
        <f>VLOOKUP(C1569,Sales_Fact!C:D,2,0)</f>
        <v>PROD37</v>
      </c>
      <c r="F1569" s="22" t="str">
        <f>VLOOKUP(E1569,Product_Dim!A:C,3,0)</f>
        <v>Clothing</v>
      </c>
      <c r="G1569" s="22" t="str" cm="1">
        <f t="array" ref="G1569:L1569">_xlfn.XLOOKUP(C1569,Sales_Fact!C1569:C3553,Sales_Fact!E1569:J3553)</f>
        <v>STORE0</v>
      </c>
      <c r="H1569" s="22">
        <v>1</v>
      </c>
      <c r="I1569" s="22">
        <v>681.47</v>
      </c>
      <c r="J1569" s="22">
        <v>0.15</v>
      </c>
      <c r="K1569" s="22" t="str">
        <v>Credit Card</v>
      </c>
      <c r="L1569" s="22">
        <v>579.24950000000001</v>
      </c>
    </row>
    <row r="1570" spans="1:12" x14ac:dyDescent="0.3">
      <c r="A1570" s="22" t="s">
        <v>3379</v>
      </c>
      <c r="B1570" s="34" cm="1">
        <f t="array" ref="B1570:C1570">_xlfn.XLOOKUP(A1570,Sales_Fact!A1570:A3554,Sales_Fact!B1570:C3554)</f>
        <v>45667</v>
      </c>
      <c r="C1570" s="22" t="str">
        <v>CUST1440</v>
      </c>
      <c r="D1570" s="22" t="str">
        <f>VLOOKUP('Combine Products &amp; Sales Facts'!C1570,'Customer Details'!A:B,2,0)</f>
        <v>Tammy Trevino</v>
      </c>
      <c r="E1570" s="22" t="str">
        <f>VLOOKUP(C1570,Sales_Fact!C:D,2,0)</f>
        <v>PROD64</v>
      </c>
      <c r="F1570" s="22" t="str">
        <f>VLOOKUP(E1570,Product_Dim!A:C,3,0)</f>
        <v>Beauty</v>
      </c>
      <c r="G1570" s="22" t="str" cm="1">
        <f t="array" ref="G1570:L1570">_xlfn.XLOOKUP(C1570,Sales_Fact!C1570:C3554,Sales_Fact!E1570:J3554)</f>
        <v>STORE17</v>
      </c>
      <c r="H1570" s="22">
        <v>2</v>
      </c>
      <c r="I1570" s="22">
        <v>877.21</v>
      </c>
      <c r="J1570" s="22">
        <v>0.1</v>
      </c>
      <c r="K1570" s="22" t="str">
        <v>Credit Card</v>
      </c>
      <c r="L1570" s="22">
        <v>1578.9780000000001</v>
      </c>
    </row>
    <row r="1571" spans="1:12" x14ac:dyDescent="0.3">
      <c r="A1571" s="22" t="s">
        <v>3380</v>
      </c>
      <c r="B1571" s="34" cm="1">
        <f t="array" ref="B1571:C1571">_xlfn.XLOOKUP(A1571,Sales_Fact!A1571:A3555,Sales_Fact!B1571:C3555)</f>
        <v>45902</v>
      </c>
      <c r="C1571" s="22" t="str">
        <v>CUST1318</v>
      </c>
      <c r="D1571" s="22" t="str">
        <f>VLOOKUP('Combine Products &amp; Sales Facts'!C1571,'Customer Details'!A:B,2,0)</f>
        <v>Madison Wright</v>
      </c>
      <c r="E1571" s="22" t="str">
        <f>VLOOKUP(C1571,Sales_Fact!C:D,2,0)</f>
        <v>PROD78</v>
      </c>
      <c r="F1571" s="22" t="str">
        <f>VLOOKUP(E1571,Product_Dim!A:C,3,0)</f>
        <v>Home</v>
      </c>
      <c r="G1571" s="22" t="str" cm="1">
        <f t="array" ref="G1571:L1571">_xlfn.XLOOKUP(C1571,Sales_Fact!C1571:C3555,Sales_Fact!E1571:J3555)</f>
        <v>STORE5</v>
      </c>
      <c r="H1571" s="22">
        <v>2</v>
      </c>
      <c r="I1571" s="22">
        <v>479.77</v>
      </c>
      <c r="J1571" s="22">
        <v>0.21</v>
      </c>
      <c r="K1571" s="22" t="str">
        <v>PayPal</v>
      </c>
      <c r="L1571" s="22">
        <v>758.03660000000002</v>
      </c>
    </row>
    <row r="1572" spans="1:12" x14ac:dyDescent="0.3">
      <c r="A1572" s="22" t="s">
        <v>3381</v>
      </c>
      <c r="B1572" s="34" cm="1">
        <f t="array" ref="B1572:C1572">_xlfn.XLOOKUP(A1572,Sales_Fact!A1572:A3556,Sales_Fact!B1572:C3556)</f>
        <v>45589</v>
      </c>
      <c r="C1572" s="22" t="str">
        <v>CUST1322</v>
      </c>
      <c r="D1572" s="22" t="str">
        <f>VLOOKUP('Combine Products &amp; Sales Facts'!C1572,'Customer Details'!A:B,2,0)</f>
        <v>Samuel Arias</v>
      </c>
      <c r="E1572" s="22" t="str">
        <f>VLOOKUP(C1572,Sales_Fact!C:D,2,0)</f>
        <v>PROD6</v>
      </c>
      <c r="F1572" s="22" t="str">
        <f>VLOOKUP(E1572,Product_Dim!A:C,3,0)</f>
        <v>Beauty</v>
      </c>
      <c r="G1572" s="22" t="str" cm="1">
        <f t="array" ref="G1572:L1572">_xlfn.XLOOKUP(C1572,Sales_Fact!C1572:C3556,Sales_Fact!E1572:J3556)</f>
        <v>STORE15</v>
      </c>
      <c r="H1572" s="22">
        <v>1</v>
      </c>
      <c r="I1572" s="22">
        <v>140.72</v>
      </c>
      <c r="J1572" s="22">
        <v>0</v>
      </c>
      <c r="K1572" s="22" t="str">
        <v>COD</v>
      </c>
      <c r="L1572" s="22">
        <v>140.72</v>
      </c>
    </row>
    <row r="1573" spans="1:12" x14ac:dyDescent="0.3">
      <c r="A1573" s="22" t="s">
        <v>3382</v>
      </c>
      <c r="B1573" s="34" cm="1">
        <f t="array" ref="B1573:C1573">_xlfn.XLOOKUP(A1573,Sales_Fact!A1573:A3557,Sales_Fact!B1573:C3557)</f>
        <v>45668</v>
      </c>
      <c r="C1573" s="22" t="str">
        <v>CUST1027</v>
      </c>
      <c r="D1573" s="22" t="str">
        <f>VLOOKUP('Combine Products &amp; Sales Facts'!C1573,'Customer Details'!A:B,2,0)</f>
        <v>Leslie Johnson</v>
      </c>
      <c r="E1573" s="22" t="str">
        <f>VLOOKUP(C1573,Sales_Fact!C:D,2,0)</f>
        <v>PROD24</v>
      </c>
      <c r="F1573" s="22" t="str">
        <f>VLOOKUP(E1573,Product_Dim!A:C,3,0)</f>
        <v>Sports</v>
      </c>
      <c r="G1573" s="22" t="str" cm="1">
        <f t="array" ref="G1573:L1573">_xlfn.XLOOKUP(C1573,Sales_Fact!C1573:C3557,Sales_Fact!E1573:J3557)</f>
        <v>STORE6</v>
      </c>
      <c r="H1573" s="22">
        <v>2</v>
      </c>
      <c r="I1573" s="22">
        <v>764.25</v>
      </c>
      <c r="J1573" s="22">
        <v>0.23</v>
      </c>
      <c r="K1573" s="22" t="str">
        <v>PayPal</v>
      </c>
      <c r="L1573" s="22">
        <v>1176.9449999999999</v>
      </c>
    </row>
    <row r="1574" spans="1:12" x14ac:dyDescent="0.3">
      <c r="A1574" s="22" t="s">
        <v>3383</v>
      </c>
      <c r="B1574" s="34" cm="1">
        <f t="array" ref="B1574:C1574">_xlfn.XLOOKUP(A1574,Sales_Fact!A1574:A3558,Sales_Fact!B1574:C3558)</f>
        <v>45300</v>
      </c>
      <c r="C1574" s="22" t="str">
        <v>CUST1222</v>
      </c>
      <c r="D1574" s="22" t="str">
        <f>VLOOKUP('Combine Products &amp; Sales Facts'!C1574,'Customer Details'!A:B,2,0)</f>
        <v>Alejandro Doyle</v>
      </c>
      <c r="E1574" s="22" t="str">
        <f>VLOOKUP(C1574,Sales_Fact!C:D,2,0)</f>
        <v>PROD46</v>
      </c>
      <c r="F1574" s="22" t="str">
        <f>VLOOKUP(E1574,Product_Dim!A:C,3,0)</f>
        <v>Clothing</v>
      </c>
      <c r="G1574" s="22" t="str" cm="1">
        <f t="array" ref="G1574:L1574">_xlfn.XLOOKUP(C1574,Sales_Fact!C1574:C3558,Sales_Fact!E1574:J3558)</f>
        <v>STORE5</v>
      </c>
      <c r="H1574" s="22">
        <v>3</v>
      </c>
      <c r="I1574" s="22">
        <v>107.8</v>
      </c>
      <c r="J1574" s="22">
        <v>0.28999999999999998</v>
      </c>
      <c r="K1574" s="22" t="str">
        <v>PayPal</v>
      </c>
      <c r="L1574" s="22">
        <v>229.614</v>
      </c>
    </row>
    <row r="1575" spans="1:12" x14ac:dyDescent="0.3">
      <c r="A1575" s="22" t="s">
        <v>3384</v>
      </c>
      <c r="B1575" s="34" cm="1">
        <f t="array" ref="B1575:C1575">_xlfn.XLOOKUP(A1575,Sales_Fact!A1575:A3559,Sales_Fact!B1575:C3559)</f>
        <v>45757</v>
      </c>
      <c r="C1575" s="22" t="str">
        <v>CUST1147</v>
      </c>
      <c r="D1575" s="22" t="str">
        <f>VLOOKUP('Combine Products &amp; Sales Facts'!C1575,'Customer Details'!A:B,2,0)</f>
        <v>Rhonda Young</v>
      </c>
      <c r="E1575" s="22" t="str">
        <f>VLOOKUP(C1575,Sales_Fact!C:D,2,0)</f>
        <v>PROD52</v>
      </c>
      <c r="F1575" s="22" t="str">
        <f>VLOOKUP(E1575,Product_Dim!A:C,3,0)</f>
        <v>Sports</v>
      </c>
      <c r="G1575" s="22" t="str" cm="1">
        <f t="array" ref="G1575:L1575">_xlfn.XLOOKUP(C1575,Sales_Fact!C1575:C3559,Sales_Fact!E1575:J3559)</f>
        <v>STORE8</v>
      </c>
      <c r="H1575" s="22">
        <v>4</v>
      </c>
      <c r="I1575" s="22">
        <v>565.37</v>
      </c>
      <c r="J1575" s="22">
        <v>7.0000000000000007E-2</v>
      </c>
      <c r="K1575" s="22" t="str">
        <v>PayPal</v>
      </c>
      <c r="L1575" s="22">
        <v>2103.1763999999998</v>
      </c>
    </row>
    <row r="1576" spans="1:12" x14ac:dyDescent="0.3">
      <c r="A1576" s="22" t="s">
        <v>3385</v>
      </c>
      <c r="B1576" s="34" cm="1">
        <f t="array" ref="B1576:C1576">_xlfn.XLOOKUP(A1576,Sales_Fact!A1576:A3560,Sales_Fact!B1576:C3560)</f>
        <v>45235</v>
      </c>
      <c r="C1576" s="22" t="str">
        <v>CUST1034</v>
      </c>
      <c r="D1576" s="22" t="str">
        <f>VLOOKUP('Combine Products &amp; Sales Facts'!C1576,'Customer Details'!A:B,2,0)</f>
        <v>Christopher Olson</v>
      </c>
      <c r="E1576" s="22" t="str">
        <f>VLOOKUP(C1576,Sales_Fact!C:D,2,0)</f>
        <v>PROD28</v>
      </c>
      <c r="F1576" s="22" t="str">
        <f>VLOOKUP(E1576,Product_Dim!A:C,3,0)</f>
        <v>Sports</v>
      </c>
      <c r="G1576" s="22" t="str" cm="1">
        <f t="array" ref="G1576:L1576">_xlfn.XLOOKUP(C1576,Sales_Fact!C1576:C3560,Sales_Fact!E1576:J3560)</f>
        <v>STORE4</v>
      </c>
      <c r="H1576" s="22">
        <v>3</v>
      </c>
      <c r="I1576" s="22">
        <v>811.45</v>
      </c>
      <c r="J1576" s="22">
        <v>0.26</v>
      </c>
      <c r="K1576" s="22" t="str">
        <v>Credit Card</v>
      </c>
      <c r="L1576" s="22">
        <v>1801.4190000000001</v>
      </c>
    </row>
    <row r="1577" spans="1:12" x14ac:dyDescent="0.3">
      <c r="A1577" s="22" t="s">
        <v>3386</v>
      </c>
      <c r="B1577" s="34" cm="1">
        <f t="array" ref="B1577:C1577">_xlfn.XLOOKUP(A1577,Sales_Fact!A1577:A3561,Sales_Fact!B1577:C3561)</f>
        <v>45749</v>
      </c>
      <c r="C1577" s="22" t="str">
        <v>CUST1410</v>
      </c>
      <c r="D1577" s="22" t="str">
        <f>VLOOKUP('Combine Products &amp; Sales Facts'!C1577,'Customer Details'!A:B,2,0)</f>
        <v>Jackie Thompson</v>
      </c>
      <c r="E1577" s="22" t="str">
        <f>VLOOKUP(C1577,Sales_Fact!C:D,2,0)</f>
        <v>PROD96</v>
      </c>
      <c r="F1577" s="22" t="str">
        <f>VLOOKUP(E1577,Product_Dim!A:C,3,0)</f>
        <v>Clothing</v>
      </c>
      <c r="G1577" s="22" t="str" cm="1">
        <f t="array" ref="G1577:L1577">_xlfn.XLOOKUP(C1577,Sales_Fact!C1577:C3561,Sales_Fact!E1577:J3561)</f>
        <v>STORE19</v>
      </c>
      <c r="H1577" s="22">
        <v>4</v>
      </c>
      <c r="I1577" s="22">
        <v>62.25</v>
      </c>
      <c r="J1577" s="22">
        <v>0.11</v>
      </c>
      <c r="K1577" s="22" t="str">
        <v>PayPal</v>
      </c>
      <c r="L1577" s="22">
        <v>221.61</v>
      </c>
    </row>
    <row r="1578" spans="1:12" x14ac:dyDescent="0.3">
      <c r="A1578" s="22" t="s">
        <v>3387</v>
      </c>
      <c r="B1578" s="34" cm="1">
        <f t="array" ref="B1578:C1578">_xlfn.XLOOKUP(A1578,Sales_Fact!A1578:A3562,Sales_Fact!B1578:C3562)</f>
        <v>45807</v>
      </c>
      <c r="C1578" s="22" t="str">
        <v>CUST1025</v>
      </c>
      <c r="D1578" s="22" t="str">
        <f>VLOOKUP('Combine Products &amp; Sales Facts'!C1578,'Customer Details'!A:B,2,0)</f>
        <v>Diana Taylor</v>
      </c>
      <c r="E1578" s="22" t="str">
        <f>VLOOKUP(C1578,Sales_Fact!C:D,2,0)</f>
        <v>PROD95</v>
      </c>
      <c r="F1578" s="22" t="str">
        <f>VLOOKUP(E1578,Product_Dim!A:C,3,0)</f>
        <v>Sports</v>
      </c>
      <c r="G1578" s="22" t="str" cm="1">
        <f t="array" ref="G1578:L1578">_xlfn.XLOOKUP(C1578,Sales_Fact!C1578:C3562,Sales_Fact!E1578:J3562)</f>
        <v>STORE10</v>
      </c>
      <c r="H1578" s="22">
        <v>1</v>
      </c>
      <c r="I1578" s="22">
        <v>749.78</v>
      </c>
      <c r="J1578" s="22">
        <v>0.03</v>
      </c>
      <c r="K1578" s="22" t="str">
        <v>Credit Card</v>
      </c>
      <c r="L1578" s="22">
        <v>727.28659999999991</v>
      </c>
    </row>
    <row r="1579" spans="1:12" x14ac:dyDescent="0.3">
      <c r="A1579" s="22" t="s">
        <v>3388</v>
      </c>
      <c r="B1579" s="34" cm="1">
        <f t="array" ref="B1579:C1579">_xlfn.XLOOKUP(A1579,Sales_Fact!A1579:A3563,Sales_Fact!B1579:C3563)</f>
        <v>45496</v>
      </c>
      <c r="C1579" s="22" t="str">
        <v>CUST1350</v>
      </c>
      <c r="D1579" s="22" t="str">
        <f>VLOOKUP('Combine Products &amp; Sales Facts'!C1579,'Customer Details'!A:B,2,0)</f>
        <v>Charles Miller</v>
      </c>
      <c r="E1579" s="22" t="str">
        <f>VLOOKUP(C1579,Sales_Fact!C:D,2,0)</f>
        <v>PROD92</v>
      </c>
      <c r="F1579" s="22" t="str">
        <f>VLOOKUP(E1579,Product_Dim!A:C,3,0)</f>
        <v>Home</v>
      </c>
      <c r="G1579" s="22" t="str" cm="1">
        <f t="array" ref="G1579:L1579">_xlfn.XLOOKUP(C1579,Sales_Fact!C1579:C3563,Sales_Fact!E1579:J3563)</f>
        <v>STORE5</v>
      </c>
      <c r="H1579" s="22">
        <v>3</v>
      </c>
      <c r="I1579" s="22">
        <v>630.28</v>
      </c>
      <c r="J1579" s="22">
        <v>7.0000000000000007E-2</v>
      </c>
      <c r="K1579" s="22" t="str">
        <v>COD</v>
      </c>
      <c r="L1579" s="22">
        <v>1758.4811999999999</v>
      </c>
    </row>
    <row r="1580" spans="1:12" x14ac:dyDescent="0.3">
      <c r="A1580" s="22" t="s">
        <v>3389</v>
      </c>
      <c r="B1580" s="34" cm="1">
        <f t="array" ref="B1580:C1580">_xlfn.XLOOKUP(A1580,Sales_Fact!A1580:A3564,Sales_Fact!B1580:C3564)</f>
        <v>45355</v>
      </c>
      <c r="C1580" s="22" t="str">
        <v>CUST1143</v>
      </c>
      <c r="D1580" s="22" t="str">
        <f>VLOOKUP('Combine Products &amp; Sales Facts'!C1580,'Customer Details'!A:B,2,0)</f>
        <v>Carlos Skinner</v>
      </c>
      <c r="E1580" s="22" t="str">
        <f>VLOOKUP(C1580,Sales_Fact!C:D,2,0)</f>
        <v>PROD17</v>
      </c>
      <c r="F1580" s="22" t="str">
        <f>VLOOKUP(E1580,Product_Dim!A:C,3,0)</f>
        <v>Sports</v>
      </c>
      <c r="G1580" s="22" t="str" cm="1">
        <f t="array" ref="G1580:L1580">_xlfn.XLOOKUP(C1580,Sales_Fact!C1580:C3564,Sales_Fact!E1580:J3564)</f>
        <v>STORE16</v>
      </c>
      <c r="H1580" s="22">
        <v>1</v>
      </c>
      <c r="I1580" s="22">
        <v>101.84</v>
      </c>
      <c r="J1580" s="22">
        <v>0.17</v>
      </c>
      <c r="K1580" s="22" t="str">
        <v>Credit Card</v>
      </c>
      <c r="L1580" s="22">
        <v>84.527199999999993</v>
      </c>
    </row>
    <row r="1581" spans="1:12" x14ac:dyDescent="0.3">
      <c r="A1581" s="22" t="s">
        <v>3390</v>
      </c>
      <c r="B1581" s="34" cm="1">
        <f t="array" ref="B1581:C1581">_xlfn.XLOOKUP(A1581,Sales_Fact!A1581:A3565,Sales_Fact!B1581:C3565)</f>
        <v>45256</v>
      </c>
      <c r="C1581" s="22" t="str">
        <v>CUST1055</v>
      </c>
      <c r="D1581" s="22" t="str">
        <f>VLOOKUP('Combine Products &amp; Sales Facts'!C1581,'Customer Details'!A:B,2,0)</f>
        <v>Wayne Mcpherson</v>
      </c>
      <c r="E1581" s="22" t="str">
        <f>VLOOKUP(C1581,Sales_Fact!C:D,2,0)</f>
        <v>PROD15</v>
      </c>
      <c r="F1581" s="22" t="str">
        <f>VLOOKUP(E1581,Product_Dim!A:C,3,0)</f>
        <v>Electronics</v>
      </c>
      <c r="G1581" s="22" t="str" cm="1">
        <f t="array" ref="G1581:L1581">_xlfn.XLOOKUP(C1581,Sales_Fact!C1581:C3565,Sales_Fact!E1581:J3565)</f>
        <v>STORE18</v>
      </c>
      <c r="H1581" s="22">
        <v>4</v>
      </c>
      <c r="I1581" s="22">
        <v>641.45000000000005</v>
      </c>
      <c r="J1581" s="22">
        <v>0.16</v>
      </c>
      <c r="K1581" s="22" t="str">
        <v>COD</v>
      </c>
      <c r="L1581" s="22">
        <v>2155.2719999999999</v>
      </c>
    </row>
    <row r="1582" spans="1:12" x14ac:dyDescent="0.3">
      <c r="A1582" s="22" t="s">
        <v>3391</v>
      </c>
      <c r="B1582" s="34" cm="1">
        <f t="array" ref="B1582:C1582">_xlfn.XLOOKUP(A1582,Sales_Fact!A1582:A3566,Sales_Fact!B1582:C3566)</f>
        <v>45849</v>
      </c>
      <c r="C1582" s="22" t="str">
        <v>CUST1471</v>
      </c>
      <c r="D1582" s="22" t="str">
        <f>VLOOKUP('Combine Products &amp; Sales Facts'!C1582,'Customer Details'!A:B,2,0)</f>
        <v>Debra Mccullough</v>
      </c>
      <c r="E1582" s="22" t="str">
        <f>VLOOKUP(C1582,Sales_Fact!C:D,2,0)</f>
        <v>PROD17</v>
      </c>
      <c r="F1582" s="22" t="str">
        <f>VLOOKUP(E1582,Product_Dim!A:C,3,0)</f>
        <v>Sports</v>
      </c>
      <c r="G1582" s="22" t="str" cm="1">
        <f t="array" ref="G1582:L1582">_xlfn.XLOOKUP(C1582,Sales_Fact!C1582:C3566,Sales_Fact!E1582:J3566)</f>
        <v>STORE1</v>
      </c>
      <c r="H1582" s="22">
        <v>1</v>
      </c>
      <c r="I1582" s="22">
        <v>135.87</v>
      </c>
      <c r="J1582" s="22">
        <v>0.23</v>
      </c>
      <c r="K1582" s="22" t="str">
        <v>PayPal</v>
      </c>
      <c r="L1582" s="22">
        <v>104.6199</v>
      </c>
    </row>
    <row r="1583" spans="1:12" x14ac:dyDescent="0.3">
      <c r="A1583" s="22" t="s">
        <v>3392</v>
      </c>
      <c r="B1583" s="34" cm="1">
        <f t="array" ref="B1583:C1583">_xlfn.XLOOKUP(A1583,Sales_Fact!A1583:A3567,Sales_Fact!B1583:C3567)</f>
        <v>45344</v>
      </c>
      <c r="C1583" s="22" t="str">
        <v>CUST1095</v>
      </c>
      <c r="D1583" s="22" t="str">
        <f>VLOOKUP('Combine Products &amp; Sales Facts'!C1583,'Customer Details'!A:B,2,0)</f>
        <v>Amy Fowler</v>
      </c>
      <c r="E1583" s="22" t="str">
        <f>VLOOKUP(C1583,Sales_Fact!C:D,2,0)</f>
        <v>PROD40</v>
      </c>
      <c r="F1583" s="22" t="str">
        <f>VLOOKUP(E1583,Product_Dim!A:C,3,0)</f>
        <v>Electronics</v>
      </c>
      <c r="G1583" s="22" t="str" cm="1">
        <f t="array" ref="G1583:L1583">_xlfn.XLOOKUP(C1583,Sales_Fact!C1583:C3567,Sales_Fact!E1583:J3567)</f>
        <v>STORE6</v>
      </c>
      <c r="H1583" s="22">
        <v>1</v>
      </c>
      <c r="I1583" s="22">
        <v>388.35</v>
      </c>
      <c r="J1583" s="22">
        <v>0.01</v>
      </c>
      <c r="K1583" s="22" t="str">
        <v>PayPal</v>
      </c>
      <c r="L1583" s="22">
        <v>384.4665</v>
      </c>
    </row>
    <row r="1584" spans="1:12" x14ac:dyDescent="0.3">
      <c r="A1584" s="22" t="s">
        <v>3393</v>
      </c>
      <c r="B1584" s="34" cm="1">
        <f t="array" ref="B1584:C1584">_xlfn.XLOOKUP(A1584,Sales_Fact!A1584:A3568,Sales_Fact!B1584:C3568)</f>
        <v>45367</v>
      </c>
      <c r="C1584" s="22" t="str">
        <v>CUST1486</v>
      </c>
      <c r="D1584" s="22" t="str">
        <f>VLOOKUP('Combine Products &amp; Sales Facts'!C1584,'Customer Details'!A:B,2,0)</f>
        <v>Eric Lee</v>
      </c>
      <c r="E1584" s="22" t="str">
        <f>VLOOKUP(C1584,Sales_Fact!C:D,2,0)</f>
        <v>PROD40</v>
      </c>
      <c r="F1584" s="22" t="str">
        <f>VLOOKUP(E1584,Product_Dim!A:C,3,0)</f>
        <v>Electronics</v>
      </c>
      <c r="G1584" s="22" t="str" cm="1">
        <f t="array" ref="G1584:L1584">_xlfn.XLOOKUP(C1584,Sales_Fact!C1584:C3568,Sales_Fact!E1584:J3568)</f>
        <v>STORE9</v>
      </c>
      <c r="H1584" s="22">
        <v>2</v>
      </c>
      <c r="I1584" s="22">
        <v>999.08</v>
      </c>
      <c r="J1584" s="22">
        <v>0.3</v>
      </c>
      <c r="K1584" s="22" t="str">
        <v>PayPal</v>
      </c>
      <c r="L1584" s="22">
        <v>1398.712</v>
      </c>
    </row>
    <row r="1585" spans="1:12" x14ac:dyDescent="0.3">
      <c r="A1585" s="22" t="s">
        <v>3394</v>
      </c>
      <c r="B1585" s="34" cm="1">
        <f t="array" ref="B1585:C1585">_xlfn.XLOOKUP(A1585,Sales_Fact!A1585:A3569,Sales_Fact!B1585:C3569)</f>
        <v>45887</v>
      </c>
      <c r="C1585" s="22" t="str">
        <v>CUST1170</v>
      </c>
      <c r="D1585" s="22" t="str">
        <f>VLOOKUP('Combine Products &amp; Sales Facts'!C1585,'Customer Details'!A:B,2,0)</f>
        <v>Christopher Garcia Dds</v>
      </c>
      <c r="E1585" s="22" t="str">
        <f>VLOOKUP(C1585,Sales_Fact!C:D,2,0)</f>
        <v>PROD83</v>
      </c>
      <c r="F1585" s="22" t="str">
        <f>VLOOKUP(E1585,Product_Dim!A:C,3,0)</f>
        <v>Beauty</v>
      </c>
      <c r="G1585" s="22" t="str" cm="1">
        <f t="array" ref="G1585:L1585">_xlfn.XLOOKUP(C1585,Sales_Fact!C1585:C3569,Sales_Fact!E1585:J3569)</f>
        <v>STORE17</v>
      </c>
      <c r="H1585" s="22">
        <v>3</v>
      </c>
      <c r="I1585" s="22">
        <v>453.19</v>
      </c>
      <c r="J1585" s="22">
        <v>0.08</v>
      </c>
      <c r="K1585" s="22" t="str">
        <v>COD</v>
      </c>
      <c r="L1585" s="22">
        <v>1250.8044</v>
      </c>
    </row>
    <row r="1586" spans="1:12" x14ac:dyDescent="0.3">
      <c r="A1586" s="22" t="s">
        <v>3395</v>
      </c>
      <c r="B1586" s="34" cm="1">
        <f t="array" ref="B1586:C1586">_xlfn.XLOOKUP(A1586,Sales_Fact!A1586:A3570,Sales_Fact!B1586:C3570)</f>
        <v>45567</v>
      </c>
      <c r="C1586" s="22" t="str">
        <v>CUST1235</v>
      </c>
      <c r="D1586" s="22" t="str">
        <f>VLOOKUP('Combine Products &amp; Sales Facts'!C1586,'Customer Details'!A:B,2,0)</f>
        <v>Jon Ortiz</v>
      </c>
      <c r="E1586" s="22" t="str">
        <f>VLOOKUP(C1586,Sales_Fact!C:D,2,0)</f>
        <v>PROD91</v>
      </c>
      <c r="F1586" s="22" t="str">
        <f>VLOOKUP(E1586,Product_Dim!A:C,3,0)</f>
        <v>Clothing</v>
      </c>
      <c r="G1586" s="22" t="str" cm="1">
        <f t="array" ref="G1586:L1586">_xlfn.XLOOKUP(C1586,Sales_Fact!C1586:C3570,Sales_Fact!E1586:J3570)</f>
        <v>STORE10</v>
      </c>
      <c r="H1586" s="22">
        <v>2</v>
      </c>
      <c r="I1586" s="22">
        <v>61.31</v>
      </c>
      <c r="J1586" s="22">
        <v>0.15</v>
      </c>
      <c r="K1586" s="22" t="str">
        <v>COD</v>
      </c>
      <c r="L1586" s="22">
        <v>104.227</v>
      </c>
    </row>
    <row r="1587" spans="1:12" x14ac:dyDescent="0.3">
      <c r="A1587" s="22" t="s">
        <v>3396</v>
      </c>
      <c r="B1587" s="34" cm="1">
        <f t="array" ref="B1587:C1587">_xlfn.XLOOKUP(A1587,Sales_Fact!A1587:A3571,Sales_Fact!B1587:C3571)</f>
        <v>45223</v>
      </c>
      <c r="C1587" s="22" t="str">
        <v>CUST1342</v>
      </c>
      <c r="D1587" s="22" t="str">
        <f>VLOOKUP('Combine Products &amp; Sales Facts'!C1587,'Customer Details'!A:B,2,0)</f>
        <v>Michelle Cunningham</v>
      </c>
      <c r="E1587" s="22" t="str">
        <f>VLOOKUP(C1587,Sales_Fact!C:D,2,0)</f>
        <v>PROD61</v>
      </c>
      <c r="F1587" s="22" t="str">
        <f>VLOOKUP(E1587,Product_Dim!A:C,3,0)</f>
        <v>Sports</v>
      </c>
      <c r="G1587" s="22" t="str" cm="1">
        <f t="array" ref="G1587:L1587">_xlfn.XLOOKUP(C1587,Sales_Fact!C1587:C3571,Sales_Fact!E1587:J3571)</f>
        <v>STORE10</v>
      </c>
      <c r="H1587" s="22">
        <v>2</v>
      </c>
      <c r="I1587" s="22">
        <v>870.13</v>
      </c>
      <c r="J1587" s="22">
        <v>0.23</v>
      </c>
      <c r="K1587" s="22" t="str">
        <v>Credit Card</v>
      </c>
      <c r="L1587" s="22">
        <v>1340.0001999999999</v>
      </c>
    </row>
    <row r="1588" spans="1:12" x14ac:dyDescent="0.3">
      <c r="A1588" s="22" t="s">
        <v>3397</v>
      </c>
      <c r="B1588" s="34" cm="1">
        <f t="array" ref="B1588:C1588">_xlfn.XLOOKUP(A1588,Sales_Fact!A1588:A3572,Sales_Fact!B1588:C3572)</f>
        <v>45664</v>
      </c>
      <c r="C1588" s="22" t="str">
        <v>CUST1067</v>
      </c>
      <c r="D1588" s="22" t="str">
        <f>VLOOKUP('Combine Products &amp; Sales Facts'!C1588,'Customer Details'!A:B,2,0)</f>
        <v>Amber Mcclain</v>
      </c>
      <c r="E1588" s="22" t="str">
        <f>VLOOKUP(C1588,Sales_Fact!C:D,2,0)</f>
        <v>PROD46</v>
      </c>
      <c r="F1588" s="22" t="str">
        <f>VLOOKUP(E1588,Product_Dim!A:C,3,0)</f>
        <v>Clothing</v>
      </c>
      <c r="G1588" s="22" t="str" cm="1">
        <f t="array" ref="G1588:L1588">_xlfn.XLOOKUP(C1588,Sales_Fact!C1588:C3572,Sales_Fact!E1588:J3572)</f>
        <v>STORE19</v>
      </c>
      <c r="H1588" s="22">
        <v>1</v>
      </c>
      <c r="I1588" s="22">
        <v>336.51</v>
      </c>
      <c r="J1588" s="22">
        <v>0.11</v>
      </c>
      <c r="K1588" s="22" t="str">
        <v>PayPal</v>
      </c>
      <c r="L1588" s="22">
        <v>299.4939</v>
      </c>
    </row>
    <row r="1589" spans="1:12" x14ac:dyDescent="0.3">
      <c r="A1589" s="22" t="s">
        <v>3398</v>
      </c>
      <c r="B1589" s="34" cm="1">
        <f t="array" ref="B1589:C1589">_xlfn.XLOOKUP(A1589,Sales_Fact!A1589:A3573,Sales_Fact!B1589:C3573)</f>
        <v>45313</v>
      </c>
      <c r="C1589" s="22" t="str">
        <v>CUST1181</v>
      </c>
      <c r="D1589" s="22" t="str">
        <f>VLOOKUP('Combine Products &amp; Sales Facts'!C1589,'Customer Details'!A:B,2,0)</f>
        <v>Erin Ward</v>
      </c>
      <c r="E1589" s="22" t="str">
        <f>VLOOKUP(C1589,Sales_Fact!C:D,2,0)</f>
        <v>PROD63</v>
      </c>
      <c r="F1589" s="22" t="str">
        <f>VLOOKUP(E1589,Product_Dim!A:C,3,0)</f>
        <v>Beauty</v>
      </c>
      <c r="G1589" s="22" t="str" cm="1">
        <f t="array" ref="G1589:L1589">_xlfn.XLOOKUP(C1589,Sales_Fact!C1589:C3573,Sales_Fact!E1589:J3573)</f>
        <v>STORE0</v>
      </c>
      <c r="H1589" s="22">
        <v>1</v>
      </c>
      <c r="I1589" s="22">
        <v>305.70999999999998</v>
      </c>
      <c r="J1589" s="22">
        <v>0.26</v>
      </c>
      <c r="K1589" s="22" t="str">
        <v>COD</v>
      </c>
      <c r="L1589" s="22">
        <v>226.22540000000001</v>
      </c>
    </row>
    <row r="1590" spans="1:12" x14ac:dyDescent="0.3">
      <c r="A1590" s="22" t="s">
        <v>3399</v>
      </c>
      <c r="B1590" s="34" cm="1">
        <f t="array" ref="B1590:C1590">_xlfn.XLOOKUP(A1590,Sales_Fact!A1590:A3574,Sales_Fact!B1590:C3574)</f>
        <v>45224</v>
      </c>
      <c r="C1590" s="22" t="str">
        <v>CUST1121</v>
      </c>
      <c r="D1590" s="22" t="str">
        <f>VLOOKUP('Combine Products &amp; Sales Facts'!C1590,'Customer Details'!A:B,2,0)</f>
        <v>Joel Robinson</v>
      </c>
      <c r="E1590" s="22" t="str">
        <f>VLOOKUP(C1590,Sales_Fact!C:D,2,0)</f>
        <v>PROD33</v>
      </c>
      <c r="F1590" s="22" t="str">
        <f>VLOOKUP(E1590,Product_Dim!A:C,3,0)</f>
        <v>Home</v>
      </c>
      <c r="G1590" s="22" t="str" cm="1">
        <f t="array" ref="G1590:L1590">_xlfn.XLOOKUP(C1590,Sales_Fact!C1590:C3574,Sales_Fact!E1590:J3574)</f>
        <v>STORE18</v>
      </c>
      <c r="H1590" s="22">
        <v>2</v>
      </c>
      <c r="I1590" s="22">
        <v>635.39</v>
      </c>
      <c r="J1590" s="22">
        <v>0.28999999999999998</v>
      </c>
      <c r="K1590" s="22" t="str">
        <v>COD</v>
      </c>
      <c r="L1590" s="22">
        <v>902.25379999999996</v>
      </c>
    </row>
    <row r="1591" spans="1:12" x14ac:dyDescent="0.3">
      <c r="A1591" s="22" t="s">
        <v>3400</v>
      </c>
      <c r="B1591" s="34" cm="1">
        <f t="array" ref="B1591:C1591">_xlfn.XLOOKUP(A1591,Sales_Fact!A1591:A3575,Sales_Fact!B1591:C3575)</f>
        <v>45491</v>
      </c>
      <c r="C1591" s="22" t="str">
        <v>CUST1116</v>
      </c>
      <c r="D1591" s="22" t="str">
        <f>VLOOKUP('Combine Products &amp; Sales Facts'!C1591,'Customer Details'!A:B,2,0)</f>
        <v>Anthony Phillips</v>
      </c>
      <c r="E1591" s="22" t="str">
        <f>VLOOKUP(C1591,Sales_Fact!C:D,2,0)</f>
        <v>PROD15</v>
      </c>
      <c r="F1591" s="22" t="str">
        <f>VLOOKUP(E1591,Product_Dim!A:C,3,0)</f>
        <v>Electronics</v>
      </c>
      <c r="G1591" s="22" t="str" cm="1">
        <f t="array" ref="G1591:L1591">_xlfn.XLOOKUP(C1591,Sales_Fact!C1591:C3575,Sales_Fact!E1591:J3575)</f>
        <v>STORE19</v>
      </c>
      <c r="H1591" s="22">
        <v>2</v>
      </c>
      <c r="I1591" s="22">
        <v>253.87</v>
      </c>
      <c r="J1591" s="22">
        <v>0.23</v>
      </c>
      <c r="K1591" s="22" t="str">
        <v>COD</v>
      </c>
      <c r="L1591" s="22">
        <v>390.95979999999997</v>
      </c>
    </row>
    <row r="1592" spans="1:12" x14ac:dyDescent="0.3">
      <c r="A1592" s="22" t="s">
        <v>3401</v>
      </c>
      <c r="B1592" s="34" cm="1">
        <f t="array" ref="B1592:C1592">_xlfn.XLOOKUP(A1592,Sales_Fact!A1592:A3576,Sales_Fact!B1592:C3576)</f>
        <v>45472</v>
      </c>
      <c r="C1592" s="22" t="str">
        <v>CUST1484</v>
      </c>
      <c r="D1592" s="22" t="str">
        <f>VLOOKUP('Combine Products &amp; Sales Facts'!C1592,'Customer Details'!A:B,2,0)</f>
        <v>Jessica Castro</v>
      </c>
      <c r="E1592" s="22" t="str">
        <f>VLOOKUP(C1592,Sales_Fact!C:D,2,0)</f>
        <v>PROD77</v>
      </c>
      <c r="F1592" s="22" t="str">
        <f>VLOOKUP(E1592,Product_Dim!A:C,3,0)</f>
        <v>Electronics</v>
      </c>
      <c r="G1592" s="22" t="str" cm="1">
        <f t="array" ref="G1592:L1592">_xlfn.XLOOKUP(C1592,Sales_Fact!C1592:C3576,Sales_Fact!E1592:J3576)</f>
        <v>STORE17</v>
      </c>
      <c r="H1592" s="22">
        <v>3</v>
      </c>
      <c r="I1592" s="22">
        <v>915.81</v>
      </c>
      <c r="J1592" s="22">
        <v>0.17</v>
      </c>
      <c r="K1592" s="22" t="str">
        <v>COD</v>
      </c>
      <c r="L1592" s="22">
        <v>2280.3669</v>
      </c>
    </row>
    <row r="1593" spans="1:12" x14ac:dyDescent="0.3">
      <c r="A1593" s="22" t="s">
        <v>3402</v>
      </c>
      <c r="B1593" s="34" cm="1">
        <f t="array" ref="B1593:C1593">_xlfn.XLOOKUP(A1593,Sales_Fact!A1593:A3577,Sales_Fact!B1593:C3577)</f>
        <v>45795</v>
      </c>
      <c r="C1593" s="22" t="str">
        <v>CUST1209</v>
      </c>
      <c r="D1593" s="22" t="str">
        <f>VLOOKUP('Combine Products &amp; Sales Facts'!C1593,'Customer Details'!A:B,2,0)</f>
        <v>Joan Johnson</v>
      </c>
      <c r="E1593" s="22" t="str">
        <f>VLOOKUP(C1593,Sales_Fact!C:D,2,0)</f>
        <v>PROD42</v>
      </c>
      <c r="F1593" s="22" t="str">
        <f>VLOOKUP(E1593,Product_Dim!A:C,3,0)</f>
        <v>Electronics</v>
      </c>
      <c r="G1593" s="22" t="str" cm="1">
        <f t="array" ref="G1593:L1593">_xlfn.XLOOKUP(C1593,Sales_Fact!C1593:C3577,Sales_Fact!E1593:J3577)</f>
        <v>STORE8</v>
      </c>
      <c r="H1593" s="22">
        <v>3</v>
      </c>
      <c r="I1593" s="22">
        <v>779.5</v>
      </c>
      <c r="J1593" s="22">
        <v>0.02</v>
      </c>
      <c r="K1593" s="22" t="str">
        <v>Credit Card</v>
      </c>
      <c r="L1593" s="22">
        <v>2291.73</v>
      </c>
    </row>
    <row r="1594" spans="1:12" x14ac:dyDescent="0.3">
      <c r="A1594" s="22" t="s">
        <v>3403</v>
      </c>
      <c r="B1594" s="34" cm="1">
        <f t="array" ref="B1594:C1594">_xlfn.XLOOKUP(A1594,Sales_Fact!A1594:A3578,Sales_Fact!B1594:C3578)</f>
        <v>45470</v>
      </c>
      <c r="C1594" s="22" t="str">
        <v>CUST1469</v>
      </c>
      <c r="D1594" s="22" t="str">
        <f>VLOOKUP('Combine Products &amp; Sales Facts'!C1594,'Customer Details'!A:B,2,0)</f>
        <v>James Foster</v>
      </c>
      <c r="E1594" s="22" t="str">
        <f>VLOOKUP(C1594,Sales_Fact!C:D,2,0)</f>
        <v>PROD45</v>
      </c>
      <c r="F1594" s="22" t="str">
        <f>VLOOKUP(E1594,Product_Dim!A:C,3,0)</f>
        <v>Sports</v>
      </c>
      <c r="G1594" s="22" t="str" cm="1">
        <f t="array" ref="G1594:L1594">_xlfn.XLOOKUP(C1594,Sales_Fact!C1594:C3578,Sales_Fact!E1594:J3578)</f>
        <v>STORE16</v>
      </c>
      <c r="H1594" s="22">
        <v>2</v>
      </c>
      <c r="I1594" s="22">
        <v>780.57</v>
      </c>
      <c r="J1594" s="22">
        <v>0.26</v>
      </c>
      <c r="K1594" s="22" t="str">
        <v>Credit Card</v>
      </c>
      <c r="L1594" s="22">
        <v>1155.2436</v>
      </c>
    </row>
    <row r="1595" spans="1:12" x14ac:dyDescent="0.3">
      <c r="A1595" s="22" t="s">
        <v>3404</v>
      </c>
      <c r="B1595" s="34" cm="1">
        <f t="array" ref="B1595:C1595">_xlfn.XLOOKUP(A1595,Sales_Fact!A1595:A3579,Sales_Fact!B1595:C3579)</f>
        <v>45390</v>
      </c>
      <c r="C1595" s="22" t="str">
        <v>CUST1383</v>
      </c>
      <c r="D1595" s="22" t="str">
        <f>VLOOKUP('Combine Products &amp; Sales Facts'!C1595,'Customer Details'!A:B,2,0)</f>
        <v>Kristine Higgins</v>
      </c>
      <c r="E1595" s="22" t="str">
        <f>VLOOKUP(C1595,Sales_Fact!C:D,2,0)</f>
        <v>PROD58</v>
      </c>
      <c r="F1595" s="22" t="str">
        <f>VLOOKUP(E1595,Product_Dim!A:C,3,0)</f>
        <v>Clothing</v>
      </c>
      <c r="G1595" s="22" t="str" cm="1">
        <f t="array" ref="G1595:L1595">_xlfn.XLOOKUP(C1595,Sales_Fact!C1595:C3579,Sales_Fact!E1595:J3579)</f>
        <v>STORE19</v>
      </c>
      <c r="H1595" s="22">
        <v>1</v>
      </c>
      <c r="I1595" s="22">
        <v>511.35</v>
      </c>
      <c r="J1595" s="22">
        <v>0</v>
      </c>
      <c r="K1595" s="22" t="str">
        <v>Credit Card</v>
      </c>
      <c r="L1595" s="22">
        <v>511.35</v>
      </c>
    </row>
    <row r="1596" spans="1:12" x14ac:dyDescent="0.3">
      <c r="A1596" s="22" t="s">
        <v>3405</v>
      </c>
      <c r="B1596" s="34" cm="1">
        <f t="array" ref="B1596:C1596">_xlfn.XLOOKUP(A1596,Sales_Fact!A1596:A3580,Sales_Fact!B1596:C3580)</f>
        <v>45803</v>
      </c>
      <c r="C1596" s="22" t="str">
        <v>CUST1016</v>
      </c>
      <c r="D1596" s="22" t="str">
        <f>VLOOKUP('Combine Products &amp; Sales Facts'!C1596,'Customer Details'!A:B,2,0)</f>
        <v>John Scott</v>
      </c>
      <c r="E1596" s="22" t="str">
        <f>VLOOKUP(C1596,Sales_Fact!C:D,2,0)</f>
        <v>PROD56</v>
      </c>
      <c r="F1596" s="22" t="str">
        <f>VLOOKUP(E1596,Product_Dim!A:C,3,0)</f>
        <v>Home</v>
      </c>
      <c r="G1596" s="22" t="str" cm="1">
        <f t="array" ref="G1596:L1596">_xlfn.XLOOKUP(C1596,Sales_Fact!C1596:C3580,Sales_Fact!E1596:J3580)</f>
        <v>STORE3</v>
      </c>
      <c r="H1596" s="22">
        <v>4</v>
      </c>
      <c r="I1596" s="22">
        <v>44.07</v>
      </c>
      <c r="J1596" s="22">
        <v>0.28999999999999998</v>
      </c>
      <c r="K1596" s="22" t="str">
        <v>COD</v>
      </c>
      <c r="L1596" s="22">
        <v>125.1588</v>
      </c>
    </row>
    <row r="1597" spans="1:12" x14ac:dyDescent="0.3">
      <c r="A1597" s="22" t="s">
        <v>3406</v>
      </c>
      <c r="B1597" s="34" cm="1">
        <f t="array" ref="B1597:C1597">_xlfn.XLOOKUP(A1597,Sales_Fact!A1597:A3581,Sales_Fact!B1597:C3581)</f>
        <v>45320</v>
      </c>
      <c r="C1597" s="22" t="str">
        <v>CUST1197</v>
      </c>
      <c r="D1597" s="22" t="str">
        <f>VLOOKUP('Combine Products &amp; Sales Facts'!C1597,'Customer Details'!A:B,2,0)</f>
        <v>Andrea Jacobs</v>
      </c>
      <c r="E1597" s="22" t="str">
        <f>VLOOKUP(C1597,Sales_Fact!C:D,2,0)</f>
        <v>PROD37</v>
      </c>
      <c r="F1597" s="22" t="str">
        <f>VLOOKUP(E1597,Product_Dim!A:C,3,0)</f>
        <v>Clothing</v>
      </c>
      <c r="G1597" s="22" t="str" cm="1">
        <f t="array" ref="G1597:L1597">_xlfn.XLOOKUP(C1597,Sales_Fact!C1597:C3581,Sales_Fact!E1597:J3581)</f>
        <v>STORE11</v>
      </c>
      <c r="H1597" s="22">
        <v>2</v>
      </c>
      <c r="I1597" s="22">
        <v>895.92</v>
      </c>
      <c r="J1597" s="22">
        <v>0.15</v>
      </c>
      <c r="K1597" s="22" t="str">
        <v>Credit Card</v>
      </c>
      <c r="L1597" s="22">
        <v>1523.0640000000001</v>
      </c>
    </row>
    <row r="1598" spans="1:12" x14ac:dyDescent="0.3">
      <c r="A1598" s="22" t="s">
        <v>3407</v>
      </c>
      <c r="B1598" s="34" cm="1">
        <f t="array" ref="B1598:C1598">_xlfn.XLOOKUP(A1598,Sales_Fact!A1598:A3582,Sales_Fact!B1598:C3582)</f>
        <v>45619</v>
      </c>
      <c r="C1598" s="22" t="str">
        <v>CUST1305</v>
      </c>
      <c r="D1598" s="22" t="str">
        <f>VLOOKUP('Combine Products &amp; Sales Facts'!C1598,'Customer Details'!A:B,2,0)</f>
        <v>Roberta Green</v>
      </c>
      <c r="E1598" s="22" t="str">
        <f>VLOOKUP(C1598,Sales_Fact!C:D,2,0)</f>
        <v>PROD28</v>
      </c>
      <c r="F1598" s="22" t="str">
        <f>VLOOKUP(E1598,Product_Dim!A:C,3,0)</f>
        <v>Sports</v>
      </c>
      <c r="G1598" s="22" t="str" cm="1">
        <f t="array" ref="G1598:L1598">_xlfn.XLOOKUP(C1598,Sales_Fact!C1598:C3582,Sales_Fact!E1598:J3582)</f>
        <v>STORE2</v>
      </c>
      <c r="H1598" s="22">
        <v>4</v>
      </c>
      <c r="I1598" s="22">
        <v>456.32</v>
      </c>
      <c r="J1598" s="22">
        <v>0.22</v>
      </c>
      <c r="K1598" s="22" t="str">
        <v>COD</v>
      </c>
      <c r="L1598" s="22">
        <v>1423.7184</v>
      </c>
    </row>
    <row r="1599" spans="1:12" x14ac:dyDescent="0.3">
      <c r="A1599" s="22" t="s">
        <v>3408</v>
      </c>
      <c r="B1599" s="34" cm="1">
        <f t="array" ref="B1599:C1599">_xlfn.XLOOKUP(A1599,Sales_Fact!A1599:A3583,Sales_Fact!B1599:C3583)</f>
        <v>45777</v>
      </c>
      <c r="C1599" s="22" t="str">
        <v>CUST1420</v>
      </c>
      <c r="D1599" s="22" t="str">
        <f>VLOOKUP('Combine Products &amp; Sales Facts'!C1599,'Customer Details'!A:B,2,0)</f>
        <v>Dr. Tamara White Md</v>
      </c>
      <c r="E1599" s="22" t="str">
        <f>VLOOKUP(C1599,Sales_Fact!C:D,2,0)</f>
        <v>PROD21</v>
      </c>
      <c r="F1599" s="22" t="str">
        <f>VLOOKUP(E1599,Product_Dim!A:C,3,0)</f>
        <v>Home</v>
      </c>
      <c r="G1599" s="22" t="str" cm="1">
        <f t="array" ref="G1599:L1599">_xlfn.XLOOKUP(C1599,Sales_Fact!C1599:C3583,Sales_Fact!E1599:J3583)</f>
        <v>STORE0</v>
      </c>
      <c r="H1599" s="22">
        <v>1</v>
      </c>
      <c r="I1599" s="22">
        <v>905.5</v>
      </c>
      <c r="J1599" s="22">
        <v>0.28999999999999998</v>
      </c>
      <c r="K1599" s="22" t="str">
        <v>COD</v>
      </c>
      <c r="L1599" s="22">
        <v>642.90499999999997</v>
      </c>
    </row>
    <row r="1600" spans="1:12" x14ac:dyDescent="0.3">
      <c r="A1600" s="22" t="s">
        <v>3409</v>
      </c>
      <c r="B1600" s="34" cm="1">
        <f t="array" ref="B1600:C1600">_xlfn.XLOOKUP(A1600,Sales_Fact!A1600:A3584,Sales_Fact!B1600:C3584)</f>
        <v>45523</v>
      </c>
      <c r="C1600" s="22" t="str">
        <v>CUST1204</v>
      </c>
      <c r="D1600" s="22" t="str">
        <f>VLOOKUP('Combine Products &amp; Sales Facts'!C1600,'Customer Details'!A:B,2,0)</f>
        <v>Tiffany Herrera</v>
      </c>
      <c r="E1600" s="22" t="str">
        <f>VLOOKUP(C1600,Sales_Fact!C:D,2,0)</f>
        <v>PROD44</v>
      </c>
      <c r="F1600" s="22" t="str">
        <f>VLOOKUP(E1600,Product_Dim!A:C,3,0)</f>
        <v>Sports</v>
      </c>
      <c r="G1600" s="22" t="str" cm="1">
        <f t="array" ref="G1600:L1600">_xlfn.XLOOKUP(C1600,Sales_Fact!C1600:C3584,Sales_Fact!E1600:J3584)</f>
        <v>STORE13</v>
      </c>
      <c r="H1600" s="22">
        <v>3</v>
      </c>
      <c r="I1600" s="22">
        <v>63.19</v>
      </c>
      <c r="J1600" s="22">
        <v>0.08</v>
      </c>
      <c r="K1600" s="22" t="str">
        <v>Credit Card</v>
      </c>
      <c r="L1600" s="22">
        <v>174.40440000000001</v>
      </c>
    </row>
    <row r="1601" spans="1:12" x14ac:dyDescent="0.3">
      <c r="A1601" s="22" t="s">
        <v>3410</v>
      </c>
      <c r="B1601" s="34" cm="1">
        <f t="array" ref="B1601:C1601">_xlfn.XLOOKUP(A1601,Sales_Fact!A1601:A3585,Sales_Fact!B1601:C3585)</f>
        <v>45628</v>
      </c>
      <c r="C1601" s="22" t="str">
        <v>CUST1050</v>
      </c>
      <c r="D1601" s="22" t="str">
        <f>VLOOKUP('Combine Products &amp; Sales Facts'!C1601,'Customer Details'!A:B,2,0)</f>
        <v>Matthew Hunter Jr.</v>
      </c>
      <c r="E1601" s="22" t="str">
        <f>VLOOKUP(C1601,Sales_Fact!C:D,2,0)</f>
        <v>PROD99</v>
      </c>
      <c r="F1601" s="22" t="str">
        <f>VLOOKUP(E1601,Product_Dim!A:C,3,0)</f>
        <v>Home</v>
      </c>
      <c r="G1601" s="22" t="str" cm="1">
        <f t="array" ref="G1601:L1601">_xlfn.XLOOKUP(C1601,Sales_Fact!C1601:C3585,Sales_Fact!E1601:J3585)</f>
        <v>STORE7</v>
      </c>
      <c r="H1601" s="22">
        <v>3</v>
      </c>
      <c r="I1601" s="22">
        <v>687.66</v>
      </c>
      <c r="J1601" s="22">
        <v>0.06</v>
      </c>
      <c r="K1601" s="22" t="str">
        <v>PayPal</v>
      </c>
      <c r="L1601" s="22">
        <v>1939.2012</v>
      </c>
    </row>
    <row r="1602" spans="1:12" x14ac:dyDescent="0.3">
      <c r="A1602" s="22" t="s">
        <v>3411</v>
      </c>
      <c r="B1602" s="34" cm="1">
        <f t="array" ref="B1602:C1602">_xlfn.XLOOKUP(A1602,Sales_Fact!A1602:A3586,Sales_Fact!B1602:C3586)</f>
        <v>45742</v>
      </c>
      <c r="C1602" s="22" t="str">
        <v>CUST1219</v>
      </c>
      <c r="D1602" s="22" t="str">
        <f>VLOOKUP('Combine Products &amp; Sales Facts'!C1602,'Customer Details'!A:B,2,0)</f>
        <v>Jordan Wells</v>
      </c>
      <c r="E1602" s="22" t="str">
        <f>VLOOKUP(C1602,Sales_Fact!C:D,2,0)</f>
        <v>PROD37</v>
      </c>
      <c r="F1602" s="22" t="str">
        <f>VLOOKUP(E1602,Product_Dim!A:C,3,0)</f>
        <v>Clothing</v>
      </c>
      <c r="G1602" s="22" t="str" cm="1">
        <f t="array" ref="G1602:L1602">_xlfn.XLOOKUP(C1602,Sales_Fact!C1602:C3586,Sales_Fact!E1602:J3586)</f>
        <v>STORE9</v>
      </c>
      <c r="H1602" s="22">
        <v>4</v>
      </c>
      <c r="I1602" s="22">
        <v>639.05999999999995</v>
      </c>
      <c r="J1602" s="22">
        <v>0.12</v>
      </c>
      <c r="K1602" s="22" t="str">
        <v>PayPal</v>
      </c>
      <c r="L1602" s="22">
        <v>2249.4911999999999</v>
      </c>
    </row>
    <row r="1603" spans="1:12" x14ac:dyDescent="0.3">
      <c r="A1603" s="22" t="s">
        <v>3412</v>
      </c>
      <c r="B1603" s="34" cm="1">
        <f t="array" ref="B1603:C1603">_xlfn.XLOOKUP(A1603,Sales_Fact!A1603:A3587,Sales_Fact!B1603:C3587)</f>
        <v>45456</v>
      </c>
      <c r="C1603" s="22" t="str">
        <v>CUST1067</v>
      </c>
      <c r="D1603" s="22" t="str">
        <f>VLOOKUP('Combine Products &amp; Sales Facts'!C1603,'Customer Details'!A:B,2,0)</f>
        <v>Amber Mcclain</v>
      </c>
      <c r="E1603" s="22" t="str">
        <f>VLOOKUP(C1603,Sales_Fact!C:D,2,0)</f>
        <v>PROD46</v>
      </c>
      <c r="F1603" s="22" t="str">
        <f>VLOOKUP(E1603,Product_Dim!A:C,3,0)</f>
        <v>Clothing</v>
      </c>
      <c r="G1603" s="22" t="str" cm="1">
        <f t="array" ref="G1603:L1603">_xlfn.XLOOKUP(C1603,Sales_Fact!C1603:C3587,Sales_Fact!E1603:J3587)</f>
        <v>STORE7</v>
      </c>
      <c r="H1603" s="22">
        <v>1</v>
      </c>
      <c r="I1603" s="22">
        <v>475.15</v>
      </c>
      <c r="J1603" s="22">
        <v>0.04</v>
      </c>
      <c r="K1603" s="22" t="str">
        <v>COD</v>
      </c>
      <c r="L1603" s="22">
        <v>456.14399999999989</v>
      </c>
    </row>
    <row r="1604" spans="1:12" x14ac:dyDescent="0.3">
      <c r="A1604" s="22" t="s">
        <v>3413</v>
      </c>
      <c r="B1604" s="34" cm="1">
        <f t="array" ref="B1604:C1604">_xlfn.XLOOKUP(A1604,Sales_Fact!A1604:A3588,Sales_Fact!B1604:C3588)</f>
        <v>45534</v>
      </c>
      <c r="C1604" s="22" t="str">
        <v>CUST1190</v>
      </c>
      <c r="D1604" s="22" t="str">
        <f>VLOOKUP('Combine Products &amp; Sales Facts'!C1604,'Customer Details'!A:B,2,0)</f>
        <v>Christopher Stewart</v>
      </c>
      <c r="E1604" s="22" t="str">
        <f>VLOOKUP(C1604,Sales_Fact!C:D,2,0)</f>
        <v>PROD27</v>
      </c>
      <c r="F1604" s="22" t="str">
        <f>VLOOKUP(E1604,Product_Dim!A:C,3,0)</f>
        <v>Home</v>
      </c>
      <c r="G1604" s="22" t="str" cm="1">
        <f t="array" ref="G1604:L1604">_xlfn.XLOOKUP(C1604,Sales_Fact!C1604:C3588,Sales_Fact!E1604:J3588)</f>
        <v>STORE6</v>
      </c>
      <c r="H1604" s="22">
        <v>1</v>
      </c>
      <c r="I1604" s="22">
        <v>62.38</v>
      </c>
      <c r="J1604" s="22">
        <v>0.08</v>
      </c>
      <c r="K1604" s="22" t="str">
        <v>COD</v>
      </c>
      <c r="L1604" s="22">
        <v>57.389600000000002</v>
      </c>
    </row>
    <row r="1605" spans="1:12" x14ac:dyDescent="0.3">
      <c r="A1605" s="22" t="s">
        <v>3414</v>
      </c>
      <c r="B1605" s="34" cm="1">
        <f t="array" ref="B1605:C1605">_xlfn.XLOOKUP(A1605,Sales_Fact!A1605:A3589,Sales_Fact!B1605:C3589)</f>
        <v>45375</v>
      </c>
      <c r="C1605" s="22" t="str">
        <v>CUST1354</v>
      </c>
      <c r="D1605" s="22" t="str">
        <f>VLOOKUP('Combine Products &amp; Sales Facts'!C1605,'Customer Details'!A:B,2,0)</f>
        <v>Ryan Torres</v>
      </c>
      <c r="E1605" s="22" t="str">
        <f>VLOOKUP(C1605,Sales_Fact!C:D,2,0)</f>
        <v>PROD61</v>
      </c>
      <c r="F1605" s="22" t="str">
        <f>VLOOKUP(E1605,Product_Dim!A:C,3,0)</f>
        <v>Sports</v>
      </c>
      <c r="G1605" s="22" t="str" cm="1">
        <f t="array" ref="G1605:L1605">_xlfn.XLOOKUP(C1605,Sales_Fact!C1605:C3589,Sales_Fact!E1605:J3589)</f>
        <v>STORE7</v>
      </c>
      <c r="H1605" s="22">
        <v>1</v>
      </c>
      <c r="I1605" s="22">
        <v>977.02</v>
      </c>
      <c r="J1605" s="22">
        <v>0.2</v>
      </c>
      <c r="K1605" s="22" t="str">
        <v>COD</v>
      </c>
      <c r="L1605" s="22">
        <v>781.61599999999999</v>
      </c>
    </row>
    <row r="1606" spans="1:12" x14ac:dyDescent="0.3">
      <c r="A1606" s="22" t="s">
        <v>3415</v>
      </c>
      <c r="B1606" s="34" cm="1">
        <f t="array" ref="B1606:C1606">_xlfn.XLOOKUP(A1606,Sales_Fact!A1606:A3590,Sales_Fact!B1606:C3590)</f>
        <v>45546</v>
      </c>
      <c r="C1606" s="22" t="str">
        <v>CUST1074</v>
      </c>
      <c r="D1606" s="22" t="str">
        <f>VLOOKUP('Combine Products &amp; Sales Facts'!C1606,'Customer Details'!A:B,2,0)</f>
        <v>John Mayer</v>
      </c>
      <c r="E1606" s="22" t="str">
        <f>VLOOKUP(C1606,Sales_Fact!C:D,2,0)</f>
        <v>PROD83</v>
      </c>
      <c r="F1606" s="22" t="str">
        <f>VLOOKUP(E1606,Product_Dim!A:C,3,0)</f>
        <v>Beauty</v>
      </c>
      <c r="G1606" s="22" t="str" cm="1">
        <f t="array" ref="G1606:L1606">_xlfn.XLOOKUP(C1606,Sales_Fact!C1606:C3590,Sales_Fact!E1606:J3590)</f>
        <v>STORE4</v>
      </c>
      <c r="H1606" s="22">
        <v>2</v>
      </c>
      <c r="I1606" s="22">
        <v>898.81</v>
      </c>
      <c r="J1606" s="22">
        <v>0.25</v>
      </c>
      <c r="K1606" s="22" t="str">
        <v>Credit Card</v>
      </c>
      <c r="L1606" s="22">
        <v>1348.2149999999999</v>
      </c>
    </row>
    <row r="1607" spans="1:12" x14ac:dyDescent="0.3">
      <c r="A1607" s="22" t="s">
        <v>3416</v>
      </c>
      <c r="B1607" s="34" cm="1">
        <f t="array" ref="B1607:C1607">_xlfn.XLOOKUP(A1607,Sales_Fact!A1607:A3591,Sales_Fact!B1607:C3591)</f>
        <v>45769</v>
      </c>
      <c r="C1607" s="22" t="str">
        <v>CUST1351</v>
      </c>
      <c r="D1607" s="22" t="str">
        <f>VLOOKUP('Combine Products &amp; Sales Facts'!C1607,'Customer Details'!A:B,2,0)</f>
        <v>Jeffrey Mccarthy</v>
      </c>
      <c r="E1607" s="22" t="str">
        <f>VLOOKUP(C1607,Sales_Fact!C:D,2,0)</f>
        <v>PROD26</v>
      </c>
      <c r="F1607" s="22" t="str">
        <f>VLOOKUP(E1607,Product_Dim!A:C,3,0)</f>
        <v>Electronics</v>
      </c>
      <c r="G1607" s="22" t="str" cm="1">
        <f t="array" ref="G1607:L1607">_xlfn.XLOOKUP(C1607,Sales_Fact!C1607:C3591,Sales_Fact!E1607:J3591)</f>
        <v>STORE3</v>
      </c>
      <c r="H1607" s="22">
        <v>2</v>
      </c>
      <c r="I1607" s="22">
        <v>422.13</v>
      </c>
      <c r="J1607" s="22">
        <v>0.28000000000000003</v>
      </c>
      <c r="K1607" s="22" t="str">
        <v>Credit Card</v>
      </c>
      <c r="L1607" s="22">
        <v>607.86720000000003</v>
      </c>
    </row>
    <row r="1608" spans="1:12" x14ac:dyDescent="0.3">
      <c r="A1608" s="22" t="s">
        <v>3417</v>
      </c>
      <c r="B1608" s="34" cm="1">
        <f t="array" ref="B1608:C1608">_xlfn.XLOOKUP(A1608,Sales_Fact!A1608:A3592,Sales_Fact!B1608:C3592)</f>
        <v>45524</v>
      </c>
      <c r="C1608" s="22" t="str">
        <v>CUST1050</v>
      </c>
      <c r="D1608" s="22" t="str">
        <f>VLOOKUP('Combine Products &amp; Sales Facts'!C1608,'Customer Details'!A:B,2,0)</f>
        <v>Matthew Hunter Jr.</v>
      </c>
      <c r="E1608" s="22" t="str">
        <f>VLOOKUP(C1608,Sales_Fact!C:D,2,0)</f>
        <v>PROD99</v>
      </c>
      <c r="F1608" s="22" t="str">
        <f>VLOOKUP(E1608,Product_Dim!A:C,3,0)</f>
        <v>Home</v>
      </c>
      <c r="G1608" s="22" t="str" cm="1">
        <f t="array" ref="G1608:L1608">_xlfn.XLOOKUP(C1608,Sales_Fact!C1608:C3592,Sales_Fact!E1608:J3592)</f>
        <v>STORE11</v>
      </c>
      <c r="H1608" s="22">
        <v>1</v>
      </c>
      <c r="I1608" s="22">
        <v>324.56</v>
      </c>
      <c r="J1608" s="22">
        <v>0.03</v>
      </c>
      <c r="K1608" s="22" t="str">
        <v>COD</v>
      </c>
      <c r="L1608" s="22">
        <v>314.82319999999999</v>
      </c>
    </row>
    <row r="1609" spans="1:12" x14ac:dyDescent="0.3">
      <c r="A1609" s="22" t="s">
        <v>3418</v>
      </c>
      <c r="B1609" s="34" cm="1">
        <f t="array" ref="B1609:C1609">_xlfn.XLOOKUP(A1609,Sales_Fact!A1609:A3593,Sales_Fact!B1609:C3593)</f>
        <v>45531</v>
      </c>
      <c r="C1609" s="22" t="str">
        <v>CUST1468</v>
      </c>
      <c r="D1609" s="22" t="str">
        <f>VLOOKUP('Combine Products &amp; Sales Facts'!C1609,'Customer Details'!A:B,2,0)</f>
        <v>Gregory Curtis</v>
      </c>
      <c r="E1609" s="22" t="str">
        <f>VLOOKUP(C1609,Sales_Fact!C:D,2,0)</f>
        <v>PROD75</v>
      </c>
      <c r="F1609" s="22" t="str">
        <f>VLOOKUP(E1609,Product_Dim!A:C,3,0)</f>
        <v>Clothing</v>
      </c>
      <c r="G1609" s="22" t="str" cm="1">
        <f t="array" ref="G1609:L1609">_xlfn.XLOOKUP(C1609,Sales_Fact!C1609:C3593,Sales_Fact!E1609:J3593)</f>
        <v>STORE16</v>
      </c>
      <c r="H1609" s="22">
        <v>4</v>
      </c>
      <c r="I1609" s="22">
        <v>570.38</v>
      </c>
      <c r="J1609" s="22">
        <v>0.26</v>
      </c>
      <c r="K1609" s="22" t="str">
        <v>PayPal</v>
      </c>
      <c r="L1609" s="22">
        <v>1688.3248000000001</v>
      </c>
    </row>
    <row r="1610" spans="1:12" x14ac:dyDescent="0.3">
      <c r="A1610" s="22" t="s">
        <v>3419</v>
      </c>
      <c r="B1610" s="34" cm="1">
        <f t="array" ref="B1610:C1610">_xlfn.XLOOKUP(A1610,Sales_Fact!A1610:A3594,Sales_Fact!B1610:C3594)</f>
        <v>45479</v>
      </c>
      <c r="C1610" s="22" t="str">
        <v>CUST1394</v>
      </c>
      <c r="D1610" s="22" t="str">
        <f>VLOOKUP('Combine Products &amp; Sales Facts'!C1610,'Customer Details'!A:B,2,0)</f>
        <v>Alejandro Evans</v>
      </c>
      <c r="E1610" s="22" t="str">
        <f>VLOOKUP(C1610,Sales_Fact!C:D,2,0)</f>
        <v>PROD89</v>
      </c>
      <c r="F1610" s="22" t="str">
        <f>VLOOKUP(E1610,Product_Dim!A:C,3,0)</f>
        <v>Beauty</v>
      </c>
      <c r="G1610" s="22" t="str" cm="1">
        <f t="array" ref="G1610:L1610">_xlfn.XLOOKUP(C1610,Sales_Fact!C1610:C3594,Sales_Fact!E1610:J3594)</f>
        <v>STORE15</v>
      </c>
      <c r="H1610" s="22">
        <v>2</v>
      </c>
      <c r="I1610" s="22">
        <v>223.73</v>
      </c>
      <c r="J1610" s="22">
        <v>0.11</v>
      </c>
      <c r="K1610" s="22" t="str">
        <v>PayPal</v>
      </c>
      <c r="L1610" s="22">
        <v>398.23939999999999</v>
      </c>
    </row>
    <row r="1611" spans="1:12" x14ac:dyDescent="0.3">
      <c r="A1611" s="22" t="s">
        <v>3420</v>
      </c>
      <c r="B1611" s="34" cm="1">
        <f t="array" ref="B1611:C1611">_xlfn.XLOOKUP(A1611,Sales_Fact!A1611:A3595,Sales_Fact!B1611:C3595)</f>
        <v>45868</v>
      </c>
      <c r="C1611" s="22" t="str">
        <v>CUST1351</v>
      </c>
      <c r="D1611" s="22" t="str">
        <f>VLOOKUP('Combine Products &amp; Sales Facts'!C1611,'Customer Details'!A:B,2,0)</f>
        <v>Jeffrey Mccarthy</v>
      </c>
      <c r="E1611" s="22" t="str">
        <f>VLOOKUP(C1611,Sales_Fact!C:D,2,0)</f>
        <v>PROD26</v>
      </c>
      <c r="F1611" s="22" t="str">
        <f>VLOOKUP(E1611,Product_Dim!A:C,3,0)</f>
        <v>Electronics</v>
      </c>
      <c r="G1611" s="22" t="str" cm="1">
        <f t="array" ref="G1611:L1611">_xlfn.XLOOKUP(C1611,Sales_Fact!C1611:C3595,Sales_Fact!E1611:J3595)</f>
        <v>STORE16</v>
      </c>
      <c r="H1611" s="22">
        <v>4</v>
      </c>
      <c r="I1611" s="22">
        <v>164.93</v>
      </c>
      <c r="J1611" s="22">
        <v>0.11</v>
      </c>
      <c r="K1611" s="22" t="str">
        <v>Credit Card</v>
      </c>
      <c r="L1611" s="22">
        <v>587.1508</v>
      </c>
    </row>
    <row r="1612" spans="1:12" x14ac:dyDescent="0.3">
      <c r="A1612" s="22" t="s">
        <v>3421</v>
      </c>
      <c r="B1612" s="34" cm="1">
        <f t="array" ref="B1612:C1612">_xlfn.XLOOKUP(A1612,Sales_Fact!A1612:A3596,Sales_Fact!B1612:C3596)</f>
        <v>45569</v>
      </c>
      <c r="C1612" s="22" t="str">
        <v>CUST1249</v>
      </c>
      <c r="D1612" s="22" t="str">
        <f>VLOOKUP('Combine Products &amp; Sales Facts'!C1612,'Customer Details'!A:B,2,0)</f>
        <v>Lauren George</v>
      </c>
      <c r="E1612" s="22" t="str">
        <f>VLOOKUP(C1612,Sales_Fact!C:D,2,0)</f>
        <v>PROD19</v>
      </c>
      <c r="F1612" s="22" t="str">
        <f>VLOOKUP(E1612,Product_Dim!A:C,3,0)</f>
        <v>Sports</v>
      </c>
      <c r="G1612" s="22" t="str" cm="1">
        <f t="array" ref="G1612:L1612">_xlfn.XLOOKUP(C1612,Sales_Fact!C1612:C3596,Sales_Fact!E1612:J3596)</f>
        <v>STORE7</v>
      </c>
      <c r="H1612" s="22">
        <v>3</v>
      </c>
      <c r="I1612" s="22">
        <v>326.66000000000003</v>
      </c>
      <c r="J1612" s="22">
        <v>0.28000000000000003</v>
      </c>
      <c r="K1612" s="22" t="str">
        <v>COD</v>
      </c>
      <c r="L1612" s="22">
        <v>705.5856</v>
      </c>
    </row>
    <row r="1613" spans="1:12" x14ac:dyDescent="0.3">
      <c r="A1613" s="22" t="s">
        <v>3422</v>
      </c>
      <c r="B1613" s="34" cm="1">
        <f t="array" ref="B1613:C1613">_xlfn.XLOOKUP(A1613,Sales_Fact!A1613:A3597,Sales_Fact!B1613:C3597)</f>
        <v>45382</v>
      </c>
      <c r="C1613" s="22" t="str">
        <v>CUST1182</v>
      </c>
      <c r="D1613" s="22" t="str">
        <f>VLOOKUP('Combine Products &amp; Sales Facts'!C1613,'Customer Details'!A:B,2,0)</f>
        <v>Melissa Hamilton</v>
      </c>
      <c r="E1613" s="22" t="str">
        <f>VLOOKUP(C1613,Sales_Fact!C:D,2,0)</f>
        <v>PROD34</v>
      </c>
      <c r="F1613" s="22" t="str">
        <f>VLOOKUP(E1613,Product_Dim!A:C,3,0)</f>
        <v>Electronics</v>
      </c>
      <c r="G1613" s="22" t="str" cm="1">
        <f t="array" ref="G1613:L1613">_xlfn.XLOOKUP(C1613,Sales_Fact!C1613:C3597,Sales_Fact!E1613:J3597)</f>
        <v>STORE15</v>
      </c>
      <c r="H1613" s="22">
        <v>2</v>
      </c>
      <c r="I1613" s="22">
        <v>462.93</v>
      </c>
      <c r="J1613" s="22">
        <v>0.17</v>
      </c>
      <c r="K1613" s="22" t="str">
        <v>PayPal</v>
      </c>
      <c r="L1613" s="22">
        <v>768.46379999999999</v>
      </c>
    </row>
    <row r="1614" spans="1:12" x14ac:dyDescent="0.3">
      <c r="A1614" s="22" t="s">
        <v>3423</v>
      </c>
      <c r="B1614" s="34" cm="1">
        <f t="array" ref="B1614:C1614">_xlfn.XLOOKUP(A1614,Sales_Fact!A1614:A3598,Sales_Fact!B1614:C3598)</f>
        <v>45885</v>
      </c>
      <c r="C1614" s="22" t="str">
        <v>CUST1147</v>
      </c>
      <c r="D1614" s="22" t="str">
        <f>VLOOKUP('Combine Products &amp; Sales Facts'!C1614,'Customer Details'!A:B,2,0)</f>
        <v>Rhonda Young</v>
      </c>
      <c r="E1614" s="22" t="str">
        <f>VLOOKUP(C1614,Sales_Fact!C:D,2,0)</f>
        <v>PROD52</v>
      </c>
      <c r="F1614" s="22" t="str">
        <f>VLOOKUP(E1614,Product_Dim!A:C,3,0)</f>
        <v>Sports</v>
      </c>
      <c r="G1614" s="22" t="str" cm="1">
        <f t="array" ref="G1614:L1614">_xlfn.XLOOKUP(C1614,Sales_Fact!C1614:C3598,Sales_Fact!E1614:J3598)</f>
        <v>STORE16</v>
      </c>
      <c r="H1614" s="22">
        <v>3</v>
      </c>
      <c r="I1614" s="22">
        <v>60.26</v>
      </c>
      <c r="J1614" s="22">
        <v>0.04</v>
      </c>
      <c r="K1614" s="22" t="str">
        <v>Credit Card</v>
      </c>
      <c r="L1614" s="22">
        <v>173.5488</v>
      </c>
    </row>
    <row r="1615" spans="1:12" x14ac:dyDescent="0.3">
      <c r="A1615" s="22" t="s">
        <v>3424</v>
      </c>
      <c r="B1615" s="34" cm="1">
        <f t="array" ref="B1615:C1615">_xlfn.XLOOKUP(A1615,Sales_Fact!A1615:A3599,Sales_Fact!B1615:C3599)</f>
        <v>45829</v>
      </c>
      <c r="C1615" s="22" t="str">
        <v>CUST1071</v>
      </c>
      <c r="D1615" s="22" t="str">
        <f>VLOOKUP('Combine Products &amp; Sales Facts'!C1615,'Customer Details'!A:B,2,0)</f>
        <v>Andrea Perez</v>
      </c>
      <c r="E1615" s="22" t="str">
        <f>VLOOKUP(C1615,Sales_Fact!C:D,2,0)</f>
        <v>PROD83</v>
      </c>
      <c r="F1615" s="22" t="str">
        <f>VLOOKUP(E1615,Product_Dim!A:C,3,0)</f>
        <v>Beauty</v>
      </c>
      <c r="G1615" s="22" t="str" cm="1">
        <f t="array" ref="G1615:L1615">_xlfn.XLOOKUP(C1615,Sales_Fact!C1615:C3599,Sales_Fact!E1615:J3599)</f>
        <v>STORE9</v>
      </c>
      <c r="H1615" s="22">
        <v>3</v>
      </c>
      <c r="I1615" s="22">
        <v>109.5</v>
      </c>
      <c r="J1615" s="22">
        <v>0.06</v>
      </c>
      <c r="K1615" s="22" t="str">
        <v>COD</v>
      </c>
      <c r="L1615" s="22">
        <v>308.79000000000002</v>
      </c>
    </row>
    <row r="1616" spans="1:12" x14ac:dyDescent="0.3">
      <c r="A1616" s="22" t="s">
        <v>3425</v>
      </c>
      <c r="B1616" s="34" cm="1">
        <f t="array" ref="B1616:C1616">_xlfn.XLOOKUP(A1616,Sales_Fact!A1616:A3600,Sales_Fact!B1616:C3600)</f>
        <v>45721</v>
      </c>
      <c r="C1616" s="22" t="str">
        <v>CUST1382</v>
      </c>
      <c r="D1616" s="22" t="str">
        <f>VLOOKUP('Combine Products &amp; Sales Facts'!C1616,'Customer Details'!A:B,2,0)</f>
        <v>Martha Brown</v>
      </c>
      <c r="E1616" s="22" t="str">
        <f>VLOOKUP(C1616,Sales_Fact!C:D,2,0)</f>
        <v>PROD4</v>
      </c>
      <c r="F1616" s="22" t="str">
        <f>VLOOKUP(E1616,Product_Dim!A:C,3,0)</f>
        <v>Clothing</v>
      </c>
      <c r="G1616" s="22" t="str" cm="1">
        <f t="array" ref="G1616:L1616">_xlfn.XLOOKUP(C1616,Sales_Fact!C1616:C3600,Sales_Fact!E1616:J3600)</f>
        <v>STORE16</v>
      </c>
      <c r="H1616" s="22">
        <v>1</v>
      </c>
      <c r="I1616" s="22">
        <v>505.83</v>
      </c>
      <c r="J1616" s="22">
        <v>0.14000000000000001</v>
      </c>
      <c r="K1616" s="22" t="str">
        <v>COD</v>
      </c>
      <c r="L1616" s="22">
        <v>435.0138</v>
      </c>
    </row>
    <row r="1617" spans="1:12" x14ac:dyDescent="0.3">
      <c r="A1617" s="22" t="s">
        <v>3426</v>
      </c>
      <c r="B1617" s="34" cm="1">
        <f t="array" ref="B1617:C1617">_xlfn.XLOOKUP(A1617,Sales_Fact!A1617:A3601,Sales_Fact!B1617:C3601)</f>
        <v>45511</v>
      </c>
      <c r="C1617" s="22" t="str">
        <v>CUST1163</v>
      </c>
      <c r="D1617" s="22" t="str">
        <f>VLOOKUP('Combine Products &amp; Sales Facts'!C1617,'Customer Details'!A:B,2,0)</f>
        <v>Joseph Jones</v>
      </c>
      <c r="E1617" s="22" t="str">
        <f>VLOOKUP(C1617,Sales_Fact!C:D,2,0)</f>
        <v>PROD97</v>
      </c>
      <c r="F1617" s="22" t="str">
        <f>VLOOKUP(E1617,Product_Dim!A:C,3,0)</f>
        <v>Sports</v>
      </c>
      <c r="G1617" s="22" t="str" cm="1">
        <f t="array" ref="G1617:L1617">_xlfn.XLOOKUP(C1617,Sales_Fact!C1617:C3601,Sales_Fact!E1617:J3601)</f>
        <v>STORE10</v>
      </c>
      <c r="H1617" s="22">
        <v>2</v>
      </c>
      <c r="I1617" s="22">
        <v>443.15</v>
      </c>
      <c r="J1617" s="22">
        <v>0.27</v>
      </c>
      <c r="K1617" s="22" t="str">
        <v>PayPal</v>
      </c>
      <c r="L1617" s="22">
        <v>646.99899999999991</v>
      </c>
    </row>
    <row r="1618" spans="1:12" x14ac:dyDescent="0.3">
      <c r="A1618" s="22" t="s">
        <v>3427</v>
      </c>
      <c r="B1618" s="34" cm="1">
        <f t="array" ref="B1618:C1618">_xlfn.XLOOKUP(A1618,Sales_Fact!A1618:A3602,Sales_Fact!B1618:C3602)</f>
        <v>45739</v>
      </c>
      <c r="C1618" s="22" t="str">
        <v>CUST1497</v>
      </c>
      <c r="D1618" s="22" t="str">
        <f>VLOOKUP('Combine Products &amp; Sales Facts'!C1618,'Customer Details'!A:B,2,0)</f>
        <v>Sarah Marsh</v>
      </c>
      <c r="E1618" s="22" t="str">
        <f>VLOOKUP(C1618,Sales_Fact!C:D,2,0)</f>
        <v>PROD33</v>
      </c>
      <c r="F1618" s="22" t="str">
        <f>VLOOKUP(E1618,Product_Dim!A:C,3,0)</f>
        <v>Home</v>
      </c>
      <c r="G1618" s="22" t="str" cm="1">
        <f t="array" ref="G1618:L1618">_xlfn.XLOOKUP(C1618,Sales_Fact!C1618:C3602,Sales_Fact!E1618:J3602)</f>
        <v>STORE7</v>
      </c>
      <c r="H1618" s="22">
        <v>2</v>
      </c>
      <c r="I1618" s="22">
        <v>784.26</v>
      </c>
      <c r="J1618" s="22">
        <v>0.23</v>
      </c>
      <c r="K1618" s="22" t="str">
        <v>PayPal</v>
      </c>
      <c r="L1618" s="22">
        <v>1207.7603999999999</v>
      </c>
    </row>
    <row r="1619" spans="1:12" x14ac:dyDescent="0.3">
      <c r="A1619" s="22" t="s">
        <v>3428</v>
      </c>
      <c r="B1619" s="34" cm="1">
        <f t="array" ref="B1619:C1619">_xlfn.XLOOKUP(A1619,Sales_Fact!A1619:A3603,Sales_Fact!B1619:C3603)</f>
        <v>45533</v>
      </c>
      <c r="C1619" s="22" t="str">
        <v>CUST1455</v>
      </c>
      <c r="D1619" s="22" t="str">
        <f>VLOOKUP('Combine Products &amp; Sales Facts'!C1619,'Customer Details'!A:B,2,0)</f>
        <v>Tyler Weber</v>
      </c>
      <c r="E1619" s="22" t="str">
        <f>VLOOKUP(C1619,Sales_Fact!C:D,2,0)</f>
        <v>PROD83</v>
      </c>
      <c r="F1619" s="22" t="str">
        <f>VLOOKUP(E1619,Product_Dim!A:C,3,0)</f>
        <v>Beauty</v>
      </c>
      <c r="G1619" s="22" t="str" cm="1">
        <f t="array" ref="G1619:L1619">_xlfn.XLOOKUP(C1619,Sales_Fact!C1619:C3603,Sales_Fact!E1619:J3603)</f>
        <v>STORE11</v>
      </c>
      <c r="H1619" s="22">
        <v>3</v>
      </c>
      <c r="I1619" s="22">
        <v>590.30999999999995</v>
      </c>
      <c r="J1619" s="22">
        <v>0.17</v>
      </c>
      <c r="K1619" s="22" t="str">
        <v>PayPal</v>
      </c>
      <c r="L1619" s="22">
        <v>1469.8719000000001</v>
      </c>
    </row>
    <row r="1620" spans="1:12" x14ac:dyDescent="0.3">
      <c r="A1620" s="22" t="s">
        <v>3429</v>
      </c>
      <c r="B1620" s="34" cm="1">
        <f t="array" ref="B1620:C1620">_xlfn.XLOOKUP(A1620,Sales_Fact!A1620:A3604,Sales_Fact!B1620:C3604)</f>
        <v>45553</v>
      </c>
      <c r="C1620" s="22" t="str">
        <v>CUST1120</v>
      </c>
      <c r="D1620" s="22" t="str">
        <f>VLOOKUP('Combine Products &amp; Sales Facts'!C1620,'Customer Details'!A:B,2,0)</f>
        <v>Jacob Hopkins</v>
      </c>
      <c r="E1620" s="22" t="str">
        <f>VLOOKUP(C1620,Sales_Fact!C:D,2,0)</f>
        <v>PROD73</v>
      </c>
      <c r="F1620" s="22" t="str">
        <f>VLOOKUP(E1620,Product_Dim!A:C,3,0)</f>
        <v>Sports</v>
      </c>
      <c r="G1620" s="22" t="str" cm="1">
        <f t="array" ref="G1620:L1620">_xlfn.XLOOKUP(C1620,Sales_Fact!C1620:C3604,Sales_Fact!E1620:J3604)</f>
        <v>STORE16</v>
      </c>
      <c r="H1620" s="22">
        <v>1</v>
      </c>
      <c r="I1620" s="22">
        <v>696.13</v>
      </c>
      <c r="J1620" s="22">
        <v>0.06</v>
      </c>
      <c r="K1620" s="22" t="str">
        <v>COD</v>
      </c>
      <c r="L1620" s="22">
        <v>654.36219999999992</v>
      </c>
    </row>
    <row r="1621" spans="1:12" x14ac:dyDescent="0.3">
      <c r="A1621" s="22" t="s">
        <v>3430</v>
      </c>
      <c r="B1621" s="34" cm="1">
        <f t="array" ref="B1621:C1621">_xlfn.XLOOKUP(A1621,Sales_Fact!A1621:A3605,Sales_Fact!B1621:C3605)</f>
        <v>45341</v>
      </c>
      <c r="C1621" s="22" t="str">
        <v>CUST1104</v>
      </c>
      <c r="D1621" s="22" t="str">
        <f>VLOOKUP('Combine Products &amp; Sales Facts'!C1621,'Customer Details'!A:B,2,0)</f>
        <v>Christopher Lester</v>
      </c>
      <c r="E1621" s="22" t="str">
        <f>VLOOKUP(C1621,Sales_Fact!C:D,2,0)</f>
        <v>PROD25</v>
      </c>
      <c r="F1621" s="22" t="str">
        <f>VLOOKUP(E1621,Product_Dim!A:C,3,0)</f>
        <v>Clothing</v>
      </c>
      <c r="G1621" s="22" t="str" cm="1">
        <f t="array" ref="G1621:L1621">_xlfn.XLOOKUP(C1621,Sales_Fact!C1621:C3605,Sales_Fact!E1621:J3605)</f>
        <v>STORE6</v>
      </c>
      <c r="H1621" s="22">
        <v>4</v>
      </c>
      <c r="I1621" s="22">
        <v>194.39</v>
      </c>
      <c r="J1621" s="22">
        <v>0.25</v>
      </c>
      <c r="K1621" s="22" t="str">
        <v>Credit Card</v>
      </c>
      <c r="L1621" s="22">
        <v>583.16999999999996</v>
      </c>
    </row>
    <row r="1622" spans="1:12" x14ac:dyDescent="0.3">
      <c r="A1622" s="22" t="s">
        <v>3431</v>
      </c>
      <c r="B1622" s="34" cm="1">
        <f t="array" ref="B1622:C1622">_xlfn.XLOOKUP(A1622,Sales_Fact!A1622:A3606,Sales_Fact!B1622:C3606)</f>
        <v>45430</v>
      </c>
      <c r="C1622" s="22" t="str">
        <v>CUST1330</v>
      </c>
      <c r="D1622" s="22" t="str">
        <f>VLOOKUP('Combine Products &amp; Sales Facts'!C1622,'Customer Details'!A:B,2,0)</f>
        <v>Pamela Mcguire</v>
      </c>
      <c r="E1622" s="22" t="str">
        <f>VLOOKUP(C1622,Sales_Fact!C:D,2,0)</f>
        <v>PROD42</v>
      </c>
      <c r="F1622" s="22" t="str">
        <f>VLOOKUP(E1622,Product_Dim!A:C,3,0)</f>
        <v>Electronics</v>
      </c>
      <c r="G1622" s="22" t="str" cm="1">
        <f t="array" ref="G1622:L1622">_xlfn.XLOOKUP(C1622,Sales_Fact!C1622:C3606,Sales_Fact!E1622:J3606)</f>
        <v>STORE1</v>
      </c>
      <c r="H1622" s="22">
        <v>1</v>
      </c>
      <c r="I1622" s="22">
        <v>339.7</v>
      </c>
      <c r="J1622" s="22">
        <v>0.1</v>
      </c>
      <c r="K1622" s="22" t="str">
        <v>Credit Card</v>
      </c>
      <c r="L1622" s="22">
        <v>305.73</v>
      </c>
    </row>
    <row r="1623" spans="1:12" x14ac:dyDescent="0.3">
      <c r="A1623" s="22" t="s">
        <v>3432</v>
      </c>
      <c r="B1623" s="34" cm="1">
        <f t="array" ref="B1623:C1623">_xlfn.XLOOKUP(A1623,Sales_Fact!A1623:A3607,Sales_Fact!B1623:C3607)</f>
        <v>45912</v>
      </c>
      <c r="C1623" s="22" t="str">
        <v>CUST1048</v>
      </c>
      <c r="D1623" s="22" t="str">
        <f>VLOOKUP('Combine Products &amp; Sales Facts'!C1623,'Customer Details'!A:B,2,0)</f>
        <v>April Mullins</v>
      </c>
      <c r="E1623" s="22" t="str">
        <f>VLOOKUP(C1623,Sales_Fact!C:D,2,0)</f>
        <v>PROD95</v>
      </c>
      <c r="F1623" s="22" t="str">
        <f>VLOOKUP(E1623,Product_Dim!A:C,3,0)</f>
        <v>Sports</v>
      </c>
      <c r="G1623" s="22" t="str" cm="1">
        <f t="array" ref="G1623:L1623">_xlfn.XLOOKUP(C1623,Sales_Fact!C1623:C3607,Sales_Fact!E1623:J3607)</f>
        <v>STORE13</v>
      </c>
      <c r="H1623" s="22">
        <v>4</v>
      </c>
      <c r="I1623" s="22">
        <v>463.16</v>
      </c>
      <c r="J1623" s="22">
        <v>0.27</v>
      </c>
      <c r="K1623" s="22" t="str">
        <v>PayPal</v>
      </c>
      <c r="L1623" s="22">
        <v>1352.4272000000001</v>
      </c>
    </row>
    <row r="1624" spans="1:12" x14ac:dyDescent="0.3">
      <c r="A1624" s="22" t="s">
        <v>3433</v>
      </c>
      <c r="B1624" s="34" cm="1">
        <f t="array" ref="B1624:C1624">_xlfn.XLOOKUP(A1624,Sales_Fact!A1624:A3608,Sales_Fact!B1624:C3608)</f>
        <v>45709</v>
      </c>
      <c r="C1624" s="22" t="str">
        <v>CUST1107</v>
      </c>
      <c r="D1624" s="22" t="str">
        <f>VLOOKUP('Combine Products &amp; Sales Facts'!C1624,'Customer Details'!A:B,2,0)</f>
        <v>Erica Carney</v>
      </c>
      <c r="E1624" s="22" t="str">
        <f>VLOOKUP(C1624,Sales_Fact!C:D,2,0)</f>
        <v>PROD75</v>
      </c>
      <c r="F1624" s="22" t="str">
        <f>VLOOKUP(E1624,Product_Dim!A:C,3,0)</f>
        <v>Clothing</v>
      </c>
      <c r="G1624" s="22" t="str" cm="1">
        <f t="array" ref="G1624:L1624">_xlfn.XLOOKUP(C1624,Sales_Fact!C1624:C3608,Sales_Fact!E1624:J3608)</f>
        <v>STORE10</v>
      </c>
      <c r="H1624" s="22">
        <v>2</v>
      </c>
      <c r="I1624" s="22">
        <v>824.91</v>
      </c>
      <c r="J1624" s="22">
        <v>0.09</v>
      </c>
      <c r="K1624" s="22" t="str">
        <v>Credit Card</v>
      </c>
      <c r="L1624" s="22">
        <v>1501.3362</v>
      </c>
    </row>
    <row r="1625" spans="1:12" x14ac:dyDescent="0.3">
      <c r="A1625" s="22" t="s">
        <v>3434</v>
      </c>
      <c r="B1625" s="34" cm="1">
        <f t="array" ref="B1625:C1625">_xlfn.XLOOKUP(A1625,Sales_Fact!A1625:A3609,Sales_Fact!B1625:C3609)</f>
        <v>45520</v>
      </c>
      <c r="C1625" s="22" t="str">
        <v>CUST1070</v>
      </c>
      <c r="D1625" s="22" t="str">
        <f>VLOOKUP('Combine Products &amp; Sales Facts'!C1625,'Customer Details'!A:B,2,0)</f>
        <v>Eric Singh</v>
      </c>
      <c r="E1625" s="22" t="str">
        <f>VLOOKUP(C1625,Sales_Fact!C:D,2,0)</f>
        <v>PROD78</v>
      </c>
      <c r="F1625" s="22" t="str">
        <f>VLOOKUP(E1625,Product_Dim!A:C,3,0)</f>
        <v>Home</v>
      </c>
      <c r="G1625" s="22" t="str" cm="1">
        <f t="array" ref="G1625:L1625">_xlfn.XLOOKUP(C1625,Sales_Fact!C1625:C3609,Sales_Fact!E1625:J3609)</f>
        <v>STORE2</v>
      </c>
      <c r="H1625" s="22">
        <v>4</v>
      </c>
      <c r="I1625" s="22">
        <v>796.89</v>
      </c>
      <c r="J1625" s="22">
        <v>0.17</v>
      </c>
      <c r="K1625" s="22" t="str">
        <v>Credit Card</v>
      </c>
      <c r="L1625" s="22">
        <v>2645.6747999999998</v>
      </c>
    </row>
    <row r="1626" spans="1:12" x14ac:dyDescent="0.3">
      <c r="A1626" s="22" t="s">
        <v>3435</v>
      </c>
      <c r="B1626" s="34" cm="1">
        <f t="array" ref="B1626:C1626">_xlfn.XLOOKUP(A1626,Sales_Fact!A1626:A3610,Sales_Fact!B1626:C3610)</f>
        <v>45478</v>
      </c>
      <c r="C1626" s="22" t="str">
        <v>CUST1240</v>
      </c>
      <c r="D1626" s="22" t="str">
        <f>VLOOKUP('Combine Products &amp; Sales Facts'!C1626,'Customer Details'!A:B,2,0)</f>
        <v>William Hull</v>
      </c>
      <c r="E1626" s="22" t="str">
        <f>VLOOKUP(C1626,Sales_Fact!C:D,2,0)</f>
        <v>PROD92</v>
      </c>
      <c r="F1626" s="22" t="str">
        <f>VLOOKUP(E1626,Product_Dim!A:C,3,0)</f>
        <v>Home</v>
      </c>
      <c r="G1626" s="22" t="str" cm="1">
        <f t="array" ref="G1626:L1626">_xlfn.XLOOKUP(C1626,Sales_Fact!C1626:C3610,Sales_Fact!E1626:J3610)</f>
        <v>STORE17</v>
      </c>
      <c r="H1626" s="22">
        <v>3</v>
      </c>
      <c r="I1626" s="22">
        <v>543.92999999999995</v>
      </c>
      <c r="J1626" s="22">
        <v>0.3</v>
      </c>
      <c r="K1626" s="22" t="str">
        <v>COD</v>
      </c>
      <c r="L1626" s="22">
        <v>1142.2529999999999</v>
      </c>
    </row>
    <row r="1627" spans="1:12" x14ac:dyDescent="0.3">
      <c r="A1627" s="22" t="s">
        <v>3436</v>
      </c>
      <c r="B1627" s="34" cm="1">
        <f t="array" ref="B1627:C1627">_xlfn.XLOOKUP(A1627,Sales_Fact!A1627:A3611,Sales_Fact!B1627:C3611)</f>
        <v>45496</v>
      </c>
      <c r="C1627" s="22" t="str">
        <v>CUST1173</v>
      </c>
      <c r="D1627" s="22" t="str">
        <f>VLOOKUP('Combine Products &amp; Sales Facts'!C1627,'Customer Details'!A:B,2,0)</f>
        <v>Teresa Stokes</v>
      </c>
      <c r="E1627" s="22" t="str">
        <f>VLOOKUP(C1627,Sales_Fact!C:D,2,0)</f>
        <v>PROD20</v>
      </c>
      <c r="F1627" s="22" t="str">
        <f>VLOOKUP(E1627,Product_Dim!A:C,3,0)</f>
        <v>Sports</v>
      </c>
      <c r="G1627" s="22" t="str" cm="1">
        <f t="array" ref="G1627:L1627">_xlfn.XLOOKUP(C1627,Sales_Fact!C1627:C3611,Sales_Fact!E1627:J3611)</f>
        <v>STORE7</v>
      </c>
      <c r="H1627" s="22">
        <v>2</v>
      </c>
      <c r="I1627" s="22">
        <v>44.65</v>
      </c>
      <c r="J1627" s="22">
        <v>0.03</v>
      </c>
      <c r="K1627" s="22" t="str">
        <v>PayPal</v>
      </c>
      <c r="L1627" s="22">
        <v>86.620999999999995</v>
      </c>
    </row>
    <row r="1628" spans="1:12" x14ac:dyDescent="0.3">
      <c r="A1628" s="22" t="s">
        <v>3437</v>
      </c>
      <c r="B1628" s="34" cm="1">
        <f t="array" ref="B1628:C1628">_xlfn.XLOOKUP(A1628,Sales_Fact!A1628:A3612,Sales_Fact!B1628:C3612)</f>
        <v>45742</v>
      </c>
      <c r="C1628" s="22" t="str">
        <v>CUST1250</v>
      </c>
      <c r="D1628" s="22" t="str">
        <f>VLOOKUP('Combine Products &amp; Sales Facts'!C1628,'Customer Details'!A:B,2,0)</f>
        <v>Veronica Newman</v>
      </c>
      <c r="E1628" s="22" t="str">
        <f>VLOOKUP(C1628,Sales_Fact!C:D,2,0)</f>
        <v>PROD55</v>
      </c>
      <c r="F1628" s="22" t="str">
        <f>VLOOKUP(E1628,Product_Dim!A:C,3,0)</f>
        <v>Home</v>
      </c>
      <c r="G1628" s="22" t="str" cm="1">
        <f t="array" ref="G1628:L1628">_xlfn.XLOOKUP(C1628,Sales_Fact!C1628:C3612,Sales_Fact!E1628:J3612)</f>
        <v>STORE0</v>
      </c>
      <c r="H1628" s="22">
        <v>4</v>
      </c>
      <c r="I1628" s="22">
        <v>827.39</v>
      </c>
      <c r="J1628" s="22">
        <v>0.06</v>
      </c>
      <c r="K1628" s="22" t="str">
        <v>COD</v>
      </c>
      <c r="L1628" s="22">
        <v>3110.9863999999998</v>
      </c>
    </row>
    <row r="1629" spans="1:12" x14ac:dyDescent="0.3">
      <c r="A1629" s="22" t="s">
        <v>3438</v>
      </c>
      <c r="B1629" s="34" cm="1">
        <f t="array" ref="B1629:C1629">_xlfn.XLOOKUP(A1629,Sales_Fact!A1629:A3613,Sales_Fact!B1629:C3613)</f>
        <v>45301</v>
      </c>
      <c r="C1629" s="22" t="str">
        <v>CUST1308</v>
      </c>
      <c r="D1629" s="22" t="str">
        <f>VLOOKUP('Combine Products &amp; Sales Facts'!C1629,'Customer Details'!A:B,2,0)</f>
        <v>Jennifer Zamora</v>
      </c>
      <c r="E1629" s="22" t="str">
        <f>VLOOKUP(C1629,Sales_Fact!C:D,2,0)</f>
        <v>PROD14</v>
      </c>
      <c r="F1629" s="22" t="str">
        <f>VLOOKUP(E1629,Product_Dim!A:C,3,0)</f>
        <v>Home</v>
      </c>
      <c r="G1629" s="22" t="str" cm="1">
        <f t="array" ref="G1629:L1629">_xlfn.XLOOKUP(C1629,Sales_Fact!C1629:C3613,Sales_Fact!E1629:J3613)</f>
        <v>STORE12</v>
      </c>
      <c r="H1629" s="22">
        <v>2</v>
      </c>
      <c r="I1629" s="22">
        <v>403.2</v>
      </c>
      <c r="J1629" s="22">
        <v>0.21</v>
      </c>
      <c r="K1629" s="22" t="str">
        <v>PayPal</v>
      </c>
      <c r="L1629" s="22">
        <v>637.05600000000004</v>
      </c>
    </row>
    <row r="1630" spans="1:12" x14ac:dyDescent="0.3">
      <c r="A1630" s="22" t="s">
        <v>3439</v>
      </c>
      <c r="B1630" s="34" cm="1">
        <f t="array" ref="B1630:C1630">_xlfn.XLOOKUP(A1630,Sales_Fact!A1630:A3614,Sales_Fact!B1630:C3614)</f>
        <v>45547</v>
      </c>
      <c r="C1630" s="22" t="str">
        <v>CUST1017</v>
      </c>
      <c r="D1630" s="22" t="str">
        <f>VLOOKUP('Combine Products &amp; Sales Facts'!C1630,'Customer Details'!A:B,2,0)</f>
        <v>Adam Cruz</v>
      </c>
      <c r="E1630" s="22" t="str">
        <f>VLOOKUP(C1630,Sales_Fact!C:D,2,0)</f>
        <v>PROD41</v>
      </c>
      <c r="F1630" s="22" t="str">
        <f>VLOOKUP(E1630,Product_Dim!A:C,3,0)</f>
        <v>Sports</v>
      </c>
      <c r="G1630" s="22" t="str" cm="1">
        <f t="array" ref="G1630:L1630">_xlfn.XLOOKUP(C1630,Sales_Fact!C1630:C3614,Sales_Fact!E1630:J3614)</f>
        <v>STORE13</v>
      </c>
      <c r="H1630" s="22">
        <v>4</v>
      </c>
      <c r="I1630" s="22">
        <v>292.31</v>
      </c>
      <c r="J1630" s="22">
        <v>0.27</v>
      </c>
      <c r="K1630" s="22" t="str">
        <v>PayPal</v>
      </c>
      <c r="L1630" s="22">
        <v>853.54520000000002</v>
      </c>
    </row>
    <row r="1631" spans="1:12" x14ac:dyDescent="0.3">
      <c r="A1631" s="22" t="s">
        <v>3440</v>
      </c>
      <c r="B1631" s="34" cm="1">
        <f t="array" ref="B1631:C1631">_xlfn.XLOOKUP(A1631,Sales_Fact!A1631:A3615,Sales_Fact!B1631:C3615)</f>
        <v>45806</v>
      </c>
      <c r="C1631" s="22" t="str">
        <v>CUST1492</v>
      </c>
      <c r="D1631" s="22" t="str">
        <f>VLOOKUP('Combine Products &amp; Sales Facts'!C1631,'Customer Details'!A:B,2,0)</f>
        <v>Darrell Miller</v>
      </c>
      <c r="E1631" s="22" t="str">
        <f>VLOOKUP(C1631,Sales_Fact!C:D,2,0)</f>
        <v>PROD10</v>
      </c>
      <c r="F1631" s="22" t="str">
        <f>VLOOKUP(E1631,Product_Dim!A:C,3,0)</f>
        <v>Home</v>
      </c>
      <c r="G1631" s="22" t="str" cm="1">
        <f t="array" ref="G1631:L1631">_xlfn.XLOOKUP(C1631,Sales_Fact!C1631:C3615,Sales_Fact!E1631:J3615)</f>
        <v>STORE10</v>
      </c>
      <c r="H1631" s="22">
        <v>1</v>
      </c>
      <c r="I1631" s="22">
        <v>948.33</v>
      </c>
      <c r="J1631" s="22">
        <v>0.11</v>
      </c>
      <c r="K1631" s="22" t="str">
        <v>Credit Card</v>
      </c>
      <c r="L1631" s="22">
        <v>844.01370000000009</v>
      </c>
    </row>
    <row r="1632" spans="1:12" x14ac:dyDescent="0.3">
      <c r="A1632" s="22" t="s">
        <v>3441</v>
      </c>
      <c r="B1632" s="34" cm="1">
        <f t="array" ref="B1632:C1632">_xlfn.XLOOKUP(A1632,Sales_Fact!A1632:A3616,Sales_Fact!B1632:C3616)</f>
        <v>45294</v>
      </c>
      <c r="C1632" s="22" t="str">
        <v>CUST1343</v>
      </c>
      <c r="D1632" s="22" t="str">
        <f>VLOOKUP('Combine Products &amp; Sales Facts'!C1632,'Customer Details'!A:B,2,0)</f>
        <v>Ryan Moore</v>
      </c>
      <c r="E1632" s="22" t="str">
        <f>VLOOKUP(C1632,Sales_Fact!C:D,2,0)</f>
        <v>PROD17</v>
      </c>
      <c r="F1632" s="22" t="str">
        <f>VLOOKUP(E1632,Product_Dim!A:C,3,0)</f>
        <v>Sports</v>
      </c>
      <c r="G1632" s="22" t="str" cm="1">
        <f t="array" ref="G1632:L1632">_xlfn.XLOOKUP(C1632,Sales_Fact!C1632:C3616,Sales_Fact!E1632:J3616)</f>
        <v>STORE5</v>
      </c>
      <c r="H1632" s="22">
        <v>1</v>
      </c>
      <c r="I1632" s="22">
        <v>702.27</v>
      </c>
      <c r="J1632" s="22">
        <v>0.17</v>
      </c>
      <c r="K1632" s="22" t="str">
        <v>COD</v>
      </c>
      <c r="L1632" s="22">
        <v>582.88409999999999</v>
      </c>
    </row>
    <row r="1633" spans="1:12" x14ac:dyDescent="0.3">
      <c r="A1633" s="22" t="s">
        <v>3442</v>
      </c>
      <c r="B1633" s="34" cm="1">
        <f t="array" ref="B1633:C1633">_xlfn.XLOOKUP(A1633,Sales_Fact!A1633:A3617,Sales_Fact!B1633:C3617)</f>
        <v>45875</v>
      </c>
      <c r="C1633" s="22" t="str">
        <v>CUST1041</v>
      </c>
      <c r="D1633" s="22" t="str">
        <f>VLOOKUP('Combine Products &amp; Sales Facts'!C1633,'Customer Details'!A:B,2,0)</f>
        <v>James Gibbs</v>
      </c>
      <c r="E1633" s="22" t="str">
        <f>VLOOKUP(C1633,Sales_Fact!C:D,2,0)</f>
        <v>PROD22</v>
      </c>
      <c r="F1633" s="22" t="str">
        <f>VLOOKUP(E1633,Product_Dim!A:C,3,0)</f>
        <v>Sports</v>
      </c>
      <c r="G1633" s="22" t="str" cm="1">
        <f t="array" ref="G1633:L1633">_xlfn.XLOOKUP(C1633,Sales_Fact!C1633:C3617,Sales_Fact!E1633:J3617)</f>
        <v>STORE3</v>
      </c>
      <c r="H1633" s="22">
        <v>2</v>
      </c>
      <c r="I1633" s="22">
        <v>379.28</v>
      </c>
      <c r="J1633" s="22">
        <v>0.26</v>
      </c>
      <c r="K1633" s="22" t="str">
        <v>Credit Card</v>
      </c>
      <c r="L1633" s="22">
        <v>561.33439999999996</v>
      </c>
    </row>
    <row r="1634" spans="1:12" x14ac:dyDescent="0.3">
      <c r="A1634" s="22" t="s">
        <v>3443</v>
      </c>
      <c r="B1634" s="34" cm="1">
        <f t="array" ref="B1634:C1634">_xlfn.XLOOKUP(A1634,Sales_Fact!A1634:A3618,Sales_Fact!B1634:C3618)</f>
        <v>45669</v>
      </c>
      <c r="C1634" s="22" t="str">
        <v>CUST1132</v>
      </c>
      <c r="D1634" s="22" t="str">
        <f>VLOOKUP('Combine Products &amp; Sales Facts'!C1634,'Customer Details'!A:B,2,0)</f>
        <v>Miguel Reynolds</v>
      </c>
      <c r="E1634" s="22" t="str">
        <f>VLOOKUP(C1634,Sales_Fact!C:D,2,0)</f>
        <v>PROD47</v>
      </c>
      <c r="F1634" s="22" t="str">
        <f>VLOOKUP(E1634,Product_Dim!A:C,3,0)</f>
        <v>Beauty</v>
      </c>
      <c r="G1634" s="22" t="str" cm="1">
        <f t="array" ref="G1634:L1634">_xlfn.XLOOKUP(C1634,Sales_Fact!C1634:C3618,Sales_Fact!E1634:J3618)</f>
        <v>STORE0</v>
      </c>
      <c r="H1634" s="22">
        <v>4</v>
      </c>
      <c r="I1634" s="22">
        <v>92.35</v>
      </c>
      <c r="J1634" s="22">
        <v>0.15</v>
      </c>
      <c r="K1634" s="22" t="str">
        <v>Credit Card</v>
      </c>
      <c r="L1634" s="22">
        <v>313.99</v>
      </c>
    </row>
    <row r="1635" spans="1:12" x14ac:dyDescent="0.3">
      <c r="A1635" s="22" t="s">
        <v>3444</v>
      </c>
      <c r="B1635" s="34" cm="1">
        <f t="array" ref="B1635:C1635">_xlfn.XLOOKUP(A1635,Sales_Fact!A1635:A3619,Sales_Fact!B1635:C3619)</f>
        <v>45606</v>
      </c>
      <c r="C1635" s="22" t="str">
        <v>CUST1219</v>
      </c>
      <c r="D1635" s="22" t="str">
        <f>VLOOKUP('Combine Products &amp; Sales Facts'!C1635,'Customer Details'!A:B,2,0)</f>
        <v>Jordan Wells</v>
      </c>
      <c r="E1635" s="22" t="str">
        <f>VLOOKUP(C1635,Sales_Fact!C:D,2,0)</f>
        <v>PROD37</v>
      </c>
      <c r="F1635" s="22" t="str">
        <f>VLOOKUP(E1635,Product_Dim!A:C,3,0)</f>
        <v>Clothing</v>
      </c>
      <c r="G1635" s="22" t="str" cm="1">
        <f t="array" ref="G1635:L1635">_xlfn.XLOOKUP(C1635,Sales_Fact!C1635:C3619,Sales_Fact!E1635:J3619)</f>
        <v>STORE12</v>
      </c>
      <c r="H1635" s="22">
        <v>4</v>
      </c>
      <c r="I1635" s="22">
        <v>721.54</v>
      </c>
      <c r="J1635" s="22">
        <v>0.21</v>
      </c>
      <c r="K1635" s="22" t="str">
        <v>Credit Card</v>
      </c>
      <c r="L1635" s="22">
        <v>2280.0664000000002</v>
      </c>
    </row>
    <row r="1636" spans="1:12" x14ac:dyDescent="0.3">
      <c r="A1636" s="22" t="s">
        <v>3445</v>
      </c>
      <c r="B1636" s="34" cm="1">
        <f t="array" ref="B1636:C1636">_xlfn.XLOOKUP(A1636,Sales_Fact!A1636:A3620,Sales_Fact!B1636:C3620)</f>
        <v>45787</v>
      </c>
      <c r="C1636" s="22" t="str">
        <v>CUST1053</v>
      </c>
      <c r="D1636" s="22" t="str">
        <f>VLOOKUP('Combine Products &amp; Sales Facts'!C1636,'Customer Details'!A:B,2,0)</f>
        <v>Sharon Brown</v>
      </c>
      <c r="E1636" s="22" t="str">
        <f>VLOOKUP(C1636,Sales_Fact!C:D,2,0)</f>
        <v>PROD37</v>
      </c>
      <c r="F1636" s="22" t="str">
        <f>VLOOKUP(E1636,Product_Dim!A:C,3,0)</f>
        <v>Clothing</v>
      </c>
      <c r="G1636" s="22" t="str" cm="1">
        <f t="array" ref="G1636:L1636">_xlfn.XLOOKUP(C1636,Sales_Fact!C1636:C3620,Sales_Fact!E1636:J3620)</f>
        <v>STORE9</v>
      </c>
      <c r="H1636" s="22">
        <v>1</v>
      </c>
      <c r="I1636" s="22">
        <v>228.69</v>
      </c>
      <c r="J1636" s="22">
        <v>0.14000000000000001</v>
      </c>
      <c r="K1636" s="22" t="str">
        <v>Credit Card</v>
      </c>
      <c r="L1636" s="22">
        <v>196.67339999999999</v>
      </c>
    </row>
    <row r="1637" spans="1:12" x14ac:dyDescent="0.3">
      <c r="A1637" s="22" t="s">
        <v>3446</v>
      </c>
      <c r="B1637" s="34" cm="1">
        <f t="array" ref="B1637:C1637">_xlfn.XLOOKUP(A1637,Sales_Fact!A1637:A3621,Sales_Fact!B1637:C3621)</f>
        <v>45929</v>
      </c>
      <c r="C1637" s="22" t="str">
        <v>CUST1355</v>
      </c>
      <c r="D1637" s="22" t="str">
        <f>VLOOKUP('Combine Products &amp; Sales Facts'!C1637,'Customer Details'!A:B,2,0)</f>
        <v>Carlos Flores</v>
      </c>
      <c r="E1637" s="22" t="str">
        <f>VLOOKUP(C1637,Sales_Fact!C:D,2,0)</f>
        <v>PROD91</v>
      </c>
      <c r="F1637" s="22" t="str">
        <f>VLOOKUP(E1637,Product_Dim!A:C,3,0)</f>
        <v>Clothing</v>
      </c>
      <c r="G1637" s="22" t="str" cm="1">
        <f t="array" ref="G1637:L1637">_xlfn.XLOOKUP(C1637,Sales_Fact!C1637:C3621,Sales_Fact!E1637:J3621)</f>
        <v>STORE10</v>
      </c>
      <c r="H1637" s="22">
        <v>1</v>
      </c>
      <c r="I1637" s="22">
        <v>899.09</v>
      </c>
      <c r="J1637" s="22">
        <v>0.2</v>
      </c>
      <c r="K1637" s="22" t="str">
        <v>PayPal</v>
      </c>
      <c r="L1637" s="22">
        <v>719.27200000000005</v>
      </c>
    </row>
    <row r="1638" spans="1:12" x14ac:dyDescent="0.3">
      <c r="A1638" s="22" t="s">
        <v>3447</v>
      </c>
      <c r="B1638" s="34" cm="1">
        <f t="array" ref="B1638:C1638">_xlfn.XLOOKUP(A1638,Sales_Fact!A1638:A3622,Sales_Fact!B1638:C3622)</f>
        <v>45379</v>
      </c>
      <c r="C1638" s="22" t="str">
        <v>CUST1384</v>
      </c>
      <c r="D1638" s="22" t="str">
        <f>VLOOKUP('Combine Products &amp; Sales Facts'!C1638,'Customer Details'!A:B,2,0)</f>
        <v>Andrew Mason</v>
      </c>
      <c r="E1638" s="22" t="str">
        <f>VLOOKUP(C1638,Sales_Fact!C:D,2,0)</f>
        <v>PROD74</v>
      </c>
      <c r="F1638" s="22" t="str">
        <f>VLOOKUP(E1638,Product_Dim!A:C,3,0)</f>
        <v>Electronics</v>
      </c>
      <c r="G1638" s="22" t="str" cm="1">
        <f t="array" ref="G1638:L1638">_xlfn.XLOOKUP(C1638,Sales_Fact!C1638:C3622,Sales_Fact!E1638:J3622)</f>
        <v>STORE8</v>
      </c>
      <c r="H1638" s="22">
        <v>4</v>
      </c>
      <c r="I1638" s="22">
        <v>195.75</v>
      </c>
      <c r="J1638" s="22">
        <v>0.17</v>
      </c>
      <c r="K1638" s="22" t="str">
        <v>Credit Card</v>
      </c>
      <c r="L1638" s="22">
        <v>649.89</v>
      </c>
    </row>
    <row r="1639" spans="1:12" x14ac:dyDescent="0.3">
      <c r="A1639" s="22" t="s">
        <v>3448</v>
      </c>
      <c r="B1639" s="34" cm="1">
        <f t="array" ref="B1639:C1639">_xlfn.XLOOKUP(A1639,Sales_Fact!A1639:A3623,Sales_Fact!B1639:C3623)</f>
        <v>45532</v>
      </c>
      <c r="C1639" s="22" t="str">
        <v>CUST1426</v>
      </c>
      <c r="D1639" s="22" t="str">
        <f>VLOOKUP('Combine Products &amp; Sales Facts'!C1639,'Customer Details'!A:B,2,0)</f>
        <v>Jeanette Nichols</v>
      </c>
      <c r="E1639" s="22" t="str">
        <f>VLOOKUP(C1639,Sales_Fact!C:D,2,0)</f>
        <v>PROD63</v>
      </c>
      <c r="F1639" s="22" t="str">
        <f>VLOOKUP(E1639,Product_Dim!A:C,3,0)</f>
        <v>Beauty</v>
      </c>
      <c r="G1639" s="22" t="str" cm="1">
        <f t="array" ref="G1639:L1639">_xlfn.XLOOKUP(C1639,Sales_Fact!C1639:C3623,Sales_Fact!E1639:J3623)</f>
        <v>STORE15</v>
      </c>
      <c r="H1639" s="22">
        <v>3</v>
      </c>
      <c r="I1639" s="22">
        <v>199.13</v>
      </c>
      <c r="J1639" s="22">
        <v>0.24</v>
      </c>
      <c r="K1639" s="22" t="str">
        <v>Credit Card</v>
      </c>
      <c r="L1639" s="22">
        <v>454.01639999999998</v>
      </c>
    </row>
    <row r="1640" spans="1:12" x14ac:dyDescent="0.3">
      <c r="A1640" s="22" t="s">
        <v>3449</v>
      </c>
      <c r="B1640" s="34" cm="1">
        <f t="array" ref="B1640:C1640">_xlfn.XLOOKUP(A1640,Sales_Fact!A1640:A3624,Sales_Fact!B1640:C3624)</f>
        <v>45466</v>
      </c>
      <c r="C1640" s="22" t="str">
        <v>CUST1160</v>
      </c>
      <c r="D1640" s="22" t="str">
        <f>VLOOKUP('Combine Products &amp; Sales Facts'!C1640,'Customer Details'!A:B,2,0)</f>
        <v>John Lawson</v>
      </c>
      <c r="E1640" s="22" t="str">
        <f>VLOOKUP(C1640,Sales_Fact!C:D,2,0)</f>
        <v>PROD47</v>
      </c>
      <c r="F1640" s="22" t="str">
        <f>VLOOKUP(E1640,Product_Dim!A:C,3,0)</f>
        <v>Beauty</v>
      </c>
      <c r="G1640" s="22" t="str" cm="1">
        <f t="array" ref="G1640:L1640">_xlfn.XLOOKUP(C1640,Sales_Fact!C1640:C3624,Sales_Fact!E1640:J3624)</f>
        <v>STORE14</v>
      </c>
      <c r="H1640" s="22">
        <v>2</v>
      </c>
      <c r="I1640" s="22">
        <v>833.62</v>
      </c>
      <c r="J1640" s="22">
        <v>0.18</v>
      </c>
      <c r="K1640" s="22" t="str">
        <v>Credit Card</v>
      </c>
      <c r="L1640" s="22">
        <v>1367.1368</v>
      </c>
    </row>
    <row r="1641" spans="1:12" x14ac:dyDescent="0.3">
      <c r="A1641" s="22" t="s">
        <v>3450</v>
      </c>
      <c r="B1641" s="34" cm="1">
        <f t="array" ref="B1641:C1641">_xlfn.XLOOKUP(A1641,Sales_Fact!A1641:A3625,Sales_Fact!B1641:C3625)</f>
        <v>45395</v>
      </c>
      <c r="C1641" s="22" t="str">
        <v>CUST1484</v>
      </c>
      <c r="D1641" s="22" t="str">
        <f>VLOOKUP('Combine Products &amp; Sales Facts'!C1641,'Customer Details'!A:B,2,0)</f>
        <v>Jessica Castro</v>
      </c>
      <c r="E1641" s="22" t="str">
        <f>VLOOKUP(C1641,Sales_Fact!C:D,2,0)</f>
        <v>PROD77</v>
      </c>
      <c r="F1641" s="22" t="str">
        <f>VLOOKUP(E1641,Product_Dim!A:C,3,0)</f>
        <v>Electronics</v>
      </c>
      <c r="G1641" s="22" t="str" cm="1">
        <f t="array" ref="G1641:L1641">_xlfn.XLOOKUP(C1641,Sales_Fact!C1641:C3625,Sales_Fact!E1641:J3625)</f>
        <v>STORE0</v>
      </c>
      <c r="H1641" s="22">
        <v>1</v>
      </c>
      <c r="I1641" s="22">
        <v>676.26</v>
      </c>
      <c r="J1641" s="22">
        <v>0.14000000000000001</v>
      </c>
      <c r="K1641" s="22" t="str">
        <v>Credit Card</v>
      </c>
      <c r="L1641" s="22">
        <v>581.58359999999993</v>
      </c>
    </row>
    <row r="1642" spans="1:12" x14ac:dyDescent="0.3">
      <c r="A1642" s="22" t="s">
        <v>3451</v>
      </c>
      <c r="B1642" s="34" cm="1">
        <f t="array" ref="B1642:C1642">_xlfn.XLOOKUP(A1642,Sales_Fact!A1642:A3626,Sales_Fact!B1642:C3626)</f>
        <v>45708</v>
      </c>
      <c r="C1642" s="22" t="str">
        <v>CUST1032</v>
      </c>
      <c r="D1642" s="22" t="str">
        <f>VLOOKUP('Combine Products &amp; Sales Facts'!C1642,'Customer Details'!A:B,2,0)</f>
        <v>Mike Jennings</v>
      </c>
      <c r="E1642" s="22" t="str">
        <f>VLOOKUP(C1642,Sales_Fact!C:D,2,0)</f>
        <v>PROD16</v>
      </c>
      <c r="F1642" s="22" t="str">
        <f>VLOOKUP(E1642,Product_Dim!A:C,3,0)</f>
        <v>Beauty</v>
      </c>
      <c r="G1642" s="22" t="str" cm="1">
        <f t="array" ref="G1642:L1642">_xlfn.XLOOKUP(C1642,Sales_Fact!C1642:C3626,Sales_Fact!E1642:J3626)</f>
        <v>STORE9</v>
      </c>
      <c r="H1642" s="22">
        <v>2</v>
      </c>
      <c r="I1642" s="22">
        <v>666.49</v>
      </c>
      <c r="J1642" s="22">
        <v>0.06</v>
      </c>
      <c r="K1642" s="22" t="str">
        <v>Credit Card</v>
      </c>
      <c r="L1642" s="22">
        <v>1253.0011999999999</v>
      </c>
    </row>
    <row r="1643" spans="1:12" x14ac:dyDescent="0.3">
      <c r="A1643" s="22" t="s">
        <v>3452</v>
      </c>
      <c r="B1643" s="34" cm="1">
        <f t="array" ref="B1643:C1643">_xlfn.XLOOKUP(A1643,Sales_Fact!A1643:A3627,Sales_Fact!B1643:C3627)</f>
        <v>45735</v>
      </c>
      <c r="C1643" s="22" t="str">
        <v>CUST1460</v>
      </c>
      <c r="D1643" s="22" t="str">
        <f>VLOOKUP('Combine Products &amp; Sales Facts'!C1643,'Customer Details'!A:B,2,0)</f>
        <v>Justin Johnson</v>
      </c>
      <c r="E1643" s="22" t="str">
        <f>VLOOKUP(C1643,Sales_Fact!C:D,2,0)</f>
        <v>PROD15</v>
      </c>
      <c r="F1643" s="22" t="str">
        <f>VLOOKUP(E1643,Product_Dim!A:C,3,0)</f>
        <v>Electronics</v>
      </c>
      <c r="G1643" s="22" t="str" cm="1">
        <f t="array" ref="G1643:L1643">_xlfn.XLOOKUP(C1643,Sales_Fact!C1643:C3627,Sales_Fact!E1643:J3627)</f>
        <v>STORE4</v>
      </c>
      <c r="H1643" s="22">
        <v>3</v>
      </c>
      <c r="I1643" s="22">
        <v>471.19</v>
      </c>
      <c r="J1643" s="22">
        <v>0.28000000000000003</v>
      </c>
      <c r="K1643" s="22" t="str">
        <v>COD</v>
      </c>
      <c r="L1643" s="22">
        <v>1017.7704</v>
      </c>
    </row>
    <row r="1644" spans="1:12" x14ac:dyDescent="0.3">
      <c r="A1644" s="22" t="s">
        <v>3453</v>
      </c>
      <c r="B1644" s="34" cm="1">
        <f t="array" ref="B1644:C1644">_xlfn.XLOOKUP(A1644,Sales_Fact!A1644:A3628,Sales_Fact!B1644:C3628)</f>
        <v>45237</v>
      </c>
      <c r="C1644" s="22" t="str">
        <v>CUST1119</v>
      </c>
      <c r="D1644" s="22" t="str">
        <f>VLOOKUP('Combine Products &amp; Sales Facts'!C1644,'Customer Details'!A:B,2,0)</f>
        <v>Michael Jones</v>
      </c>
      <c r="E1644" s="22" t="str">
        <f>VLOOKUP(C1644,Sales_Fact!C:D,2,0)</f>
        <v>PROD90</v>
      </c>
      <c r="F1644" s="22" t="str">
        <f>VLOOKUP(E1644,Product_Dim!A:C,3,0)</f>
        <v>Electronics</v>
      </c>
      <c r="G1644" s="22" t="str" cm="1">
        <f t="array" ref="G1644:L1644">_xlfn.XLOOKUP(C1644,Sales_Fact!C1644:C3628,Sales_Fact!E1644:J3628)</f>
        <v>STORE3</v>
      </c>
      <c r="H1644" s="22">
        <v>4</v>
      </c>
      <c r="I1644" s="22">
        <v>555.65</v>
      </c>
      <c r="J1644" s="22">
        <v>0.25</v>
      </c>
      <c r="K1644" s="22" t="str">
        <v>COD</v>
      </c>
      <c r="L1644" s="22">
        <v>1666.95</v>
      </c>
    </row>
    <row r="1645" spans="1:12" x14ac:dyDescent="0.3">
      <c r="A1645" s="22" t="s">
        <v>3454</v>
      </c>
      <c r="B1645" s="34" cm="1">
        <f t="array" ref="B1645:C1645">_xlfn.XLOOKUP(A1645,Sales_Fact!A1645:A3629,Sales_Fact!B1645:C3629)</f>
        <v>45282</v>
      </c>
      <c r="C1645" s="22" t="str">
        <v>CUST1035</v>
      </c>
      <c r="D1645" s="22" t="str">
        <f>VLOOKUP('Combine Products &amp; Sales Facts'!C1645,'Customer Details'!A:B,2,0)</f>
        <v>Rachel Myers</v>
      </c>
      <c r="E1645" s="22" t="str">
        <f>VLOOKUP(C1645,Sales_Fact!C:D,2,0)</f>
        <v>PROD97</v>
      </c>
      <c r="F1645" s="22" t="str">
        <f>VLOOKUP(E1645,Product_Dim!A:C,3,0)</f>
        <v>Sports</v>
      </c>
      <c r="G1645" s="22" t="str" cm="1">
        <f t="array" ref="G1645:L1645">_xlfn.XLOOKUP(C1645,Sales_Fact!C1645:C3629,Sales_Fact!E1645:J3629)</f>
        <v>STORE14</v>
      </c>
      <c r="H1645" s="22">
        <v>2</v>
      </c>
      <c r="I1645" s="22">
        <v>100.42</v>
      </c>
      <c r="J1645" s="22">
        <v>0.06</v>
      </c>
      <c r="K1645" s="22" t="str">
        <v>Credit Card</v>
      </c>
      <c r="L1645" s="22">
        <v>188.78960000000001</v>
      </c>
    </row>
    <row r="1646" spans="1:12" x14ac:dyDescent="0.3">
      <c r="A1646" s="22" t="s">
        <v>3455</v>
      </c>
      <c r="B1646" s="34" cm="1">
        <f t="array" ref="B1646:C1646">_xlfn.XLOOKUP(A1646,Sales_Fact!A1646:A3630,Sales_Fact!B1646:C3630)</f>
        <v>45337</v>
      </c>
      <c r="C1646" s="22" t="str">
        <v>CUST1050</v>
      </c>
      <c r="D1646" s="22" t="str">
        <f>VLOOKUP('Combine Products &amp; Sales Facts'!C1646,'Customer Details'!A:B,2,0)</f>
        <v>Matthew Hunter Jr.</v>
      </c>
      <c r="E1646" s="22" t="str">
        <f>VLOOKUP(C1646,Sales_Fact!C:D,2,0)</f>
        <v>PROD99</v>
      </c>
      <c r="F1646" s="22" t="str">
        <f>VLOOKUP(E1646,Product_Dim!A:C,3,0)</f>
        <v>Home</v>
      </c>
      <c r="G1646" s="22" t="str" cm="1">
        <f t="array" ref="G1646:L1646">_xlfn.XLOOKUP(C1646,Sales_Fact!C1646:C3630,Sales_Fact!E1646:J3630)</f>
        <v>STORE18</v>
      </c>
      <c r="H1646" s="22">
        <v>3</v>
      </c>
      <c r="I1646" s="22">
        <v>981.69</v>
      </c>
      <c r="J1646" s="22">
        <v>0.05</v>
      </c>
      <c r="K1646" s="22" t="str">
        <v>COD</v>
      </c>
      <c r="L1646" s="22">
        <v>2797.8164999999999</v>
      </c>
    </row>
    <row r="1647" spans="1:12" x14ac:dyDescent="0.3">
      <c r="A1647" s="22" t="s">
        <v>3456</v>
      </c>
      <c r="B1647" s="34" cm="1">
        <f t="array" ref="B1647:C1647">_xlfn.XLOOKUP(A1647,Sales_Fact!A1647:A3631,Sales_Fact!B1647:C3631)</f>
        <v>45310</v>
      </c>
      <c r="C1647" s="22" t="str">
        <v>CUST1327</v>
      </c>
      <c r="D1647" s="22" t="str">
        <f>VLOOKUP('Combine Products &amp; Sales Facts'!C1647,'Customer Details'!A:B,2,0)</f>
        <v>Reginald Willis</v>
      </c>
      <c r="E1647" s="22" t="str">
        <f>VLOOKUP(C1647,Sales_Fact!C:D,2,0)</f>
        <v>PROD1</v>
      </c>
      <c r="F1647" s="22" t="str">
        <f>VLOOKUP(E1647,Product_Dim!A:C,3,0)</f>
        <v>Clothing</v>
      </c>
      <c r="G1647" s="22" t="str" cm="1">
        <f t="array" ref="G1647:L1647">_xlfn.XLOOKUP(C1647,Sales_Fact!C1647:C3631,Sales_Fact!E1647:J3631)</f>
        <v>STORE16</v>
      </c>
      <c r="H1647" s="22">
        <v>2</v>
      </c>
      <c r="I1647" s="22">
        <v>848.87</v>
      </c>
      <c r="J1647" s="22">
        <v>0.09</v>
      </c>
      <c r="K1647" s="22" t="str">
        <v>COD</v>
      </c>
      <c r="L1647" s="22">
        <v>1544.9434000000001</v>
      </c>
    </row>
    <row r="1648" spans="1:12" x14ac:dyDescent="0.3">
      <c r="A1648" s="22" t="s">
        <v>3457</v>
      </c>
      <c r="B1648" s="34" cm="1">
        <f t="array" ref="B1648:C1648">_xlfn.XLOOKUP(A1648,Sales_Fact!A1648:A3632,Sales_Fact!B1648:C3632)</f>
        <v>45230</v>
      </c>
      <c r="C1648" s="22" t="str">
        <v>CUST1375</v>
      </c>
      <c r="D1648" s="22" t="str">
        <f>VLOOKUP('Combine Products &amp; Sales Facts'!C1648,'Customer Details'!A:B,2,0)</f>
        <v>Joshua Bell</v>
      </c>
      <c r="E1648" s="22" t="str">
        <f>VLOOKUP(C1648,Sales_Fact!C:D,2,0)</f>
        <v>PROD28</v>
      </c>
      <c r="F1648" s="22" t="str">
        <f>VLOOKUP(E1648,Product_Dim!A:C,3,0)</f>
        <v>Sports</v>
      </c>
      <c r="G1648" s="22" t="str" cm="1">
        <f t="array" ref="G1648:L1648">_xlfn.XLOOKUP(C1648,Sales_Fact!C1648:C3632,Sales_Fact!E1648:J3632)</f>
        <v>STORE10</v>
      </c>
      <c r="H1648" s="22">
        <v>3</v>
      </c>
      <c r="I1648" s="22">
        <v>582.32000000000005</v>
      </c>
      <c r="J1648" s="22">
        <v>0</v>
      </c>
      <c r="K1648" s="22" t="str">
        <v>PayPal</v>
      </c>
      <c r="L1648" s="22">
        <v>1746.96</v>
      </c>
    </row>
    <row r="1649" spans="1:12" x14ac:dyDescent="0.3">
      <c r="A1649" s="22" t="s">
        <v>3458</v>
      </c>
      <c r="B1649" s="34" cm="1">
        <f t="array" ref="B1649:C1649">_xlfn.XLOOKUP(A1649,Sales_Fact!A1649:A3633,Sales_Fact!B1649:C3633)</f>
        <v>45341</v>
      </c>
      <c r="C1649" s="22" t="str">
        <v>CUST1171</v>
      </c>
      <c r="D1649" s="22" t="str">
        <f>VLOOKUP('Combine Products &amp; Sales Facts'!C1649,'Customer Details'!A:B,2,0)</f>
        <v>Amy Wilson</v>
      </c>
      <c r="E1649" s="22" t="str">
        <f>VLOOKUP(C1649,Sales_Fact!C:D,2,0)</f>
        <v>PROD90</v>
      </c>
      <c r="F1649" s="22" t="str">
        <f>VLOOKUP(E1649,Product_Dim!A:C,3,0)</f>
        <v>Electronics</v>
      </c>
      <c r="G1649" s="22" t="str" cm="1">
        <f t="array" ref="G1649:L1649">_xlfn.XLOOKUP(C1649,Sales_Fact!C1649:C3633,Sales_Fact!E1649:J3633)</f>
        <v>STORE17</v>
      </c>
      <c r="H1649" s="22">
        <v>2</v>
      </c>
      <c r="I1649" s="22">
        <v>869.43</v>
      </c>
      <c r="J1649" s="22">
        <v>0.24</v>
      </c>
      <c r="K1649" s="22" t="str">
        <v>COD</v>
      </c>
      <c r="L1649" s="22">
        <v>1321.5336</v>
      </c>
    </row>
    <row r="1650" spans="1:12" x14ac:dyDescent="0.3">
      <c r="A1650" s="22" t="s">
        <v>3459</v>
      </c>
      <c r="B1650" s="34" cm="1">
        <f t="array" ref="B1650:C1650">_xlfn.XLOOKUP(A1650,Sales_Fact!A1650:A3634,Sales_Fact!B1650:C3634)</f>
        <v>45440</v>
      </c>
      <c r="C1650" s="22" t="str">
        <v>CUST1021</v>
      </c>
      <c r="D1650" s="22" t="str">
        <f>VLOOKUP('Combine Products &amp; Sales Facts'!C1650,'Customer Details'!A:B,2,0)</f>
        <v>Jeff Martinez</v>
      </c>
      <c r="E1650" s="22" t="str">
        <f>VLOOKUP(C1650,Sales_Fact!C:D,2,0)</f>
        <v>PROD26</v>
      </c>
      <c r="F1650" s="22" t="str">
        <f>VLOOKUP(E1650,Product_Dim!A:C,3,0)</f>
        <v>Electronics</v>
      </c>
      <c r="G1650" s="22" t="str" cm="1">
        <f t="array" ref="G1650:L1650">_xlfn.XLOOKUP(C1650,Sales_Fact!C1650:C3634,Sales_Fact!E1650:J3634)</f>
        <v>STORE4</v>
      </c>
      <c r="H1650" s="22">
        <v>1</v>
      </c>
      <c r="I1650" s="22">
        <v>62.26</v>
      </c>
      <c r="J1650" s="22">
        <v>0.03</v>
      </c>
      <c r="K1650" s="22" t="str">
        <v>COD</v>
      </c>
      <c r="L1650" s="22">
        <v>60.392200000000003</v>
      </c>
    </row>
    <row r="1651" spans="1:12" x14ac:dyDescent="0.3">
      <c r="A1651" s="22" t="s">
        <v>3460</v>
      </c>
      <c r="B1651" s="34" cm="1">
        <f t="array" ref="B1651:C1651">_xlfn.XLOOKUP(A1651,Sales_Fact!A1651:A3635,Sales_Fact!B1651:C3635)</f>
        <v>45798</v>
      </c>
      <c r="C1651" s="22" t="str">
        <v>CUST1152</v>
      </c>
      <c r="D1651" s="22" t="str">
        <f>VLOOKUP('Combine Products &amp; Sales Facts'!C1651,'Customer Details'!A:B,2,0)</f>
        <v>Patrick Roberts</v>
      </c>
      <c r="E1651" s="22" t="str">
        <f>VLOOKUP(C1651,Sales_Fact!C:D,2,0)</f>
        <v>PROD70</v>
      </c>
      <c r="F1651" s="22" t="str">
        <f>VLOOKUP(E1651,Product_Dim!A:C,3,0)</f>
        <v>Home</v>
      </c>
      <c r="G1651" s="22" t="str" cm="1">
        <f t="array" ref="G1651:L1651">_xlfn.XLOOKUP(C1651,Sales_Fact!C1651:C3635,Sales_Fact!E1651:J3635)</f>
        <v>STORE14</v>
      </c>
      <c r="H1651" s="22">
        <v>3</v>
      </c>
      <c r="I1651" s="22">
        <v>343.97</v>
      </c>
      <c r="J1651" s="22">
        <v>0.04</v>
      </c>
      <c r="K1651" s="22" t="str">
        <v>COD</v>
      </c>
      <c r="L1651" s="22">
        <v>990.6336</v>
      </c>
    </row>
    <row r="1652" spans="1:12" x14ac:dyDescent="0.3">
      <c r="A1652" s="22" t="s">
        <v>3461</v>
      </c>
      <c r="B1652" s="34" cm="1">
        <f t="array" ref="B1652:C1652">_xlfn.XLOOKUP(A1652,Sales_Fact!A1652:A3636,Sales_Fact!B1652:C3636)</f>
        <v>45293</v>
      </c>
      <c r="C1652" s="22" t="str">
        <v>CUST1303</v>
      </c>
      <c r="D1652" s="22" t="str">
        <f>VLOOKUP('Combine Products &amp; Sales Facts'!C1652,'Customer Details'!A:B,2,0)</f>
        <v>John Sloan</v>
      </c>
      <c r="E1652" s="22" t="str">
        <f>VLOOKUP(C1652,Sales_Fact!C:D,2,0)</f>
        <v>PROD20</v>
      </c>
      <c r="F1652" s="22" t="str">
        <f>VLOOKUP(E1652,Product_Dim!A:C,3,0)</f>
        <v>Sports</v>
      </c>
      <c r="G1652" s="22" t="str" cm="1">
        <f t="array" ref="G1652:L1652">_xlfn.XLOOKUP(C1652,Sales_Fact!C1652:C3636,Sales_Fact!E1652:J3636)</f>
        <v>STORE12</v>
      </c>
      <c r="H1652" s="22">
        <v>3</v>
      </c>
      <c r="I1652" s="22">
        <v>304.67</v>
      </c>
      <c r="J1652" s="22">
        <v>0.11</v>
      </c>
      <c r="K1652" s="22" t="str">
        <v>Credit Card</v>
      </c>
      <c r="L1652" s="22">
        <v>813.46889999999996</v>
      </c>
    </row>
    <row r="1653" spans="1:12" x14ac:dyDescent="0.3">
      <c r="A1653" s="22" t="s">
        <v>3462</v>
      </c>
      <c r="B1653" s="34" cm="1">
        <f t="array" ref="B1653:C1653">_xlfn.XLOOKUP(A1653,Sales_Fact!A1653:A3637,Sales_Fact!B1653:C3637)</f>
        <v>45296</v>
      </c>
      <c r="C1653" s="22" t="str">
        <v>CUST1365</v>
      </c>
      <c r="D1653" s="22" t="str">
        <f>VLOOKUP('Combine Products &amp; Sales Facts'!C1653,'Customer Details'!A:B,2,0)</f>
        <v>Brandon Mcbride</v>
      </c>
      <c r="E1653" s="22" t="str">
        <f>VLOOKUP(C1653,Sales_Fact!C:D,2,0)</f>
        <v>PROD45</v>
      </c>
      <c r="F1653" s="22" t="str">
        <f>VLOOKUP(E1653,Product_Dim!A:C,3,0)</f>
        <v>Sports</v>
      </c>
      <c r="G1653" s="22" t="str" cm="1">
        <f t="array" ref="G1653:L1653">_xlfn.XLOOKUP(C1653,Sales_Fact!C1653:C3637,Sales_Fact!E1653:J3637)</f>
        <v>STORE9</v>
      </c>
      <c r="H1653" s="22">
        <v>4</v>
      </c>
      <c r="I1653" s="22">
        <v>208.34</v>
      </c>
      <c r="J1653" s="22">
        <v>0.01</v>
      </c>
      <c r="K1653" s="22" t="str">
        <v>PayPal</v>
      </c>
      <c r="L1653" s="22">
        <v>825.02639999999997</v>
      </c>
    </row>
    <row r="1654" spans="1:12" x14ac:dyDescent="0.3">
      <c r="A1654" s="22" t="s">
        <v>3463</v>
      </c>
      <c r="B1654" s="34" cm="1">
        <f t="array" ref="B1654:C1654">_xlfn.XLOOKUP(A1654,Sales_Fact!A1654:A3638,Sales_Fact!B1654:C3638)</f>
        <v>45860</v>
      </c>
      <c r="C1654" s="22" t="str">
        <v>CUST1312</v>
      </c>
      <c r="D1654" s="22" t="str">
        <f>VLOOKUP('Combine Products &amp; Sales Facts'!C1654,'Customer Details'!A:B,2,0)</f>
        <v>Jason Mullins</v>
      </c>
      <c r="E1654" s="22" t="str">
        <f>VLOOKUP(C1654,Sales_Fact!C:D,2,0)</f>
        <v>PROD74</v>
      </c>
      <c r="F1654" s="22" t="str">
        <f>VLOOKUP(E1654,Product_Dim!A:C,3,0)</f>
        <v>Electronics</v>
      </c>
      <c r="G1654" s="22" t="str" cm="1">
        <f t="array" ref="G1654:L1654">_xlfn.XLOOKUP(C1654,Sales_Fact!C1654:C3638,Sales_Fact!E1654:J3638)</f>
        <v>STORE1</v>
      </c>
      <c r="H1654" s="22">
        <v>1</v>
      </c>
      <c r="I1654" s="22">
        <v>119.04</v>
      </c>
      <c r="J1654" s="22">
        <v>0.13</v>
      </c>
      <c r="K1654" s="22" t="str">
        <v>COD</v>
      </c>
      <c r="L1654" s="22">
        <v>103.56480000000001</v>
      </c>
    </row>
    <row r="1655" spans="1:12" x14ac:dyDescent="0.3">
      <c r="A1655" s="22" t="s">
        <v>3464</v>
      </c>
      <c r="B1655" s="34" cm="1">
        <f t="array" ref="B1655:C1655">_xlfn.XLOOKUP(A1655,Sales_Fact!A1655:A3639,Sales_Fact!B1655:C3639)</f>
        <v>45843</v>
      </c>
      <c r="C1655" s="22" t="str">
        <v>CUST1321</v>
      </c>
      <c r="D1655" s="22" t="str">
        <f>VLOOKUP('Combine Products &amp; Sales Facts'!C1655,'Customer Details'!A:B,2,0)</f>
        <v>Darren Burton</v>
      </c>
      <c r="E1655" s="22" t="str">
        <f>VLOOKUP(C1655,Sales_Fact!C:D,2,0)</f>
        <v>PROD99</v>
      </c>
      <c r="F1655" s="22" t="str">
        <f>VLOOKUP(E1655,Product_Dim!A:C,3,0)</f>
        <v>Home</v>
      </c>
      <c r="G1655" s="22" t="str" cm="1">
        <f t="array" ref="G1655:L1655">_xlfn.XLOOKUP(C1655,Sales_Fact!C1655:C3639,Sales_Fact!E1655:J3639)</f>
        <v>STORE9</v>
      </c>
      <c r="H1655" s="22">
        <v>4</v>
      </c>
      <c r="I1655" s="22">
        <v>791.65</v>
      </c>
      <c r="J1655" s="22">
        <v>0.06</v>
      </c>
      <c r="K1655" s="22" t="str">
        <v>COD</v>
      </c>
      <c r="L1655" s="22">
        <v>2976.6039999999998</v>
      </c>
    </row>
    <row r="1656" spans="1:12" x14ac:dyDescent="0.3">
      <c r="A1656" s="22" t="s">
        <v>3465</v>
      </c>
      <c r="B1656" s="34" cm="1">
        <f t="array" ref="B1656:C1656">_xlfn.XLOOKUP(A1656,Sales_Fact!A1656:A3640,Sales_Fact!B1656:C3640)</f>
        <v>45862</v>
      </c>
      <c r="C1656" s="22" t="str">
        <v>CUST1052</v>
      </c>
      <c r="D1656" s="22" t="str">
        <f>VLOOKUP('Combine Products &amp; Sales Facts'!C1656,'Customer Details'!A:B,2,0)</f>
        <v>Debra Liu</v>
      </c>
      <c r="E1656" s="22" t="str">
        <f>VLOOKUP(C1656,Sales_Fact!C:D,2,0)</f>
        <v>PROD51</v>
      </c>
      <c r="F1656" s="22" t="str">
        <f>VLOOKUP(E1656,Product_Dim!A:C,3,0)</f>
        <v>Electronics</v>
      </c>
      <c r="G1656" s="22" t="str" cm="1">
        <f t="array" ref="G1656:L1656">_xlfn.XLOOKUP(C1656,Sales_Fact!C1656:C3640,Sales_Fact!E1656:J3640)</f>
        <v>STORE2</v>
      </c>
      <c r="H1656" s="22">
        <v>2</v>
      </c>
      <c r="I1656" s="22">
        <v>414.86</v>
      </c>
      <c r="J1656" s="22">
        <v>0.23</v>
      </c>
      <c r="K1656" s="22" t="str">
        <v>Credit Card</v>
      </c>
      <c r="L1656" s="22">
        <v>638.88440000000003</v>
      </c>
    </row>
    <row r="1657" spans="1:12" x14ac:dyDescent="0.3">
      <c r="A1657" s="22" t="s">
        <v>3466</v>
      </c>
      <c r="B1657" s="34" cm="1">
        <f t="array" ref="B1657:C1657">_xlfn.XLOOKUP(A1657,Sales_Fact!A1657:A3641,Sales_Fact!B1657:C3641)</f>
        <v>45385</v>
      </c>
      <c r="C1657" s="22" t="str">
        <v>CUST1478</v>
      </c>
      <c r="D1657" s="22" t="str">
        <f>VLOOKUP('Combine Products &amp; Sales Facts'!C1657,'Customer Details'!A:B,2,0)</f>
        <v>Earl Smith Dds</v>
      </c>
      <c r="E1657" s="22" t="str">
        <f>VLOOKUP(C1657,Sales_Fact!C:D,2,0)</f>
        <v>PROD39</v>
      </c>
      <c r="F1657" s="22" t="str">
        <f>VLOOKUP(E1657,Product_Dim!A:C,3,0)</f>
        <v>Electronics</v>
      </c>
      <c r="G1657" s="22" t="str" cm="1">
        <f t="array" ref="G1657:L1657">_xlfn.XLOOKUP(C1657,Sales_Fact!C1657:C3641,Sales_Fact!E1657:J3641)</f>
        <v>STORE12</v>
      </c>
      <c r="H1657" s="22">
        <v>2</v>
      </c>
      <c r="I1657" s="22">
        <v>960.81</v>
      </c>
      <c r="J1657" s="22">
        <v>0.28000000000000003</v>
      </c>
      <c r="K1657" s="22" t="str">
        <v>PayPal</v>
      </c>
      <c r="L1657" s="22">
        <v>1383.5663999999999</v>
      </c>
    </row>
    <row r="1658" spans="1:12" x14ac:dyDescent="0.3">
      <c r="A1658" s="22" t="s">
        <v>3467</v>
      </c>
      <c r="B1658" s="34" cm="1">
        <f t="array" ref="B1658:C1658">_xlfn.XLOOKUP(A1658,Sales_Fact!A1658:A3642,Sales_Fact!B1658:C3642)</f>
        <v>45668</v>
      </c>
      <c r="C1658" s="22" t="str">
        <v>CUST1212</v>
      </c>
      <c r="D1658" s="22" t="str">
        <f>VLOOKUP('Combine Products &amp; Sales Facts'!C1658,'Customer Details'!A:B,2,0)</f>
        <v>Blake Harrison</v>
      </c>
      <c r="E1658" s="22" t="str">
        <f>VLOOKUP(C1658,Sales_Fact!C:D,2,0)</f>
        <v>PROD13</v>
      </c>
      <c r="F1658" s="22" t="str">
        <f>VLOOKUP(E1658,Product_Dim!A:C,3,0)</f>
        <v>Electronics</v>
      </c>
      <c r="G1658" s="22" t="str" cm="1">
        <f t="array" ref="G1658:L1658">_xlfn.XLOOKUP(C1658,Sales_Fact!C1658:C3642,Sales_Fact!E1658:J3642)</f>
        <v>STORE4</v>
      </c>
      <c r="H1658" s="22">
        <v>4</v>
      </c>
      <c r="I1658" s="22">
        <v>943.36</v>
      </c>
      <c r="J1658" s="22">
        <v>0.18</v>
      </c>
      <c r="K1658" s="22" t="str">
        <v>PayPal</v>
      </c>
      <c r="L1658" s="22">
        <v>3094.2208000000001</v>
      </c>
    </row>
    <row r="1659" spans="1:12" x14ac:dyDescent="0.3">
      <c r="A1659" s="22" t="s">
        <v>3468</v>
      </c>
      <c r="B1659" s="34" cm="1">
        <f t="array" ref="B1659:C1659">_xlfn.XLOOKUP(A1659,Sales_Fact!A1659:A3643,Sales_Fact!B1659:C3643)</f>
        <v>45561</v>
      </c>
      <c r="C1659" s="22" t="str">
        <v>CUST1213</v>
      </c>
      <c r="D1659" s="22" t="str">
        <f>VLOOKUP('Combine Products &amp; Sales Facts'!C1659,'Customer Details'!A:B,2,0)</f>
        <v>Stuart Johnson</v>
      </c>
      <c r="E1659" s="22" t="str">
        <f>VLOOKUP(C1659,Sales_Fact!C:D,2,0)</f>
        <v>PROD21</v>
      </c>
      <c r="F1659" s="22" t="str">
        <f>VLOOKUP(E1659,Product_Dim!A:C,3,0)</f>
        <v>Home</v>
      </c>
      <c r="G1659" s="22" t="str" cm="1">
        <f t="array" ref="G1659:L1659">_xlfn.XLOOKUP(C1659,Sales_Fact!C1659:C3643,Sales_Fact!E1659:J3643)</f>
        <v>STORE13</v>
      </c>
      <c r="H1659" s="22">
        <v>1</v>
      </c>
      <c r="I1659" s="22">
        <v>830.42</v>
      </c>
      <c r="J1659" s="22">
        <v>0.26</v>
      </c>
      <c r="K1659" s="22" t="str">
        <v>COD</v>
      </c>
      <c r="L1659" s="22">
        <v>614.51080000000002</v>
      </c>
    </row>
    <row r="1660" spans="1:12" x14ac:dyDescent="0.3">
      <c r="A1660" s="22" t="s">
        <v>3469</v>
      </c>
      <c r="B1660" s="34" cm="1">
        <f t="array" ref="B1660:C1660">_xlfn.XLOOKUP(A1660,Sales_Fact!A1660:A3644,Sales_Fact!B1660:C3644)</f>
        <v>45637</v>
      </c>
      <c r="C1660" s="22" t="str">
        <v>CUST1353</v>
      </c>
      <c r="D1660" s="22" t="str">
        <f>VLOOKUP('Combine Products &amp; Sales Facts'!C1660,'Customer Details'!A:B,2,0)</f>
        <v>Laura Green</v>
      </c>
      <c r="E1660" s="22" t="str">
        <f>VLOOKUP(C1660,Sales_Fact!C:D,2,0)</f>
        <v>PROD48</v>
      </c>
      <c r="F1660" s="22" t="str">
        <f>VLOOKUP(E1660,Product_Dim!A:C,3,0)</f>
        <v>Electronics</v>
      </c>
      <c r="G1660" s="22" t="str" cm="1">
        <f t="array" ref="G1660:L1660">_xlfn.XLOOKUP(C1660,Sales_Fact!C1660:C3644,Sales_Fact!E1660:J3644)</f>
        <v>STORE17</v>
      </c>
      <c r="H1660" s="22">
        <v>1</v>
      </c>
      <c r="I1660" s="22">
        <v>762.55</v>
      </c>
      <c r="J1660" s="22">
        <v>0.19</v>
      </c>
      <c r="K1660" s="22" t="str">
        <v>Credit Card</v>
      </c>
      <c r="L1660" s="22">
        <v>617.66549999999995</v>
      </c>
    </row>
    <row r="1661" spans="1:12" x14ac:dyDescent="0.3">
      <c r="A1661" s="22" t="s">
        <v>3470</v>
      </c>
      <c r="B1661" s="34" cm="1">
        <f t="array" ref="B1661:C1661">_xlfn.XLOOKUP(A1661,Sales_Fact!A1661:A3645,Sales_Fact!B1661:C3645)</f>
        <v>45839</v>
      </c>
      <c r="C1661" s="22" t="str">
        <v>CUST1343</v>
      </c>
      <c r="D1661" s="22" t="str">
        <f>VLOOKUP('Combine Products &amp; Sales Facts'!C1661,'Customer Details'!A:B,2,0)</f>
        <v>Ryan Moore</v>
      </c>
      <c r="E1661" s="22" t="str">
        <f>VLOOKUP(C1661,Sales_Fact!C:D,2,0)</f>
        <v>PROD17</v>
      </c>
      <c r="F1661" s="22" t="str">
        <f>VLOOKUP(E1661,Product_Dim!A:C,3,0)</f>
        <v>Sports</v>
      </c>
      <c r="G1661" s="22" t="str" cm="1">
        <f t="array" ref="G1661:L1661">_xlfn.XLOOKUP(C1661,Sales_Fact!C1661:C3645,Sales_Fact!E1661:J3645)</f>
        <v>STORE18</v>
      </c>
      <c r="H1661" s="22">
        <v>2</v>
      </c>
      <c r="I1661" s="22">
        <v>464.43</v>
      </c>
      <c r="J1661" s="22">
        <v>0.24</v>
      </c>
      <c r="K1661" s="22" t="str">
        <v>COD</v>
      </c>
      <c r="L1661" s="22">
        <v>705.93360000000007</v>
      </c>
    </row>
    <row r="1662" spans="1:12" x14ac:dyDescent="0.3">
      <c r="A1662" s="22" t="s">
        <v>3471</v>
      </c>
      <c r="B1662" s="34" cm="1">
        <f t="array" ref="B1662:C1662">_xlfn.XLOOKUP(A1662,Sales_Fact!A1662:A3646,Sales_Fact!B1662:C3646)</f>
        <v>45851</v>
      </c>
      <c r="C1662" s="22" t="str">
        <v>CUST1016</v>
      </c>
      <c r="D1662" s="22" t="str">
        <f>VLOOKUP('Combine Products &amp; Sales Facts'!C1662,'Customer Details'!A:B,2,0)</f>
        <v>John Scott</v>
      </c>
      <c r="E1662" s="22" t="str">
        <f>VLOOKUP(C1662,Sales_Fact!C:D,2,0)</f>
        <v>PROD56</v>
      </c>
      <c r="F1662" s="22" t="str">
        <f>VLOOKUP(E1662,Product_Dim!A:C,3,0)</f>
        <v>Home</v>
      </c>
      <c r="G1662" s="22" t="str" cm="1">
        <f t="array" ref="G1662:L1662">_xlfn.XLOOKUP(C1662,Sales_Fact!C1662:C3646,Sales_Fact!E1662:J3646)</f>
        <v>STORE18</v>
      </c>
      <c r="H1662" s="22">
        <v>1</v>
      </c>
      <c r="I1662" s="22">
        <v>711.08</v>
      </c>
      <c r="J1662" s="22">
        <v>0.24</v>
      </c>
      <c r="K1662" s="22" t="str">
        <v>PayPal</v>
      </c>
      <c r="L1662" s="22">
        <v>540.42079999999999</v>
      </c>
    </row>
    <row r="1663" spans="1:12" x14ac:dyDescent="0.3">
      <c r="A1663" s="22" t="s">
        <v>3472</v>
      </c>
      <c r="B1663" s="34" cm="1">
        <f t="array" ref="B1663:C1663">_xlfn.XLOOKUP(A1663,Sales_Fact!A1663:A3647,Sales_Fact!B1663:C3647)</f>
        <v>45656</v>
      </c>
      <c r="C1663" s="22" t="str">
        <v>CUST1251</v>
      </c>
      <c r="D1663" s="22" t="str">
        <f>VLOOKUP('Combine Products &amp; Sales Facts'!C1663,'Customer Details'!A:B,2,0)</f>
        <v>Tyler Garner</v>
      </c>
      <c r="E1663" s="22" t="str">
        <f>VLOOKUP(C1663,Sales_Fact!C:D,2,0)</f>
        <v>PROD9</v>
      </c>
      <c r="F1663" s="22" t="str">
        <f>VLOOKUP(E1663,Product_Dim!A:C,3,0)</f>
        <v>Sports</v>
      </c>
      <c r="G1663" s="22" t="str" cm="1">
        <f t="array" ref="G1663:L1663">_xlfn.XLOOKUP(C1663,Sales_Fact!C1663:C3647,Sales_Fact!E1663:J3647)</f>
        <v>STORE14</v>
      </c>
      <c r="H1663" s="22">
        <v>2</v>
      </c>
      <c r="I1663" s="22">
        <v>984.96</v>
      </c>
      <c r="J1663" s="22">
        <v>0.16</v>
      </c>
      <c r="K1663" s="22" t="str">
        <v>PayPal</v>
      </c>
      <c r="L1663" s="22">
        <v>1654.7328</v>
      </c>
    </row>
    <row r="1664" spans="1:12" x14ac:dyDescent="0.3">
      <c r="A1664" s="22" t="s">
        <v>3473</v>
      </c>
      <c r="B1664" s="34" cm="1">
        <f t="array" ref="B1664:C1664">_xlfn.XLOOKUP(A1664,Sales_Fact!A1664:A3648,Sales_Fact!B1664:C3648)</f>
        <v>45759</v>
      </c>
      <c r="C1664" s="22" t="str">
        <v>CUST1343</v>
      </c>
      <c r="D1664" s="22" t="str">
        <f>VLOOKUP('Combine Products &amp; Sales Facts'!C1664,'Customer Details'!A:B,2,0)</f>
        <v>Ryan Moore</v>
      </c>
      <c r="E1664" s="22" t="str">
        <f>VLOOKUP(C1664,Sales_Fact!C:D,2,0)</f>
        <v>PROD17</v>
      </c>
      <c r="F1664" s="22" t="str">
        <f>VLOOKUP(E1664,Product_Dim!A:C,3,0)</f>
        <v>Sports</v>
      </c>
      <c r="G1664" s="22" t="str" cm="1">
        <f t="array" ref="G1664:L1664">_xlfn.XLOOKUP(C1664,Sales_Fact!C1664:C3648,Sales_Fact!E1664:J3648)</f>
        <v>STORE12</v>
      </c>
      <c r="H1664" s="22">
        <v>1</v>
      </c>
      <c r="I1664" s="22">
        <v>21.14</v>
      </c>
      <c r="J1664" s="22">
        <v>0.06</v>
      </c>
      <c r="K1664" s="22" t="str">
        <v>COD</v>
      </c>
      <c r="L1664" s="22">
        <v>19.871600000000001</v>
      </c>
    </row>
    <row r="1665" spans="1:12" x14ac:dyDescent="0.3">
      <c r="A1665" s="22" t="s">
        <v>3474</v>
      </c>
      <c r="B1665" s="34" cm="1">
        <f t="array" ref="B1665:C1665">_xlfn.XLOOKUP(A1665,Sales_Fact!A1665:A3649,Sales_Fact!B1665:C3649)</f>
        <v>45679</v>
      </c>
      <c r="C1665" s="22" t="str">
        <v>CUST1106</v>
      </c>
      <c r="D1665" s="22" t="str">
        <f>VLOOKUP('Combine Products &amp; Sales Facts'!C1665,'Customer Details'!A:B,2,0)</f>
        <v>Howard Summers</v>
      </c>
      <c r="E1665" s="22" t="str">
        <f>VLOOKUP(C1665,Sales_Fact!C:D,2,0)</f>
        <v>PROD65</v>
      </c>
      <c r="F1665" s="22" t="str">
        <f>VLOOKUP(E1665,Product_Dim!A:C,3,0)</f>
        <v>Sports</v>
      </c>
      <c r="G1665" s="22" t="str" cm="1">
        <f t="array" ref="G1665:L1665">_xlfn.XLOOKUP(C1665,Sales_Fact!C1665:C3649,Sales_Fact!E1665:J3649)</f>
        <v>STORE8</v>
      </c>
      <c r="H1665" s="22">
        <v>1</v>
      </c>
      <c r="I1665" s="22">
        <v>343.03</v>
      </c>
      <c r="J1665" s="22">
        <v>0.16</v>
      </c>
      <c r="K1665" s="22" t="str">
        <v>Credit Card</v>
      </c>
      <c r="L1665" s="22">
        <v>288.14519999999999</v>
      </c>
    </row>
    <row r="1666" spans="1:12" x14ac:dyDescent="0.3">
      <c r="A1666" s="22" t="s">
        <v>3475</v>
      </c>
      <c r="B1666" s="34" cm="1">
        <f t="array" ref="B1666:C1666">_xlfn.XLOOKUP(A1666,Sales_Fact!A1666:A3650,Sales_Fact!B1666:C3650)</f>
        <v>45237</v>
      </c>
      <c r="C1666" s="22" t="str">
        <v>CUST1247</v>
      </c>
      <c r="D1666" s="22" t="str">
        <f>VLOOKUP('Combine Products &amp; Sales Facts'!C1666,'Customer Details'!A:B,2,0)</f>
        <v>Douglas Rhodes</v>
      </c>
      <c r="E1666" s="22" t="str">
        <f>VLOOKUP(C1666,Sales_Fact!C:D,2,0)</f>
        <v>PROD10</v>
      </c>
      <c r="F1666" s="22" t="str">
        <f>VLOOKUP(E1666,Product_Dim!A:C,3,0)</f>
        <v>Home</v>
      </c>
      <c r="G1666" s="22" t="str" cm="1">
        <f t="array" ref="G1666:L1666">_xlfn.XLOOKUP(C1666,Sales_Fact!C1666:C3650,Sales_Fact!E1666:J3650)</f>
        <v>STORE18</v>
      </c>
      <c r="H1666" s="22">
        <v>3</v>
      </c>
      <c r="I1666" s="22">
        <v>94.83</v>
      </c>
      <c r="J1666" s="22">
        <v>0.16</v>
      </c>
      <c r="K1666" s="22" t="str">
        <v>COD</v>
      </c>
      <c r="L1666" s="22">
        <v>238.9716</v>
      </c>
    </row>
    <row r="1667" spans="1:12" x14ac:dyDescent="0.3">
      <c r="A1667" s="22" t="s">
        <v>3476</v>
      </c>
      <c r="B1667" s="34" cm="1">
        <f t="array" ref="B1667:C1667">_xlfn.XLOOKUP(A1667,Sales_Fact!A1667:A3651,Sales_Fact!B1667:C3651)</f>
        <v>45790</v>
      </c>
      <c r="C1667" s="22" t="str">
        <v>CUST1018</v>
      </c>
      <c r="D1667" s="22" t="str">
        <f>VLOOKUP('Combine Products &amp; Sales Facts'!C1667,'Customer Details'!A:B,2,0)</f>
        <v>Rhonda Moss</v>
      </c>
      <c r="E1667" s="22" t="str">
        <f>VLOOKUP(C1667,Sales_Fact!C:D,2,0)</f>
        <v>PROD80</v>
      </c>
      <c r="F1667" s="22" t="str">
        <f>VLOOKUP(E1667,Product_Dim!A:C,3,0)</f>
        <v>Home</v>
      </c>
      <c r="G1667" s="22" t="str" cm="1">
        <f t="array" ref="G1667:L1667">_xlfn.XLOOKUP(C1667,Sales_Fact!C1667:C3651,Sales_Fact!E1667:J3651)</f>
        <v>STORE19</v>
      </c>
      <c r="H1667" s="22">
        <v>3</v>
      </c>
      <c r="I1667" s="22">
        <v>74.66</v>
      </c>
      <c r="J1667" s="22">
        <v>0.03</v>
      </c>
      <c r="K1667" s="22" t="str">
        <v>PayPal</v>
      </c>
      <c r="L1667" s="22">
        <v>217.26060000000001</v>
      </c>
    </row>
    <row r="1668" spans="1:12" x14ac:dyDescent="0.3">
      <c r="A1668" s="22" t="s">
        <v>3477</v>
      </c>
      <c r="B1668" s="34" cm="1">
        <f t="array" ref="B1668:C1668">_xlfn.XLOOKUP(A1668,Sales_Fact!A1668:A3652,Sales_Fact!B1668:C3652)</f>
        <v>45268</v>
      </c>
      <c r="C1668" s="22" t="str">
        <v>CUST1136</v>
      </c>
      <c r="D1668" s="22" t="str">
        <f>VLOOKUP('Combine Products &amp; Sales Facts'!C1668,'Customer Details'!A:B,2,0)</f>
        <v>Patrick Coleman</v>
      </c>
      <c r="E1668" s="22" t="str">
        <f>VLOOKUP(C1668,Sales_Fact!C:D,2,0)</f>
        <v>PROD35</v>
      </c>
      <c r="F1668" s="22" t="str">
        <f>VLOOKUP(E1668,Product_Dim!A:C,3,0)</f>
        <v>Home</v>
      </c>
      <c r="G1668" s="22" t="str" cm="1">
        <f t="array" ref="G1668:L1668">_xlfn.XLOOKUP(C1668,Sales_Fact!C1668:C3652,Sales_Fact!E1668:J3652)</f>
        <v>STORE15</v>
      </c>
      <c r="H1668" s="22">
        <v>3</v>
      </c>
      <c r="I1668" s="22">
        <v>281.95999999999998</v>
      </c>
      <c r="J1668" s="22">
        <v>0.01</v>
      </c>
      <c r="K1668" s="22" t="str">
        <v>COD</v>
      </c>
      <c r="L1668" s="22">
        <v>837.42119999999989</v>
      </c>
    </row>
    <row r="1669" spans="1:12" x14ac:dyDescent="0.3">
      <c r="A1669" s="22" t="s">
        <v>3478</v>
      </c>
      <c r="B1669" s="34" cm="1">
        <f t="array" ref="B1669:C1669">_xlfn.XLOOKUP(A1669,Sales_Fact!A1669:A3653,Sales_Fact!B1669:C3653)</f>
        <v>45664</v>
      </c>
      <c r="C1669" s="22" t="str">
        <v>CUST1236</v>
      </c>
      <c r="D1669" s="22" t="str">
        <f>VLOOKUP('Combine Products &amp; Sales Facts'!C1669,'Customer Details'!A:B,2,0)</f>
        <v>Joshua Wilson</v>
      </c>
      <c r="E1669" s="22" t="str">
        <f>VLOOKUP(C1669,Sales_Fact!C:D,2,0)</f>
        <v>PROD16</v>
      </c>
      <c r="F1669" s="22" t="str">
        <f>VLOOKUP(E1669,Product_Dim!A:C,3,0)</f>
        <v>Beauty</v>
      </c>
      <c r="G1669" s="22" t="str" cm="1">
        <f t="array" ref="G1669:L1669">_xlfn.XLOOKUP(C1669,Sales_Fact!C1669:C3653,Sales_Fact!E1669:J3653)</f>
        <v>STORE18</v>
      </c>
      <c r="H1669" s="22">
        <v>4</v>
      </c>
      <c r="I1669" s="22">
        <v>622.27</v>
      </c>
      <c r="J1669" s="22">
        <v>0.02</v>
      </c>
      <c r="K1669" s="22" t="str">
        <v>PayPal</v>
      </c>
      <c r="L1669" s="22">
        <v>2439.2984000000001</v>
      </c>
    </row>
    <row r="1670" spans="1:12" x14ac:dyDescent="0.3">
      <c r="A1670" s="22" t="s">
        <v>3479</v>
      </c>
      <c r="B1670" s="34" cm="1">
        <f t="array" ref="B1670:C1670">_xlfn.XLOOKUP(A1670,Sales_Fact!A1670:A3654,Sales_Fact!B1670:C3654)</f>
        <v>45475</v>
      </c>
      <c r="C1670" s="22" t="str">
        <v>CUST1102</v>
      </c>
      <c r="D1670" s="22" t="str">
        <f>VLOOKUP('Combine Products &amp; Sales Facts'!C1670,'Customer Details'!A:B,2,0)</f>
        <v>Sarah Schneider</v>
      </c>
      <c r="E1670" s="22" t="str">
        <f>VLOOKUP(C1670,Sales_Fact!C:D,2,0)</f>
        <v>PROD98</v>
      </c>
      <c r="F1670" s="22" t="str">
        <f>VLOOKUP(E1670,Product_Dim!A:C,3,0)</f>
        <v>Electronics</v>
      </c>
      <c r="G1670" s="22" t="str" cm="1">
        <f t="array" ref="G1670:L1670">_xlfn.XLOOKUP(C1670,Sales_Fact!C1670:C3654,Sales_Fact!E1670:J3654)</f>
        <v>STORE7</v>
      </c>
      <c r="H1670" s="22">
        <v>2</v>
      </c>
      <c r="I1670" s="22">
        <v>78.27</v>
      </c>
      <c r="J1670" s="22">
        <v>0.28999999999999998</v>
      </c>
      <c r="K1670" s="22" t="str">
        <v>COD</v>
      </c>
      <c r="L1670" s="22">
        <v>111.1434</v>
      </c>
    </row>
    <row r="1671" spans="1:12" x14ac:dyDescent="0.3">
      <c r="A1671" s="22" t="s">
        <v>3480</v>
      </c>
      <c r="B1671" s="34" cm="1">
        <f t="array" ref="B1671:C1671">_xlfn.XLOOKUP(A1671,Sales_Fact!A1671:A3655,Sales_Fact!B1671:C3655)</f>
        <v>45845</v>
      </c>
      <c r="C1671" s="22" t="str">
        <v>CUST1012</v>
      </c>
      <c r="D1671" s="22" t="str">
        <f>VLOOKUP('Combine Products &amp; Sales Facts'!C1671,'Customer Details'!A:B,2,0)</f>
        <v>Kenneth Lambert</v>
      </c>
      <c r="E1671" s="22" t="str">
        <f>VLOOKUP(C1671,Sales_Fact!C:D,2,0)</f>
        <v>PROD27</v>
      </c>
      <c r="F1671" s="22" t="str">
        <f>VLOOKUP(E1671,Product_Dim!A:C,3,0)</f>
        <v>Home</v>
      </c>
      <c r="G1671" s="22" t="str" cm="1">
        <f t="array" ref="G1671:L1671">_xlfn.XLOOKUP(C1671,Sales_Fact!C1671:C3655,Sales_Fact!E1671:J3655)</f>
        <v>STORE13</v>
      </c>
      <c r="H1671" s="22">
        <v>4</v>
      </c>
      <c r="I1671" s="22">
        <v>676.58</v>
      </c>
      <c r="J1671" s="22">
        <v>0.23</v>
      </c>
      <c r="K1671" s="22" t="str">
        <v>COD</v>
      </c>
      <c r="L1671" s="22">
        <v>2083.8663999999999</v>
      </c>
    </row>
    <row r="1672" spans="1:12" x14ac:dyDescent="0.3">
      <c r="A1672" s="22" t="s">
        <v>3481</v>
      </c>
      <c r="B1672" s="34" cm="1">
        <f t="array" ref="B1672:C1672">_xlfn.XLOOKUP(A1672,Sales_Fact!A1672:A3656,Sales_Fact!B1672:C3656)</f>
        <v>45446</v>
      </c>
      <c r="C1672" s="22" t="str">
        <v>CUST1486</v>
      </c>
      <c r="D1672" s="22" t="str">
        <f>VLOOKUP('Combine Products &amp; Sales Facts'!C1672,'Customer Details'!A:B,2,0)</f>
        <v>Eric Lee</v>
      </c>
      <c r="E1672" s="22" t="str">
        <f>VLOOKUP(C1672,Sales_Fact!C:D,2,0)</f>
        <v>PROD40</v>
      </c>
      <c r="F1672" s="22" t="str">
        <f>VLOOKUP(E1672,Product_Dim!A:C,3,0)</f>
        <v>Electronics</v>
      </c>
      <c r="G1672" s="22" t="str" cm="1">
        <f t="array" ref="G1672:L1672">_xlfn.XLOOKUP(C1672,Sales_Fact!C1672:C3656,Sales_Fact!E1672:J3656)</f>
        <v>STORE1</v>
      </c>
      <c r="H1672" s="22">
        <v>2</v>
      </c>
      <c r="I1672" s="22">
        <v>938.6</v>
      </c>
      <c r="J1672" s="22">
        <v>0.04</v>
      </c>
      <c r="K1672" s="22" t="str">
        <v>PayPal</v>
      </c>
      <c r="L1672" s="22">
        <v>1802.1120000000001</v>
      </c>
    </row>
    <row r="1673" spans="1:12" x14ac:dyDescent="0.3">
      <c r="A1673" s="22" t="s">
        <v>3482</v>
      </c>
      <c r="B1673" s="34" cm="1">
        <f t="array" ref="B1673:C1673">_xlfn.XLOOKUP(A1673,Sales_Fact!A1673:A3657,Sales_Fact!B1673:C3657)</f>
        <v>45761</v>
      </c>
      <c r="C1673" s="22" t="str">
        <v>CUST1355</v>
      </c>
      <c r="D1673" s="22" t="str">
        <f>VLOOKUP('Combine Products &amp; Sales Facts'!C1673,'Customer Details'!A:B,2,0)</f>
        <v>Carlos Flores</v>
      </c>
      <c r="E1673" s="22" t="str">
        <f>VLOOKUP(C1673,Sales_Fact!C:D,2,0)</f>
        <v>PROD91</v>
      </c>
      <c r="F1673" s="22" t="str">
        <f>VLOOKUP(E1673,Product_Dim!A:C,3,0)</f>
        <v>Clothing</v>
      </c>
      <c r="G1673" s="22" t="str" cm="1">
        <f t="array" ref="G1673:L1673">_xlfn.XLOOKUP(C1673,Sales_Fact!C1673:C3657,Sales_Fact!E1673:J3657)</f>
        <v>STORE14</v>
      </c>
      <c r="H1673" s="22">
        <v>2</v>
      </c>
      <c r="I1673" s="22">
        <v>859.47</v>
      </c>
      <c r="J1673" s="22">
        <v>0.01</v>
      </c>
      <c r="K1673" s="22" t="str">
        <v>Credit Card</v>
      </c>
      <c r="L1673" s="22">
        <v>1701.7506000000001</v>
      </c>
    </row>
    <row r="1674" spans="1:12" x14ac:dyDescent="0.3">
      <c r="A1674" s="22" t="s">
        <v>3483</v>
      </c>
      <c r="B1674" s="34" cm="1">
        <f t="array" ref="B1674:C1674">_xlfn.XLOOKUP(A1674,Sales_Fact!A1674:A3658,Sales_Fact!B1674:C3658)</f>
        <v>45363</v>
      </c>
      <c r="C1674" s="22" t="str">
        <v>CUST1057</v>
      </c>
      <c r="D1674" s="22" t="str">
        <f>VLOOKUP('Combine Products &amp; Sales Facts'!C1674,'Customer Details'!A:B,2,0)</f>
        <v>Jay Patel</v>
      </c>
      <c r="E1674" s="22" t="str">
        <f>VLOOKUP(C1674,Sales_Fact!C:D,2,0)</f>
        <v>PROD38</v>
      </c>
      <c r="F1674" s="22" t="str">
        <f>VLOOKUP(E1674,Product_Dim!A:C,3,0)</f>
        <v>Sports</v>
      </c>
      <c r="G1674" s="22" t="str" cm="1">
        <f t="array" ref="G1674:L1674">_xlfn.XLOOKUP(C1674,Sales_Fact!C1674:C3658,Sales_Fact!E1674:J3658)</f>
        <v>STORE14</v>
      </c>
      <c r="H1674" s="22">
        <v>3</v>
      </c>
      <c r="I1674" s="22">
        <v>672.98</v>
      </c>
      <c r="J1674" s="22">
        <v>0.23</v>
      </c>
      <c r="K1674" s="22" t="str">
        <v>PayPal</v>
      </c>
      <c r="L1674" s="22">
        <v>1554.5838000000001</v>
      </c>
    </row>
    <row r="1675" spans="1:12" x14ac:dyDescent="0.3">
      <c r="A1675" s="22" t="s">
        <v>3484</v>
      </c>
      <c r="B1675" s="34" cm="1">
        <f t="array" ref="B1675:C1675">_xlfn.XLOOKUP(A1675,Sales_Fact!A1675:A3659,Sales_Fact!B1675:C3659)</f>
        <v>45420</v>
      </c>
      <c r="C1675" s="22" t="str">
        <v>CUST1206</v>
      </c>
      <c r="D1675" s="22" t="str">
        <f>VLOOKUP('Combine Products &amp; Sales Facts'!C1675,'Customer Details'!A:B,2,0)</f>
        <v>Ronald Jones</v>
      </c>
      <c r="E1675" s="22" t="str">
        <f>VLOOKUP(C1675,Sales_Fact!C:D,2,0)</f>
        <v>PROD94</v>
      </c>
      <c r="F1675" s="22" t="str">
        <f>VLOOKUP(E1675,Product_Dim!A:C,3,0)</f>
        <v>Beauty</v>
      </c>
      <c r="G1675" s="22" t="str" cm="1">
        <f t="array" ref="G1675:L1675">_xlfn.XLOOKUP(C1675,Sales_Fact!C1675:C3659,Sales_Fact!E1675:J3659)</f>
        <v>STORE18</v>
      </c>
      <c r="H1675" s="22">
        <v>1</v>
      </c>
      <c r="I1675" s="22">
        <v>75.8</v>
      </c>
      <c r="J1675" s="22">
        <v>0.28999999999999998</v>
      </c>
      <c r="K1675" s="22" t="str">
        <v>PayPal</v>
      </c>
      <c r="L1675" s="22">
        <v>53.817999999999998</v>
      </c>
    </row>
    <row r="1676" spans="1:12" x14ac:dyDescent="0.3">
      <c r="A1676" s="22" t="s">
        <v>3485</v>
      </c>
      <c r="B1676" s="34" cm="1">
        <f t="array" ref="B1676:C1676">_xlfn.XLOOKUP(A1676,Sales_Fact!A1676:A3660,Sales_Fact!B1676:C3660)</f>
        <v>45536</v>
      </c>
      <c r="C1676" s="22" t="str">
        <v>CUST1034</v>
      </c>
      <c r="D1676" s="22" t="str">
        <f>VLOOKUP('Combine Products &amp; Sales Facts'!C1676,'Customer Details'!A:B,2,0)</f>
        <v>Christopher Olson</v>
      </c>
      <c r="E1676" s="22" t="str">
        <f>VLOOKUP(C1676,Sales_Fact!C:D,2,0)</f>
        <v>PROD28</v>
      </c>
      <c r="F1676" s="22" t="str">
        <f>VLOOKUP(E1676,Product_Dim!A:C,3,0)</f>
        <v>Sports</v>
      </c>
      <c r="G1676" s="22" t="str" cm="1">
        <f t="array" ref="G1676:L1676">_xlfn.XLOOKUP(C1676,Sales_Fact!C1676:C3660,Sales_Fact!E1676:J3660)</f>
        <v>STORE15</v>
      </c>
      <c r="H1676" s="22">
        <v>4</v>
      </c>
      <c r="I1676" s="22">
        <v>742.15</v>
      </c>
      <c r="J1676" s="22">
        <v>0.1</v>
      </c>
      <c r="K1676" s="22" t="str">
        <v>COD</v>
      </c>
      <c r="L1676" s="22">
        <v>2671.74</v>
      </c>
    </row>
    <row r="1677" spans="1:12" x14ac:dyDescent="0.3">
      <c r="A1677" s="22" t="s">
        <v>3486</v>
      </c>
      <c r="B1677" s="34" cm="1">
        <f t="array" ref="B1677:C1677">_xlfn.XLOOKUP(A1677,Sales_Fact!A1677:A3661,Sales_Fact!B1677:C3661)</f>
        <v>45445</v>
      </c>
      <c r="C1677" s="22" t="str">
        <v>CUST1072</v>
      </c>
      <c r="D1677" s="22" t="str">
        <f>VLOOKUP('Combine Products &amp; Sales Facts'!C1677,'Customer Details'!A:B,2,0)</f>
        <v>Tonya Burch</v>
      </c>
      <c r="E1677" s="22" t="str">
        <f>VLOOKUP(C1677,Sales_Fact!C:D,2,0)</f>
        <v>PROD26</v>
      </c>
      <c r="F1677" s="22" t="str">
        <f>VLOOKUP(E1677,Product_Dim!A:C,3,0)</f>
        <v>Electronics</v>
      </c>
      <c r="G1677" s="22" t="str" cm="1">
        <f t="array" ref="G1677:L1677">_xlfn.XLOOKUP(C1677,Sales_Fact!C1677:C3661,Sales_Fact!E1677:J3661)</f>
        <v>STORE7</v>
      </c>
      <c r="H1677" s="22">
        <v>1</v>
      </c>
      <c r="I1677" s="22">
        <v>637.39</v>
      </c>
      <c r="J1677" s="22">
        <v>0.22</v>
      </c>
      <c r="K1677" s="22" t="str">
        <v>PayPal</v>
      </c>
      <c r="L1677" s="22">
        <v>497.16419999999999</v>
      </c>
    </row>
    <row r="1678" spans="1:12" x14ac:dyDescent="0.3">
      <c r="A1678" s="22" t="s">
        <v>3487</v>
      </c>
      <c r="B1678" s="34" cm="1">
        <f t="array" ref="B1678:C1678">_xlfn.XLOOKUP(A1678,Sales_Fact!A1678:A3662,Sales_Fact!B1678:C3662)</f>
        <v>45230</v>
      </c>
      <c r="C1678" s="22" t="str">
        <v>CUST1391</v>
      </c>
      <c r="D1678" s="22" t="str">
        <f>VLOOKUP('Combine Products &amp; Sales Facts'!C1678,'Customer Details'!A:B,2,0)</f>
        <v>Heidi Tyler</v>
      </c>
      <c r="E1678" s="22" t="str">
        <f>VLOOKUP(C1678,Sales_Fact!C:D,2,0)</f>
        <v>PROD29</v>
      </c>
      <c r="F1678" s="22" t="str">
        <f>VLOOKUP(E1678,Product_Dim!A:C,3,0)</f>
        <v>Home</v>
      </c>
      <c r="G1678" s="22" t="str" cm="1">
        <f t="array" ref="G1678:L1678">_xlfn.XLOOKUP(C1678,Sales_Fact!C1678:C3662,Sales_Fact!E1678:J3662)</f>
        <v>STORE17</v>
      </c>
      <c r="H1678" s="22">
        <v>1</v>
      </c>
      <c r="I1678" s="22">
        <v>631</v>
      </c>
      <c r="J1678" s="22">
        <v>0.04</v>
      </c>
      <c r="K1678" s="22" t="str">
        <v>Credit Card</v>
      </c>
      <c r="L1678" s="22">
        <v>605.76</v>
      </c>
    </row>
    <row r="1679" spans="1:12" x14ac:dyDescent="0.3">
      <c r="A1679" s="22" t="s">
        <v>3488</v>
      </c>
      <c r="B1679" s="34" cm="1">
        <f t="array" ref="B1679:C1679">_xlfn.XLOOKUP(A1679,Sales_Fact!A1679:A3663,Sales_Fact!B1679:C3663)</f>
        <v>45916</v>
      </c>
      <c r="C1679" s="22" t="str">
        <v>CUST1393</v>
      </c>
      <c r="D1679" s="22" t="str">
        <f>VLOOKUP('Combine Products &amp; Sales Facts'!C1679,'Customer Details'!A:B,2,0)</f>
        <v>Michael Mcneil</v>
      </c>
      <c r="E1679" s="22" t="str">
        <f>VLOOKUP(C1679,Sales_Fact!C:D,2,0)</f>
        <v>PROD80</v>
      </c>
      <c r="F1679" s="22" t="str">
        <f>VLOOKUP(E1679,Product_Dim!A:C,3,0)</f>
        <v>Home</v>
      </c>
      <c r="G1679" s="22" t="str" cm="1">
        <f t="array" ref="G1679:L1679">_xlfn.XLOOKUP(C1679,Sales_Fact!C1679:C3663,Sales_Fact!E1679:J3663)</f>
        <v>STORE3</v>
      </c>
      <c r="H1679" s="22">
        <v>4</v>
      </c>
      <c r="I1679" s="22">
        <v>983.98</v>
      </c>
      <c r="J1679" s="22">
        <v>0.11</v>
      </c>
      <c r="K1679" s="22" t="str">
        <v>COD</v>
      </c>
      <c r="L1679" s="22">
        <v>3502.9688000000001</v>
      </c>
    </row>
    <row r="1680" spans="1:12" x14ac:dyDescent="0.3">
      <c r="A1680" s="22" t="s">
        <v>3489</v>
      </c>
      <c r="B1680" s="34" cm="1">
        <f t="array" ref="B1680:C1680">_xlfn.XLOOKUP(A1680,Sales_Fact!A1680:A3664,Sales_Fact!B1680:C3664)</f>
        <v>45353</v>
      </c>
      <c r="C1680" s="22" t="str">
        <v>CUST1054</v>
      </c>
      <c r="D1680" s="22" t="str">
        <f>VLOOKUP('Combine Products &amp; Sales Facts'!C1680,'Customer Details'!A:B,2,0)</f>
        <v>Katherine Dorsey</v>
      </c>
      <c r="E1680" s="22" t="str">
        <f>VLOOKUP(C1680,Sales_Fact!C:D,2,0)</f>
        <v>PROD88</v>
      </c>
      <c r="F1680" s="22" t="str">
        <f>VLOOKUP(E1680,Product_Dim!A:C,3,0)</f>
        <v>Sports</v>
      </c>
      <c r="G1680" s="22" t="str" cm="1">
        <f t="array" ref="G1680:L1680">_xlfn.XLOOKUP(C1680,Sales_Fact!C1680:C3664,Sales_Fact!E1680:J3664)</f>
        <v>STORE11</v>
      </c>
      <c r="H1680" s="22">
        <v>4</v>
      </c>
      <c r="I1680" s="22">
        <v>73.69</v>
      </c>
      <c r="J1680" s="22">
        <v>0.08</v>
      </c>
      <c r="K1680" s="22" t="str">
        <v>Credit Card</v>
      </c>
      <c r="L1680" s="22">
        <v>271.17919999999998</v>
      </c>
    </row>
    <row r="1681" spans="1:12" x14ac:dyDescent="0.3">
      <c r="A1681" s="22" t="s">
        <v>3490</v>
      </c>
      <c r="B1681" s="34" cm="1">
        <f t="array" ref="B1681:C1681">_xlfn.XLOOKUP(A1681,Sales_Fact!A1681:A3665,Sales_Fact!B1681:C3665)</f>
        <v>45490</v>
      </c>
      <c r="C1681" s="22" t="str">
        <v>CUST1433</v>
      </c>
      <c r="D1681" s="22" t="str">
        <f>VLOOKUP('Combine Products &amp; Sales Facts'!C1681,'Customer Details'!A:B,2,0)</f>
        <v>Thomas Moore</v>
      </c>
      <c r="E1681" s="22" t="str">
        <f>VLOOKUP(C1681,Sales_Fact!C:D,2,0)</f>
        <v>PROD64</v>
      </c>
      <c r="F1681" s="22" t="str">
        <f>VLOOKUP(E1681,Product_Dim!A:C,3,0)</f>
        <v>Beauty</v>
      </c>
      <c r="G1681" s="22" t="str" cm="1">
        <f t="array" ref="G1681:L1681">_xlfn.XLOOKUP(C1681,Sales_Fact!C1681:C3665,Sales_Fact!E1681:J3665)</f>
        <v>STORE7</v>
      </c>
      <c r="H1681" s="22">
        <v>3</v>
      </c>
      <c r="I1681" s="22">
        <v>110.99</v>
      </c>
      <c r="J1681" s="22">
        <v>0.21</v>
      </c>
      <c r="K1681" s="22" t="str">
        <v>Credit Card</v>
      </c>
      <c r="L1681" s="22">
        <v>263.04629999999997</v>
      </c>
    </row>
    <row r="1682" spans="1:12" x14ac:dyDescent="0.3">
      <c r="A1682" s="22" t="s">
        <v>3491</v>
      </c>
      <c r="B1682" s="34" cm="1">
        <f t="array" ref="B1682:C1682">_xlfn.XLOOKUP(A1682,Sales_Fact!A1682:A3666,Sales_Fact!B1682:C3666)</f>
        <v>45850</v>
      </c>
      <c r="C1682" s="22" t="str">
        <v>CUST1083</v>
      </c>
      <c r="D1682" s="22" t="str">
        <f>VLOOKUP('Combine Products &amp; Sales Facts'!C1682,'Customer Details'!A:B,2,0)</f>
        <v>Thomas Robinson</v>
      </c>
      <c r="E1682" s="22" t="str">
        <f>VLOOKUP(C1682,Sales_Fact!C:D,2,0)</f>
        <v>PROD45</v>
      </c>
      <c r="F1682" s="22" t="str">
        <f>VLOOKUP(E1682,Product_Dim!A:C,3,0)</f>
        <v>Sports</v>
      </c>
      <c r="G1682" s="22" t="str" cm="1">
        <f t="array" ref="G1682:L1682">_xlfn.XLOOKUP(C1682,Sales_Fact!C1682:C3666,Sales_Fact!E1682:J3666)</f>
        <v>STORE7</v>
      </c>
      <c r="H1682" s="22">
        <v>1</v>
      </c>
      <c r="I1682" s="22">
        <v>66.86</v>
      </c>
      <c r="J1682" s="22">
        <v>0.22</v>
      </c>
      <c r="K1682" s="22" t="str">
        <v>COD</v>
      </c>
      <c r="L1682" s="22">
        <v>52.150799999999997</v>
      </c>
    </row>
    <row r="1683" spans="1:12" x14ac:dyDescent="0.3">
      <c r="A1683" s="22" t="s">
        <v>3492</v>
      </c>
      <c r="B1683" s="34" cm="1">
        <f t="array" ref="B1683:C1683">_xlfn.XLOOKUP(A1683,Sales_Fact!A1683:A3667,Sales_Fact!B1683:C3667)</f>
        <v>45515</v>
      </c>
      <c r="C1683" s="22" t="str">
        <v>CUST1417</v>
      </c>
      <c r="D1683" s="22" t="str">
        <f>VLOOKUP('Combine Products &amp; Sales Facts'!C1683,'Customer Details'!A:B,2,0)</f>
        <v>Karen King</v>
      </c>
      <c r="E1683" s="22" t="str">
        <f>VLOOKUP(C1683,Sales_Fact!C:D,2,0)</f>
        <v>PROD97</v>
      </c>
      <c r="F1683" s="22" t="str">
        <f>VLOOKUP(E1683,Product_Dim!A:C,3,0)</f>
        <v>Sports</v>
      </c>
      <c r="G1683" s="22" t="str" cm="1">
        <f t="array" ref="G1683:L1683">_xlfn.XLOOKUP(C1683,Sales_Fact!C1683:C3667,Sales_Fact!E1683:J3667)</f>
        <v>STORE18</v>
      </c>
      <c r="H1683" s="22">
        <v>1</v>
      </c>
      <c r="I1683" s="22">
        <v>980.26</v>
      </c>
      <c r="J1683" s="22">
        <v>0.14000000000000001</v>
      </c>
      <c r="K1683" s="22" t="str">
        <v>PayPal</v>
      </c>
      <c r="L1683" s="22">
        <v>843.02359999999999</v>
      </c>
    </row>
    <row r="1684" spans="1:12" x14ac:dyDescent="0.3">
      <c r="A1684" s="22" t="s">
        <v>3493</v>
      </c>
      <c r="B1684" s="34" cm="1">
        <f t="array" ref="B1684:C1684">_xlfn.XLOOKUP(A1684,Sales_Fact!A1684:A3668,Sales_Fact!B1684:C3668)</f>
        <v>45322</v>
      </c>
      <c r="C1684" s="22" t="str">
        <v>CUST1037</v>
      </c>
      <c r="D1684" s="22" t="str">
        <f>VLOOKUP('Combine Products &amp; Sales Facts'!C1684,'Customer Details'!A:B,2,0)</f>
        <v>Christopher Carter</v>
      </c>
      <c r="E1684" s="22" t="str">
        <f>VLOOKUP(C1684,Sales_Fact!C:D,2,0)</f>
        <v>PROD45</v>
      </c>
      <c r="F1684" s="22" t="str">
        <f>VLOOKUP(E1684,Product_Dim!A:C,3,0)</f>
        <v>Sports</v>
      </c>
      <c r="G1684" s="22" t="str" cm="1">
        <f t="array" ref="G1684:L1684">_xlfn.XLOOKUP(C1684,Sales_Fact!C1684:C3668,Sales_Fact!E1684:J3668)</f>
        <v>STORE18</v>
      </c>
      <c r="H1684" s="22">
        <v>1</v>
      </c>
      <c r="I1684" s="22">
        <v>235.28</v>
      </c>
      <c r="J1684" s="22">
        <v>0.05</v>
      </c>
      <c r="K1684" s="22" t="str">
        <v>PayPal</v>
      </c>
      <c r="L1684" s="22">
        <v>223.51599999999999</v>
      </c>
    </row>
    <row r="1685" spans="1:12" x14ac:dyDescent="0.3">
      <c r="A1685" s="22" t="s">
        <v>3494</v>
      </c>
      <c r="B1685" s="34" cm="1">
        <f t="array" ref="B1685:C1685">_xlfn.XLOOKUP(A1685,Sales_Fact!A1685:A3669,Sales_Fact!B1685:C3669)</f>
        <v>45542</v>
      </c>
      <c r="C1685" s="22" t="str">
        <v>CUST1416</v>
      </c>
      <c r="D1685" s="22" t="str">
        <f>VLOOKUP('Combine Products &amp; Sales Facts'!C1685,'Customer Details'!A:B,2,0)</f>
        <v>Jennifer Myers</v>
      </c>
      <c r="E1685" s="22" t="str">
        <f>VLOOKUP(C1685,Sales_Fact!C:D,2,0)</f>
        <v>PROD49</v>
      </c>
      <c r="F1685" s="22" t="str">
        <f>VLOOKUP(E1685,Product_Dim!A:C,3,0)</f>
        <v>Beauty</v>
      </c>
      <c r="G1685" s="22" t="str" cm="1">
        <f t="array" ref="G1685:L1685">_xlfn.XLOOKUP(C1685,Sales_Fact!C1685:C3669,Sales_Fact!E1685:J3669)</f>
        <v>STORE15</v>
      </c>
      <c r="H1685" s="22">
        <v>3</v>
      </c>
      <c r="I1685" s="22">
        <v>407.39</v>
      </c>
      <c r="J1685" s="22">
        <v>0.08</v>
      </c>
      <c r="K1685" s="22" t="str">
        <v>PayPal</v>
      </c>
      <c r="L1685" s="22">
        <v>1124.3964000000001</v>
      </c>
    </row>
    <row r="1686" spans="1:12" x14ac:dyDescent="0.3">
      <c r="A1686" s="22" t="s">
        <v>3495</v>
      </c>
      <c r="B1686" s="34" cm="1">
        <f t="array" ref="B1686:C1686">_xlfn.XLOOKUP(A1686,Sales_Fact!A1686:A3670,Sales_Fact!B1686:C3670)</f>
        <v>45675</v>
      </c>
      <c r="C1686" s="22" t="str">
        <v>CUST1068</v>
      </c>
      <c r="D1686" s="22" t="str">
        <f>VLOOKUP('Combine Products &amp; Sales Facts'!C1686,'Customer Details'!A:B,2,0)</f>
        <v>Mr. Mark Beasley</v>
      </c>
      <c r="E1686" s="22" t="str">
        <f>VLOOKUP(C1686,Sales_Fact!C:D,2,0)</f>
        <v>PROD52</v>
      </c>
      <c r="F1686" s="22" t="str">
        <f>VLOOKUP(E1686,Product_Dim!A:C,3,0)</f>
        <v>Sports</v>
      </c>
      <c r="G1686" s="22" t="str" cm="1">
        <f t="array" ref="G1686:L1686">_xlfn.XLOOKUP(C1686,Sales_Fact!C1686:C3670,Sales_Fact!E1686:J3670)</f>
        <v>STORE14</v>
      </c>
      <c r="H1686" s="22">
        <v>4</v>
      </c>
      <c r="I1686" s="22">
        <v>459.83</v>
      </c>
      <c r="J1686" s="22">
        <v>0.12</v>
      </c>
      <c r="K1686" s="22" t="str">
        <v>COD</v>
      </c>
      <c r="L1686" s="22">
        <v>1618.6016</v>
      </c>
    </row>
    <row r="1687" spans="1:12" x14ac:dyDescent="0.3">
      <c r="A1687" s="22" t="s">
        <v>3496</v>
      </c>
      <c r="B1687" s="34" cm="1">
        <f t="array" ref="B1687:C1687">_xlfn.XLOOKUP(A1687,Sales_Fact!A1687:A3671,Sales_Fact!B1687:C3671)</f>
        <v>45333</v>
      </c>
      <c r="C1687" s="22" t="str">
        <v>CUST1147</v>
      </c>
      <c r="D1687" s="22" t="str">
        <f>VLOOKUP('Combine Products &amp; Sales Facts'!C1687,'Customer Details'!A:B,2,0)</f>
        <v>Rhonda Young</v>
      </c>
      <c r="E1687" s="22" t="str">
        <f>VLOOKUP(C1687,Sales_Fact!C:D,2,0)</f>
        <v>PROD52</v>
      </c>
      <c r="F1687" s="22" t="str">
        <f>VLOOKUP(E1687,Product_Dim!A:C,3,0)</f>
        <v>Sports</v>
      </c>
      <c r="G1687" s="22" t="str" cm="1">
        <f t="array" ref="G1687:L1687">_xlfn.XLOOKUP(C1687,Sales_Fact!C1687:C3671,Sales_Fact!E1687:J3671)</f>
        <v>STORE4</v>
      </c>
      <c r="H1687" s="22">
        <v>3</v>
      </c>
      <c r="I1687" s="22">
        <v>706.6</v>
      </c>
      <c r="J1687" s="22">
        <v>0.17</v>
      </c>
      <c r="K1687" s="22" t="str">
        <v>PayPal</v>
      </c>
      <c r="L1687" s="22">
        <v>1759.434</v>
      </c>
    </row>
    <row r="1688" spans="1:12" x14ac:dyDescent="0.3">
      <c r="A1688" s="22" t="s">
        <v>3497</v>
      </c>
      <c r="B1688" s="34" cm="1">
        <f t="array" ref="B1688:C1688">_xlfn.XLOOKUP(A1688,Sales_Fact!A1688:A3672,Sales_Fact!B1688:C3672)</f>
        <v>45819</v>
      </c>
      <c r="C1688" s="22" t="str">
        <v>CUST1462</v>
      </c>
      <c r="D1688" s="22" t="str">
        <f>VLOOKUP('Combine Products &amp; Sales Facts'!C1688,'Customer Details'!A:B,2,0)</f>
        <v>Beth Martin</v>
      </c>
      <c r="E1688" s="22" t="str">
        <f>VLOOKUP(C1688,Sales_Fact!C:D,2,0)</f>
        <v>PROD33</v>
      </c>
      <c r="F1688" s="22" t="str">
        <f>VLOOKUP(E1688,Product_Dim!A:C,3,0)</f>
        <v>Home</v>
      </c>
      <c r="G1688" s="22" t="str" cm="1">
        <f t="array" ref="G1688:L1688">_xlfn.XLOOKUP(C1688,Sales_Fact!C1688:C3672,Sales_Fact!E1688:J3672)</f>
        <v>STORE19</v>
      </c>
      <c r="H1688" s="22">
        <v>3</v>
      </c>
      <c r="I1688" s="22">
        <v>811.16</v>
      </c>
      <c r="J1688" s="22">
        <v>0.1</v>
      </c>
      <c r="K1688" s="22" t="str">
        <v>COD</v>
      </c>
      <c r="L1688" s="22">
        <v>2190.1320000000001</v>
      </c>
    </row>
    <row r="1689" spans="1:12" x14ac:dyDescent="0.3">
      <c r="A1689" s="22" t="s">
        <v>3498</v>
      </c>
      <c r="B1689" s="34" cm="1">
        <f t="array" ref="B1689:C1689">_xlfn.XLOOKUP(A1689,Sales_Fact!A1689:A3673,Sales_Fact!B1689:C3673)</f>
        <v>45268</v>
      </c>
      <c r="C1689" s="22" t="str">
        <v>CUST1217</v>
      </c>
      <c r="D1689" s="22" t="str">
        <f>VLOOKUP('Combine Products &amp; Sales Facts'!C1689,'Customer Details'!A:B,2,0)</f>
        <v>Kathy Copeland</v>
      </c>
      <c r="E1689" s="22" t="str">
        <f>VLOOKUP(C1689,Sales_Fact!C:D,2,0)</f>
        <v>PROD43</v>
      </c>
      <c r="F1689" s="22" t="str">
        <f>VLOOKUP(E1689,Product_Dim!A:C,3,0)</f>
        <v>Electronics</v>
      </c>
      <c r="G1689" s="22" t="str" cm="1">
        <f t="array" ref="G1689:L1689">_xlfn.XLOOKUP(C1689,Sales_Fact!C1689:C3673,Sales_Fact!E1689:J3673)</f>
        <v>STORE7</v>
      </c>
      <c r="H1689" s="22">
        <v>2</v>
      </c>
      <c r="I1689" s="22">
        <v>985.79</v>
      </c>
      <c r="J1689" s="22">
        <v>0.04</v>
      </c>
      <c r="K1689" s="22" t="str">
        <v>PayPal</v>
      </c>
      <c r="L1689" s="22">
        <v>1892.7167999999999</v>
      </c>
    </row>
    <row r="1690" spans="1:12" x14ac:dyDescent="0.3">
      <c r="A1690" s="22" t="s">
        <v>3499</v>
      </c>
      <c r="B1690" s="34" cm="1">
        <f t="array" ref="B1690:C1690">_xlfn.XLOOKUP(A1690,Sales_Fact!A1690:A3674,Sales_Fact!B1690:C3674)</f>
        <v>45521</v>
      </c>
      <c r="C1690" s="22" t="str">
        <v>CUST1187</v>
      </c>
      <c r="D1690" s="22" t="str">
        <f>VLOOKUP('Combine Products &amp; Sales Facts'!C1690,'Customer Details'!A:B,2,0)</f>
        <v>Dr. Suzanne Bullock</v>
      </c>
      <c r="E1690" s="22" t="str">
        <f>VLOOKUP(C1690,Sales_Fact!C:D,2,0)</f>
        <v>PROD13</v>
      </c>
      <c r="F1690" s="22" t="str">
        <f>VLOOKUP(E1690,Product_Dim!A:C,3,0)</f>
        <v>Electronics</v>
      </c>
      <c r="G1690" s="22" t="str" cm="1">
        <f t="array" ref="G1690:L1690">_xlfn.XLOOKUP(C1690,Sales_Fact!C1690:C3674,Sales_Fact!E1690:J3674)</f>
        <v>STORE14</v>
      </c>
      <c r="H1690" s="22">
        <v>1</v>
      </c>
      <c r="I1690" s="22">
        <v>255.02</v>
      </c>
      <c r="J1690" s="22">
        <v>0.3</v>
      </c>
      <c r="K1690" s="22" t="str">
        <v>Credit Card</v>
      </c>
      <c r="L1690" s="22">
        <v>178.51400000000001</v>
      </c>
    </row>
    <row r="1691" spans="1:12" x14ac:dyDescent="0.3">
      <c r="A1691" s="22" t="s">
        <v>3500</v>
      </c>
      <c r="B1691" s="34" cm="1">
        <f t="array" ref="B1691:C1691">_xlfn.XLOOKUP(A1691,Sales_Fact!A1691:A3675,Sales_Fact!B1691:C3675)</f>
        <v>45693</v>
      </c>
      <c r="C1691" s="22" t="str">
        <v>CUST1095</v>
      </c>
      <c r="D1691" s="22" t="str">
        <f>VLOOKUP('Combine Products &amp; Sales Facts'!C1691,'Customer Details'!A:B,2,0)</f>
        <v>Amy Fowler</v>
      </c>
      <c r="E1691" s="22" t="str">
        <f>VLOOKUP(C1691,Sales_Fact!C:D,2,0)</f>
        <v>PROD40</v>
      </c>
      <c r="F1691" s="22" t="str">
        <f>VLOOKUP(E1691,Product_Dim!A:C,3,0)</f>
        <v>Electronics</v>
      </c>
      <c r="G1691" s="22" t="str" cm="1">
        <f t="array" ref="G1691:L1691">_xlfn.XLOOKUP(C1691,Sales_Fact!C1691:C3675,Sales_Fact!E1691:J3675)</f>
        <v>STORE8</v>
      </c>
      <c r="H1691" s="22">
        <v>1</v>
      </c>
      <c r="I1691" s="22">
        <v>153.57</v>
      </c>
      <c r="J1691" s="22">
        <v>0.01</v>
      </c>
      <c r="K1691" s="22" t="str">
        <v>PayPal</v>
      </c>
      <c r="L1691" s="22">
        <v>152.0343</v>
      </c>
    </row>
    <row r="1692" spans="1:12" x14ac:dyDescent="0.3">
      <c r="A1692" s="22" t="s">
        <v>3501</v>
      </c>
      <c r="B1692" s="34" cm="1">
        <f t="array" ref="B1692:C1692">_xlfn.XLOOKUP(A1692,Sales_Fact!A1692:A3676,Sales_Fact!B1692:C3676)</f>
        <v>45734</v>
      </c>
      <c r="C1692" s="22" t="str">
        <v>CUST1253</v>
      </c>
      <c r="D1692" s="22" t="str">
        <f>VLOOKUP('Combine Products &amp; Sales Facts'!C1692,'Customer Details'!A:B,2,0)</f>
        <v>Dr. Ashley Yates Md</v>
      </c>
      <c r="E1692" s="22" t="str">
        <f>VLOOKUP(C1692,Sales_Fact!C:D,2,0)</f>
        <v>PROD71</v>
      </c>
      <c r="F1692" s="22" t="str">
        <f>VLOOKUP(E1692,Product_Dim!A:C,3,0)</f>
        <v>Beauty</v>
      </c>
      <c r="G1692" s="22" t="str" cm="1">
        <f t="array" ref="G1692:L1692">_xlfn.XLOOKUP(C1692,Sales_Fact!C1692:C3676,Sales_Fact!E1692:J3676)</f>
        <v>STORE18</v>
      </c>
      <c r="H1692" s="22">
        <v>3</v>
      </c>
      <c r="I1692" s="22">
        <v>962.98</v>
      </c>
      <c r="J1692" s="22">
        <v>0.21</v>
      </c>
      <c r="K1692" s="22" t="str">
        <v>Credit Card</v>
      </c>
      <c r="L1692" s="22">
        <v>2282.2626</v>
      </c>
    </row>
    <row r="1693" spans="1:12" x14ac:dyDescent="0.3">
      <c r="A1693" s="22" t="s">
        <v>3502</v>
      </c>
      <c r="B1693" s="34" cm="1">
        <f t="array" ref="B1693:C1693">_xlfn.XLOOKUP(A1693,Sales_Fact!A1693:A3677,Sales_Fact!B1693:C3677)</f>
        <v>45377</v>
      </c>
      <c r="C1693" s="22" t="str">
        <v>CUST1057</v>
      </c>
      <c r="D1693" s="22" t="str">
        <f>VLOOKUP('Combine Products &amp; Sales Facts'!C1693,'Customer Details'!A:B,2,0)</f>
        <v>Jay Patel</v>
      </c>
      <c r="E1693" s="22" t="str">
        <f>VLOOKUP(C1693,Sales_Fact!C:D,2,0)</f>
        <v>PROD38</v>
      </c>
      <c r="F1693" s="22" t="str">
        <f>VLOOKUP(E1693,Product_Dim!A:C,3,0)</f>
        <v>Sports</v>
      </c>
      <c r="G1693" s="22" t="str" cm="1">
        <f t="array" ref="G1693:L1693">_xlfn.XLOOKUP(C1693,Sales_Fact!C1693:C3677,Sales_Fact!E1693:J3677)</f>
        <v>STORE8</v>
      </c>
      <c r="H1693" s="22">
        <v>3</v>
      </c>
      <c r="I1693" s="22">
        <v>884.46</v>
      </c>
      <c r="J1693" s="22">
        <v>0.25</v>
      </c>
      <c r="K1693" s="22" t="str">
        <v>Credit Card</v>
      </c>
      <c r="L1693" s="22">
        <v>1990.0350000000001</v>
      </c>
    </row>
    <row r="1694" spans="1:12" x14ac:dyDescent="0.3">
      <c r="A1694" s="22" t="s">
        <v>3503</v>
      </c>
      <c r="B1694" s="34" cm="1">
        <f t="array" ref="B1694:C1694">_xlfn.XLOOKUP(A1694,Sales_Fact!A1694:A3678,Sales_Fact!B1694:C3678)</f>
        <v>45778</v>
      </c>
      <c r="C1694" s="22" t="str">
        <v>CUST1437</v>
      </c>
      <c r="D1694" s="22" t="str">
        <f>VLOOKUP('Combine Products &amp; Sales Facts'!C1694,'Customer Details'!A:B,2,0)</f>
        <v>Melinda Rivera</v>
      </c>
      <c r="E1694" s="22" t="str">
        <f>VLOOKUP(C1694,Sales_Fact!C:D,2,0)</f>
        <v>PROD88</v>
      </c>
      <c r="F1694" s="22" t="str">
        <f>VLOOKUP(E1694,Product_Dim!A:C,3,0)</f>
        <v>Sports</v>
      </c>
      <c r="G1694" s="22" t="str" cm="1">
        <f t="array" ref="G1694:L1694">_xlfn.XLOOKUP(C1694,Sales_Fact!C1694:C3678,Sales_Fact!E1694:J3678)</f>
        <v>STORE10</v>
      </c>
      <c r="H1694" s="22">
        <v>4</v>
      </c>
      <c r="I1694" s="22">
        <v>359.71</v>
      </c>
      <c r="J1694" s="22">
        <v>0.05</v>
      </c>
      <c r="K1694" s="22" t="str">
        <v>PayPal</v>
      </c>
      <c r="L1694" s="22">
        <v>1366.8979999999999</v>
      </c>
    </row>
    <row r="1695" spans="1:12" x14ac:dyDescent="0.3">
      <c r="A1695" s="22" t="s">
        <v>3504</v>
      </c>
      <c r="B1695" s="34" cm="1">
        <f t="array" ref="B1695:C1695">_xlfn.XLOOKUP(A1695,Sales_Fact!A1695:A3679,Sales_Fact!B1695:C3679)</f>
        <v>45715</v>
      </c>
      <c r="C1695" s="22" t="str">
        <v>CUST1051</v>
      </c>
      <c r="D1695" s="22" t="str">
        <f>VLOOKUP('Combine Products &amp; Sales Facts'!C1695,'Customer Details'!A:B,2,0)</f>
        <v>Sarah Rodgers</v>
      </c>
      <c r="E1695" s="22" t="str">
        <f>VLOOKUP(C1695,Sales_Fact!C:D,2,0)</f>
        <v>PROD21</v>
      </c>
      <c r="F1695" s="22" t="str">
        <f>VLOOKUP(E1695,Product_Dim!A:C,3,0)</f>
        <v>Home</v>
      </c>
      <c r="G1695" s="22" t="str" cm="1">
        <f t="array" ref="G1695:L1695">_xlfn.XLOOKUP(C1695,Sales_Fact!C1695:C3679,Sales_Fact!E1695:J3679)</f>
        <v>STORE4</v>
      </c>
      <c r="H1695" s="22">
        <v>3</v>
      </c>
      <c r="I1695" s="22">
        <v>766.47</v>
      </c>
      <c r="J1695" s="22">
        <v>0.18</v>
      </c>
      <c r="K1695" s="22" t="str">
        <v>Credit Card</v>
      </c>
      <c r="L1695" s="22">
        <v>1885.5162</v>
      </c>
    </row>
    <row r="1696" spans="1:12" x14ac:dyDescent="0.3">
      <c r="A1696" s="22" t="s">
        <v>3505</v>
      </c>
      <c r="B1696" s="34" cm="1">
        <f t="array" ref="B1696:C1696">_xlfn.XLOOKUP(A1696,Sales_Fact!A1696:A3680,Sales_Fact!B1696:C3680)</f>
        <v>45492</v>
      </c>
      <c r="C1696" s="22" t="str">
        <v>CUST1223</v>
      </c>
      <c r="D1696" s="22" t="str">
        <f>VLOOKUP('Combine Products &amp; Sales Facts'!C1696,'Customer Details'!A:B,2,0)</f>
        <v>Robert Harris</v>
      </c>
      <c r="E1696" s="22" t="str">
        <f>VLOOKUP(C1696,Sales_Fact!C:D,2,0)</f>
        <v>PROD72</v>
      </c>
      <c r="F1696" s="22" t="str">
        <f>VLOOKUP(E1696,Product_Dim!A:C,3,0)</f>
        <v>Sports</v>
      </c>
      <c r="G1696" s="22" t="str" cm="1">
        <f t="array" ref="G1696:L1696">_xlfn.XLOOKUP(C1696,Sales_Fact!C1696:C3680,Sales_Fact!E1696:J3680)</f>
        <v>STORE18</v>
      </c>
      <c r="H1696" s="22">
        <v>1</v>
      </c>
      <c r="I1696" s="22">
        <v>772.07</v>
      </c>
      <c r="J1696" s="22">
        <v>0.26</v>
      </c>
      <c r="K1696" s="22" t="str">
        <v>PayPal</v>
      </c>
      <c r="L1696" s="22">
        <v>571.33180000000004</v>
      </c>
    </row>
    <row r="1697" spans="1:12" x14ac:dyDescent="0.3">
      <c r="A1697" s="22" t="s">
        <v>3506</v>
      </c>
      <c r="B1697" s="34" cm="1">
        <f t="array" ref="B1697:C1697">_xlfn.XLOOKUP(A1697,Sales_Fact!A1697:A3681,Sales_Fact!B1697:C3681)</f>
        <v>45292</v>
      </c>
      <c r="C1697" s="22" t="str">
        <v>CUST1277</v>
      </c>
      <c r="D1697" s="22" t="str">
        <f>VLOOKUP('Combine Products &amp; Sales Facts'!C1697,'Customer Details'!A:B,2,0)</f>
        <v>Jeffrey Gomez</v>
      </c>
      <c r="E1697" s="22" t="str">
        <f>VLOOKUP(C1697,Sales_Fact!C:D,2,0)</f>
        <v>PROD93</v>
      </c>
      <c r="F1697" s="22" t="str">
        <f>VLOOKUP(E1697,Product_Dim!A:C,3,0)</f>
        <v>Electronics</v>
      </c>
      <c r="G1697" s="22" t="str" cm="1">
        <f t="array" ref="G1697:L1697">_xlfn.XLOOKUP(C1697,Sales_Fact!C1697:C3681,Sales_Fact!E1697:J3681)</f>
        <v>STORE5</v>
      </c>
      <c r="H1697" s="22">
        <v>3</v>
      </c>
      <c r="I1697" s="22">
        <v>108.31</v>
      </c>
      <c r="J1697" s="22">
        <v>0.26</v>
      </c>
      <c r="K1697" s="22" t="str">
        <v>COD</v>
      </c>
      <c r="L1697" s="22">
        <v>240.44820000000001</v>
      </c>
    </row>
    <row r="1698" spans="1:12" x14ac:dyDescent="0.3">
      <c r="A1698" s="22" t="s">
        <v>3507</v>
      </c>
      <c r="B1698" s="34" cm="1">
        <f t="array" ref="B1698:C1698">_xlfn.XLOOKUP(A1698,Sales_Fact!A1698:A3682,Sales_Fact!B1698:C3682)</f>
        <v>45316</v>
      </c>
      <c r="C1698" s="22" t="str">
        <v>CUST1218</v>
      </c>
      <c r="D1698" s="22" t="str">
        <f>VLOOKUP('Combine Products &amp; Sales Facts'!C1698,'Customer Details'!A:B,2,0)</f>
        <v>Julia Jackson</v>
      </c>
      <c r="E1698" s="22" t="str">
        <f>VLOOKUP(C1698,Sales_Fact!C:D,2,0)</f>
        <v>PROD16</v>
      </c>
      <c r="F1698" s="22" t="str">
        <f>VLOOKUP(E1698,Product_Dim!A:C,3,0)</f>
        <v>Beauty</v>
      </c>
      <c r="G1698" s="22" t="str" cm="1">
        <f t="array" ref="G1698:L1698">_xlfn.XLOOKUP(C1698,Sales_Fact!C1698:C3682,Sales_Fact!E1698:J3682)</f>
        <v>STORE6</v>
      </c>
      <c r="H1698" s="22">
        <v>1</v>
      </c>
      <c r="I1698" s="22">
        <v>502.53</v>
      </c>
      <c r="J1698" s="22">
        <v>0</v>
      </c>
      <c r="K1698" s="22" t="str">
        <v>PayPal</v>
      </c>
      <c r="L1698" s="22">
        <v>502.53</v>
      </c>
    </row>
    <row r="1699" spans="1:12" x14ac:dyDescent="0.3">
      <c r="A1699" s="22" t="s">
        <v>3508</v>
      </c>
      <c r="B1699" s="34" cm="1">
        <f t="array" ref="B1699:C1699">_xlfn.XLOOKUP(A1699,Sales_Fact!A1699:A3683,Sales_Fact!B1699:C3683)</f>
        <v>45548</v>
      </c>
      <c r="C1699" s="22" t="str">
        <v>CUST1076</v>
      </c>
      <c r="D1699" s="22" t="str">
        <f>VLOOKUP('Combine Products &amp; Sales Facts'!C1699,'Customer Details'!A:B,2,0)</f>
        <v>Nathan Campbell</v>
      </c>
      <c r="E1699" s="22" t="str">
        <f>VLOOKUP(C1699,Sales_Fact!C:D,2,0)</f>
        <v>PROD32</v>
      </c>
      <c r="F1699" s="22" t="str">
        <f>VLOOKUP(E1699,Product_Dim!A:C,3,0)</f>
        <v>Beauty</v>
      </c>
      <c r="G1699" s="22" t="str" cm="1">
        <f t="array" ref="G1699:L1699">_xlfn.XLOOKUP(C1699,Sales_Fact!C1699:C3683,Sales_Fact!E1699:J3683)</f>
        <v>STORE16</v>
      </c>
      <c r="H1699" s="22">
        <v>2</v>
      </c>
      <c r="I1699" s="22">
        <v>508.52</v>
      </c>
      <c r="J1699" s="22">
        <v>0.11</v>
      </c>
      <c r="K1699" s="22" t="str">
        <v>COD</v>
      </c>
      <c r="L1699" s="22">
        <v>905.16559999999993</v>
      </c>
    </row>
    <row r="1700" spans="1:12" x14ac:dyDescent="0.3">
      <c r="A1700" s="22" t="s">
        <v>3509</v>
      </c>
      <c r="B1700" s="34" cm="1">
        <f t="array" ref="B1700:C1700">_xlfn.XLOOKUP(A1700,Sales_Fact!A1700:A3684,Sales_Fact!B1700:C3684)</f>
        <v>45572</v>
      </c>
      <c r="C1700" s="22" t="str">
        <v>CUST1468</v>
      </c>
      <c r="D1700" s="22" t="str">
        <f>VLOOKUP('Combine Products &amp; Sales Facts'!C1700,'Customer Details'!A:B,2,0)</f>
        <v>Gregory Curtis</v>
      </c>
      <c r="E1700" s="22" t="str">
        <f>VLOOKUP(C1700,Sales_Fact!C:D,2,0)</f>
        <v>PROD75</v>
      </c>
      <c r="F1700" s="22" t="str">
        <f>VLOOKUP(E1700,Product_Dim!A:C,3,0)</f>
        <v>Clothing</v>
      </c>
      <c r="G1700" s="22" t="str" cm="1">
        <f t="array" ref="G1700:L1700">_xlfn.XLOOKUP(C1700,Sales_Fact!C1700:C3684,Sales_Fact!E1700:J3684)</f>
        <v>STORE3</v>
      </c>
      <c r="H1700" s="22">
        <v>1</v>
      </c>
      <c r="I1700" s="22">
        <v>492</v>
      </c>
      <c r="J1700" s="22">
        <v>0.26</v>
      </c>
      <c r="K1700" s="22" t="str">
        <v>PayPal</v>
      </c>
      <c r="L1700" s="22">
        <v>364.08</v>
      </c>
    </row>
    <row r="1701" spans="1:12" x14ac:dyDescent="0.3">
      <c r="A1701" s="22" t="s">
        <v>3510</v>
      </c>
      <c r="B1701" s="34" cm="1">
        <f t="array" ref="B1701:C1701">_xlfn.XLOOKUP(A1701,Sales_Fact!A1701:A3685,Sales_Fact!B1701:C3685)</f>
        <v>45347</v>
      </c>
      <c r="C1701" s="22" t="str">
        <v>CUST1485</v>
      </c>
      <c r="D1701" s="22" t="str">
        <f>VLOOKUP('Combine Products &amp; Sales Facts'!C1701,'Customer Details'!A:B,2,0)</f>
        <v>Sara Ingram</v>
      </c>
      <c r="E1701" s="22" t="str">
        <f>VLOOKUP(C1701,Sales_Fact!C:D,2,0)</f>
        <v>PROD26</v>
      </c>
      <c r="F1701" s="22" t="str">
        <f>VLOOKUP(E1701,Product_Dim!A:C,3,0)</f>
        <v>Electronics</v>
      </c>
      <c r="G1701" s="22" t="str" cm="1">
        <f t="array" ref="G1701:L1701">_xlfn.XLOOKUP(C1701,Sales_Fact!C1701:C3685,Sales_Fact!E1701:J3685)</f>
        <v>STORE14</v>
      </c>
      <c r="H1701" s="22">
        <v>4</v>
      </c>
      <c r="I1701" s="22">
        <v>746.36</v>
      </c>
      <c r="J1701" s="22">
        <v>0.02</v>
      </c>
      <c r="K1701" s="22" t="str">
        <v>Credit Card</v>
      </c>
      <c r="L1701" s="22">
        <v>2925.7312000000002</v>
      </c>
    </row>
    <row r="1702" spans="1:12" x14ac:dyDescent="0.3">
      <c r="A1702" s="22" t="s">
        <v>3511</v>
      </c>
      <c r="B1702" s="34" cm="1">
        <f t="array" ref="B1702:C1702">_xlfn.XLOOKUP(A1702,Sales_Fact!A1702:A3686,Sales_Fact!B1702:C3686)</f>
        <v>45823</v>
      </c>
      <c r="C1702" s="22" t="str">
        <v>CUST1433</v>
      </c>
      <c r="D1702" s="22" t="str">
        <f>VLOOKUP('Combine Products &amp; Sales Facts'!C1702,'Customer Details'!A:B,2,0)</f>
        <v>Thomas Moore</v>
      </c>
      <c r="E1702" s="22" t="str">
        <f>VLOOKUP(C1702,Sales_Fact!C:D,2,0)</f>
        <v>PROD64</v>
      </c>
      <c r="F1702" s="22" t="str">
        <f>VLOOKUP(E1702,Product_Dim!A:C,3,0)</f>
        <v>Beauty</v>
      </c>
      <c r="G1702" s="22" t="str" cm="1">
        <f t="array" ref="G1702:L1702">_xlfn.XLOOKUP(C1702,Sales_Fact!C1702:C3686,Sales_Fact!E1702:J3686)</f>
        <v>STORE1</v>
      </c>
      <c r="H1702" s="22">
        <v>1</v>
      </c>
      <c r="I1702" s="22">
        <v>120.83</v>
      </c>
      <c r="J1702" s="22">
        <v>0.08</v>
      </c>
      <c r="K1702" s="22" t="str">
        <v>Credit Card</v>
      </c>
      <c r="L1702" s="22">
        <v>111.1636</v>
      </c>
    </row>
    <row r="1703" spans="1:12" x14ac:dyDescent="0.3">
      <c r="A1703" s="22" t="s">
        <v>3512</v>
      </c>
      <c r="B1703" s="34" cm="1">
        <f t="array" ref="B1703:C1703">_xlfn.XLOOKUP(A1703,Sales_Fact!A1703:A3687,Sales_Fact!B1703:C3687)</f>
        <v>45394</v>
      </c>
      <c r="C1703" s="22" t="str">
        <v>CUST1399</v>
      </c>
      <c r="D1703" s="22" t="str">
        <f>VLOOKUP('Combine Products &amp; Sales Facts'!C1703,'Customer Details'!A:B,2,0)</f>
        <v>John Donaldson</v>
      </c>
      <c r="E1703" s="22" t="str">
        <f>VLOOKUP(C1703,Sales_Fact!C:D,2,0)</f>
        <v>PROD66</v>
      </c>
      <c r="F1703" s="22" t="str">
        <f>VLOOKUP(E1703,Product_Dim!A:C,3,0)</f>
        <v>Beauty</v>
      </c>
      <c r="G1703" s="22" t="str" cm="1">
        <f t="array" ref="G1703:L1703">_xlfn.XLOOKUP(C1703,Sales_Fact!C1703:C3687,Sales_Fact!E1703:J3687)</f>
        <v>STORE18</v>
      </c>
      <c r="H1703" s="22">
        <v>2</v>
      </c>
      <c r="I1703" s="22">
        <v>68.31</v>
      </c>
      <c r="J1703" s="22">
        <v>0.28999999999999998</v>
      </c>
      <c r="K1703" s="22" t="str">
        <v>COD</v>
      </c>
      <c r="L1703" s="22">
        <v>97.000199999999992</v>
      </c>
    </row>
    <row r="1704" spans="1:12" x14ac:dyDescent="0.3">
      <c r="A1704" s="22" t="s">
        <v>3513</v>
      </c>
      <c r="B1704" s="34" cm="1">
        <f t="array" ref="B1704:C1704">_xlfn.XLOOKUP(A1704,Sales_Fact!A1704:A3688,Sales_Fact!B1704:C3688)</f>
        <v>45265</v>
      </c>
      <c r="C1704" s="22" t="str">
        <v>CUST1062</v>
      </c>
      <c r="D1704" s="22" t="str">
        <f>VLOOKUP('Combine Products &amp; Sales Facts'!C1704,'Customer Details'!A:B,2,0)</f>
        <v>James Bean</v>
      </c>
      <c r="E1704" s="22" t="str">
        <f>VLOOKUP(C1704,Sales_Fact!C:D,2,0)</f>
        <v>PROD84</v>
      </c>
      <c r="F1704" s="22" t="str">
        <f>VLOOKUP(E1704,Product_Dim!A:C,3,0)</f>
        <v>Home</v>
      </c>
      <c r="G1704" s="22" t="str" cm="1">
        <f t="array" ref="G1704:L1704">_xlfn.XLOOKUP(C1704,Sales_Fact!C1704:C3688,Sales_Fact!E1704:J3688)</f>
        <v>STORE18</v>
      </c>
      <c r="H1704" s="22">
        <v>2</v>
      </c>
      <c r="I1704" s="22">
        <v>761.71</v>
      </c>
      <c r="J1704" s="22">
        <v>0.02</v>
      </c>
      <c r="K1704" s="22" t="str">
        <v>PayPal</v>
      </c>
      <c r="L1704" s="22">
        <v>1492.9516000000001</v>
      </c>
    </row>
    <row r="1705" spans="1:12" x14ac:dyDescent="0.3">
      <c r="A1705" s="22" t="s">
        <v>3514</v>
      </c>
      <c r="B1705" s="34" cm="1">
        <f t="array" ref="B1705:C1705">_xlfn.XLOOKUP(A1705,Sales_Fact!A1705:A3689,Sales_Fact!B1705:C3689)</f>
        <v>45261</v>
      </c>
      <c r="C1705" s="22" t="str">
        <v>CUST1066</v>
      </c>
      <c r="D1705" s="22" t="str">
        <f>VLOOKUP('Combine Products &amp; Sales Facts'!C1705,'Customer Details'!A:B,2,0)</f>
        <v>Cody Diaz</v>
      </c>
      <c r="E1705" s="22" t="str">
        <f>VLOOKUP(C1705,Sales_Fact!C:D,2,0)</f>
        <v>PROD94</v>
      </c>
      <c r="F1705" s="22" t="str">
        <f>VLOOKUP(E1705,Product_Dim!A:C,3,0)</f>
        <v>Beauty</v>
      </c>
      <c r="G1705" s="22" t="str" cm="1">
        <f t="array" ref="G1705:L1705">_xlfn.XLOOKUP(C1705,Sales_Fact!C1705:C3689,Sales_Fact!E1705:J3689)</f>
        <v>STORE3</v>
      </c>
      <c r="H1705" s="22">
        <v>4</v>
      </c>
      <c r="I1705" s="22">
        <v>346.37</v>
      </c>
      <c r="J1705" s="22">
        <v>0.18</v>
      </c>
      <c r="K1705" s="22" t="str">
        <v>COD</v>
      </c>
      <c r="L1705" s="22">
        <v>1136.0935999999999</v>
      </c>
    </row>
    <row r="1706" spans="1:12" x14ac:dyDescent="0.3">
      <c r="A1706" s="22" t="s">
        <v>3515</v>
      </c>
      <c r="B1706" s="34" cm="1">
        <f t="array" ref="B1706:C1706">_xlfn.XLOOKUP(A1706,Sales_Fact!A1706:A3690,Sales_Fact!B1706:C3690)</f>
        <v>45702</v>
      </c>
      <c r="C1706" s="22" t="str">
        <v>CUST1007</v>
      </c>
      <c r="D1706" s="22" t="str">
        <f>VLOOKUP('Combine Products &amp; Sales Facts'!C1706,'Customer Details'!A:B,2,0)</f>
        <v>Daniel Boyd</v>
      </c>
      <c r="E1706" s="22" t="str">
        <f>VLOOKUP(C1706,Sales_Fact!C:D,2,0)</f>
        <v>PROD67</v>
      </c>
      <c r="F1706" s="22" t="str">
        <f>VLOOKUP(E1706,Product_Dim!A:C,3,0)</f>
        <v>Electronics</v>
      </c>
      <c r="G1706" s="22" t="str" cm="1">
        <f t="array" ref="G1706:L1706">_xlfn.XLOOKUP(C1706,Sales_Fact!C1706:C3690,Sales_Fact!E1706:J3690)</f>
        <v>STORE12</v>
      </c>
      <c r="H1706" s="22">
        <v>1</v>
      </c>
      <c r="I1706" s="22">
        <v>846.3</v>
      </c>
      <c r="J1706" s="22">
        <v>0.14000000000000001</v>
      </c>
      <c r="K1706" s="22" t="str">
        <v>PayPal</v>
      </c>
      <c r="L1706" s="22">
        <v>727.81799999999998</v>
      </c>
    </row>
    <row r="1707" spans="1:12" x14ac:dyDescent="0.3">
      <c r="A1707" s="22" t="s">
        <v>3516</v>
      </c>
      <c r="B1707" s="34" cm="1">
        <f t="array" ref="B1707:C1707">_xlfn.XLOOKUP(A1707,Sales_Fact!A1707:A3691,Sales_Fact!B1707:C3691)</f>
        <v>45624</v>
      </c>
      <c r="C1707" s="22" t="str">
        <v>CUST1432</v>
      </c>
      <c r="D1707" s="22" t="str">
        <f>VLOOKUP('Combine Products &amp; Sales Facts'!C1707,'Customer Details'!A:B,2,0)</f>
        <v>Summer Weiss</v>
      </c>
      <c r="E1707" s="22" t="str">
        <f>VLOOKUP(C1707,Sales_Fact!C:D,2,0)</f>
        <v>PROD16</v>
      </c>
      <c r="F1707" s="22" t="str">
        <f>VLOOKUP(E1707,Product_Dim!A:C,3,0)</f>
        <v>Beauty</v>
      </c>
      <c r="G1707" s="22" t="str" cm="1">
        <f t="array" ref="G1707:L1707">_xlfn.XLOOKUP(C1707,Sales_Fact!C1707:C3691,Sales_Fact!E1707:J3691)</f>
        <v>STORE19</v>
      </c>
      <c r="H1707" s="22">
        <v>1</v>
      </c>
      <c r="I1707" s="22">
        <v>458.97</v>
      </c>
      <c r="J1707" s="22">
        <v>0.1</v>
      </c>
      <c r="K1707" s="22" t="str">
        <v>PayPal</v>
      </c>
      <c r="L1707" s="22">
        <v>413.07299999999998</v>
      </c>
    </row>
    <row r="1708" spans="1:12" x14ac:dyDescent="0.3">
      <c r="A1708" s="22" t="s">
        <v>3517</v>
      </c>
      <c r="B1708" s="34" cm="1">
        <f t="array" ref="B1708:C1708">_xlfn.XLOOKUP(A1708,Sales_Fact!A1708:A3692,Sales_Fact!B1708:C3692)</f>
        <v>45736</v>
      </c>
      <c r="C1708" s="22" t="str">
        <v>CUST1289</v>
      </c>
      <c r="D1708" s="22" t="str">
        <f>VLOOKUP('Combine Products &amp; Sales Facts'!C1708,'Customer Details'!A:B,2,0)</f>
        <v>Jennifer Figueroa</v>
      </c>
      <c r="E1708" s="22" t="str">
        <f>VLOOKUP(C1708,Sales_Fact!C:D,2,0)</f>
        <v>PROD43</v>
      </c>
      <c r="F1708" s="22" t="str">
        <f>VLOOKUP(E1708,Product_Dim!A:C,3,0)</f>
        <v>Electronics</v>
      </c>
      <c r="G1708" s="22" t="str" cm="1">
        <f t="array" ref="G1708:L1708">_xlfn.XLOOKUP(C1708,Sales_Fact!C1708:C3692,Sales_Fact!E1708:J3692)</f>
        <v>STORE7</v>
      </c>
      <c r="H1708" s="22">
        <v>2</v>
      </c>
      <c r="I1708" s="22">
        <v>536.61</v>
      </c>
      <c r="J1708" s="22">
        <v>0.14000000000000001</v>
      </c>
      <c r="K1708" s="22" t="str">
        <v>Credit Card</v>
      </c>
      <c r="L1708" s="22">
        <v>922.9692</v>
      </c>
    </row>
    <row r="1709" spans="1:12" x14ac:dyDescent="0.3">
      <c r="A1709" s="22" t="s">
        <v>3518</v>
      </c>
      <c r="B1709" s="34" cm="1">
        <f t="array" ref="B1709:C1709">_xlfn.XLOOKUP(A1709,Sales_Fact!A1709:A3693,Sales_Fact!B1709:C3693)</f>
        <v>45709</v>
      </c>
      <c r="C1709" s="22" t="str">
        <v>CUST1420</v>
      </c>
      <c r="D1709" s="22" t="str">
        <f>VLOOKUP('Combine Products &amp; Sales Facts'!C1709,'Customer Details'!A:B,2,0)</f>
        <v>Dr. Tamara White Md</v>
      </c>
      <c r="E1709" s="22" t="str">
        <f>VLOOKUP(C1709,Sales_Fact!C:D,2,0)</f>
        <v>PROD21</v>
      </c>
      <c r="F1709" s="22" t="str">
        <f>VLOOKUP(E1709,Product_Dim!A:C,3,0)</f>
        <v>Home</v>
      </c>
      <c r="G1709" s="22" t="str" cm="1">
        <f t="array" ref="G1709:L1709">_xlfn.XLOOKUP(C1709,Sales_Fact!C1709:C3693,Sales_Fact!E1709:J3693)</f>
        <v>STORE0</v>
      </c>
      <c r="H1709" s="22">
        <v>3</v>
      </c>
      <c r="I1709" s="22">
        <v>130.41</v>
      </c>
      <c r="J1709" s="22">
        <v>0.14000000000000001</v>
      </c>
      <c r="K1709" s="22" t="str">
        <v>PayPal</v>
      </c>
      <c r="L1709" s="22">
        <v>336.45780000000002</v>
      </c>
    </row>
    <row r="1710" spans="1:12" x14ac:dyDescent="0.3">
      <c r="A1710" s="22" t="s">
        <v>3519</v>
      </c>
      <c r="B1710" s="34" cm="1">
        <f t="array" ref="B1710:C1710">_xlfn.XLOOKUP(A1710,Sales_Fact!A1710:A3694,Sales_Fact!B1710:C3694)</f>
        <v>45738</v>
      </c>
      <c r="C1710" s="22" t="str">
        <v>CUST1496</v>
      </c>
      <c r="D1710" s="22" t="str">
        <f>VLOOKUP('Combine Products &amp; Sales Facts'!C1710,'Customer Details'!A:B,2,0)</f>
        <v>Christopher Ford</v>
      </c>
      <c r="E1710" s="22" t="str">
        <f>VLOOKUP(C1710,Sales_Fact!C:D,2,0)</f>
        <v>PROD51</v>
      </c>
      <c r="F1710" s="22" t="str">
        <f>VLOOKUP(E1710,Product_Dim!A:C,3,0)</f>
        <v>Electronics</v>
      </c>
      <c r="G1710" s="22" t="str" cm="1">
        <f t="array" ref="G1710:L1710">_xlfn.XLOOKUP(C1710,Sales_Fact!C1710:C3694,Sales_Fact!E1710:J3694)</f>
        <v>STORE12</v>
      </c>
      <c r="H1710" s="22">
        <v>4</v>
      </c>
      <c r="I1710" s="22">
        <v>706.67</v>
      </c>
      <c r="J1710" s="22">
        <v>0.01</v>
      </c>
      <c r="K1710" s="22" t="str">
        <v>Credit Card</v>
      </c>
      <c r="L1710" s="22">
        <v>2798.4132</v>
      </c>
    </row>
    <row r="1711" spans="1:12" x14ac:dyDescent="0.3">
      <c r="A1711" s="22" t="s">
        <v>3520</v>
      </c>
      <c r="B1711" s="34" cm="1">
        <f t="array" ref="B1711:C1711">_xlfn.XLOOKUP(A1711,Sales_Fact!A1711:A3695,Sales_Fact!B1711:C3695)</f>
        <v>45685</v>
      </c>
      <c r="C1711" s="22" t="str">
        <v>CUST1392</v>
      </c>
      <c r="D1711" s="22" t="str">
        <f>VLOOKUP('Combine Products &amp; Sales Facts'!C1711,'Customer Details'!A:B,2,0)</f>
        <v>Jacqueline Payne</v>
      </c>
      <c r="E1711" s="22" t="str">
        <f>VLOOKUP(C1711,Sales_Fact!C:D,2,0)</f>
        <v>PROD52</v>
      </c>
      <c r="F1711" s="22" t="str">
        <f>VLOOKUP(E1711,Product_Dim!A:C,3,0)</f>
        <v>Sports</v>
      </c>
      <c r="G1711" s="22" t="str" cm="1">
        <f t="array" ref="G1711:L1711">_xlfn.XLOOKUP(C1711,Sales_Fact!C1711:C3695,Sales_Fact!E1711:J3695)</f>
        <v>STORE3</v>
      </c>
      <c r="H1711" s="22">
        <v>3</v>
      </c>
      <c r="I1711" s="22">
        <v>523.45000000000005</v>
      </c>
      <c r="J1711" s="22">
        <v>0.17</v>
      </c>
      <c r="K1711" s="22" t="str">
        <v>Credit Card</v>
      </c>
      <c r="L1711" s="22">
        <v>1303.3905</v>
      </c>
    </row>
    <row r="1712" spans="1:12" x14ac:dyDescent="0.3">
      <c r="A1712" s="22" t="s">
        <v>3521</v>
      </c>
      <c r="B1712" s="34" cm="1">
        <f t="array" ref="B1712:C1712">_xlfn.XLOOKUP(A1712,Sales_Fact!A1712:A3696,Sales_Fact!B1712:C3696)</f>
        <v>45701</v>
      </c>
      <c r="C1712" s="22" t="str">
        <v>CUST1009</v>
      </c>
      <c r="D1712" s="22" t="str">
        <f>VLOOKUP('Combine Products &amp; Sales Facts'!C1712,'Customer Details'!A:B,2,0)</f>
        <v>Ms. Maria Leach</v>
      </c>
      <c r="E1712" s="22" t="str">
        <f>VLOOKUP(C1712,Sales_Fact!C:D,2,0)</f>
        <v>PROD78</v>
      </c>
      <c r="F1712" s="22" t="str">
        <f>VLOOKUP(E1712,Product_Dim!A:C,3,0)</f>
        <v>Home</v>
      </c>
      <c r="G1712" s="22" t="str" cm="1">
        <f t="array" ref="G1712:L1712">_xlfn.XLOOKUP(C1712,Sales_Fact!C1712:C3696,Sales_Fact!E1712:J3696)</f>
        <v>STORE18</v>
      </c>
      <c r="H1712" s="22">
        <v>3</v>
      </c>
      <c r="I1712" s="22">
        <v>482.2</v>
      </c>
      <c r="J1712" s="22">
        <v>0.23</v>
      </c>
      <c r="K1712" s="22" t="str">
        <v>COD</v>
      </c>
      <c r="L1712" s="22">
        <v>1113.8820000000001</v>
      </c>
    </row>
    <row r="1713" spans="1:12" x14ac:dyDescent="0.3">
      <c r="A1713" s="22" t="s">
        <v>3522</v>
      </c>
      <c r="B1713" s="34" cm="1">
        <f t="array" ref="B1713:C1713">_xlfn.XLOOKUP(A1713,Sales_Fact!A1713:A3697,Sales_Fact!B1713:C3697)</f>
        <v>45745</v>
      </c>
      <c r="C1713" s="22" t="str">
        <v>CUST1124</v>
      </c>
      <c r="D1713" s="22" t="str">
        <f>VLOOKUP('Combine Products &amp; Sales Facts'!C1713,'Customer Details'!A:B,2,0)</f>
        <v>Donald Lee</v>
      </c>
      <c r="E1713" s="22" t="str">
        <f>VLOOKUP(C1713,Sales_Fact!C:D,2,0)</f>
        <v>PROD22</v>
      </c>
      <c r="F1713" s="22" t="str">
        <f>VLOOKUP(E1713,Product_Dim!A:C,3,0)</f>
        <v>Sports</v>
      </c>
      <c r="G1713" s="22" t="str" cm="1">
        <f t="array" ref="G1713:L1713">_xlfn.XLOOKUP(C1713,Sales_Fact!C1713:C3697,Sales_Fact!E1713:J3697)</f>
        <v>STORE5</v>
      </c>
      <c r="H1713" s="22">
        <v>4</v>
      </c>
      <c r="I1713" s="22">
        <v>688.86</v>
      </c>
      <c r="J1713" s="22">
        <v>0.02</v>
      </c>
      <c r="K1713" s="22" t="str">
        <v>COD</v>
      </c>
      <c r="L1713" s="22">
        <v>2700.3312000000001</v>
      </c>
    </row>
    <row r="1714" spans="1:12" x14ac:dyDescent="0.3">
      <c r="A1714" s="22" t="s">
        <v>3523</v>
      </c>
      <c r="B1714" s="34" cm="1">
        <f t="array" ref="B1714:C1714">_xlfn.XLOOKUP(A1714,Sales_Fact!A1714:A3698,Sales_Fact!B1714:C3698)</f>
        <v>45214</v>
      </c>
      <c r="C1714" s="22" t="str">
        <v>CUST1023</v>
      </c>
      <c r="D1714" s="22" t="str">
        <f>VLOOKUP('Combine Products &amp; Sales Facts'!C1714,'Customer Details'!A:B,2,0)</f>
        <v>Jonathan Steele</v>
      </c>
      <c r="E1714" s="22" t="str">
        <f>VLOOKUP(C1714,Sales_Fact!C:D,2,0)</f>
        <v>PROD68</v>
      </c>
      <c r="F1714" s="22" t="str">
        <f>VLOOKUP(E1714,Product_Dim!A:C,3,0)</f>
        <v>Home</v>
      </c>
      <c r="G1714" s="22" t="str" cm="1">
        <f t="array" ref="G1714:L1714">_xlfn.XLOOKUP(C1714,Sales_Fact!C1714:C3698,Sales_Fact!E1714:J3698)</f>
        <v>STORE0</v>
      </c>
      <c r="H1714" s="22">
        <v>1</v>
      </c>
      <c r="I1714" s="22">
        <v>145.47999999999999</v>
      </c>
      <c r="J1714" s="22">
        <v>0.1</v>
      </c>
      <c r="K1714" s="22" t="str">
        <v>COD</v>
      </c>
      <c r="L1714" s="22">
        <v>130.93199999999999</v>
      </c>
    </row>
    <row r="1715" spans="1:12" x14ac:dyDescent="0.3">
      <c r="A1715" s="22" t="s">
        <v>3524</v>
      </c>
      <c r="B1715" s="34" cm="1">
        <f t="array" ref="B1715:C1715">_xlfn.XLOOKUP(A1715,Sales_Fact!A1715:A3699,Sales_Fact!B1715:C3699)</f>
        <v>45547</v>
      </c>
      <c r="C1715" s="22" t="str">
        <v>CUST1052</v>
      </c>
      <c r="D1715" s="22" t="str">
        <f>VLOOKUP('Combine Products &amp; Sales Facts'!C1715,'Customer Details'!A:B,2,0)</f>
        <v>Debra Liu</v>
      </c>
      <c r="E1715" s="22" t="str">
        <f>VLOOKUP(C1715,Sales_Fact!C:D,2,0)</f>
        <v>PROD51</v>
      </c>
      <c r="F1715" s="22" t="str">
        <f>VLOOKUP(E1715,Product_Dim!A:C,3,0)</f>
        <v>Electronics</v>
      </c>
      <c r="G1715" s="22" t="str" cm="1">
        <f t="array" ref="G1715:L1715">_xlfn.XLOOKUP(C1715,Sales_Fact!C1715:C3699,Sales_Fact!E1715:J3699)</f>
        <v>STORE11</v>
      </c>
      <c r="H1715" s="22">
        <v>4</v>
      </c>
      <c r="I1715" s="22">
        <v>862.25</v>
      </c>
      <c r="J1715" s="22">
        <v>0.28000000000000003</v>
      </c>
      <c r="K1715" s="22" t="str">
        <v>PayPal</v>
      </c>
      <c r="L1715" s="22">
        <v>2483.2800000000002</v>
      </c>
    </row>
    <row r="1716" spans="1:12" x14ac:dyDescent="0.3">
      <c r="A1716" s="22" t="s">
        <v>3525</v>
      </c>
      <c r="B1716" s="34" cm="1">
        <f t="array" ref="B1716:C1716">_xlfn.XLOOKUP(A1716,Sales_Fact!A1716:A3700,Sales_Fact!B1716:C3700)</f>
        <v>45296</v>
      </c>
      <c r="C1716" s="22" t="str">
        <v>CUST1292</v>
      </c>
      <c r="D1716" s="22" t="str">
        <f>VLOOKUP('Combine Products &amp; Sales Facts'!C1716,'Customer Details'!A:B,2,0)</f>
        <v>Ricardo Jones</v>
      </c>
      <c r="E1716" s="22" t="str">
        <f>VLOOKUP(C1716,Sales_Fact!C:D,2,0)</f>
        <v>PROD99</v>
      </c>
      <c r="F1716" s="22" t="str">
        <f>VLOOKUP(E1716,Product_Dim!A:C,3,0)</f>
        <v>Home</v>
      </c>
      <c r="G1716" s="22" t="str" cm="1">
        <f t="array" ref="G1716:L1716">_xlfn.XLOOKUP(C1716,Sales_Fact!C1716:C3700,Sales_Fact!E1716:J3700)</f>
        <v>STORE14</v>
      </c>
      <c r="H1716" s="22">
        <v>4</v>
      </c>
      <c r="I1716" s="22">
        <v>146.12</v>
      </c>
      <c r="J1716" s="22">
        <v>0.12</v>
      </c>
      <c r="K1716" s="22" t="str">
        <v>COD</v>
      </c>
      <c r="L1716" s="22">
        <v>514.3424</v>
      </c>
    </row>
    <row r="1717" spans="1:12" x14ac:dyDescent="0.3">
      <c r="A1717" s="22" t="s">
        <v>3526</v>
      </c>
      <c r="B1717" s="34" cm="1">
        <f t="array" ref="B1717:C1717">_xlfn.XLOOKUP(A1717,Sales_Fact!A1717:A3701,Sales_Fact!B1717:C3701)</f>
        <v>45549</v>
      </c>
      <c r="C1717" s="22" t="str">
        <v>CUST1478</v>
      </c>
      <c r="D1717" s="22" t="str">
        <f>VLOOKUP('Combine Products &amp; Sales Facts'!C1717,'Customer Details'!A:B,2,0)</f>
        <v>Earl Smith Dds</v>
      </c>
      <c r="E1717" s="22" t="str">
        <f>VLOOKUP(C1717,Sales_Fact!C:D,2,0)</f>
        <v>PROD39</v>
      </c>
      <c r="F1717" s="22" t="str">
        <f>VLOOKUP(E1717,Product_Dim!A:C,3,0)</f>
        <v>Electronics</v>
      </c>
      <c r="G1717" s="22" t="str" cm="1">
        <f t="array" ref="G1717:L1717">_xlfn.XLOOKUP(C1717,Sales_Fact!C1717:C3701,Sales_Fact!E1717:J3701)</f>
        <v>STORE18</v>
      </c>
      <c r="H1717" s="22">
        <v>2</v>
      </c>
      <c r="I1717" s="22">
        <v>695.02</v>
      </c>
      <c r="J1717" s="22">
        <v>0.3</v>
      </c>
      <c r="K1717" s="22" t="str">
        <v>COD</v>
      </c>
      <c r="L1717" s="22">
        <v>973.02799999999991</v>
      </c>
    </row>
    <row r="1718" spans="1:12" x14ac:dyDescent="0.3">
      <c r="A1718" s="22" t="s">
        <v>3527</v>
      </c>
      <c r="B1718" s="34" cm="1">
        <f t="array" ref="B1718:C1718">_xlfn.XLOOKUP(A1718,Sales_Fact!A1718:A3702,Sales_Fact!B1718:C3702)</f>
        <v>45231</v>
      </c>
      <c r="C1718" s="22" t="str">
        <v>CUST1219</v>
      </c>
      <c r="D1718" s="22" t="str">
        <f>VLOOKUP('Combine Products &amp; Sales Facts'!C1718,'Customer Details'!A:B,2,0)</f>
        <v>Jordan Wells</v>
      </c>
      <c r="E1718" s="22" t="str">
        <f>VLOOKUP(C1718,Sales_Fact!C:D,2,0)</f>
        <v>PROD37</v>
      </c>
      <c r="F1718" s="22" t="str">
        <f>VLOOKUP(E1718,Product_Dim!A:C,3,0)</f>
        <v>Clothing</v>
      </c>
      <c r="G1718" s="22" t="str" cm="1">
        <f t="array" ref="G1718:L1718">_xlfn.XLOOKUP(C1718,Sales_Fact!C1718:C3702,Sales_Fact!E1718:J3702)</f>
        <v>STORE10</v>
      </c>
      <c r="H1718" s="22">
        <v>2</v>
      </c>
      <c r="I1718" s="22">
        <v>886.67</v>
      </c>
      <c r="J1718" s="22">
        <v>0.24</v>
      </c>
      <c r="K1718" s="22" t="str">
        <v>PayPal</v>
      </c>
      <c r="L1718" s="22">
        <v>1347.7384</v>
      </c>
    </row>
    <row r="1719" spans="1:12" x14ac:dyDescent="0.3">
      <c r="A1719" s="22" t="s">
        <v>3528</v>
      </c>
      <c r="B1719" s="34" cm="1">
        <f t="array" ref="B1719:C1719">_xlfn.XLOOKUP(A1719,Sales_Fact!A1719:A3703,Sales_Fact!B1719:C3703)</f>
        <v>45628</v>
      </c>
      <c r="C1719" s="22" t="str">
        <v>CUST1054</v>
      </c>
      <c r="D1719" s="22" t="str">
        <f>VLOOKUP('Combine Products &amp; Sales Facts'!C1719,'Customer Details'!A:B,2,0)</f>
        <v>Katherine Dorsey</v>
      </c>
      <c r="E1719" s="22" t="str">
        <f>VLOOKUP(C1719,Sales_Fact!C:D,2,0)</f>
        <v>PROD88</v>
      </c>
      <c r="F1719" s="22" t="str">
        <f>VLOOKUP(E1719,Product_Dim!A:C,3,0)</f>
        <v>Sports</v>
      </c>
      <c r="G1719" s="22" t="str" cm="1">
        <f t="array" ref="G1719:L1719">_xlfn.XLOOKUP(C1719,Sales_Fact!C1719:C3703,Sales_Fact!E1719:J3703)</f>
        <v>STORE18</v>
      </c>
      <c r="H1719" s="22">
        <v>2</v>
      </c>
      <c r="I1719" s="22">
        <v>864.09</v>
      </c>
      <c r="J1719" s="22">
        <v>0.06</v>
      </c>
      <c r="K1719" s="22" t="str">
        <v>COD</v>
      </c>
      <c r="L1719" s="22">
        <v>1624.4892</v>
      </c>
    </row>
    <row r="1720" spans="1:12" x14ac:dyDescent="0.3">
      <c r="A1720" s="22" t="s">
        <v>3529</v>
      </c>
      <c r="B1720" s="34" cm="1">
        <f t="array" ref="B1720:C1720">_xlfn.XLOOKUP(A1720,Sales_Fact!A1720:A3704,Sales_Fact!B1720:C3704)</f>
        <v>45862</v>
      </c>
      <c r="C1720" s="22" t="str">
        <v>CUST1003</v>
      </c>
      <c r="D1720" s="22" t="str">
        <f>VLOOKUP('Combine Products &amp; Sales Facts'!C1720,'Customer Details'!A:B,2,0)</f>
        <v>Jeremy Harris</v>
      </c>
      <c r="E1720" s="22" t="str">
        <f>VLOOKUP(C1720,Sales_Fact!C:D,2,0)</f>
        <v>PROD0</v>
      </c>
      <c r="F1720" s="22" t="str">
        <f>VLOOKUP(E1720,Product_Dim!A:C,3,0)</f>
        <v>Electronics</v>
      </c>
      <c r="G1720" s="22" t="str" cm="1">
        <f t="array" ref="G1720:L1720">_xlfn.XLOOKUP(C1720,Sales_Fact!C1720:C3704,Sales_Fact!E1720:J3704)</f>
        <v>STORE9</v>
      </c>
      <c r="H1720" s="22">
        <v>1</v>
      </c>
      <c r="I1720" s="22">
        <v>437.65</v>
      </c>
      <c r="J1720" s="22">
        <v>0.02</v>
      </c>
      <c r="K1720" s="22" t="str">
        <v>PayPal</v>
      </c>
      <c r="L1720" s="22">
        <v>428.89699999999999</v>
      </c>
    </row>
    <row r="1721" spans="1:12" x14ac:dyDescent="0.3">
      <c r="A1721" s="22" t="s">
        <v>3530</v>
      </c>
      <c r="B1721" s="34" cm="1">
        <f t="array" ref="B1721:C1721">_xlfn.XLOOKUP(A1721,Sales_Fact!A1721:A3705,Sales_Fact!B1721:C3705)</f>
        <v>45843</v>
      </c>
      <c r="C1721" s="22" t="str">
        <v>CUST1202</v>
      </c>
      <c r="D1721" s="22" t="str">
        <f>VLOOKUP('Combine Products &amp; Sales Facts'!C1721,'Customer Details'!A:B,2,0)</f>
        <v>Christina Garcia</v>
      </c>
      <c r="E1721" s="22" t="str">
        <f>VLOOKUP(C1721,Sales_Fact!C:D,2,0)</f>
        <v>PROD78</v>
      </c>
      <c r="F1721" s="22" t="str">
        <f>VLOOKUP(E1721,Product_Dim!A:C,3,0)</f>
        <v>Home</v>
      </c>
      <c r="G1721" s="22" t="str" cm="1">
        <f t="array" ref="G1721:L1721">_xlfn.XLOOKUP(C1721,Sales_Fact!C1721:C3705,Sales_Fact!E1721:J3705)</f>
        <v>STORE13</v>
      </c>
      <c r="H1721" s="22">
        <v>2</v>
      </c>
      <c r="I1721" s="22">
        <v>208.09</v>
      </c>
      <c r="J1721" s="22">
        <v>0.27</v>
      </c>
      <c r="K1721" s="22" t="str">
        <v>Credit Card</v>
      </c>
      <c r="L1721" s="22">
        <v>303.81139999999999</v>
      </c>
    </row>
    <row r="1722" spans="1:12" x14ac:dyDescent="0.3">
      <c r="A1722" s="22" t="s">
        <v>3531</v>
      </c>
      <c r="B1722" s="34" cm="1">
        <f t="array" ref="B1722:C1722">_xlfn.XLOOKUP(A1722,Sales_Fact!A1722:A3706,Sales_Fact!B1722:C3706)</f>
        <v>45482</v>
      </c>
      <c r="C1722" s="22" t="str">
        <v>CUST1054</v>
      </c>
      <c r="D1722" s="22" t="str">
        <f>VLOOKUP('Combine Products &amp; Sales Facts'!C1722,'Customer Details'!A:B,2,0)</f>
        <v>Katherine Dorsey</v>
      </c>
      <c r="E1722" s="22" t="str">
        <f>VLOOKUP(C1722,Sales_Fact!C:D,2,0)</f>
        <v>PROD88</v>
      </c>
      <c r="F1722" s="22" t="str">
        <f>VLOOKUP(E1722,Product_Dim!A:C,3,0)</f>
        <v>Sports</v>
      </c>
      <c r="G1722" s="22" t="str" cm="1">
        <f t="array" ref="G1722:L1722">_xlfn.XLOOKUP(C1722,Sales_Fact!C1722:C3706,Sales_Fact!E1722:J3706)</f>
        <v>STORE17</v>
      </c>
      <c r="H1722" s="22">
        <v>4</v>
      </c>
      <c r="I1722" s="22">
        <v>825.78</v>
      </c>
      <c r="J1722" s="22">
        <v>0.02</v>
      </c>
      <c r="K1722" s="22" t="str">
        <v>Credit Card</v>
      </c>
      <c r="L1722" s="22">
        <v>3237.0576000000001</v>
      </c>
    </row>
    <row r="1723" spans="1:12" x14ac:dyDescent="0.3">
      <c r="A1723" s="22" t="s">
        <v>3532</v>
      </c>
      <c r="B1723" s="34" cm="1">
        <f t="array" ref="B1723:C1723">_xlfn.XLOOKUP(A1723,Sales_Fact!A1723:A3707,Sales_Fact!B1723:C3707)</f>
        <v>45313</v>
      </c>
      <c r="C1723" s="22" t="str">
        <v>CUST1116</v>
      </c>
      <c r="D1723" s="22" t="str">
        <f>VLOOKUP('Combine Products &amp; Sales Facts'!C1723,'Customer Details'!A:B,2,0)</f>
        <v>Anthony Phillips</v>
      </c>
      <c r="E1723" s="22" t="str">
        <f>VLOOKUP(C1723,Sales_Fact!C:D,2,0)</f>
        <v>PROD15</v>
      </c>
      <c r="F1723" s="22" t="str">
        <f>VLOOKUP(E1723,Product_Dim!A:C,3,0)</f>
        <v>Electronics</v>
      </c>
      <c r="G1723" s="22" t="str" cm="1">
        <f t="array" ref="G1723:L1723">_xlfn.XLOOKUP(C1723,Sales_Fact!C1723:C3707,Sales_Fact!E1723:J3707)</f>
        <v>STORE17</v>
      </c>
      <c r="H1723" s="22">
        <v>3</v>
      </c>
      <c r="I1723" s="22">
        <v>849.77</v>
      </c>
      <c r="J1723" s="22">
        <v>0.12</v>
      </c>
      <c r="K1723" s="22" t="str">
        <v>PayPal</v>
      </c>
      <c r="L1723" s="22">
        <v>2243.3928000000001</v>
      </c>
    </row>
    <row r="1724" spans="1:12" x14ac:dyDescent="0.3">
      <c r="A1724" s="22" t="s">
        <v>3533</v>
      </c>
      <c r="B1724" s="34" cm="1">
        <f t="array" ref="B1724:C1724">_xlfn.XLOOKUP(A1724,Sales_Fact!A1724:A3708,Sales_Fact!B1724:C3708)</f>
        <v>45314</v>
      </c>
      <c r="C1724" s="22" t="str">
        <v>CUST1344</v>
      </c>
      <c r="D1724" s="22" t="str">
        <f>VLOOKUP('Combine Products &amp; Sales Facts'!C1724,'Customer Details'!A:B,2,0)</f>
        <v>Evelyn Brown</v>
      </c>
      <c r="E1724" s="22" t="str">
        <f>VLOOKUP(C1724,Sales_Fact!C:D,2,0)</f>
        <v>PROD89</v>
      </c>
      <c r="F1724" s="22" t="str">
        <f>VLOOKUP(E1724,Product_Dim!A:C,3,0)</f>
        <v>Beauty</v>
      </c>
      <c r="G1724" s="22" t="str" cm="1">
        <f t="array" ref="G1724:L1724">_xlfn.XLOOKUP(C1724,Sales_Fact!C1724:C3708,Sales_Fact!E1724:J3708)</f>
        <v>STORE4</v>
      </c>
      <c r="H1724" s="22">
        <v>1</v>
      </c>
      <c r="I1724" s="22">
        <v>88.78</v>
      </c>
      <c r="J1724" s="22">
        <v>0.18</v>
      </c>
      <c r="K1724" s="22" t="str">
        <v>Credit Card</v>
      </c>
      <c r="L1724" s="22">
        <v>72.799600000000012</v>
      </c>
    </row>
    <row r="1725" spans="1:12" x14ac:dyDescent="0.3">
      <c r="A1725" s="22" t="s">
        <v>3534</v>
      </c>
      <c r="B1725" s="34" cm="1">
        <f t="array" ref="B1725:C1725">_xlfn.XLOOKUP(A1725,Sales_Fact!A1725:A3709,Sales_Fact!B1725:C3709)</f>
        <v>45526</v>
      </c>
      <c r="C1725" s="22" t="str">
        <v>CUST1191</v>
      </c>
      <c r="D1725" s="22" t="str">
        <f>VLOOKUP('Combine Products &amp; Sales Facts'!C1725,'Customer Details'!A:B,2,0)</f>
        <v>Todd Poole</v>
      </c>
      <c r="E1725" s="22" t="str">
        <f>VLOOKUP(C1725,Sales_Fact!C:D,2,0)</f>
        <v>PROD17</v>
      </c>
      <c r="F1725" s="22" t="str">
        <f>VLOOKUP(E1725,Product_Dim!A:C,3,0)</f>
        <v>Sports</v>
      </c>
      <c r="G1725" s="22" t="str" cm="1">
        <f t="array" ref="G1725:L1725">_xlfn.XLOOKUP(C1725,Sales_Fact!C1725:C3709,Sales_Fact!E1725:J3709)</f>
        <v>STORE4</v>
      </c>
      <c r="H1725" s="22">
        <v>4</v>
      </c>
      <c r="I1725" s="22">
        <v>507.22</v>
      </c>
      <c r="J1725" s="22">
        <v>0.14000000000000001</v>
      </c>
      <c r="K1725" s="22" t="str">
        <v>PayPal</v>
      </c>
      <c r="L1725" s="22">
        <v>1744.8368</v>
      </c>
    </row>
    <row r="1726" spans="1:12" x14ac:dyDescent="0.3">
      <c r="A1726" s="22" t="s">
        <v>3535</v>
      </c>
      <c r="B1726" s="34" cm="1">
        <f t="array" ref="B1726:C1726">_xlfn.XLOOKUP(A1726,Sales_Fact!A1726:A3710,Sales_Fact!B1726:C3710)</f>
        <v>45887</v>
      </c>
      <c r="C1726" s="22" t="str">
        <v>CUST1316</v>
      </c>
      <c r="D1726" s="22" t="str">
        <f>VLOOKUP('Combine Products &amp; Sales Facts'!C1726,'Customer Details'!A:B,2,0)</f>
        <v>Robert House</v>
      </c>
      <c r="E1726" s="22" t="str">
        <f>VLOOKUP(C1726,Sales_Fact!C:D,2,0)</f>
        <v>PROD25</v>
      </c>
      <c r="F1726" s="22" t="str">
        <f>VLOOKUP(E1726,Product_Dim!A:C,3,0)</f>
        <v>Clothing</v>
      </c>
      <c r="G1726" s="22" t="str" cm="1">
        <f t="array" ref="G1726:L1726">_xlfn.XLOOKUP(C1726,Sales_Fact!C1726:C3710,Sales_Fact!E1726:J3710)</f>
        <v>STORE0</v>
      </c>
      <c r="H1726" s="22">
        <v>3</v>
      </c>
      <c r="I1726" s="22">
        <v>330.98</v>
      </c>
      <c r="J1726" s="22">
        <v>0.11</v>
      </c>
      <c r="K1726" s="22" t="str">
        <v>Credit Card</v>
      </c>
      <c r="L1726" s="22">
        <v>883.71660000000008</v>
      </c>
    </row>
    <row r="1727" spans="1:12" x14ac:dyDescent="0.3">
      <c r="A1727" s="22" t="s">
        <v>3536</v>
      </c>
      <c r="B1727" s="34" cm="1">
        <f t="array" ref="B1727:C1727">_xlfn.XLOOKUP(A1727,Sales_Fact!A1727:A3711,Sales_Fact!B1727:C3711)</f>
        <v>45562</v>
      </c>
      <c r="C1727" s="22" t="str">
        <v>CUST1051</v>
      </c>
      <c r="D1727" s="22" t="str">
        <f>VLOOKUP('Combine Products &amp; Sales Facts'!C1727,'Customer Details'!A:B,2,0)</f>
        <v>Sarah Rodgers</v>
      </c>
      <c r="E1727" s="22" t="str">
        <f>VLOOKUP(C1727,Sales_Fact!C:D,2,0)</f>
        <v>PROD21</v>
      </c>
      <c r="F1727" s="22" t="str">
        <f>VLOOKUP(E1727,Product_Dim!A:C,3,0)</f>
        <v>Home</v>
      </c>
      <c r="G1727" s="22" t="str" cm="1">
        <f t="array" ref="G1727:L1727">_xlfn.XLOOKUP(C1727,Sales_Fact!C1727:C3711,Sales_Fact!E1727:J3711)</f>
        <v>STORE19</v>
      </c>
      <c r="H1727" s="22">
        <v>4</v>
      </c>
      <c r="I1727" s="22">
        <v>442.87</v>
      </c>
      <c r="J1727" s="22">
        <v>0.08</v>
      </c>
      <c r="K1727" s="22" t="str">
        <v>Credit Card</v>
      </c>
      <c r="L1727" s="22">
        <v>1629.7616</v>
      </c>
    </row>
    <row r="1728" spans="1:12" x14ac:dyDescent="0.3">
      <c r="A1728" s="22" t="s">
        <v>3537</v>
      </c>
      <c r="B1728" s="34" cm="1">
        <f t="array" ref="B1728:C1728">_xlfn.XLOOKUP(A1728,Sales_Fact!A1728:A3712,Sales_Fact!B1728:C3712)</f>
        <v>45880</v>
      </c>
      <c r="C1728" s="22" t="str">
        <v>CUST1009</v>
      </c>
      <c r="D1728" s="22" t="str">
        <f>VLOOKUP('Combine Products &amp; Sales Facts'!C1728,'Customer Details'!A:B,2,0)</f>
        <v>Ms. Maria Leach</v>
      </c>
      <c r="E1728" s="22" t="str">
        <f>VLOOKUP(C1728,Sales_Fact!C:D,2,0)</f>
        <v>PROD78</v>
      </c>
      <c r="F1728" s="22" t="str">
        <f>VLOOKUP(E1728,Product_Dim!A:C,3,0)</f>
        <v>Home</v>
      </c>
      <c r="G1728" s="22" t="str" cm="1">
        <f t="array" ref="G1728:L1728">_xlfn.XLOOKUP(C1728,Sales_Fact!C1728:C3712,Sales_Fact!E1728:J3712)</f>
        <v>STORE2</v>
      </c>
      <c r="H1728" s="22">
        <v>2</v>
      </c>
      <c r="I1728" s="22">
        <v>939.66</v>
      </c>
      <c r="J1728" s="22">
        <v>0.14000000000000001</v>
      </c>
      <c r="K1728" s="22" t="str">
        <v>PayPal</v>
      </c>
      <c r="L1728" s="22">
        <v>1616.2152000000001</v>
      </c>
    </row>
    <row r="1729" spans="1:12" x14ac:dyDescent="0.3">
      <c r="A1729" s="22" t="s">
        <v>3538</v>
      </c>
      <c r="B1729" s="34" cm="1">
        <f t="array" ref="B1729:C1729">_xlfn.XLOOKUP(A1729,Sales_Fact!A1729:A3713,Sales_Fact!B1729:C3713)</f>
        <v>45556</v>
      </c>
      <c r="C1729" s="22" t="str">
        <v>CUST1293</v>
      </c>
      <c r="D1729" s="22" t="str">
        <f>VLOOKUP('Combine Products &amp; Sales Facts'!C1729,'Customer Details'!A:B,2,0)</f>
        <v>Gloria Taylor</v>
      </c>
      <c r="E1729" s="22" t="str">
        <f>VLOOKUP(C1729,Sales_Fact!C:D,2,0)</f>
        <v>PROD20</v>
      </c>
      <c r="F1729" s="22" t="str">
        <f>VLOOKUP(E1729,Product_Dim!A:C,3,0)</f>
        <v>Sports</v>
      </c>
      <c r="G1729" s="22" t="str" cm="1">
        <f t="array" ref="G1729:L1729">_xlfn.XLOOKUP(C1729,Sales_Fact!C1729:C3713,Sales_Fact!E1729:J3713)</f>
        <v>STORE3</v>
      </c>
      <c r="H1729" s="22">
        <v>1</v>
      </c>
      <c r="I1729" s="22">
        <v>24.13</v>
      </c>
      <c r="J1729" s="22">
        <v>0</v>
      </c>
      <c r="K1729" s="22" t="str">
        <v>Credit Card</v>
      </c>
      <c r="L1729" s="22">
        <v>24.13</v>
      </c>
    </row>
    <row r="1730" spans="1:12" x14ac:dyDescent="0.3">
      <c r="A1730" s="22" t="s">
        <v>3539</v>
      </c>
      <c r="B1730" s="34" cm="1">
        <f t="array" ref="B1730:C1730">_xlfn.XLOOKUP(A1730,Sales_Fact!A1730:A3714,Sales_Fact!B1730:C3714)</f>
        <v>45355</v>
      </c>
      <c r="C1730" s="22" t="str">
        <v>CUST1364</v>
      </c>
      <c r="D1730" s="22" t="str">
        <f>VLOOKUP('Combine Products &amp; Sales Facts'!C1730,'Customer Details'!A:B,2,0)</f>
        <v>Chloe Aguilar</v>
      </c>
      <c r="E1730" s="22" t="str">
        <f>VLOOKUP(C1730,Sales_Fact!C:D,2,0)</f>
        <v>PROD65</v>
      </c>
      <c r="F1730" s="22" t="str">
        <f>VLOOKUP(E1730,Product_Dim!A:C,3,0)</f>
        <v>Sports</v>
      </c>
      <c r="G1730" s="22" t="str" cm="1">
        <f t="array" ref="G1730:L1730">_xlfn.XLOOKUP(C1730,Sales_Fact!C1730:C3714,Sales_Fact!E1730:J3714)</f>
        <v>STORE3</v>
      </c>
      <c r="H1730" s="22">
        <v>3</v>
      </c>
      <c r="I1730" s="22">
        <v>239.54</v>
      </c>
      <c r="J1730" s="22">
        <v>0.28999999999999998</v>
      </c>
      <c r="K1730" s="22" t="str">
        <v>COD</v>
      </c>
      <c r="L1730" s="22">
        <v>510.22019999999998</v>
      </c>
    </row>
    <row r="1731" spans="1:12" x14ac:dyDescent="0.3">
      <c r="A1731" s="22" t="s">
        <v>3540</v>
      </c>
      <c r="B1731" s="34" cm="1">
        <f t="array" ref="B1731:C1731">_xlfn.XLOOKUP(A1731,Sales_Fact!A1731:A3715,Sales_Fact!B1731:C3715)</f>
        <v>45244</v>
      </c>
      <c r="C1731" s="22" t="str">
        <v>CUST1482</v>
      </c>
      <c r="D1731" s="22" t="str">
        <f>VLOOKUP('Combine Products &amp; Sales Facts'!C1731,'Customer Details'!A:B,2,0)</f>
        <v>Sheri Joyce</v>
      </c>
      <c r="E1731" s="22" t="str">
        <f>VLOOKUP(C1731,Sales_Fact!C:D,2,0)</f>
        <v>PROD68</v>
      </c>
      <c r="F1731" s="22" t="str">
        <f>VLOOKUP(E1731,Product_Dim!A:C,3,0)</f>
        <v>Home</v>
      </c>
      <c r="G1731" s="22" t="str" cm="1">
        <f t="array" ref="G1731:L1731">_xlfn.XLOOKUP(C1731,Sales_Fact!C1731:C3715,Sales_Fact!E1731:J3715)</f>
        <v>STORE14</v>
      </c>
      <c r="H1731" s="22">
        <v>1</v>
      </c>
      <c r="I1731" s="22">
        <v>588.53</v>
      </c>
      <c r="J1731" s="22">
        <v>0.1</v>
      </c>
      <c r="K1731" s="22" t="str">
        <v>Credit Card</v>
      </c>
      <c r="L1731" s="22">
        <v>529.67700000000002</v>
      </c>
    </row>
    <row r="1732" spans="1:12" x14ac:dyDescent="0.3">
      <c r="A1732" s="22" t="s">
        <v>3541</v>
      </c>
      <c r="B1732" s="34" cm="1">
        <f t="array" ref="B1732:C1732">_xlfn.XLOOKUP(A1732,Sales_Fact!A1732:A3716,Sales_Fact!B1732:C3716)</f>
        <v>45863</v>
      </c>
      <c r="C1732" s="22" t="str">
        <v>CUST1288</v>
      </c>
      <c r="D1732" s="22" t="str">
        <f>VLOOKUP('Combine Products &amp; Sales Facts'!C1732,'Customer Details'!A:B,2,0)</f>
        <v>Misty Ferguson</v>
      </c>
      <c r="E1732" s="22" t="str">
        <f>VLOOKUP(C1732,Sales_Fact!C:D,2,0)</f>
        <v>PROD3</v>
      </c>
      <c r="F1732" s="22" t="str">
        <f>VLOOKUP(E1732,Product_Dim!A:C,3,0)</f>
        <v>Clothing</v>
      </c>
      <c r="G1732" s="22" t="str" cm="1">
        <f t="array" ref="G1732:L1732">_xlfn.XLOOKUP(C1732,Sales_Fact!C1732:C3716,Sales_Fact!E1732:J3716)</f>
        <v>STORE15</v>
      </c>
      <c r="H1732" s="22">
        <v>1</v>
      </c>
      <c r="I1732" s="22">
        <v>145.96</v>
      </c>
      <c r="J1732" s="22">
        <v>0.3</v>
      </c>
      <c r="K1732" s="22" t="str">
        <v>Credit Card</v>
      </c>
      <c r="L1732" s="22">
        <v>102.172</v>
      </c>
    </row>
    <row r="1733" spans="1:12" x14ac:dyDescent="0.3">
      <c r="A1733" s="22" t="s">
        <v>3542</v>
      </c>
      <c r="B1733" s="34" cm="1">
        <f t="array" ref="B1733:C1733">_xlfn.XLOOKUP(A1733,Sales_Fact!A1733:A3717,Sales_Fact!B1733:C3717)</f>
        <v>45573</v>
      </c>
      <c r="C1733" s="22" t="str">
        <v>CUST1101</v>
      </c>
      <c r="D1733" s="22" t="str">
        <f>VLOOKUP('Combine Products &amp; Sales Facts'!C1733,'Customer Details'!A:B,2,0)</f>
        <v>Colleen Maynard</v>
      </c>
      <c r="E1733" s="22" t="str">
        <f>VLOOKUP(C1733,Sales_Fact!C:D,2,0)</f>
        <v>PROD89</v>
      </c>
      <c r="F1733" s="22" t="str">
        <f>VLOOKUP(E1733,Product_Dim!A:C,3,0)</f>
        <v>Beauty</v>
      </c>
      <c r="G1733" s="22" t="str" cm="1">
        <f t="array" ref="G1733:L1733">_xlfn.XLOOKUP(C1733,Sales_Fact!C1733:C3717,Sales_Fact!E1733:J3717)</f>
        <v>STORE4</v>
      </c>
      <c r="H1733" s="22">
        <v>4</v>
      </c>
      <c r="I1733" s="22">
        <v>640.91</v>
      </c>
      <c r="J1733" s="22">
        <v>0.06</v>
      </c>
      <c r="K1733" s="22" t="str">
        <v>Credit Card</v>
      </c>
      <c r="L1733" s="22">
        <v>2409.8216000000002</v>
      </c>
    </row>
    <row r="1734" spans="1:12" x14ac:dyDescent="0.3">
      <c r="A1734" s="22" t="s">
        <v>3543</v>
      </c>
      <c r="B1734" s="34" cm="1">
        <f t="array" ref="B1734:C1734">_xlfn.XLOOKUP(A1734,Sales_Fact!A1734:A3718,Sales_Fact!B1734:C3718)</f>
        <v>45792</v>
      </c>
      <c r="C1734" s="22" t="str">
        <v>CUST1042</v>
      </c>
      <c r="D1734" s="22" t="str">
        <f>VLOOKUP('Combine Products &amp; Sales Facts'!C1734,'Customer Details'!A:B,2,0)</f>
        <v>William Martin</v>
      </c>
      <c r="E1734" s="22" t="str">
        <f>VLOOKUP(C1734,Sales_Fact!C:D,2,0)</f>
        <v>PROD51</v>
      </c>
      <c r="F1734" s="22" t="str">
        <f>VLOOKUP(E1734,Product_Dim!A:C,3,0)</f>
        <v>Electronics</v>
      </c>
      <c r="G1734" s="22" t="str" cm="1">
        <f t="array" ref="G1734:L1734">_xlfn.XLOOKUP(C1734,Sales_Fact!C1734:C3718,Sales_Fact!E1734:J3718)</f>
        <v>STORE11</v>
      </c>
      <c r="H1734" s="22">
        <v>3</v>
      </c>
      <c r="I1734" s="22">
        <v>773.86</v>
      </c>
      <c r="J1734" s="22">
        <v>0.22</v>
      </c>
      <c r="K1734" s="22" t="str">
        <v>Credit Card</v>
      </c>
      <c r="L1734" s="22">
        <v>1810.8324</v>
      </c>
    </row>
    <row r="1735" spans="1:12" x14ac:dyDescent="0.3">
      <c r="A1735" s="22" t="s">
        <v>3544</v>
      </c>
      <c r="B1735" s="34" cm="1">
        <f t="array" ref="B1735:C1735">_xlfn.XLOOKUP(A1735,Sales_Fact!A1735:A3719,Sales_Fact!B1735:C3719)</f>
        <v>45744</v>
      </c>
      <c r="C1735" s="22" t="str">
        <v>CUST1463</v>
      </c>
      <c r="D1735" s="22" t="str">
        <f>VLOOKUP('Combine Products &amp; Sales Facts'!C1735,'Customer Details'!A:B,2,0)</f>
        <v>Samantha Lee</v>
      </c>
      <c r="E1735" s="22" t="str">
        <f>VLOOKUP(C1735,Sales_Fact!C:D,2,0)</f>
        <v>PROD8</v>
      </c>
      <c r="F1735" s="22" t="str">
        <f>VLOOKUP(E1735,Product_Dim!A:C,3,0)</f>
        <v>Electronics</v>
      </c>
      <c r="G1735" s="22" t="str" cm="1">
        <f t="array" ref="G1735:L1735">_xlfn.XLOOKUP(C1735,Sales_Fact!C1735:C3719,Sales_Fact!E1735:J3719)</f>
        <v>STORE15</v>
      </c>
      <c r="H1735" s="22">
        <v>2</v>
      </c>
      <c r="I1735" s="22">
        <v>31.28</v>
      </c>
      <c r="J1735" s="22">
        <v>0.2</v>
      </c>
      <c r="K1735" s="22" t="str">
        <v>COD</v>
      </c>
      <c r="L1735" s="22">
        <v>50.048000000000002</v>
      </c>
    </row>
    <row r="1736" spans="1:12" x14ac:dyDescent="0.3">
      <c r="A1736" s="22" t="s">
        <v>3545</v>
      </c>
      <c r="B1736" s="34" cm="1">
        <f t="array" ref="B1736:C1736">_xlfn.XLOOKUP(A1736,Sales_Fact!A1736:A3720,Sales_Fact!B1736:C3720)</f>
        <v>45842</v>
      </c>
      <c r="C1736" s="22" t="str">
        <v>CUST1373</v>
      </c>
      <c r="D1736" s="22" t="str">
        <f>VLOOKUP('Combine Products &amp; Sales Facts'!C1736,'Customer Details'!A:B,2,0)</f>
        <v>James Orozco</v>
      </c>
      <c r="E1736" s="22" t="str">
        <f>VLOOKUP(C1736,Sales_Fact!C:D,2,0)</f>
        <v>PROD72</v>
      </c>
      <c r="F1736" s="22" t="str">
        <f>VLOOKUP(E1736,Product_Dim!A:C,3,0)</f>
        <v>Sports</v>
      </c>
      <c r="G1736" s="22" t="str" cm="1">
        <f t="array" ref="G1736:L1736">_xlfn.XLOOKUP(C1736,Sales_Fact!C1736:C3720,Sales_Fact!E1736:J3720)</f>
        <v>STORE6</v>
      </c>
      <c r="H1736" s="22">
        <v>4</v>
      </c>
      <c r="I1736" s="22">
        <v>389.22</v>
      </c>
      <c r="J1736" s="22">
        <v>0.18</v>
      </c>
      <c r="K1736" s="22" t="str">
        <v>Credit Card</v>
      </c>
      <c r="L1736" s="22">
        <v>1276.6415999999999</v>
      </c>
    </row>
    <row r="1737" spans="1:12" x14ac:dyDescent="0.3">
      <c r="A1737" s="22" t="s">
        <v>3546</v>
      </c>
      <c r="B1737" s="34" cm="1">
        <f t="array" ref="B1737:C1737">_xlfn.XLOOKUP(A1737,Sales_Fact!A1737:A3721,Sales_Fact!B1737:C3721)</f>
        <v>45502</v>
      </c>
      <c r="C1737" s="22" t="str">
        <v>CUST1015</v>
      </c>
      <c r="D1737" s="22" t="str">
        <f>VLOOKUP('Combine Products &amp; Sales Facts'!C1737,'Customer Details'!A:B,2,0)</f>
        <v>Laura Alvarez</v>
      </c>
      <c r="E1737" s="22" t="str">
        <f>VLOOKUP(C1737,Sales_Fact!C:D,2,0)</f>
        <v>PROD18</v>
      </c>
      <c r="F1737" s="22" t="str">
        <f>VLOOKUP(E1737,Product_Dim!A:C,3,0)</f>
        <v>Clothing</v>
      </c>
      <c r="G1737" s="22" t="str" cm="1">
        <f t="array" ref="G1737:L1737">_xlfn.XLOOKUP(C1737,Sales_Fact!C1737:C3721,Sales_Fact!E1737:J3721)</f>
        <v>STORE15</v>
      </c>
      <c r="H1737" s="22">
        <v>3</v>
      </c>
      <c r="I1737" s="22">
        <v>543.44000000000005</v>
      </c>
      <c r="J1737" s="22">
        <v>0.13</v>
      </c>
      <c r="K1737" s="22" t="str">
        <v>PayPal</v>
      </c>
      <c r="L1737" s="22">
        <v>1418.3784000000001</v>
      </c>
    </row>
    <row r="1738" spans="1:12" x14ac:dyDescent="0.3">
      <c r="A1738" s="22" t="s">
        <v>3547</v>
      </c>
      <c r="B1738" s="34" cm="1">
        <f t="array" ref="B1738:C1738">_xlfn.XLOOKUP(A1738,Sales_Fact!A1738:A3722,Sales_Fact!B1738:C3722)</f>
        <v>45296</v>
      </c>
      <c r="C1738" s="22" t="str">
        <v>CUST1257</v>
      </c>
      <c r="D1738" s="22" t="str">
        <f>VLOOKUP('Combine Products &amp; Sales Facts'!C1738,'Customer Details'!A:B,2,0)</f>
        <v>Christopher David</v>
      </c>
      <c r="E1738" s="22" t="str">
        <f>VLOOKUP(C1738,Sales_Fact!C:D,2,0)</f>
        <v>PROD85</v>
      </c>
      <c r="F1738" s="22" t="str">
        <f>VLOOKUP(E1738,Product_Dim!A:C,3,0)</f>
        <v>Clothing</v>
      </c>
      <c r="G1738" s="22" t="str" cm="1">
        <f t="array" ref="G1738:L1738">_xlfn.XLOOKUP(C1738,Sales_Fact!C1738:C3722,Sales_Fact!E1738:J3722)</f>
        <v>STORE19</v>
      </c>
      <c r="H1738" s="22">
        <v>4</v>
      </c>
      <c r="I1738" s="22">
        <v>715.42</v>
      </c>
      <c r="J1738" s="22">
        <v>0.28999999999999998</v>
      </c>
      <c r="K1738" s="22" t="str">
        <v>PayPal</v>
      </c>
      <c r="L1738" s="22">
        <v>2031.7927999999999</v>
      </c>
    </row>
    <row r="1739" spans="1:12" x14ac:dyDescent="0.3">
      <c r="A1739" s="22" t="s">
        <v>3548</v>
      </c>
      <c r="B1739" s="34" cm="1">
        <f t="array" ref="B1739:C1739">_xlfn.XLOOKUP(A1739,Sales_Fact!A1739:A3723,Sales_Fact!B1739:C3723)</f>
        <v>45886</v>
      </c>
      <c r="C1739" s="22" t="str">
        <v>CUST1051</v>
      </c>
      <c r="D1739" s="22" t="str">
        <f>VLOOKUP('Combine Products &amp; Sales Facts'!C1739,'Customer Details'!A:B,2,0)</f>
        <v>Sarah Rodgers</v>
      </c>
      <c r="E1739" s="22" t="str">
        <f>VLOOKUP(C1739,Sales_Fact!C:D,2,0)</f>
        <v>PROD21</v>
      </c>
      <c r="F1739" s="22" t="str">
        <f>VLOOKUP(E1739,Product_Dim!A:C,3,0)</f>
        <v>Home</v>
      </c>
      <c r="G1739" s="22" t="str" cm="1">
        <f t="array" ref="G1739:L1739">_xlfn.XLOOKUP(C1739,Sales_Fact!C1739:C3723,Sales_Fact!E1739:J3723)</f>
        <v>STORE4</v>
      </c>
      <c r="H1739" s="22">
        <v>4</v>
      </c>
      <c r="I1739" s="22">
        <v>676.14</v>
      </c>
      <c r="J1739" s="22">
        <v>0.11</v>
      </c>
      <c r="K1739" s="22" t="str">
        <v>COD</v>
      </c>
      <c r="L1739" s="22">
        <v>2407.0583999999999</v>
      </c>
    </row>
    <row r="1740" spans="1:12" x14ac:dyDescent="0.3">
      <c r="A1740" s="22" t="s">
        <v>3549</v>
      </c>
      <c r="B1740" s="34" cm="1">
        <f t="array" ref="B1740:C1740">_xlfn.XLOOKUP(A1740,Sales_Fact!A1740:A3724,Sales_Fact!B1740:C3724)</f>
        <v>45425</v>
      </c>
      <c r="C1740" s="22" t="str">
        <v>CUST1089</v>
      </c>
      <c r="D1740" s="22" t="str">
        <f>VLOOKUP('Combine Products &amp; Sales Facts'!C1740,'Customer Details'!A:B,2,0)</f>
        <v>Jamie Yoder</v>
      </c>
      <c r="E1740" s="22" t="str">
        <f>VLOOKUP(C1740,Sales_Fact!C:D,2,0)</f>
        <v>PROD57</v>
      </c>
      <c r="F1740" s="22" t="str">
        <f>VLOOKUP(E1740,Product_Dim!A:C,3,0)</f>
        <v>Sports</v>
      </c>
      <c r="G1740" s="22" t="str" cm="1">
        <f t="array" ref="G1740:L1740">_xlfn.XLOOKUP(C1740,Sales_Fact!C1740:C3724,Sales_Fact!E1740:J3724)</f>
        <v>STORE1</v>
      </c>
      <c r="H1740" s="22">
        <v>4</v>
      </c>
      <c r="I1740" s="22">
        <v>352.72</v>
      </c>
      <c r="J1740" s="22">
        <v>0.25</v>
      </c>
      <c r="K1740" s="22" t="str">
        <v>Credit Card</v>
      </c>
      <c r="L1740" s="22">
        <v>1058.1600000000001</v>
      </c>
    </row>
    <row r="1741" spans="1:12" x14ac:dyDescent="0.3">
      <c r="A1741" s="22" t="s">
        <v>3550</v>
      </c>
      <c r="B1741" s="34" cm="1">
        <f t="array" ref="B1741:C1741">_xlfn.XLOOKUP(A1741,Sales_Fact!A1741:A3725,Sales_Fact!B1741:C3725)</f>
        <v>45797</v>
      </c>
      <c r="C1741" s="22" t="str">
        <v>CUST1173</v>
      </c>
      <c r="D1741" s="22" t="str">
        <f>VLOOKUP('Combine Products &amp; Sales Facts'!C1741,'Customer Details'!A:B,2,0)</f>
        <v>Teresa Stokes</v>
      </c>
      <c r="E1741" s="22" t="str">
        <f>VLOOKUP(C1741,Sales_Fact!C:D,2,0)</f>
        <v>PROD20</v>
      </c>
      <c r="F1741" s="22" t="str">
        <f>VLOOKUP(E1741,Product_Dim!A:C,3,0)</f>
        <v>Sports</v>
      </c>
      <c r="G1741" s="22" t="str" cm="1">
        <f t="array" ref="G1741:L1741">_xlfn.XLOOKUP(C1741,Sales_Fact!C1741:C3725,Sales_Fact!E1741:J3725)</f>
        <v>STORE12</v>
      </c>
      <c r="H1741" s="22">
        <v>1</v>
      </c>
      <c r="I1741" s="22">
        <v>470.18</v>
      </c>
      <c r="J1741" s="22">
        <v>0.19</v>
      </c>
      <c r="K1741" s="22" t="str">
        <v>PayPal</v>
      </c>
      <c r="L1741" s="22">
        <v>380.84580000000011</v>
      </c>
    </row>
    <row r="1742" spans="1:12" x14ac:dyDescent="0.3">
      <c r="A1742" s="22" t="s">
        <v>3551</v>
      </c>
      <c r="B1742" s="34" cm="1">
        <f t="array" ref="B1742:C1742">_xlfn.XLOOKUP(A1742,Sales_Fact!A1742:A3726,Sales_Fact!B1742:C3726)</f>
        <v>45898</v>
      </c>
      <c r="C1742" s="22" t="str">
        <v>CUST1230</v>
      </c>
      <c r="D1742" s="22" t="str">
        <f>VLOOKUP('Combine Products &amp; Sales Facts'!C1742,'Customer Details'!A:B,2,0)</f>
        <v>Timothy Sanders</v>
      </c>
      <c r="E1742" s="22" t="str">
        <f>VLOOKUP(C1742,Sales_Fact!C:D,2,0)</f>
        <v>PROD68</v>
      </c>
      <c r="F1742" s="22" t="str">
        <f>VLOOKUP(E1742,Product_Dim!A:C,3,0)</f>
        <v>Home</v>
      </c>
      <c r="G1742" s="22" t="str" cm="1">
        <f t="array" ref="G1742:L1742">_xlfn.XLOOKUP(C1742,Sales_Fact!C1742:C3726,Sales_Fact!E1742:J3726)</f>
        <v>STORE11</v>
      </c>
      <c r="H1742" s="22">
        <v>1</v>
      </c>
      <c r="I1742" s="22">
        <v>891.79</v>
      </c>
      <c r="J1742" s="22">
        <v>0.03</v>
      </c>
      <c r="K1742" s="22" t="str">
        <v>Credit Card</v>
      </c>
      <c r="L1742" s="22">
        <v>865.03629999999998</v>
      </c>
    </row>
    <row r="1743" spans="1:12" x14ac:dyDescent="0.3">
      <c r="A1743" s="22" t="s">
        <v>3552</v>
      </c>
      <c r="B1743" s="34" cm="1">
        <f t="array" ref="B1743:C1743">_xlfn.XLOOKUP(A1743,Sales_Fact!A1743:A3727,Sales_Fact!B1743:C3727)</f>
        <v>45390</v>
      </c>
      <c r="C1743" s="22" t="str">
        <v>CUST1348</v>
      </c>
      <c r="D1743" s="22" t="str">
        <f>VLOOKUP('Combine Products &amp; Sales Facts'!C1743,'Customer Details'!A:B,2,0)</f>
        <v>Sherry Cabrera</v>
      </c>
      <c r="E1743" s="22" t="str">
        <f>VLOOKUP(C1743,Sales_Fact!C:D,2,0)</f>
        <v>PROD24</v>
      </c>
      <c r="F1743" s="22" t="str">
        <f>VLOOKUP(E1743,Product_Dim!A:C,3,0)</f>
        <v>Sports</v>
      </c>
      <c r="G1743" s="22" t="str" cm="1">
        <f t="array" ref="G1743:L1743">_xlfn.XLOOKUP(C1743,Sales_Fact!C1743:C3727,Sales_Fact!E1743:J3727)</f>
        <v>STORE17</v>
      </c>
      <c r="H1743" s="22">
        <v>2</v>
      </c>
      <c r="I1743" s="22">
        <v>433.07</v>
      </c>
      <c r="J1743" s="22">
        <v>0.25</v>
      </c>
      <c r="K1743" s="22" t="str">
        <v>COD</v>
      </c>
      <c r="L1743" s="22">
        <v>649.60500000000002</v>
      </c>
    </row>
    <row r="1744" spans="1:12" x14ac:dyDescent="0.3">
      <c r="A1744" s="22" t="s">
        <v>3553</v>
      </c>
      <c r="B1744" s="34" cm="1">
        <f t="array" ref="B1744:C1744">_xlfn.XLOOKUP(A1744,Sales_Fact!A1744:A3728,Sales_Fact!B1744:C3728)</f>
        <v>45355</v>
      </c>
      <c r="C1744" s="22" t="str">
        <v>CUST1012</v>
      </c>
      <c r="D1744" s="22" t="str">
        <f>VLOOKUP('Combine Products &amp; Sales Facts'!C1744,'Customer Details'!A:B,2,0)</f>
        <v>Kenneth Lambert</v>
      </c>
      <c r="E1744" s="22" t="str">
        <f>VLOOKUP(C1744,Sales_Fact!C:D,2,0)</f>
        <v>PROD27</v>
      </c>
      <c r="F1744" s="22" t="str">
        <f>VLOOKUP(E1744,Product_Dim!A:C,3,0)</f>
        <v>Home</v>
      </c>
      <c r="G1744" s="22" t="str" cm="1">
        <f t="array" ref="G1744:L1744">_xlfn.XLOOKUP(C1744,Sales_Fact!C1744:C3728,Sales_Fact!E1744:J3728)</f>
        <v>STORE19</v>
      </c>
      <c r="H1744" s="22">
        <v>3</v>
      </c>
      <c r="I1744" s="22">
        <v>626.71</v>
      </c>
      <c r="J1744" s="22">
        <v>7.0000000000000007E-2</v>
      </c>
      <c r="K1744" s="22" t="str">
        <v>COD</v>
      </c>
      <c r="L1744" s="22">
        <v>1748.5209</v>
      </c>
    </row>
    <row r="1745" spans="1:12" x14ac:dyDescent="0.3">
      <c r="A1745" s="22" t="s">
        <v>3554</v>
      </c>
      <c r="B1745" s="34" cm="1">
        <f t="array" ref="B1745:C1745">_xlfn.XLOOKUP(A1745,Sales_Fact!A1745:A3729,Sales_Fact!B1745:C3729)</f>
        <v>45916</v>
      </c>
      <c r="C1745" s="22" t="str">
        <v>CUST1076</v>
      </c>
      <c r="D1745" s="22" t="str">
        <f>VLOOKUP('Combine Products &amp; Sales Facts'!C1745,'Customer Details'!A:B,2,0)</f>
        <v>Nathan Campbell</v>
      </c>
      <c r="E1745" s="22" t="str">
        <f>VLOOKUP(C1745,Sales_Fact!C:D,2,0)</f>
        <v>PROD32</v>
      </c>
      <c r="F1745" s="22" t="str">
        <f>VLOOKUP(E1745,Product_Dim!A:C,3,0)</f>
        <v>Beauty</v>
      </c>
      <c r="G1745" s="22" t="str" cm="1">
        <f t="array" ref="G1745:L1745">_xlfn.XLOOKUP(C1745,Sales_Fact!C1745:C3729,Sales_Fact!E1745:J3729)</f>
        <v>STORE0</v>
      </c>
      <c r="H1745" s="22">
        <v>2</v>
      </c>
      <c r="I1745" s="22">
        <v>324.18</v>
      </c>
      <c r="J1745" s="22">
        <v>0.06</v>
      </c>
      <c r="K1745" s="22" t="str">
        <v>COD</v>
      </c>
      <c r="L1745" s="22">
        <v>609.45839999999998</v>
      </c>
    </row>
    <row r="1746" spans="1:12" x14ac:dyDescent="0.3">
      <c r="A1746" s="22" t="s">
        <v>3555</v>
      </c>
      <c r="B1746" s="34" cm="1">
        <f t="array" ref="B1746:C1746">_xlfn.XLOOKUP(A1746,Sales_Fact!A1746:A3730,Sales_Fact!B1746:C3730)</f>
        <v>45448</v>
      </c>
      <c r="C1746" s="22" t="str">
        <v>CUST1013</v>
      </c>
      <c r="D1746" s="22" t="str">
        <f>VLOOKUP('Combine Products &amp; Sales Facts'!C1746,'Customer Details'!A:B,2,0)</f>
        <v>Nathan Hernandez</v>
      </c>
      <c r="E1746" s="22" t="str">
        <f>VLOOKUP(C1746,Sales_Fact!C:D,2,0)</f>
        <v>PROD24</v>
      </c>
      <c r="F1746" s="22" t="str">
        <f>VLOOKUP(E1746,Product_Dim!A:C,3,0)</f>
        <v>Sports</v>
      </c>
      <c r="G1746" s="22" t="str" cm="1">
        <f t="array" ref="G1746:L1746">_xlfn.XLOOKUP(C1746,Sales_Fact!C1746:C3730,Sales_Fact!E1746:J3730)</f>
        <v>STORE17</v>
      </c>
      <c r="H1746" s="22">
        <v>4</v>
      </c>
      <c r="I1746" s="22">
        <v>839.74</v>
      </c>
      <c r="J1746" s="22">
        <v>0.13</v>
      </c>
      <c r="K1746" s="22" t="str">
        <v>PayPal</v>
      </c>
      <c r="L1746" s="22">
        <v>2922.2952</v>
      </c>
    </row>
    <row r="1747" spans="1:12" x14ac:dyDescent="0.3">
      <c r="A1747" s="22" t="s">
        <v>3556</v>
      </c>
      <c r="B1747" s="34" cm="1">
        <f t="array" ref="B1747:C1747">_xlfn.XLOOKUP(A1747,Sales_Fact!A1747:A3731,Sales_Fact!B1747:C3731)</f>
        <v>45402</v>
      </c>
      <c r="C1747" s="22" t="str">
        <v>CUST1156</v>
      </c>
      <c r="D1747" s="22" t="str">
        <f>VLOOKUP('Combine Products &amp; Sales Facts'!C1747,'Customer Details'!A:B,2,0)</f>
        <v>Maria Sanchez</v>
      </c>
      <c r="E1747" s="22" t="str">
        <f>VLOOKUP(C1747,Sales_Fact!C:D,2,0)</f>
        <v>PROD49</v>
      </c>
      <c r="F1747" s="22" t="str">
        <f>VLOOKUP(E1747,Product_Dim!A:C,3,0)</f>
        <v>Beauty</v>
      </c>
      <c r="G1747" s="22" t="str" cm="1">
        <f t="array" ref="G1747:L1747">_xlfn.XLOOKUP(C1747,Sales_Fact!C1747:C3731,Sales_Fact!E1747:J3731)</f>
        <v>STORE15</v>
      </c>
      <c r="H1747" s="22">
        <v>3</v>
      </c>
      <c r="I1747" s="22">
        <v>252.63</v>
      </c>
      <c r="J1747" s="22">
        <v>0.28000000000000003</v>
      </c>
      <c r="K1747" s="22" t="str">
        <v>Credit Card</v>
      </c>
      <c r="L1747" s="22">
        <v>545.68079999999998</v>
      </c>
    </row>
    <row r="1748" spans="1:12" x14ac:dyDescent="0.3">
      <c r="A1748" s="22" t="s">
        <v>3557</v>
      </c>
      <c r="B1748" s="34" cm="1">
        <f t="array" ref="B1748:C1748">_xlfn.XLOOKUP(A1748,Sales_Fact!A1748:A3732,Sales_Fact!B1748:C3732)</f>
        <v>45581</v>
      </c>
      <c r="C1748" s="22" t="str">
        <v>CUST1255</v>
      </c>
      <c r="D1748" s="22" t="str">
        <f>VLOOKUP('Combine Products &amp; Sales Facts'!C1748,'Customer Details'!A:B,2,0)</f>
        <v>Damon Perez</v>
      </c>
      <c r="E1748" s="22" t="str">
        <f>VLOOKUP(C1748,Sales_Fact!C:D,2,0)</f>
        <v>PROD72</v>
      </c>
      <c r="F1748" s="22" t="str">
        <f>VLOOKUP(E1748,Product_Dim!A:C,3,0)</f>
        <v>Sports</v>
      </c>
      <c r="G1748" s="22" t="str" cm="1">
        <f t="array" ref="G1748:L1748">_xlfn.XLOOKUP(C1748,Sales_Fact!C1748:C3732,Sales_Fact!E1748:J3732)</f>
        <v>STORE19</v>
      </c>
      <c r="H1748" s="22">
        <v>2</v>
      </c>
      <c r="I1748" s="22">
        <v>60.53</v>
      </c>
      <c r="J1748" s="22">
        <v>0.18</v>
      </c>
      <c r="K1748" s="22" t="str">
        <v>Credit Card</v>
      </c>
      <c r="L1748" s="22">
        <v>99.269200000000012</v>
      </c>
    </row>
    <row r="1749" spans="1:12" x14ac:dyDescent="0.3">
      <c r="A1749" s="22" t="s">
        <v>3558</v>
      </c>
      <c r="B1749" s="34" cm="1">
        <f t="array" ref="B1749:C1749">_xlfn.XLOOKUP(A1749,Sales_Fact!A1749:A3733,Sales_Fact!B1749:C3733)</f>
        <v>45610</v>
      </c>
      <c r="C1749" s="22" t="str">
        <v>CUST1054</v>
      </c>
      <c r="D1749" s="22" t="str">
        <f>VLOOKUP('Combine Products &amp; Sales Facts'!C1749,'Customer Details'!A:B,2,0)</f>
        <v>Katherine Dorsey</v>
      </c>
      <c r="E1749" s="22" t="str">
        <f>VLOOKUP(C1749,Sales_Fact!C:D,2,0)</f>
        <v>PROD88</v>
      </c>
      <c r="F1749" s="22" t="str">
        <f>VLOOKUP(E1749,Product_Dim!A:C,3,0)</f>
        <v>Sports</v>
      </c>
      <c r="G1749" s="22" t="str" cm="1">
        <f t="array" ref="G1749:L1749">_xlfn.XLOOKUP(C1749,Sales_Fact!C1749:C3733,Sales_Fact!E1749:J3733)</f>
        <v>STORE13</v>
      </c>
      <c r="H1749" s="22">
        <v>4</v>
      </c>
      <c r="I1749" s="22">
        <v>341.95</v>
      </c>
      <c r="J1749" s="22">
        <v>0.25</v>
      </c>
      <c r="K1749" s="22" t="str">
        <v>Credit Card</v>
      </c>
      <c r="L1749" s="22">
        <v>1025.8499999999999</v>
      </c>
    </row>
    <row r="1750" spans="1:12" x14ac:dyDescent="0.3">
      <c r="A1750" s="22" t="s">
        <v>3559</v>
      </c>
      <c r="B1750" s="34" cm="1">
        <f t="array" ref="B1750:C1750">_xlfn.XLOOKUP(A1750,Sales_Fact!A1750:A3734,Sales_Fact!B1750:C3734)</f>
        <v>45438</v>
      </c>
      <c r="C1750" s="22" t="str">
        <v>CUST1283</v>
      </c>
      <c r="D1750" s="22" t="str">
        <f>VLOOKUP('Combine Products &amp; Sales Facts'!C1750,'Customer Details'!A:B,2,0)</f>
        <v>Bryan Garcia</v>
      </c>
      <c r="E1750" s="22" t="str">
        <f>VLOOKUP(C1750,Sales_Fact!C:D,2,0)</f>
        <v>PROD70</v>
      </c>
      <c r="F1750" s="22" t="str">
        <f>VLOOKUP(E1750,Product_Dim!A:C,3,0)</f>
        <v>Home</v>
      </c>
      <c r="G1750" s="22" t="str" cm="1">
        <f t="array" ref="G1750:L1750">_xlfn.XLOOKUP(C1750,Sales_Fact!C1750:C3734,Sales_Fact!E1750:J3734)</f>
        <v>STORE16</v>
      </c>
      <c r="H1750" s="22">
        <v>4</v>
      </c>
      <c r="I1750" s="22">
        <v>300.12</v>
      </c>
      <c r="J1750" s="22">
        <v>0.05</v>
      </c>
      <c r="K1750" s="22" t="str">
        <v>PayPal</v>
      </c>
      <c r="L1750" s="22">
        <v>1140.4559999999999</v>
      </c>
    </row>
    <row r="1751" spans="1:12" x14ac:dyDescent="0.3">
      <c r="A1751" s="22" t="s">
        <v>3560</v>
      </c>
      <c r="B1751" s="34" cm="1">
        <f t="array" ref="B1751:C1751">_xlfn.XLOOKUP(A1751,Sales_Fact!A1751:A3735,Sales_Fact!B1751:C3735)</f>
        <v>45705</v>
      </c>
      <c r="C1751" s="22" t="str">
        <v>CUST1115</v>
      </c>
      <c r="D1751" s="22" t="str">
        <f>VLOOKUP('Combine Products &amp; Sales Facts'!C1751,'Customer Details'!A:B,2,0)</f>
        <v>Tyler Conrad</v>
      </c>
      <c r="E1751" s="22" t="str">
        <f>VLOOKUP(C1751,Sales_Fact!C:D,2,0)</f>
        <v>PROD21</v>
      </c>
      <c r="F1751" s="22" t="str">
        <f>VLOOKUP(E1751,Product_Dim!A:C,3,0)</f>
        <v>Home</v>
      </c>
      <c r="G1751" s="22" t="str" cm="1">
        <f t="array" ref="G1751:L1751">_xlfn.XLOOKUP(C1751,Sales_Fact!C1751:C3735,Sales_Fact!E1751:J3735)</f>
        <v>STORE17</v>
      </c>
      <c r="H1751" s="22">
        <v>2</v>
      </c>
      <c r="I1751" s="22">
        <v>289.14</v>
      </c>
      <c r="J1751" s="22">
        <v>0.12</v>
      </c>
      <c r="K1751" s="22" t="str">
        <v>COD</v>
      </c>
      <c r="L1751" s="22">
        <v>508.88639999999998</v>
      </c>
    </row>
    <row r="1752" spans="1:12" x14ac:dyDescent="0.3">
      <c r="A1752" s="22" t="s">
        <v>3561</v>
      </c>
      <c r="B1752" s="34" cm="1">
        <f t="array" ref="B1752:C1752">_xlfn.XLOOKUP(A1752,Sales_Fact!A1752:A3736,Sales_Fact!B1752:C3736)</f>
        <v>45695</v>
      </c>
      <c r="C1752" s="22" t="str">
        <v>CUST1045</v>
      </c>
      <c r="D1752" s="22" t="str">
        <f>VLOOKUP('Combine Products &amp; Sales Facts'!C1752,'Customer Details'!A:B,2,0)</f>
        <v>Jordan Jackson Dds</v>
      </c>
      <c r="E1752" s="22" t="str">
        <f>VLOOKUP(C1752,Sales_Fact!C:D,2,0)</f>
        <v>PROD33</v>
      </c>
      <c r="F1752" s="22" t="str">
        <f>VLOOKUP(E1752,Product_Dim!A:C,3,0)</f>
        <v>Home</v>
      </c>
      <c r="G1752" s="22" t="str" cm="1">
        <f t="array" ref="G1752:L1752">_xlfn.XLOOKUP(C1752,Sales_Fact!C1752:C3736,Sales_Fact!E1752:J3736)</f>
        <v>STORE0</v>
      </c>
      <c r="H1752" s="22">
        <v>2</v>
      </c>
      <c r="I1752" s="22">
        <v>596.84</v>
      </c>
      <c r="J1752" s="22">
        <v>0.01</v>
      </c>
      <c r="K1752" s="22" t="str">
        <v>PayPal</v>
      </c>
      <c r="L1752" s="22">
        <v>1181.7431999999999</v>
      </c>
    </row>
    <row r="1753" spans="1:12" x14ac:dyDescent="0.3">
      <c r="A1753" s="22" t="s">
        <v>3562</v>
      </c>
      <c r="B1753" s="34" cm="1">
        <f t="array" ref="B1753:C1753">_xlfn.XLOOKUP(A1753,Sales_Fact!A1753:A3737,Sales_Fact!B1753:C3737)</f>
        <v>45571</v>
      </c>
      <c r="C1753" s="22" t="str">
        <v>CUST1436</v>
      </c>
      <c r="D1753" s="22" t="str">
        <f>VLOOKUP('Combine Products &amp; Sales Facts'!C1753,'Customer Details'!A:B,2,0)</f>
        <v>Sharon Simpson</v>
      </c>
      <c r="E1753" s="22" t="str">
        <f>VLOOKUP(C1753,Sales_Fact!C:D,2,0)</f>
        <v>PROD52</v>
      </c>
      <c r="F1753" s="22" t="str">
        <f>VLOOKUP(E1753,Product_Dim!A:C,3,0)</f>
        <v>Sports</v>
      </c>
      <c r="G1753" s="22" t="str" cm="1">
        <f t="array" ref="G1753:L1753">_xlfn.XLOOKUP(C1753,Sales_Fact!C1753:C3737,Sales_Fact!E1753:J3737)</f>
        <v>STORE8</v>
      </c>
      <c r="H1753" s="22">
        <v>4</v>
      </c>
      <c r="I1753" s="22">
        <v>466.24</v>
      </c>
      <c r="J1753" s="22">
        <v>0.16</v>
      </c>
      <c r="K1753" s="22" t="str">
        <v>Credit Card</v>
      </c>
      <c r="L1753" s="22">
        <v>1566.5663999999999</v>
      </c>
    </row>
    <row r="1754" spans="1:12" x14ac:dyDescent="0.3">
      <c r="A1754" s="22" t="s">
        <v>3563</v>
      </c>
      <c r="B1754" s="34" cm="1">
        <f t="array" ref="B1754:C1754">_xlfn.XLOOKUP(A1754,Sales_Fact!A1754:A3738,Sales_Fact!B1754:C3738)</f>
        <v>45544</v>
      </c>
      <c r="C1754" s="22" t="str">
        <v>CUST1252</v>
      </c>
      <c r="D1754" s="22" t="str">
        <f>VLOOKUP('Combine Products &amp; Sales Facts'!C1754,'Customer Details'!A:B,2,0)</f>
        <v>John Mccoy</v>
      </c>
      <c r="E1754" s="22" t="str">
        <f>VLOOKUP(C1754,Sales_Fact!C:D,2,0)</f>
        <v>PROD13</v>
      </c>
      <c r="F1754" s="22" t="str">
        <f>VLOOKUP(E1754,Product_Dim!A:C,3,0)</f>
        <v>Electronics</v>
      </c>
      <c r="G1754" s="22" t="str" cm="1">
        <f t="array" ref="G1754:L1754">_xlfn.XLOOKUP(C1754,Sales_Fact!C1754:C3738,Sales_Fact!E1754:J3738)</f>
        <v>STORE16</v>
      </c>
      <c r="H1754" s="22">
        <v>2</v>
      </c>
      <c r="I1754" s="22">
        <v>330.59</v>
      </c>
      <c r="J1754" s="22">
        <v>0.14000000000000001</v>
      </c>
      <c r="K1754" s="22" t="str">
        <v>Credit Card</v>
      </c>
      <c r="L1754" s="22">
        <v>568.61479999999995</v>
      </c>
    </row>
    <row r="1755" spans="1:12" x14ac:dyDescent="0.3">
      <c r="A1755" s="22" t="s">
        <v>3564</v>
      </c>
      <c r="B1755" s="34" cm="1">
        <f t="array" ref="B1755:C1755">_xlfn.XLOOKUP(A1755,Sales_Fact!A1755:A3739,Sales_Fact!B1755:C3739)</f>
        <v>45654</v>
      </c>
      <c r="C1755" s="22" t="str">
        <v>CUST1493</v>
      </c>
      <c r="D1755" s="22" t="str">
        <f>VLOOKUP('Combine Products &amp; Sales Facts'!C1755,'Customer Details'!A:B,2,0)</f>
        <v>Amanda Powell</v>
      </c>
      <c r="E1755" s="22" t="str">
        <f>VLOOKUP(C1755,Sales_Fact!C:D,2,0)</f>
        <v>PROD59</v>
      </c>
      <c r="F1755" s="22" t="str">
        <f>VLOOKUP(E1755,Product_Dim!A:C,3,0)</f>
        <v>Beauty</v>
      </c>
      <c r="G1755" s="22" t="str" cm="1">
        <f t="array" ref="G1755:L1755">_xlfn.XLOOKUP(C1755,Sales_Fact!C1755:C3739,Sales_Fact!E1755:J3739)</f>
        <v>STORE6</v>
      </c>
      <c r="H1755" s="22">
        <v>2</v>
      </c>
      <c r="I1755" s="22">
        <v>616.42999999999995</v>
      </c>
      <c r="J1755" s="22">
        <v>0.02</v>
      </c>
      <c r="K1755" s="22" t="str">
        <v>COD</v>
      </c>
      <c r="L1755" s="22">
        <v>1208.2028</v>
      </c>
    </row>
    <row r="1756" spans="1:12" x14ac:dyDescent="0.3">
      <c r="A1756" s="22" t="s">
        <v>3565</v>
      </c>
      <c r="B1756" s="34" cm="1">
        <f t="array" ref="B1756:C1756">_xlfn.XLOOKUP(A1756,Sales_Fact!A1756:A3740,Sales_Fact!B1756:C3740)</f>
        <v>45589</v>
      </c>
      <c r="C1756" s="22" t="str">
        <v>CUST1403</v>
      </c>
      <c r="D1756" s="22" t="str">
        <f>VLOOKUP('Combine Products &amp; Sales Facts'!C1756,'Customer Details'!A:B,2,0)</f>
        <v>Justin Ingram</v>
      </c>
      <c r="E1756" s="22" t="str">
        <f>VLOOKUP(C1756,Sales_Fact!C:D,2,0)</f>
        <v>PROD17</v>
      </c>
      <c r="F1756" s="22" t="str">
        <f>VLOOKUP(E1756,Product_Dim!A:C,3,0)</f>
        <v>Sports</v>
      </c>
      <c r="G1756" s="22" t="str" cm="1">
        <f t="array" ref="G1756:L1756">_xlfn.XLOOKUP(C1756,Sales_Fact!C1756:C3740,Sales_Fact!E1756:J3740)</f>
        <v>STORE6</v>
      </c>
      <c r="H1756" s="22">
        <v>3</v>
      </c>
      <c r="I1756" s="22">
        <v>195.89</v>
      </c>
      <c r="J1756" s="22">
        <v>0.16</v>
      </c>
      <c r="K1756" s="22" t="str">
        <v>PayPal</v>
      </c>
      <c r="L1756" s="22">
        <v>493.64280000000002</v>
      </c>
    </row>
    <row r="1757" spans="1:12" x14ac:dyDescent="0.3">
      <c r="A1757" s="22" t="s">
        <v>3566</v>
      </c>
      <c r="B1757" s="34" cm="1">
        <f t="array" ref="B1757:C1757">_xlfn.XLOOKUP(A1757,Sales_Fact!A1757:A3741,Sales_Fact!B1757:C3741)</f>
        <v>45487</v>
      </c>
      <c r="C1757" s="22" t="str">
        <v>CUST1343</v>
      </c>
      <c r="D1757" s="22" t="str">
        <f>VLOOKUP('Combine Products &amp; Sales Facts'!C1757,'Customer Details'!A:B,2,0)</f>
        <v>Ryan Moore</v>
      </c>
      <c r="E1757" s="22" t="str">
        <f>VLOOKUP(C1757,Sales_Fact!C:D,2,0)</f>
        <v>PROD17</v>
      </c>
      <c r="F1757" s="22" t="str">
        <f>VLOOKUP(E1757,Product_Dim!A:C,3,0)</f>
        <v>Sports</v>
      </c>
      <c r="G1757" s="22" t="str" cm="1">
        <f t="array" ref="G1757:L1757">_xlfn.XLOOKUP(C1757,Sales_Fact!C1757:C3741,Sales_Fact!E1757:J3741)</f>
        <v>STORE10</v>
      </c>
      <c r="H1757" s="22">
        <v>4</v>
      </c>
      <c r="I1757" s="22">
        <v>614.76</v>
      </c>
      <c r="J1757" s="22">
        <v>0.16</v>
      </c>
      <c r="K1757" s="22" t="str">
        <v>Credit Card</v>
      </c>
      <c r="L1757" s="22">
        <v>2065.5936000000002</v>
      </c>
    </row>
    <row r="1758" spans="1:12" x14ac:dyDescent="0.3">
      <c r="A1758" s="22" t="s">
        <v>3567</v>
      </c>
      <c r="B1758" s="34" cm="1">
        <f t="array" ref="B1758:C1758">_xlfn.XLOOKUP(A1758,Sales_Fact!A1758:A3742,Sales_Fact!B1758:C3742)</f>
        <v>45418</v>
      </c>
      <c r="C1758" s="22" t="str">
        <v>CUST1404</v>
      </c>
      <c r="D1758" s="22" t="str">
        <f>VLOOKUP('Combine Products &amp; Sales Facts'!C1758,'Customer Details'!A:B,2,0)</f>
        <v>David Ross</v>
      </c>
      <c r="E1758" s="22" t="str">
        <f>VLOOKUP(C1758,Sales_Fact!C:D,2,0)</f>
        <v>PROD23</v>
      </c>
      <c r="F1758" s="22" t="str">
        <f>VLOOKUP(E1758,Product_Dim!A:C,3,0)</f>
        <v>Clothing</v>
      </c>
      <c r="G1758" s="22" t="str" cm="1">
        <f t="array" ref="G1758:L1758">_xlfn.XLOOKUP(C1758,Sales_Fact!C1758:C3742,Sales_Fact!E1758:J3742)</f>
        <v>STORE7</v>
      </c>
      <c r="H1758" s="22">
        <v>1</v>
      </c>
      <c r="I1758" s="22">
        <v>224.49</v>
      </c>
      <c r="J1758" s="22">
        <v>0.11</v>
      </c>
      <c r="K1758" s="22" t="str">
        <v>PayPal</v>
      </c>
      <c r="L1758" s="22">
        <v>199.7961</v>
      </c>
    </row>
    <row r="1759" spans="1:12" x14ac:dyDescent="0.3">
      <c r="A1759" s="22" t="s">
        <v>3568</v>
      </c>
      <c r="B1759" s="34" cm="1">
        <f t="array" ref="B1759:C1759">_xlfn.XLOOKUP(A1759,Sales_Fact!A1759:A3743,Sales_Fact!B1759:C3743)</f>
        <v>45338</v>
      </c>
      <c r="C1759" s="22" t="str">
        <v>CUST1356</v>
      </c>
      <c r="D1759" s="22" t="str">
        <f>VLOOKUP('Combine Products &amp; Sales Facts'!C1759,'Customer Details'!A:B,2,0)</f>
        <v>Steve Hunt</v>
      </c>
      <c r="E1759" s="22" t="str">
        <f>VLOOKUP(C1759,Sales_Fact!C:D,2,0)</f>
        <v>PROD88</v>
      </c>
      <c r="F1759" s="22" t="str">
        <f>VLOOKUP(E1759,Product_Dim!A:C,3,0)</f>
        <v>Sports</v>
      </c>
      <c r="G1759" s="22" t="str" cm="1">
        <f t="array" ref="G1759:L1759">_xlfn.XLOOKUP(C1759,Sales_Fact!C1759:C3743,Sales_Fact!E1759:J3743)</f>
        <v>STORE12</v>
      </c>
      <c r="H1759" s="22">
        <v>1</v>
      </c>
      <c r="I1759" s="22">
        <v>967.76</v>
      </c>
      <c r="J1759" s="22">
        <v>0.09</v>
      </c>
      <c r="K1759" s="22" t="str">
        <v>Credit Card</v>
      </c>
      <c r="L1759" s="22">
        <v>880.66160000000002</v>
      </c>
    </row>
    <row r="1760" spans="1:12" x14ac:dyDescent="0.3">
      <c r="A1760" s="22" t="s">
        <v>3569</v>
      </c>
      <c r="B1760" s="34" cm="1">
        <f t="array" ref="B1760:C1760">_xlfn.XLOOKUP(A1760,Sales_Fact!A1760:A3744,Sales_Fact!B1760:C3744)</f>
        <v>45507</v>
      </c>
      <c r="C1760" s="22" t="str">
        <v>CUST1067</v>
      </c>
      <c r="D1760" s="22" t="str">
        <f>VLOOKUP('Combine Products &amp; Sales Facts'!C1760,'Customer Details'!A:B,2,0)</f>
        <v>Amber Mcclain</v>
      </c>
      <c r="E1760" s="22" t="str">
        <f>VLOOKUP(C1760,Sales_Fact!C:D,2,0)</f>
        <v>PROD46</v>
      </c>
      <c r="F1760" s="22" t="str">
        <f>VLOOKUP(E1760,Product_Dim!A:C,3,0)</f>
        <v>Clothing</v>
      </c>
      <c r="G1760" s="22" t="str" cm="1">
        <f t="array" ref="G1760:L1760">_xlfn.XLOOKUP(C1760,Sales_Fact!C1760:C3744,Sales_Fact!E1760:J3744)</f>
        <v>STORE19</v>
      </c>
      <c r="H1760" s="22">
        <v>2</v>
      </c>
      <c r="I1760" s="22">
        <v>56.52</v>
      </c>
      <c r="J1760" s="22">
        <v>0.17</v>
      </c>
      <c r="K1760" s="22" t="str">
        <v>PayPal</v>
      </c>
      <c r="L1760" s="22">
        <v>93.8232</v>
      </c>
    </row>
    <row r="1761" spans="1:12" x14ac:dyDescent="0.3">
      <c r="A1761" s="22" t="s">
        <v>3570</v>
      </c>
      <c r="B1761" s="34" cm="1">
        <f t="array" ref="B1761:C1761">_xlfn.XLOOKUP(A1761,Sales_Fact!A1761:A3745,Sales_Fact!B1761:C3745)</f>
        <v>45275</v>
      </c>
      <c r="C1761" s="22" t="str">
        <v>CUST1490</v>
      </c>
      <c r="D1761" s="22" t="str">
        <f>VLOOKUP('Combine Products &amp; Sales Facts'!C1761,'Customer Details'!A:B,2,0)</f>
        <v>Scott Harris</v>
      </c>
      <c r="E1761" s="22" t="str">
        <f>VLOOKUP(C1761,Sales_Fact!C:D,2,0)</f>
        <v>PROD47</v>
      </c>
      <c r="F1761" s="22" t="str">
        <f>VLOOKUP(E1761,Product_Dim!A:C,3,0)</f>
        <v>Beauty</v>
      </c>
      <c r="G1761" s="22" t="str" cm="1">
        <f t="array" ref="G1761:L1761">_xlfn.XLOOKUP(C1761,Sales_Fact!C1761:C3745,Sales_Fact!E1761:J3745)</f>
        <v>STORE1</v>
      </c>
      <c r="H1761" s="22">
        <v>4</v>
      </c>
      <c r="I1761" s="22">
        <v>921.84</v>
      </c>
      <c r="J1761" s="22">
        <v>0.04</v>
      </c>
      <c r="K1761" s="22" t="str">
        <v>Credit Card</v>
      </c>
      <c r="L1761" s="22">
        <v>3539.8656000000001</v>
      </c>
    </row>
    <row r="1762" spans="1:12" x14ac:dyDescent="0.3">
      <c r="A1762" s="22" t="s">
        <v>3571</v>
      </c>
      <c r="B1762" s="34" cm="1">
        <f t="array" ref="B1762:C1762">_xlfn.XLOOKUP(A1762,Sales_Fact!A1762:A3746,Sales_Fact!B1762:C3746)</f>
        <v>45319</v>
      </c>
      <c r="C1762" s="22" t="str">
        <v>CUST1328</v>
      </c>
      <c r="D1762" s="22" t="str">
        <f>VLOOKUP('Combine Products &amp; Sales Facts'!C1762,'Customer Details'!A:B,2,0)</f>
        <v>Mario Harvey Jr.</v>
      </c>
      <c r="E1762" s="22" t="str">
        <f>VLOOKUP(C1762,Sales_Fact!C:D,2,0)</f>
        <v>PROD20</v>
      </c>
      <c r="F1762" s="22" t="str">
        <f>VLOOKUP(E1762,Product_Dim!A:C,3,0)</f>
        <v>Sports</v>
      </c>
      <c r="G1762" s="22" t="str" cm="1">
        <f t="array" ref="G1762:L1762">_xlfn.XLOOKUP(C1762,Sales_Fact!C1762:C3746,Sales_Fact!E1762:J3746)</f>
        <v>STORE16</v>
      </c>
      <c r="H1762" s="22">
        <v>3</v>
      </c>
      <c r="I1762" s="22">
        <v>738.47</v>
      </c>
      <c r="J1762" s="22">
        <v>0.28000000000000003</v>
      </c>
      <c r="K1762" s="22" t="str">
        <v>Credit Card</v>
      </c>
      <c r="L1762" s="22">
        <v>1595.0952</v>
      </c>
    </row>
    <row r="1763" spans="1:12" x14ac:dyDescent="0.3">
      <c r="A1763" s="22" t="s">
        <v>3572</v>
      </c>
      <c r="B1763" s="34" cm="1">
        <f t="array" ref="B1763:C1763">_xlfn.XLOOKUP(A1763,Sales_Fact!A1763:A3747,Sales_Fact!B1763:C3747)</f>
        <v>45620</v>
      </c>
      <c r="C1763" s="22" t="str">
        <v>CUST1328</v>
      </c>
      <c r="D1763" s="22" t="str">
        <f>VLOOKUP('Combine Products &amp; Sales Facts'!C1763,'Customer Details'!A:B,2,0)</f>
        <v>Mario Harvey Jr.</v>
      </c>
      <c r="E1763" s="22" t="str">
        <f>VLOOKUP(C1763,Sales_Fact!C:D,2,0)</f>
        <v>PROD20</v>
      </c>
      <c r="F1763" s="22" t="str">
        <f>VLOOKUP(E1763,Product_Dim!A:C,3,0)</f>
        <v>Sports</v>
      </c>
      <c r="G1763" s="22" t="str" cm="1">
        <f t="array" ref="G1763:L1763">_xlfn.XLOOKUP(C1763,Sales_Fact!C1763:C3747,Sales_Fact!E1763:J3747)</f>
        <v>STORE0</v>
      </c>
      <c r="H1763" s="22">
        <v>4</v>
      </c>
      <c r="I1763" s="22">
        <v>477.83</v>
      </c>
      <c r="J1763" s="22">
        <v>0.05</v>
      </c>
      <c r="K1763" s="22" t="str">
        <v>COD</v>
      </c>
      <c r="L1763" s="22">
        <v>1815.7539999999999</v>
      </c>
    </row>
    <row r="1764" spans="1:12" x14ac:dyDescent="0.3">
      <c r="A1764" s="22" t="s">
        <v>3573</v>
      </c>
      <c r="B1764" s="34" cm="1">
        <f t="array" ref="B1764:C1764">_xlfn.XLOOKUP(A1764,Sales_Fact!A1764:A3748,Sales_Fact!B1764:C3748)</f>
        <v>45831</v>
      </c>
      <c r="C1764" s="22" t="str">
        <v>CUST1168</v>
      </c>
      <c r="D1764" s="22" t="str">
        <f>VLOOKUP('Combine Products &amp; Sales Facts'!C1764,'Customer Details'!A:B,2,0)</f>
        <v>Daniel Contreras</v>
      </c>
      <c r="E1764" s="22" t="str">
        <f>VLOOKUP(C1764,Sales_Fact!C:D,2,0)</f>
        <v>PROD72</v>
      </c>
      <c r="F1764" s="22" t="str">
        <f>VLOOKUP(E1764,Product_Dim!A:C,3,0)</f>
        <v>Sports</v>
      </c>
      <c r="G1764" s="22" t="str" cm="1">
        <f t="array" ref="G1764:L1764">_xlfn.XLOOKUP(C1764,Sales_Fact!C1764:C3748,Sales_Fact!E1764:J3748)</f>
        <v>STORE12</v>
      </c>
      <c r="H1764" s="22">
        <v>3</v>
      </c>
      <c r="I1764" s="22">
        <v>605.83000000000004</v>
      </c>
      <c r="J1764" s="22">
        <v>0.28000000000000003</v>
      </c>
      <c r="K1764" s="22" t="str">
        <v>COD</v>
      </c>
      <c r="L1764" s="22">
        <v>1308.5927999999999</v>
      </c>
    </row>
    <row r="1765" spans="1:12" x14ac:dyDescent="0.3">
      <c r="A1765" s="22" t="s">
        <v>3574</v>
      </c>
      <c r="B1765" s="34" cm="1">
        <f t="array" ref="B1765:C1765">_xlfn.XLOOKUP(A1765,Sales_Fact!A1765:A3749,Sales_Fact!B1765:C3749)</f>
        <v>45373</v>
      </c>
      <c r="C1765" s="22" t="str">
        <v>CUST1067</v>
      </c>
      <c r="D1765" s="22" t="str">
        <f>VLOOKUP('Combine Products &amp; Sales Facts'!C1765,'Customer Details'!A:B,2,0)</f>
        <v>Amber Mcclain</v>
      </c>
      <c r="E1765" s="22" t="str">
        <f>VLOOKUP(C1765,Sales_Fact!C:D,2,0)</f>
        <v>PROD46</v>
      </c>
      <c r="F1765" s="22" t="str">
        <f>VLOOKUP(E1765,Product_Dim!A:C,3,0)</f>
        <v>Clothing</v>
      </c>
      <c r="G1765" s="22" t="str" cm="1">
        <f t="array" ref="G1765:L1765">_xlfn.XLOOKUP(C1765,Sales_Fact!C1765:C3749,Sales_Fact!E1765:J3749)</f>
        <v>STORE3</v>
      </c>
      <c r="H1765" s="22">
        <v>2</v>
      </c>
      <c r="I1765" s="22">
        <v>521.44000000000005</v>
      </c>
      <c r="J1765" s="22">
        <v>0.25</v>
      </c>
      <c r="K1765" s="22" t="str">
        <v>COD</v>
      </c>
      <c r="L1765" s="22">
        <v>782.16000000000008</v>
      </c>
    </row>
    <row r="1766" spans="1:12" x14ac:dyDescent="0.3">
      <c r="A1766" s="22" t="s">
        <v>3575</v>
      </c>
      <c r="B1766" s="34" cm="1">
        <f t="array" ref="B1766:C1766">_xlfn.XLOOKUP(A1766,Sales_Fact!A1766:A3750,Sales_Fact!B1766:C3750)</f>
        <v>45863</v>
      </c>
      <c r="C1766" s="22" t="str">
        <v>CUST1373</v>
      </c>
      <c r="D1766" s="22" t="str">
        <f>VLOOKUP('Combine Products &amp; Sales Facts'!C1766,'Customer Details'!A:B,2,0)</f>
        <v>James Orozco</v>
      </c>
      <c r="E1766" s="22" t="str">
        <f>VLOOKUP(C1766,Sales_Fact!C:D,2,0)</f>
        <v>PROD72</v>
      </c>
      <c r="F1766" s="22" t="str">
        <f>VLOOKUP(E1766,Product_Dim!A:C,3,0)</f>
        <v>Sports</v>
      </c>
      <c r="G1766" s="22" t="str" cm="1">
        <f t="array" ref="G1766:L1766">_xlfn.XLOOKUP(C1766,Sales_Fact!C1766:C3750,Sales_Fact!E1766:J3750)</f>
        <v>STORE7</v>
      </c>
      <c r="H1766" s="22">
        <v>4</v>
      </c>
      <c r="I1766" s="22">
        <v>499.02</v>
      </c>
      <c r="J1766" s="22">
        <v>0.06</v>
      </c>
      <c r="K1766" s="22" t="str">
        <v>Credit Card</v>
      </c>
      <c r="L1766" s="22">
        <v>1876.3152</v>
      </c>
    </row>
    <row r="1767" spans="1:12" x14ac:dyDescent="0.3">
      <c r="A1767" s="22" t="s">
        <v>3576</v>
      </c>
      <c r="B1767" s="34" cm="1">
        <f t="array" ref="B1767:C1767">_xlfn.XLOOKUP(A1767,Sales_Fact!A1767:A3751,Sales_Fact!B1767:C3751)</f>
        <v>45758</v>
      </c>
      <c r="C1767" s="22" t="str">
        <v>CUST1153</v>
      </c>
      <c r="D1767" s="22" t="str">
        <f>VLOOKUP('Combine Products &amp; Sales Facts'!C1767,'Customer Details'!A:B,2,0)</f>
        <v>Joseph Faulkner</v>
      </c>
      <c r="E1767" s="22" t="str">
        <f>VLOOKUP(C1767,Sales_Fact!C:D,2,0)</f>
        <v>PROD72</v>
      </c>
      <c r="F1767" s="22" t="str">
        <f>VLOOKUP(E1767,Product_Dim!A:C,3,0)</f>
        <v>Sports</v>
      </c>
      <c r="G1767" s="22" t="str" cm="1">
        <f t="array" ref="G1767:L1767">_xlfn.XLOOKUP(C1767,Sales_Fact!C1767:C3751,Sales_Fact!E1767:J3751)</f>
        <v>STORE18</v>
      </c>
      <c r="H1767" s="22">
        <v>4</v>
      </c>
      <c r="I1767" s="22">
        <v>299.45999999999998</v>
      </c>
      <c r="J1767" s="22">
        <v>0.18</v>
      </c>
      <c r="K1767" s="22" t="str">
        <v>COD</v>
      </c>
      <c r="L1767" s="22">
        <v>982.22879999999998</v>
      </c>
    </row>
    <row r="1768" spans="1:12" x14ac:dyDescent="0.3">
      <c r="A1768" s="22" t="s">
        <v>3577</v>
      </c>
      <c r="B1768" s="34" cm="1">
        <f t="array" ref="B1768:C1768">_xlfn.XLOOKUP(A1768,Sales_Fact!A1768:A3752,Sales_Fact!B1768:C3752)</f>
        <v>45285</v>
      </c>
      <c r="C1768" s="22" t="str">
        <v>CUST1457</v>
      </c>
      <c r="D1768" s="22" t="str">
        <f>VLOOKUP('Combine Products &amp; Sales Facts'!C1768,'Customer Details'!A:B,2,0)</f>
        <v>Christina Robertson</v>
      </c>
      <c r="E1768" s="22" t="str">
        <f>VLOOKUP(C1768,Sales_Fact!C:D,2,0)</f>
        <v>PROD43</v>
      </c>
      <c r="F1768" s="22" t="str">
        <f>VLOOKUP(E1768,Product_Dim!A:C,3,0)</f>
        <v>Electronics</v>
      </c>
      <c r="G1768" s="22" t="str" cm="1">
        <f t="array" ref="G1768:L1768">_xlfn.XLOOKUP(C1768,Sales_Fact!C1768:C3752,Sales_Fact!E1768:J3752)</f>
        <v>STORE0</v>
      </c>
      <c r="H1768" s="22">
        <v>1</v>
      </c>
      <c r="I1768" s="22">
        <v>609.29</v>
      </c>
      <c r="J1768" s="22">
        <v>0.15</v>
      </c>
      <c r="K1768" s="22" t="str">
        <v>Credit Card</v>
      </c>
      <c r="L1768" s="22">
        <v>517.89649999999995</v>
      </c>
    </row>
    <row r="1769" spans="1:12" x14ac:dyDescent="0.3">
      <c r="A1769" s="22" t="s">
        <v>3578</v>
      </c>
      <c r="B1769" s="34" cm="1">
        <f t="array" ref="B1769:C1769">_xlfn.XLOOKUP(A1769,Sales_Fact!A1769:A3753,Sales_Fact!B1769:C3753)</f>
        <v>45656</v>
      </c>
      <c r="C1769" s="22" t="str">
        <v>CUST1101</v>
      </c>
      <c r="D1769" s="22" t="str">
        <f>VLOOKUP('Combine Products &amp; Sales Facts'!C1769,'Customer Details'!A:B,2,0)</f>
        <v>Colleen Maynard</v>
      </c>
      <c r="E1769" s="22" t="str">
        <f>VLOOKUP(C1769,Sales_Fact!C:D,2,0)</f>
        <v>PROD89</v>
      </c>
      <c r="F1769" s="22" t="str">
        <f>VLOOKUP(E1769,Product_Dim!A:C,3,0)</f>
        <v>Beauty</v>
      </c>
      <c r="G1769" s="22" t="str" cm="1">
        <f t="array" ref="G1769:L1769">_xlfn.XLOOKUP(C1769,Sales_Fact!C1769:C3753,Sales_Fact!E1769:J3753)</f>
        <v>STORE8</v>
      </c>
      <c r="H1769" s="22">
        <v>1</v>
      </c>
      <c r="I1769" s="22">
        <v>213.74</v>
      </c>
      <c r="J1769" s="22">
        <v>7.0000000000000007E-2</v>
      </c>
      <c r="K1769" s="22" t="str">
        <v>COD</v>
      </c>
      <c r="L1769" s="22">
        <v>198.7782</v>
      </c>
    </row>
    <row r="1770" spans="1:12" x14ac:dyDescent="0.3">
      <c r="A1770" s="22" t="s">
        <v>3579</v>
      </c>
      <c r="B1770" s="34" cm="1">
        <f t="array" ref="B1770:C1770">_xlfn.XLOOKUP(A1770,Sales_Fact!A1770:A3754,Sales_Fact!B1770:C3754)</f>
        <v>45718</v>
      </c>
      <c r="C1770" s="22" t="str">
        <v>CUST1153</v>
      </c>
      <c r="D1770" s="22" t="str">
        <f>VLOOKUP('Combine Products &amp; Sales Facts'!C1770,'Customer Details'!A:B,2,0)</f>
        <v>Joseph Faulkner</v>
      </c>
      <c r="E1770" s="22" t="str">
        <f>VLOOKUP(C1770,Sales_Fact!C:D,2,0)</f>
        <v>PROD72</v>
      </c>
      <c r="F1770" s="22" t="str">
        <f>VLOOKUP(E1770,Product_Dim!A:C,3,0)</f>
        <v>Sports</v>
      </c>
      <c r="G1770" s="22" t="str" cm="1">
        <f t="array" ref="G1770:L1770">_xlfn.XLOOKUP(C1770,Sales_Fact!C1770:C3754,Sales_Fact!E1770:J3754)</f>
        <v>STORE16</v>
      </c>
      <c r="H1770" s="22">
        <v>4</v>
      </c>
      <c r="I1770" s="22">
        <v>613.16999999999996</v>
      </c>
      <c r="J1770" s="22">
        <v>0.26</v>
      </c>
      <c r="K1770" s="22" t="str">
        <v>Credit Card</v>
      </c>
      <c r="L1770" s="22">
        <v>1814.9831999999999</v>
      </c>
    </row>
    <row r="1771" spans="1:12" x14ac:dyDescent="0.3">
      <c r="A1771" s="22" t="s">
        <v>3580</v>
      </c>
      <c r="B1771" s="34" cm="1">
        <f t="array" ref="B1771:C1771">_xlfn.XLOOKUP(A1771,Sales_Fact!A1771:A3755,Sales_Fact!B1771:C3755)</f>
        <v>45293</v>
      </c>
      <c r="C1771" s="22" t="str">
        <v>CUST1357</v>
      </c>
      <c r="D1771" s="22" t="str">
        <f>VLOOKUP('Combine Products &amp; Sales Facts'!C1771,'Customer Details'!A:B,2,0)</f>
        <v>Manuel Castillo</v>
      </c>
      <c r="E1771" s="22" t="str">
        <f>VLOOKUP(C1771,Sales_Fact!C:D,2,0)</f>
        <v>PROD17</v>
      </c>
      <c r="F1771" s="22" t="str">
        <f>VLOOKUP(E1771,Product_Dim!A:C,3,0)</f>
        <v>Sports</v>
      </c>
      <c r="G1771" s="22" t="str" cm="1">
        <f t="array" ref="G1771:L1771">_xlfn.XLOOKUP(C1771,Sales_Fact!C1771:C3755,Sales_Fact!E1771:J3755)</f>
        <v>STORE11</v>
      </c>
      <c r="H1771" s="22">
        <v>2</v>
      </c>
      <c r="I1771" s="22">
        <v>687.36</v>
      </c>
      <c r="J1771" s="22">
        <v>7.0000000000000007E-2</v>
      </c>
      <c r="K1771" s="22" t="str">
        <v>COD</v>
      </c>
      <c r="L1771" s="22">
        <v>1278.4896000000001</v>
      </c>
    </row>
    <row r="1772" spans="1:12" x14ac:dyDescent="0.3">
      <c r="A1772" s="22" t="s">
        <v>3581</v>
      </c>
      <c r="B1772" s="34" cm="1">
        <f t="array" ref="B1772:C1772">_xlfn.XLOOKUP(A1772,Sales_Fact!A1772:A3756,Sales_Fact!B1772:C3756)</f>
        <v>45915</v>
      </c>
      <c r="C1772" s="22" t="str">
        <v>CUST1326</v>
      </c>
      <c r="D1772" s="22" t="str">
        <f>VLOOKUP('Combine Products &amp; Sales Facts'!C1772,'Customer Details'!A:B,2,0)</f>
        <v>Robert King</v>
      </c>
      <c r="E1772" s="22" t="str">
        <f>VLOOKUP(C1772,Sales_Fact!C:D,2,0)</f>
        <v>PROD37</v>
      </c>
      <c r="F1772" s="22" t="str">
        <f>VLOOKUP(E1772,Product_Dim!A:C,3,0)</f>
        <v>Clothing</v>
      </c>
      <c r="G1772" s="22" t="str" cm="1">
        <f t="array" ref="G1772:L1772">_xlfn.XLOOKUP(C1772,Sales_Fact!C1772:C3756,Sales_Fact!E1772:J3756)</f>
        <v>STORE13</v>
      </c>
      <c r="H1772" s="22">
        <v>3</v>
      </c>
      <c r="I1772" s="22">
        <v>115.39</v>
      </c>
      <c r="J1772" s="22">
        <v>0.02</v>
      </c>
      <c r="K1772" s="22" t="str">
        <v>PayPal</v>
      </c>
      <c r="L1772" s="22">
        <v>339.2466</v>
      </c>
    </row>
    <row r="1773" spans="1:12" x14ac:dyDescent="0.3">
      <c r="A1773" s="22" t="s">
        <v>3582</v>
      </c>
      <c r="B1773" s="34" cm="1">
        <f t="array" ref="B1773:C1773">_xlfn.XLOOKUP(A1773,Sales_Fact!A1773:A3757,Sales_Fact!B1773:C3757)</f>
        <v>45359</v>
      </c>
      <c r="C1773" s="22" t="str">
        <v>CUST1179</v>
      </c>
      <c r="D1773" s="22" t="str">
        <f>VLOOKUP('Combine Products &amp; Sales Facts'!C1773,'Customer Details'!A:B,2,0)</f>
        <v>Nicholas Bradshaw</v>
      </c>
      <c r="E1773" s="22" t="str">
        <f>VLOOKUP(C1773,Sales_Fact!C:D,2,0)</f>
        <v>PROD34</v>
      </c>
      <c r="F1773" s="22" t="str">
        <f>VLOOKUP(E1773,Product_Dim!A:C,3,0)</f>
        <v>Electronics</v>
      </c>
      <c r="G1773" s="22" t="str" cm="1">
        <f t="array" ref="G1773:L1773">_xlfn.XLOOKUP(C1773,Sales_Fact!C1773:C3757,Sales_Fact!E1773:J3757)</f>
        <v>STORE12</v>
      </c>
      <c r="H1773" s="22">
        <v>2</v>
      </c>
      <c r="I1773" s="22">
        <v>722.06</v>
      </c>
      <c r="J1773" s="22">
        <v>7.0000000000000007E-2</v>
      </c>
      <c r="K1773" s="22" t="str">
        <v>Credit Card</v>
      </c>
      <c r="L1773" s="22">
        <v>1343.0316</v>
      </c>
    </row>
    <row r="1774" spans="1:12" x14ac:dyDescent="0.3">
      <c r="A1774" s="22" t="s">
        <v>3583</v>
      </c>
      <c r="B1774" s="34" cm="1">
        <f t="array" ref="B1774:C1774">_xlfn.XLOOKUP(A1774,Sales_Fact!A1774:A3758,Sales_Fact!B1774:C3758)</f>
        <v>45652</v>
      </c>
      <c r="C1774" s="22" t="str">
        <v>CUST1425</v>
      </c>
      <c r="D1774" s="22" t="str">
        <f>VLOOKUP('Combine Products &amp; Sales Facts'!C1774,'Customer Details'!A:B,2,0)</f>
        <v>Bryce Hawkins</v>
      </c>
      <c r="E1774" s="22" t="str">
        <f>VLOOKUP(C1774,Sales_Fact!C:D,2,0)</f>
        <v>PROD75</v>
      </c>
      <c r="F1774" s="22" t="str">
        <f>VLOOKUP(E1774,Product_Dim!A:C,3,0)</f>
        <v>Clothing</v>
      </c>
      <c r="G1774" s="22" t="str" cm="1">
        <f t="array" ref="G1774:L1774">_xlfn.XLOOKUP(C1774,Sales_Fact!C1774:C3758,Sales_Fact!E1774:J3758)</f>
        <v>STORE15</v>
      </c>
      <c r="H1774" s="22">
        <v>1</v>
      </c>
      <c r="I1774" s="22">
        <v>384.57</v>
      </c>
      <c r="J1774" s="22">
        <v>0.06</v>
      </c>
      <c r="K1774" s="22" t="str">
        <v>PayPal</v>
      </c>
      <c r="L1774" s="22">
        <v>361.49579999999997</v>
      </c>
    </row>
    <row r="1775" spans="1:12" x14ac:dyDescent="0.3">
      <c r="A1775" s="22" t="s">
        <v>3584</v>
      </c>
      <c r="B1775" s="34" cm="1">
        <f t="array" ref="B1775:C1775">_xlfn.XLOOKUP(A1775,Sales_Fact!A1775:A3759,Sales_Fact!B1775:C3759)</f>
        <v>45735</v>
      </c>
      <c r="C1775" s="22" t="str">
        <v>CUST1210</v>
      </c>
      <c r="D1775" s="22" t="str">
        <f>VLOOKUP('Combine Products &amp; Sales Facts'!C1775,'Customer Details'!A:B,2,0)</f>
        <v>Antonio Jones</v>
      </c>
      <c r="E1775" s="22" t="str">
        <f>VLOOKUP(C1775,Sales_Fact!C:D,2,0)</f>
        <v>PROD60</v>
      </c>
      <c r="F1775" s="22" t="str">
        <f>VLOOKUP(E1775,Product_Dim!A:C,3,0)</f>
        <v>Beauty</v>
      </c>
      <c r="G1775" s="22" t="str" cm="1">
        <f t="array" ref="G1775:L1775">_xlfn.XLOOKUP(C1775,Sales_Fact!C1775:C3759,Sales_Fact!E1775:J3759)</f>
        <v>STORE13</v>
      </c>
      <c r="H1775" s="22">
        <v>2</v>
      </c>
      <c r="I1775" s="22">
        <v>194.09</v>
      </c>
      <c r="J1775" s="22">
        <v>0.18</v>
      </c>
      <c r="K1775" s="22" t="str">
        <v>PayPal</v>
      </c>
      <c r="L1775" s="22">
        <v>318.30759999999998</v>
      </c>
    </row>
    <row r="1776" spans="1:12" x14ac:dyDescent="0.3">
      <c r="A1776" s="22" t="s">
        <v>3585</v>
      </c>
      <c r="B1776" s="34" cm="1">
        <f t="array" ref="B1776:C1776">_xlfn.XLOOKUP(A1776,Sales_Fact!A1776:A3760,Sales_Fact!B1776:C3760)</f>
        <v>45579</v>
      </c>
      <c r="C1776" s="22" t="str">
        <v>CUST1172</v>
      </c>
      <c r="D1776" s="22" t="str">
        <f>VLOOKUP('Combine Products &amp; Sales Facts'!C1776,'Customer Details'!A:B,2,0)</f>
        <v>Thomas Rhodes</v>
      </c>
      <c r="E1776" s="22" t="str">
        <f>VLOOKUP(C1776,Sales_Fact!C:D,2,0)</f>
        <v>PROD79</v>
      </c>
      <c r="F1776" s="22" t="str">
        <f>VLOOKUP(E1776,Product_Dim!A:C,3,0)</f>
        <v>Home</v>
      </c>
      <c r="G1776" s="22" t="str" cm="1">
        <f t="array" ref="G1776:L1776">_xlfn.XLOOKUP(C1776,Sales_Fact!C1776:C3760,Sales_Fact!E1776:J3760)</f>
        <v>STORE3</v>
      </c>
      <c r="H1776" s="22">
        <v>2</v>
      </c>
      <c r="I1776" s="22">
        <v>403.91</v>
      </c>
      <c r="J1776" s="22">
        <v>7.0000000000000007E-2</v>
      </c>
      <c r="K1776" s="22" t="str">
        <v>Credit Card</v>
      </c>
      <c r="L1776" s="22">
        <v>751.27260000000001</v>
      </c>
    </row>
    <row r="1777" spans="1:12" x14ac:dyDescent="0.3">
      <c r="A1777" s="22" t="s">
        <v>3586</v>
      </c>
      <c r="B1777" s="34" cm="1">
        <f t="array" ref="B1777:C1777">_xlfn.XLOOKUP(A1777,Sales_Fact!A1777:A3761,Sales_Fact!B1777:C3761)</f>
        <v>45721</v>
      </c>
      <c r="C1777" s="22" t="str">
        <v>CUST1076</v>
      </c>
      <c r="D1777" s="22" t="str">
        <f>VLOOKUP('Combine Products &amp; Sales Facts'!C1777,'Customer Details'!A:B,2,0)</f>
        <v>Nathan Campbell</v>
      </c>
      <c r="E1777" s="22" t="str">
        <f>VLOOKUP(C1777,Sales_Fact!C:D,2,0)</f>
        <v>PROD32</v>
      </c>
      <c r="F1777" s="22" t="str">
        <f>VLOOKUP(E1777,Product_Dim!A:C,3,0)</f>
        <v>Beauty</v>
      </c>
      <c r="G1777" s="22" t="str" cm="1">
        <f t="array" ref="G1777:L1777">_xlfn.XLOOKUP(C1777,Sales_Fact!C1777:C3761,Sales_Fact!E1777:J3761)</f>
        <v>STORE14</v>
      </c>
      <c r="H1777" s="22">
        <v>1</v>
      </c>
      <c r="I1777" s="22">
        <v>878.69</v>
      </c>
      <c r="J1777" s="22">
        <v>0.3</v>
      </c>
      <c r="K1777" s="22" t="str">
        <v>PayPal</v>
      </c>
      <c r="L1777" s="22">
        <v>615.08299999999997</v>
      </c>
    </row>
    <row r="1778" spans="1:12" x14ac:dyDescent="0.3">
      <c r="A1778" s="22" t="s">
        <v>3587</v>
      </c>
      <c r="B1778" s="34" cm="1">
        <f t="array" ref="B1778:C1778">_xlfn.XLOOKUP(A1778,Sales_Fact!A1778:A3762,Sales_Fact!B1778:C3762)</f>
        <v>45446</v>
      </c>
      <c r="C1778" s="22" t="str">
        <v>CUST1381</v>
      </c>
      <c r="D1778" s="22" t="str">
        <f>VLOOKUP('Combine Products &amp; Sales Facts'!C1778,'Customer Details'!A:B,2,0)</f>
        <v>Erika Padilla</v>
      </c>
      <c r="E1778" s="22" t="str">
        <f>VLOOKUP(C1778,Sales_Fact!C:D,2,0)</f>
        <v>PROD5</v>
      </c>
      <c r="F1778" s="22" t="str">
        <f>VLOOKUP(E1778,Product_Dim!A:C,3,0)</f>
        <v>Clothing</v>
      </c>
      <c r="G1778" s="22" t="str" cm="1">
        <f t="array" ref="G1778:L1778">_xlfn.XLOOKUP(C1778,Sales_Fact!C1778:C3762,Sales_Fact!E1778:J3762)</f>
        <v>STORE15</v>
      </c>
      <c r="H1778" s="22">
        <v>1</v>
      </c>
      <c r="I1778" s="22">
        <v>161.16999999999999</v>
      </c>
      <c r="J1778" s="22">
        <v>0.05</v>
      </c>
      <c r="K1778" s="22" t="str">
        <v>Credit Card</v>
      </c>
      <c r="L1778" s="22">
        <v>153.11150000000001</v>
      </c>
    </row>
    <row r="1779" spans="1:12" x14ac:dyDescent="0.3">
      <c r="A1779" s="22" t="s">
        <v>3588</v>
      </c>
      <c r="B1779" s="34" cm="1">
        <f t="array" ref="B1779:C1779">_xlfn.XLOOKUP(A1779,Sales_Fact!A1779:A3763,Sales_Fact!B1779:C3763)</f>
        <v>45387</v>
      </c>
      <c r="C1779" s="22" t="str">
        <v>CUST1214</v>
      </c>
      <c r="D1779" s="22" t="str">
        <f>VLOOKUP('Combine Products &amp; Sales Facts'!C1779,'Customer Details'!A:B,2,0)</f>
        <v>Eric Todd</v>
      </c>
      <c r="E1779" s="22" t="str">
        <f>VLOOKUP(C1779,Sales_Fact!C:D,2,0)</f>
        <v>PROD91</v>
      </c>
      <c r="F1779" s="22" t="str">
        <f>VLOOKUP(E1779,Product_Dim!A:C,3,0)</f>
        <v>Clothing</v>
      </c>
      <c r="G1779" s="22" t="str" cm="1">
        <f t="array" ref="G1779:L1779">_xlfn.XLOOKUP(C1779,Sales_Fact!C1779:C3763,Sales_Fact!E1779:J3763)</f>
        <v>STORE14</v>
      </c>
      <c r="H1779" s="22">
        <v>2</v>
      </c>
      <c r="I1779" s="22">
        <v>720.15</v>
      </c>
      <c r="J1779" s="22">
        <v>0.22</v>
      </c>
      <c r="K1779" s="22" t="str">
        <v>COD</v>
      </c>
      <c r="L1779" s="22">
        <v>1123.434</v>
      </c>
    </row>
    <row r="1780" spans="1:12" x14ac:dyDescent="0.3">
      <c r="A1780" s="22" t="s">
        <v>3589</v>
      </c>
      <c r="B1780" s="34" cm="1">
        <f t="array" ref="B1780:C1780">_xlfn.XLOOKUP(A1780,Sales_Fact!A1780:A3764,Sales_Fact!B1780:C3764)</f>
        <v>45222</v>
      </c>
      <c r="C1780" s="22" t="str">
        <v>CUST1347</v>
      </c>
      <c r="D1780" s="22" t="str">
        <f>VLOOKUP('Combine Products &amp; Sales Facts'!C1780,'Customer Details'!A:B,2,0)</f>
        <v>Justin Mason Dds</v>
      </c>
      <c r="E1780" s="22" t="str">
        <f>VLOOKUP(C1780,Sales_Fact!C:D,2,0)</f>
        <v>PROD37</v>
      </c>
      <c r="F1780" s="22" t="str">
        <f>VLOOKUP(E1780,Product_Dim!A:C,3,0)</f>
        <v>Clothing</v>
      </c>
      <c r="G1780" s="22" t="str" cm="1">
        <f t="array" ref="G1780:L1780">_xlfn.XLOOKUP(C1780,Sales_Fact!C1780:C3764,Sales_Fact!E1780:J3764)</f>
        <v>STORE8</v>
      </c>
      <c r="H1780" s="22">
        <v>1</v>
      </c>
      <c r="I1780" s="22">
        <v>361.8</v>
      </c>
      <c r="J1780" s="22">
        <v>0.02</v>
      </c>
      <c r="K1780" s="22" t="str">
        <v>COD</v>
      </c>
      <c r="L1780" s="22">
        <v>354.56400000000002</v>
      </c>
    </row>
    <row r="1781" spans="1:12" x14ac:dyDescent="0.3">
      <c r="A1781" s="22" t="s">
        <v>3590</v>
      </c>
      <c r="B1781" s="34" cm="1">
        <f t="array" ref="B1781:C1781">_xlfn.XLOOKUP(A1781,Sales_Fact!A1781:A3765,Sales_Fact!B1781:C3765)</f>
        <v>45402</v>
      </c>
      <c r="C1781" s="22" t="str">
        <v>CUST1230</v>
      </c>
      <c r="D1781" s="22" t="str">
        <f>VLOOKUP('Combine Products &amp; Sales Facts'!C1781,'Customer Details'!A:B,2,0)</f>
        <v>Timothy Sanders</v>
      </c>
      <c r="E1781" s="22" t="str">
        <f>VLOOKUP(C1781,Sales_Fact!C:D,2,0)</f>
        <v>PROD68</v>
      </c>
      <c r="F1781" s="22" t="str">
        <f>VLOOKUP(E1781,Product_Dim!A:C,3,0)</f>
        <v>Home</v>
      </c>
      <c r="G1781" s="22" t="str" cm="1">
        <f t="array" ref="G1781:L1781">_xlfn.XLOOKUP(C1781,Sales_Fact!C1781:C3765,Sales_Fact!E1781:J3765)</f>
        <v>STORE6</v>
      </c>
      <c r="H1781" s="22">
        <v>1</v>
      </c>
      <c r="I1781" s="22">
        <v>779.84</v>
      </c>
      <c r="J1781" s="22">
        <v>0.28999999999999998</v>
      </c>
      <c r="K1781" s="22" t="str">
        <v>PayPal</v>
      </c>
      <c r="L1781" s="22">
        <v>553.68640000000005</v>
      </c>
    </row>
    <row r="1782" spans="1:12" x14ac:dyDescent="0.3">
      <c r="A1782" s="22" t="s">
        <v>3591</v>
      </c>
      <c r="B1782" s="34" cm="1">
        <f t="array" ref="B1782:C1782">_xlfn.XLOOKUP(A1782,Sales_Fact!A1782:A3766,Sales_Fact!B1782:C3766)</f>
        <v>45455</v>
      </c>
      <c r="C1782" s="22" t="str">
        <v>CUST1004</v>
      </c>
      <c r="D1782" s="22" t="str">
        <f>VLOOKUP('Combine Products &amp; Sales Facts'!C1782,'Customer Details'!A:B,2,0)</f>
        <v>Caroline Collins</v>
      </c>
      <c r="E1782" s="22" t="str">
        <f>VLOOKUP(C1782,Sales_Fact!C:D,2,0)</f>
        <v>PROD47</v>
      </c>
      <c r="F1782" s="22" t="str">
        <f>VLOOKUP(E1782,Product_Dim!A:C,3,0)</f>
        <v>Beauty</v>
      </c>
      <c r="G1782" s="22" t="str" cm="1">
        <f t="array" ref="G1782:L1782">_xlfn.XLOOKUP(C1782,Sales_Fact!C1782:C3766,Sales_Fact!E1782:J3766)</f>
        <v>STORE4</v>
      </c>
      <c r="H1782" s="22">
        <v>2</v>
      </c>
      <c r="I1782" s="22">
        <v>649.89</v>
      </c>
      <c r="J1782" s="22">
        <v>0.17</v>
      </c>
      <c r="K1782" s="22" t="str">
        <v>COD</v>
      </c>
      <c r="L1782" s="22">
        <v>1078.8173999999999</v>
      </c>
    </row>
    <row r="1783" spans="1:12" x14ac:dyDescent="0.3">
      <c r="A1783" s="22" t="s">
        <v>3592</v>
      </c>
      <c r="B1783" s="34" cm="1">
        <f t="array" ref="B1783:C1783">_xlfn.XLOOKUP(A1783,Sales_Fact!A1783:A3767,Sales_Fact!B1783:C3767)</f>
        <v>45877</v>
      </c>
      <c r="C1783" s="22" t="str">
        <v>CUST1204</v>
      </c>
      <c r="D1783" s="22" t="str">
        <f>VLOOKUP('Combine Products &amp; Sales Facts'!C1783,'Customer Details'!A:B,2,0)</f>
        <v>Tiffany Herrera</v>
      </c>
      <c r="E1783" s="22" t="str">
        <f>VLOOKUP(C1783,Sales_Fact!C:D,2,0)</f>
        <v>PROD44</v>
      </c>
      <c r="F1783" s="22" t="str">
        <f>VLOOKUP(E1783,Product_Dim!A:C,3,0)</f>
        <v>Sports</v>
      </c>
      <c r="G1783" s="22" t="str" cm="1">
        <f t="array" ref="G1783:L1783">_xlfn.XLOOKUP(C1783,Sales_Fact!C1783:C3767,Sales_Fact!E1783:J3767)</f>
        <v>STORE6</v>
      </c>
      <c r="H1783" s="22">
        <v>1</v>
      </c>
      <c r="I1783" s="22">
        <v>952.73</v>
      </c>
      <c r="J1783" s="22">
        <v>0.17</v>
      </c>
      <c r="K1783" s="22" t="str">
        <v>Credit Card</v>
      </c>
      <c r="L1783" s="22">
        <v>790.76589999999999</v>
      </c>
    </row>
    <row r="1784" spans="1:12" x14ac:dyDescent="0.3">
      <c r="A1784" s="22" t="s">
        <v>3593</v>
      </c>
      <c r="B1784" s="34" cm="1">
        <f t="array" ref="B1784:C1784">_xlfn.XLOOKUP(A1784,Sales_Fact!A1784:A3768,Sales_Fact!B1784:C3768)</f>
        <v>45875</v>
      </c>
      <c r="C1784" s="22" t="str">
        <v>CUST1084</v>
      </c>
      <c r="D1784" s="22" t="str">
        <f>VLOOKUP('Combine Products &amp; Sales Facts'!C1784,'Customer Details'!A:B,2,0)</f>
        <v>Christy Hoffman</v>
      </c>
      <c r="E1784" s="22" t="str">
        <f>VLOOKUP(C1784,Sales_Fact!C:D,2,0)</f>
        <v>PROD25</v>
      </c>
      <c r="F1784" s="22" t="str">
        <f>VLOOKUP(E1784,Product_Dim!A:C,3,0)</f>
        <v>Clothing</v>
      </c>
      <c r="G1784" s="22" t="str" cm="1">
        <f t="array" ref="G1784:L1784">_xlfn.XLOOKUP(C1784,Sales_Fact!C1784:C3768,Sales_Fact!E1784:J3768)</f>
        <v>STORE16</v>
      </c>
      <c r="H1784" s="22">
        <v>4</v>
      </c>
      <c r="I1784" s="22">
        <v>820.78</v>
      </c>
      <c r="J1784" s="22">
        <v>0.25</v>
      </c>
      <c r="K1784" s="22" t="str">
        <v>Credit Card</v>
      </c>
      <c r="L1784" s="22">
        <v>2462.34</v>
      </c>
    </row>
    <row r="1785" spans="1:12" x14ac:dyDescent="0.3">
      <c r="A1785" s="22" t="s">
        <v>3594</v>
      </c>
      <c r="B1785" s="34" cm="1">
        <f t="array" ref="B1785:C1785">_xlfn.XLOOKUP(A1785,Sales_Fact!A1785:A3769,Sales_Fact!B1785:C3769)</f>
        <v>45592</v>
      </c>
      <c r="C1785" s="22" t="str">
        <v>CUST1342</v>
      </c>
      <c r="D1785" s="22" t="str">
        <f>VLOOKUP('Combine Products &amp; Sales Facts'!C1785,'Customer Details'!A:B,2,0)</f>
        <v>Michelle Cunningham</v>
      </c>
      <c r="E1785" s="22" t="str">
        <f>VLOOKUP(C1785,Sales_Fact!C:D,2,0)</f>
        <v>PROD61</v>
      </c>
      <c r="F1785" s="22" t="str">
        <f>VLOOKUP(E1785,Product_Dim!A:C,3,0)</f>
        <v>Sports</v>
      </c>
      <c r="G1785" s="22" t="str" cm="1">
        <f t="array" ref="G1785:L1785">_xlfn.XLOOKUP(C1785,Sales_Fact!C1785:C3769,Sales_Fact!E1785:J3769)</f>
        <v>STORE3</v>
      </c>
      <c r="H1785" s="22">
        <v>4</v>
      </c>
      <c r="I1785" s="22">
        <v>247.55</v>
      </c>
      <c r="J1785" s="22">
        <v>0.05</v>
      </c>
      <c r="K1785" s="22" t="str">
        <v>Credit Card</v>
      </c>
      <c r="L1785" s="22">
        <v>940.69</v>
      </c>
    </row>
    <row r="1786" spans="1:12" x14ac:dyDescent="0.3">
      <c r="A1786" s="22" t="s">
        <v>3595</v>
      </c>
      <c r="B1786" s="34" cm="1">
        <f t="array" ref="B1786:C1786">_xlfn.XLOOKUP(A1786,Sales_Fact!A1786:A3770,Sales_Fact!B1786:C3770)</f>
        <v>45369</v>
      </c>
      <c r="C1786" s="22" t="str">
        <v>CUST1227</v>
      </c>
      <c r="D1786" s="22" t="str">
        <f>VLOOKUP('Combine Products &amp; Sales Facts'!C1786,'Customer Details'!A:B,2,0)</f>
        <v>Gregory Pham</v>
      </c>
      <c r="E1786" s="22" t="str">
        <f>VLOOKUP(C1786,Sales_Fact!C:D,2,0)</f>
        <v>PROD93</v>
      </c>
      <c r="F1786" s="22" t="str">
        <f>VLOOKUP(E1786,Product_Dim!A:C,3,0)</f>
        <v>Electronics</v>
      </c>
      <c r="G1786" s="22" t="str" cm="1">
        <f t="array" ref="G1786:L1786">_xlfn.XLOOKUP(C1786,Sales_Fact!C1786:C3770,Sales_Fact!E1786:J3770)</f>
        <v>STORE8</v>
      </c>
      <c r="H1786" s="22">
        <v>3</v>
      </c>
      <c r="I1786" s="22">
        <v>561.44000000000005</v>
      </c>
      <c r="J1786" s="22">
        <v>0.2</v>
      </c>
      <c r="K1786" s="22" t="str">
        <v>COD</v>
      </c>
      <c r="L1786" s="22">
        <v>1347.4559999999999</v>
      </c>
    </row>
    <row r="1787" spans="1:12" x14ac:dyDescent="0.3">
      <c r="A1787" s="22" t="s">
        <v>3596</v>
      </c>
      <c r="B1787" s="34" cm="1">
        <f t="array" ref="B1787:C1787">_xlfn.XLOOKUP(A1787,Sales_Fact!A1787:A3771,Sales_Fact!B1787:C3771)</f>
        <v>45249</v>
      </c>
      <c r="C1787" s="22" t="str">
        <v>CUST1281</v>
      </c>
      <c r="D1787" s="22" t="str">
        <f>VLOOKUP('Combine Products &amp; Sales Facts'!C1787,'Customer Details'!A:B,2,0)</f>
        <v>Brittany Watson</v>
      </c>
      <c r="E1787" s="22" t="str">
        <f>VLOOKUP(C1787,Sales_Fact!C:D,2,0)</f>
        <v>PROD55</v>
      </c>
      <c r="F1787" s="22" t="str">
        <f>VLOOKUP(E1787,Product_Dim!A:C,3,0)</f>
        <v>Home</v>
      </c>
      <c r="G1787" s="22" t="str" cm="1">
        <f t="array" ref="G1787:L1787">_xlfn.XLOOKUP(C1787,Sales_Fact!C1787:C3771,Sales_Fact!E1787:J3771)</f>
        <v>STORE8</v>
      </c>
      <c r="H1787" s="22">
        <v>4</v>
      </c>
      <c r="I1787" s="22">
        <v>214.37</v>
      </c>
      <c r="J1787" s="22">
        <v>0.11</v>
      </c>
      <c r="K1787" s="22" t="str">
        <v>COD</v>
      </c>
      <c r="L1787" s="22">
        <v>763.15719999999999</v>
      </c>
    </row>
    <row r="1788" spans="1:12" x14ac:dyDescent="0.3">
      <c r="A1788" s="22" t="s">
        <v>3597</v>
      </c>
      <c r="B1788" s="34" cm="1">
        <f t="array" ref="B1788:C1788">_xlfn.XLOOKUP(A1788,Sales_Fact!A1788:A3772,Sales_Fact!B1788:C3772)</f>
        <v>45741</v>
      </c>
      <c r="C1788" s="22" t="str">
        <v>CUST1417</v>
      </c>
      <c r="D1788" s="22" t="str">
        <f>VLOOKUP('Combine Products &amp; Sales Facts'!C1788,'Customer Details'!A:B,2,0)</f>
        <v>Karen King</v>
      </c>
      <c r="E1788" s="22" t="str">
        <f>VLOOKUP(C1788,Sales_Fact!C:D,2,0)</f>
        <v>PROD97</v>
      </c>
      <c r="F1788" s="22" t="str">
        <f>VLOOKUP(E1788,Product_Dim!A:C,3,0)</f>
        <v>Sports</v>
      </c>
      <c r="G1788" s="22" t="str" cm="1">
        <f t="array" ref="G1788:L1788">_xlfn.XLOOKUP(C1788,Sales_Fact!C1788:C3772,Sales_Fact!E1788:J3772)</f>
        <v>STORE16</v>
      </c>
      <c r="H1788" s="22">
        <v>3</v>
      </c>
      <c r="I1788" s="22">
        <v>123.74</v>
      </c>
      <c r="J1788" s="22">
        <v>0.23</v>
      </c>
      <c r="K1788" s="22" t="str">
        <v>PayPal</v>
      </c>
      <c r="L1788" s="22">
        <v>285.83940000000001</v>
      </c>
    </row>
    <row r="1789" spans="1:12" x14ac:dyDescent="0.3">
      <c r="A1789" s="22" t="s">
        <v>3598</v>
      </c>
      <c r="B1789" s="34" cm="1">
        <f t="array" ref="B1789:C1789">_xlfn.XLOOKUP(A1789,Sales_Fact!A1789:A3773,Sales_Fact!B1789:C3773)</f>
        <v>45427</v>
      </c>
      <c r="C1789" s="22" t="str">
        <v>CUST1013</v>
      </c>
      <c r="D1789" s="22" t="str">
        <f>VLOOKUP('Combine Products &amp; Sales Facts'!C1789,'Customer Details'!A:B,2,0)</f>
        <v>Nathan Hernandez</v>
      </c>
      <c r="E1789" s="22" t="str">
        <f>VLOOKUP(C1789,Sales_Fact!C:D,2,0)</f>
        <v>PROD24</v>
      </c>
      <c r="F1789" s="22" t="str">
        <f>VLOOKUP(E1789,Product_Dim!A:C,3,0)</f>
        <v>Sports</v>
      </c>
      <c r="G1789" s="22" t="str" cm="1">
        <f t="array" ref="G1789:L1789">_xlfn.XLOOKUP(C1789,Sales_Fact!C1789:C3773,Sales_Fact!E1789:J3773)</f>
        <v>STORE11</v>
      </c>
      <c r="H1789" s="22">
        <v>4</v>
      </c>
      <c r="I1789" s="22">
        <v>645.71</v>
      </c>
      <c r="J1789" s="22">
        <v>0.1</v>
      </c>
      <c r="K1789" s="22" t="str">
        <v>PayPal</v>
      </c>
      <c r="L1789" s="22">
        <v>2324.556</v>
      </c>
    </row>
    <row r="1790" spans="1:12" x14ac:dyDescent="0.3">
      <c r="A1790" s="22" t="s">
        <v>3599</v>
      </c>
      <c r="B1790" s="34" cm="1">
        <f t="array" ref="B1790:C1790">_xlfn.XLOOKUP(A1790,Sales_Fact!A1790:A3774,Sales_Fact!B1790:C3774)</f>
        <v>45736</v>
      </c>
      <c r="C1790" s="22" t="str">
        <v>CUST1033</v>
      </c>
      <c r="D1790" s="22" t="str">
        <f>VLOOKUP('Combine Products &amp; Sales Facts'!C1790,'Customer Details'!A:B,2,0)</f>
        <v>Robert Jones Dds</v>
      </c>
      <c r="E1790" s="22" t="str">
        <f>VLOOKUP(C1790,Sales_Fact!C:D,2,0)</f>
        <v>PROD46</v>
      </c>
      <c r="F1790" s="22" t="str">
        <f>VLOOKUP(E1790,Product_Dim!A:C,3,0)</f>
        <v>Clothing</v>
      </c>
      <c r="G1790" s="22" t="str" cm="1">
        <f t="array" ref="G1790:L1790">_xlfn.XLOOKUP(C1790,Sales_Fact!C1790:C3774,Sales_Fact!E1790:J3774)</f>
        <v>STORE12</v>
      </c>
      <c r="H1790" s="22">
        <v>3</v>
      </c>
      <c r="I1790" s="22">
        <v>587.12</v>
      </c>
      <c r="J1790" s="22">
        <v>0.3</v>
      </c>
      <c r="K1790" s="22" t="str">
        <v>Credit Card</v>
      </c>
      <c r="L1790" s="22">
        <v>1232.952</v>
      </c>
    </row>
    <row r="1791" spans="1:12" x14ac:dyDescent="0.3">
      <c r="A1791" s="22" t="s">
        <v>3600</v>
      </c>
      <c r="B1791" s="34" cm="1">
        <f t="array" ref="B1791:C1791">_xlfn.XLOOKUP(A1791,Sales_Fact!A1791:A3775,Sales_Fact!B1791:C3775)</f>
        <v>45941</v>
      </c>
      <c r="C1791" s="22" t="str">
        <v>CUST1241</v>
      </c>
      <c r="D1791" s="22" t="str">
        <f>VLOOKUP('Combine Products &amp; Sales Facts'!C1791,'Customer Details'!A:B,2,0)</f>
        <v>Mr. William Horton</v>
      </c>
      <c r="E1791" s="22" t="str">
        <f>VLOOKUP(C1791,Sales_Fact!C:D,2,0)</f>
        <v>PROD15</v>
      </c>
      <c r="F1791" s="22" t="str">
        <f>VLOOKUP(E1791,Product_Dim!A:C,3,0)</f>
        <v>Electronics</v>
      </c>
      <c r="G1791" s="22" t="str" cm="1">
        <f t="array" ref="G1791:L1791">_xlfn.XLOOKUP(C1791,Sales_Fact!C1791:C3775,Sales_Fact!E1791:J3775)</f>
        <v>STORE18</v>
      </c>
      <c r="H1791" s="22">
        <v>1</v>
      </c>
      <c r="I1791" s="22">
        <v>401.18</v>
      </c>
      <c r="J1791" s="22">
        <v>0.15</v>
      </c>
      <c r="K1791" s="22" t="str">
        <v>COD</v>
      </c>
      <c r="L1791" s="22">
        <v>341.00299999999999</v>
      </c>
    </row>
    <row r="1792" spans="1:12" x14ac:dyDescent="0.3">
      <c r="A1792" s="22" t="s">
        <v>3601</v>
      </c>
      <c r="B1792" s="34" cm="1">
        <f t="array" ref="B1792:C1792">_xlfn.XLOOKUP(A1792,Sales_Fact!A1792:A3776,Sales_Fact!B1792:C3776)</f>
        <v>45486</v>
      </c>
      <c r="C1792" s="22" t="str">
        <v>CUST1366</v>
      </c>
      <c r="D1792" s="22" t="str">
        <f>VLOOKUP('Combine Products &amp; Sales Facts'!C1792,'Customer Details'!A:B,2,0)</f>
        <v>Mallory Allen</v>
      </c>
      <c r="E1792" s="22" t="str">
        <f>VLOOKUP(C1792,Sales_Fact!C:D,2,0)</f>
        <v>PROD73</v>
      </c>
      <c r="F1792" s="22" t="str">
        <f>VLOOKUP(E1792,Product_Dim!A:C,3,0)</f>
        <v>Sports</v>
      </c>
      <c r="G1792" s="22" t="str" cm="1">
        <f t="array" ref="G1792:L1792">_xlfn.XLOOKUP(C1792,Sales_Fact!C1792:C3776,Sales_Fact!E1792:J3776)</f>
        <v>STORE18</v>
      </c>
      <c r="H1792" s="22">
        <v>3</v>
      </c>
      <c r="I1792" s="22">
        <v>658.33</v>
      </c>
      <c r="J1792" s="22">
        <v>0.12</v>
      </c>
      <c r="K1792" s="22" t="str">
        <v>COD</v>
      </c>
      <c r="L1792" s="22">
        <v>1737.9911999999999</v>
      </c>
    </row>
    <row r="1793" spans="1:12" x14ac:dyDescent="0.3">
      <c r="A1793" s="22" t="s">
        <v>3602</v>
      </c>
      <c r="B1793" s="34" cm="1">
        <f t="array" ref="B1793:C1793">_xlfn.XLOOKUP(A1793,Sales_Fact!A1793:A3777,Sales_Fact!B1793:C3777)</f>
        <v>45474</v>
      </c>
      <c r="C1793" s="22" t="str">
        <v>CUST1201</v>
      </c>
      <c r="D1793" s="22" t="str">
        <f>VLOOKUP('Combine Products &amp; Sales Facts'!C1793,'Customer Details'!A:B,2,0)</f>
        <v>Mary Boyd</v>
      </c>
      <c r="E1793" s="22" t="str">
        <f>VLOOKUP(C1793,Sales_Fact!C:D,2,0)</f>
        <v>PROD87</v>
      </c>
      <c r="F1793" s="22" t="str">
        <f>VLOOKUP(E1793,Product_Dim!A:C,3,0)</f>
        <v>Home</v>
      </c>
      <c r="G1793" s="22" t="str" cm="1">
        <f t="array" ref="G1793:L1793">_xlfn.XLOOKUP(C1793,Sales_Fact!C1793:C3777,Sales_Fact!E1793:J3777)</f>
        <v>STORE11</v>
      </c>
      <c r="H1793" s="22">
        <v>4</v>
      </c>
      <c r="I1793" s="22">
        <v>450.3</v>
      </c>
      <c r="J1793" s="22">
        <v>0.02</v>
      </c>
      <c r="K1793" s="22" t="str">
        <v>Credit Card</v>
      </c>
      <c r="L1793" s="22">
        <v>1765.1759999999999</v>
      </c>
    </row>
    <row r="1794" spans="1:12" x14ac:dyDescent="0.3">
      <c r="A1794" s="22" t="s">
        <v>3603</v>
      </c>
      <c r="B1794" s="34" cm="1">
        <f t="array" ref="B1794:C1794">_xlfn.XLOOKUP(A1794,Sales_Fact!A1794:A3778,Sales_Fact!B1794:C3778)</f>
        <v>45757</v>
      </c>
      <c r="C1794" s="22" t="str">
        <v>CUST1145</v>
      </c>
      <c r="D1794" s="22" t="str">
        <f>VLOOKUP('Combine Products &amp; Sales Facts'!C1794,'Customer Details'!A:B,2,0)</f>
        <v>Cameron Simpson</v>
      </c>
      <c r="E1794" s="22" t="str">
        <f>VLOOKUP(C1794,Sales_Fact!C:D,2,0)</f>
        <v>PROD69</v>
      </c>
      <c r="F1794" s="22" t="str">
        <f>VLOOKUP(E1794,Product_Dim!A:C,3,0)</f>
        <v>Clothing</v>
      </c>
      <c r="G1794" s="22" t="str" cm="1">
        <f t="array" ref="G1794:L1794">_xlfn.XLOOKUP(C1794,Sales_Fact!C1794:C3778,Sales_Fact!E1794:J3778)</f>
        <v>STORE10</v>
      </c>
      <c r="H1794" s="22">
        <v>4</v>
      </c>
      <c r="I1794" s="22">
        <v>33.630000000000003</v>
      </c>
      <c r="J1794" s="22">
        <v>0.05</v>
      </c>
      <c r="K1794" s="22" t="str">
        <v>Credit Card</v>
      </c>
      <c r="L1794" s="22">
        <v>127.794</v>
      </c>
    </row>
    <row r="1795" spans="1:12" x14ac:dyDescent="0.3">
      <c r="A1795" s="22" t="s">
        <v>3604</v>
      </c>
      <c r="B1795" s="34" cm="1">
        <f t="array" ref="B1795:C1795">_xlfn.XLOOKUP(A1795,Sales_Fact!A1795:A3779,Sales_Fact!B1795:C3779)</f>
        <v>45475</v>
      </c>
      <c r="C1795" s="22" t="str">
        <v>CUST1035</v>
      </c>
      <c r="D1795" s="22" t="str">
        <f>VLOOKUP('Combine Products &amp; Sales Facts'!C1795,'Customer Details'!A:B,2,0)</f>
        <v>Rachel Myers</v>
      </c>
      <c r="E1795" s="22" t="str">
        <f>VLOOKUP(C1795,Sales_Fact!C:D,2,0)</f>
        <v>PROD97</v>
      </c>
      <c r="F1795" s="22" t="str">
        <f>VLOOKUP(E1795,Product_Dim!A:C,3,0)</f>
        <v>Sports</v>
      </c>
      <c r="G1795" s="22" t="str" cm="1">
        <f t="array" ref="G1795:L1795">_xlfn.XLOOKUP(C1795,Sales_Fact!C1795:C3779,Sales_Fact!E1795:J3779)</f>
        <v>STORE0</v>
      </c>
      <c r="H1795" s="22">
        <v>3</v>
      </c>
      <c r="I1795" s="22">
        <v>168.89</v>
      </c>
      <c r="J1795" s="22">
        <v>0.03</v>
      </c>
      <c r="K1795" s="22" t="str">
        <v>COD</v>
      </c>
      <c r="L1795" s="22">
        <v>491.46989999999988</v>
      </c>
    </row>
    <row r="1796" spans="1:12" x14ac:dyDescent="0.3">
      <c r="A1796" s="22" t="s">
        <v>3605</v>
      </c>
      <c r="B1796" s="34" cm="1">
        <f t="array" ref="B1796:C1796">_xlfn.XLOOKUP(A1796,Sales_Fact!A1796:A3780,Sales_Fact!B1796:C3780)</f>
        <v>45546</v>
      </c>
      <c r="C1796" s="22" t="str">
        <v>CUST1095</v>
      </c>
      <c r="D1796" s="22" t="str">
        <f>VLOOKUP('Combine Products &amp; Sales Facts'!C1796,'Customer Details'!A:B,2,0)</f>
        <v>Amy Fowler</v>
      </c>
      <c r="E1796" s="22" t="str">
        <f>VLOOKUP(C1796,Sales_Fact!C:D,2,0)</f>
        <v>PROD40</v>
      </c>
      <c r="F1796" s="22" t="str">
        <f>VLOOKUP(E1796,Product_Dim!A:C,3,0)</f>
        <v>Electronics</v>
      </c>
      <c r="G1796" s="22" t="str" cm="1">
        <f t="array" ref="G1796:L1796">_xlfn.XLOOKUP(C1796,Sales_Fact!C1796:C3780,Sales_Fact!E1796:J3780)</f>
        <v>STORE11</v>
      </c>
      <c r="H1796" s="22">
        <v>1</v>
      </c>
      <c r="I1796" s="22">
        <v>141.85</v>
      </c>
      <c r="J1796" s="22">
        <v>0.06</v>
      </c>
      <c r="K1796" s="22" t="str">
        <v>PayPal</v>
      </c>
      <c r="L1796" s="22">
        <v>133.339</v>
      </c>
    </row>
    <row r="1797" spans="1:12" x14ac:dyDescent="0.3">
      <c r="A1797" s="22" t="s">
        <v>3606</v>
      </c>
      <c r="B1797" s="34" cm="1">
        <f t="array" ref="B1797:C1797">_xlfn.XLOOKUP(A1797,Sales_Fact!A1797:A3781,Sales_Fact!B1797:C3781)</f>
        <v>45520</v>
      </c>
      <c r="C1797" s="22" t="str">
        <v>CUST1306</v>
      </c>
      <c r="D1797" s="22" t="str">
        <f>VLOOKUP('Combine Products &amp; Sales Facts'!C1797,'Customer Details'!A:B,2,0)</f>
        <v>Angela Robinson</v>
      </c>
      <c r="E1797" s="22" t="str">
        <f>VLOOKUP(C1797,Sales_Fact!C:D,2,0)</f>
        <v>PROD5</v>
      </c>
      <c r="F1797" s="22" t="str">
        <f>VLOOKUP(E1797,Product_Dim!A:C,3,0)</f>
        <v>Clothing</v>
      </c>
      <c r="G1797" s="22" t="str" cm="1">
        <f t="array" ref="G1797:L1797">_xlfn.XLOOKUP(C1797,Sales_Fact!C1797:C3781,Sales_Fact!E1797:J3781)</f>
        <v>STORE7</v>
      </c>
      <c r="H1797" s="22">
        <v>1</v>
      </c>
      <c r="I1797" s="22">
        <v>617.4</v>
      </c>
      <c r="J1797" s="22">
        <v>0.21</v>
      </c>
      <c r="K1797" s="22" t="str">
        <v>Credit Card</v>
      </c>
      <c r="L1797" s="22">
        <v>487.74599999999998</v>
      </c>
    </row>
    <row r="1798" spans="1:12" x14ac:dyDescent="0.3">
      <c r="A1798" s="22" t="s">
        <v>3607</v>
      </c>
      <c r="B1798" s="34" cm="1">
        <f t="array" ref="B1798:C1798">_xlfn.XLOOKUP(A1798,Sales_Fact!A1798:A3782,Sales_Fact!B1798:C3782)</f>
        <v>45534</v>
      </c>
      <c r="C1798" s="22" t="str">
        <v>CUST1147</v>
      </c>
      <c r="D1798" s="22" t="str">
        <f>VLOOKUP('Combine Products &amp; Sales Facts'!C1798,'Customer Details'!A:B,2,0)</f>
        <v>Rhonda Young</v>
      </c>
      <c r="E1798" s="22" t="str">
        <f>VLOOKUP(C1798,Sales_Fact!C:D,2,0)</f>
        <v>PROD52</v>
      </c>
      <c r="F1798" s="22" t="str">
        <f>VLOOKUP(E1798,Product_Dim!A:C,3,0)</f>
        <v>Sports</v>
      </c>
      <c r="G1798" s="22" t="str" cm="1">
        <f t="array" ref="G1798:L1798">_xlfn.XLOOKUP(C1798,Sales_Fact!C1798:C3782,Sales_Fact!E1798:J3782)</f>
        <v>STORE1</v>
      </c>
      <c r="H1798" s="22">
        <v>3</v>
      </c>
      <c r="I1798" s="22">
        <v>841.47</v>
      </c>
      <c r="J1798" s="22">
        <v>0.15</v>
      </c>
      <c r="K1798" s="22" t="str">
        <v>COD</v>
      </c>
      <c r="L1798" s="22">
        <v>2145.7485000000001</v>
      </c>
    </row>
    <row r="1799" spans="1:12" x14ac:dyDescent="0.3">
      <c r="A1799" s="22" t="s">
        <v>3608</v>
      </c>
      <c r="B1799" s="34" cm="1">
        <f t="array" ref="B1799:C1799">_xlfn.XLOOKUP(A1799,Sales_Fact!A1799:A3783,Sales_Fact!B1799:C3783)</f>
        <v>45334</v>
      </c>
      <c r="C1799" s="22" t="str">
        <v>CUST1059</v>
      </c>
      <c r="D1799" s="22" t="str">
        <f>VLOOKUP('Combine Products &amp; Sales Facts'!C1799,'Customer Details'!A:B,2,0)</f>
        <v>Alyssa Vargas</v>
      </c>
      <c r="E1799" s="22" t="str">
        <f>VLOOKUP(C1799,Sales_Fact!C:D,2,0)</f>
        <v>PROD94</v>
      </c>
      <c r="F1799" s="22" t="str">
        <f>VLOOKUP(E1799,Product_Dim!A:C,3,0)</f>
        <v>Beauty</v>
      </c>
      <c r="G1799" s="22" t="str" cm="1">
        <f t="array" ref="G1799:L1799">_xlfn.XLOOKUP(C1799,Sales_Fact!C1799:C3783,Sales_Fact!E1799:J3783)</f>
        <v>STORE13</v>
      </c>
      <c r="H1799" s="22">
        <v>2</v>
      </c>
      <c r="I1799" s="22">
        <v>960.41</v>
      </c>
      <c r="J1799" s="22">
        <v>0.18</v>
      </c>
      <c r="K1799" s="22" t="str">
        <v>Credit Card</v>
      </c>
      <c r="L1799" s="22">
        <v>1575.0724</v>
      </c>
    </row>
    <row r="1800" spans="1:12" x14ac:dyDescent="0.3">
      <c r="A1800" s="22" t="s">
        <v>3609</v>
      </c>
      <c r="B1800" s="34" cm="1">
        <f t="array" ref="B1800:C1800">_xlfn.XLOOKUP(A1800,Sales_Fact!A1800:A3784,Sales_Fact!B1800:C3784)</f>
        <v>45289</v>
      </c>
      <c r="C1800" s="22" t="str">
        <v>CUST1451</v>
      </c>
      <c r="D1800" s="22" t="str">
        <f>VLOOKUP('Combine Products &amp; Sales Facts'!C1800,'Customer Details'!A:B,2,0)</f>
        <v>Ashley Roberts</v>
      </c>
      <c r="E1800" s="22" t="str">
        <f>VLOOKUP(C1800,Sales_Fact!C:D,2,0)</f>
        <v>PROD90</v>
      </c>
      <c r="F1800" s="22" t="str">
        <f>VLOOKUP(E1800,Product_Dim!A:C,3,0)</f>
        <v>Electronics</v>
      </c>
      <c r="G1800" s="22" t="str" cm="1">
        <f t="array" ref="G1800:L1800">_xlfn.XLOOKUP(C1800,Sales_Fact!C1800:C3784,Sales_Fact!E1800:J3784)</f>
        <v>STORE18</v>
      </c>
      <c r="H1800" s="22">
        <v>3</v>
      </c>
      <c r="I1800" s="22">
        <v>717.22</v>
      </c>
      <c r="J1800" s="22">
        <v>0.24</v>
      </c>
      <c r="K1800" s="22" t="str">
        <v>PayPal</v>
      </c>
      <c r="L1800" s="22">
        <v>1635.2616</v>
      </c>
    </row>
    <row r="1801" spans="1:12" x14ac:dyDescent="0.3">
      <c r="A1801" s="22" t="s">
        <v>3610</v>
      </c>
      <c r="B1801" s="34" cm="1">
        <f t="array" ref="B1801:C1801">_xlfn.XLOOKUP(A1801,Sales_Fact!A1801:A3785,Sales_Fact!B1801:C3785)</f>
        <v>45832</v>
      </c>
      <c r="C1801" s="22" t="str">
        <v>CUST1115</v>
      </c>
      <c r="D1801" s="22" t="str">
        <f>VLOOKUP('Combine Products &amp; Sales Facts'!C1801,'Customer Details'!A:B,2,0)</f>
        <v>Tyler Conrad</v>
      </c>
      <c r="E1801" s="22" t="str">
        <f>VLOOKUP(C1801,Sales_Fact!C:D,2,0)</f>
        <v>PROD21</v>
      </c>
      <c r="F1801" s="22" t="str">
        <f>VLOOKUP(E1801,Product_Dim!A:C,3,0)</f>
        <v>Home</v>
      </c>
      <c r="G1801" s="22" t="str" cm="1">
        <f t="array" ref="G1801:L1801">_xlfn.XLOOKUP(C1801,Sales_Fact!C1801:C3785,Sales_Fact!E1801:J3785)</f>
        <v>STORE0</v>
      </c>
      <c r="H1801" s="22">
        <v>1</v>
      </c>
      <c r="I1801" s="22">
        <v>281.83</v>
      </c>
      <c r="J1801" s="22">
        <v>0.16</v>
      </c>
      <c r="K1801" s="22" t="str">
        <v>COD</v>
      </c>
      <c r="L1801" s="22">
        <v>236.7372</v>
      </c>
    </row>
    <row r="1802" spans="1:12" x14ac:dyDescent="0.3">
      <c r="A1802" s="22" t="s">
        <v>3611</v>
      </c>
      <c r="B1802" s="34" cm="1">
        <f t="array" ref="B1802:C1802">_xlfn.XLOOKUP(A1802,Sales_Fact!A1802:A3786,Sales_Fact!B1802:C3786)</f>
        <v>45400</v>
      </c>
      <c r="C1802" s="22" t="str">
        <v>CUST1204</v>
      </c>
      <c r="D1802" s="22" t="str">
        <f>VLOOKUP('Combine Products &amp; Sales Facts'!C1802,'Customer Details'!A:B,2,0)</f>
        <v>Tiffany Herrera</v>
      </c>
      <c r="E1802" s="22" t="str">
        <f>VLOOKUP(C1802,Sales_Fact!C:D,2,0)</f>
        <v>PROD44</v>
      </c>
      <c r="F1802" s="22" t="str">
        <f>VLOOKUP(E1802,Product_Dim!A:C,3,0)</f>
        <v>Sports</v>
      </c>
      <c r="G1802" s="22" t="str" cm="1">
        <f t="array" ref="G1802:L1802">_xlfn.XLOOKUP(C1802,Sales_Fact!C1802:C3786,Sales_Fact!E1802:J3786)</f>
        <v>STORE14</v>
      </c>
      <c r="H1802" s="22">
        <v>1</v>
      </c>
      <c r="I1802" s="22">
        <v>509.08</v>
      </c>
      <c r="J1802" s="22">
        <v>0.04</v>
      </c>
      <c r="K1802" s="22" t="str">
        <v>PayPal</v>
      </c>
      <c r="L1802" s="22">
        <v>488.71679999999998</v>
      </c>
    </row>
    <row r="1803" spans="1:12" x14ac:dyDescent="0.3">
      <c r="A1803" s="22" t="s">
        <v>3612</v>
      </c>
      <c r="B1803" s="34" cm="1">
        <f t="array" ref="B1803:C1803">_xlfn.XLOOKUP(A1803,Sales_Fact!A1803:A3787,Sales_Fact!B1803:C3787)</f>
        <v>45930</v>
      </c>
      <c r="C1803" s="22" t="str">
        <v>CUST1400</v>
      </c>
      <c r="D1803" s="22" t="str">
        <f>VLOOKUP('Combine Products &amp; Sales Facts'!C1803,'Customer Details'!A:B,2,0)</f>
        <v>Mark Rogers</v>
      </c>
      <c r="E1803" s="22" t="str">
        <f>VLOOKUP(C1803,Sales_Fact!C:D,2,0)</f>
        <v>PROD39</v>
      </c>
      <c r="F1803" s="22" t="str">
        <f>VLOOKUP(E1803,Product_Dim!A:C,3,0)</f>
        <v>Electronics</v>
      </c>
      <c r="G1803" s="22" t="str" cm="1">
        <f t="array" ref="G1803:L1803">_xlfn.XLOOKUP(C1803,Sales_Fact!C1803:C3787,Sales_Fact!E1803:J3787)</f>
        <v>STORE2</v>
      </c>
      <c r="H1803" s="22">
        <v>4</v>
      </c>
      <c r="I1803" s="22">
        <v>827.09</v>
      </c>
      <c r="J1803" s="22">
        <v>0.3</v>
      </c>
      <c r="K1803" s="22" t="str">
        <v>Credit Card</v>
      </c>
      <c r="L1803" s="22">
        <v>2315.8519999999999</v>
      </c>
    </row>
    <row r="1804" spans="1:12" x14ac:dyDescent="0.3">
      <c r="A1804" s="22" t="s">
        <v>3613</v>
      </c>
      <c r="B1804" s="34" cm="1">
        <f t="array" ref="B1804:C1804">_xlfn.XLOOKUP(A1804,Sales_Fact!A1804:A3788,Sales_Fact!B1804:C3788)</f>
        <v>45935</v>
      </c>
      <c r="C1804" s="22" t="str">
        <v>CUST1210</v>
      </c>
      <c r="D1804" s="22" t="str">
        <f>VLOOKUP('Combine Products &amp; Sales Facts'!C1804,'Customer Details'!A:B,2,0)</f>
        <v>Antonio Jones</v>
      </c>
      <c r="E1804" s="22" t="str">
        <f>VLOOKUP(C1804,Sales_Fact!C:D,2,0)</f>
        <v>PROD60</v>
      </c>
      <c r="F1804" s="22" t="str">
        <f>VLOOKUP(E1804,Product_Dim!A:C,3,0)</f>
        <v>Beauty</v>
      </c>
      <c r="G1804" s="22" t="str" cm="1">
        <f t="array" ref="G1804:L1804">_xlfn.XLOOKUP(C1804,Sales_Fact!C1804:C3788,Sales_Fact!E1804:J3788)</f>
        <v>STORE4</v>
      </c>
      <c r="H1804" s="22">
        <v>2</v>
      </c>
      <c r="I1804" s="22">
        <v>823.36</v>
      </c>
      <c r="J1804" s="22">
        <v>0.23</v>
      </c>
      <c r="K1804" s="22" t="str">
        <v>Credit Card</v>
      </c>
      <c r="L1804" s="22">
        <v>1267.9744000000001</v>
      </c>
    </row>
    <row r="1805" spans="1:12" x14ac:dyDescent="0.3">
      <c r="A1805" s="22" t="s">
        <v>3614</v>
      </c>
      <c r="B1805" s="34" cm="1">
        <f t="array" ref="B1805:C1805">_xlfn.XLOOKUP(A1805,Sales_Fact!A1805:A3789,Sales_Fact!B1805:C3789)</f>
        <v>45814</v>
      </c>
      <c r="C1805" s="22" t="str">
        <v>CUST1137</v>
      </c>
      <c r="D1805" s="22" t="str">
        <f>VLOOKUP('Combine Products &amp; Sales Facts'!C1805,'Customer Details'!A:B,2,0)</f>
        <v>Rick Dominguez</v>
      </c>
      <c r="E1805" s="22" t="str">
        <f>VLOOKUP(C1805,Sales_Fact!C:D,2,0)</f>
        <v>PROD26</v>
      </c>
      <c r="F1805" s="22" t="str">
        <f>VLOOKUP(E1805,Product_Dim!A:C,3,0)</f>
        <v>Electronics</v>
      </c>
      <c r="G1805" s="22" t="str" cm="1">
        <f t="array" ref="G1805:L1805">_xlfn.XLOOKUP(C1805,Sales_Fact!C1805:C3789,Sales_Fact!E1805:J3789)</f>
        <v>STORE5</v>
      </c>
      <c r="H1805" s="22">
        <v>4</v>
      </c>
      <c r="I1805" s="22">
        <v>282.18</v>
      </c>
      <c r="J1805" s="22">
        <v>0.13</v>
      </c>
      <c r="K1805" s="22" t="str">
        <v>COD</v>
      </c>
      <c r="L1805" s="22">
        <v>981.9864</v>
      </c>
    </row>
    <row r="1806" spans="1:12" x14ac:dyDescent="0.3">
      <c r="A1806" s="22" t="s">
        <v>3615</v>
      </c>
      <c r="B1806" s="34" cm="1">
        <f t="array" ref="B1806:C1806">_xlfn.XLOOKUP(A1806,Sales_Fact!A1806:A3790,Sales_Fact!B1806:C3790)</f>
        <v>45323</v>
      </c>
      <c r="C1806" s="22" t="str">
        <v>CUST1172</v>
      </c>
      <c r="D1806" s="22" t="str">
        <f>VLOOKUP('Combine Products &amp; Sales Facts'!C1806,'Customer Details'!A:B,2,0)</f>
        <v>Thomas Rhodes</v>
      </c>
      <c r="E1806" s="22" t="str">
        <f>VLOOKUP(C1806,Sales_Fact!C:D,2,0)</f>
        <v>PROD79</v>
      </c>
      <c r="F1806" s="22" t="str">
        <f>VLOOKUP(E1806,Product_Dim!A:C,3,0)</f>
        <v>Home</v>
      </c>
      <c r="G1806" s="22" t="str" cm="1">
        <f t="array" ref="G1806:L1806">_xlfn.XLOOKUP(C1806,Sales_Fact!C1806:C3790,Sales_Fact!E1806:J3790)</f>
        <v>STORE1</v>
      </c>
      <c r="H1806" s="22">
        <v>1</v>
      </c>
      <c r="I1806" s="22">
        <v>486.39</v>
      </c>
      <c r="J1806" s="22">
        <v>0.09</v>
      </c>
      <c r="K1806" s="22" t="str">
        <v>COD</v>
      </c>
      <c r="L1806" s="22">
        <v>442.61489999999998</v>
      </c>
    </row>
    <row r="1807" spans="1:12" x14ac:dyDescent="0.3">
      <c r="A1807" s="22" t="s">
        <v>3616</v>
      </c>
      <c r="B1807" s="34" cm="1">
        <f t="array" ref="B1807:C1807">_xlfn.XLOOKUP(A1807,Sales_Fact!A1807:A3791,Sales_Fact!B1807:C3791)</f>
        <v>45312</v>
      </c>
      <c r="C1807" s="22" t="str">
        <v>CUST1044</v>
      </c>
      <c r="D1807" s="22" t="str">
        <f>VLOOKUP('Combine Products &amp; Sales Facts'!C1807,'Customer Details'!A:B,2,0)</f>
        <v>Denise Williams</v>
      </c>
      <c r="E1807" s="22" t="str">
        <f>VLOOKUP(C1807,Sales_Fact!C:D,2,0)</f>
        <v>PROD1</v>
      </c>
      <c r="F1807" s="22" t="str">
        <f>VLOOKUP(E1807,Product_Dim!A:C,3,0)</f>
        <v>Clothing</v>
      </c>
      <c r="G1807" s="22" t="str" cm="1">
        <f t="array" ref="G1807:L1807">_xlfn.XLOOKUP(C1807,Sales_Fact!C1807:C3791,Sales_Fact!E1807:J3791)</f>
        <v>STORE3</v>
      </c>
      <c r="H1807" s="22">
        <v>2</v>
      </c>
      <c r="I1807" s="22">
        <v>603.62</v>
      </c>
      <c r="J1807" s="22">
        <v>0.18</v>
      </c>
      <c r="K1807" s="22" t="str">
        <v>COD</v>
      </c>
      <c r="L1807" s="22">
        <v>989.93680000000006</v>
      </c>
    </row>
    <row r="1808" spans="1:12" x14ac:dyDescent="0.3">
      <c r="A1808" s="22" t="s">
        <v>3617</v>
      </c>
      <c r="B1808" s="34" cm="1">
        <f t="array" ref="B1808:C1808">_xlfn.XLOOKUP(A1808,Sales_Fact!A1808:A3792,Sales_Fact!B1808:C3792)</f>
        <v>45554</v>
      </c>
      <c r="C1808" s="22" t="str">
        <v>CUST1147</v>
      </c>
      <c r="D1808" s="22" t="str">
        <f>VLOOKUP('Combine Products &amp; Sales Facts'!C1808,'Customer Details'!A:B,2,0)</f>
        <v>Rhonda Young</v>
      </c>
      <c r="E1808" s="22" t="str">
        <f>VLOOKUP(C1808,Sales_Fact!C:D,2,0)</f>
        <v>PROD52</v>
      </c>
      <c r="F1808" s="22" t="str">
        <f>VLOOKUP(E1808,Product_Dim!A:C,3,0)</f>
        <v>Sports</v>
      </c>
      <c r="G1808" s="22" t="str" cm="1">
        <f t="array" ref="G1808:L1808">_xlfn.XLOOKUP(C1808,Sales_Fact!C1808:C3792,Sales_Fact!E1808:J3792)</f>
        <v>STORE8</v>
      </c>
      <c r="H1808" s="22">
        <v>3</v>
      </c>
      <c r="I1808" s="22">
        <v>204.17</v>
      </c>
      <c r="J1808" s="22">
        <v>0.1</v>
      </c>
      <c r="K1808" s="22" t="str">
        <v>PayPal</v>
      </c>
      <c r="L1808" s="22">
        <v>551.25900000000001</v>
      </c>
    </row>
    <row r="1809" spans="1:12" x14ac:dyDescent="0.3">
      <c r="A1809" s="22" t="s">
        <v>3618</v>
      </c>
      <c r="B1809" s="34" cm="1">
        <f t="array" ref="B1809:C1809">_xlfn.XLOOKUP(A1809,Sales_Fact!A1809:A3793,Sales_Fact!B1809:C3793)</f>
        <v>45310</v>
      </c>
      <c r="C1809" s="22" t="str">
        <v>CUST1137</v>
      </c>
      <c r="D1809" s="22" t="str">
        <f>VLOOKUP('Combine Products &amp; Sales Facts'!C1809,'Customer Details'!A:B,2,0)</f>
        <v>Rick Dominguez</v>
      </c>
      <c r="E1809" s="22" t="str">
        <f>VLOOKUP(C1809,Sales_Fact!C:D,2,0)</f>
        <v>PROD26</v>
      </c>
      <c r="F1809" s="22" t="str">
        <f>VLOOKUP(E1809,Product_Dim!A:C,3,0)</f>
        <v>Electronics</v>
      </c>
      <c r="G1809" s="22" t="str" cm="1">
        <f t="array" ref="G1809:L1809">_xlfn.XLOOKUP(C1809,Sales_Fact!C1809:C3793,Sales_Fact!E1809:J3793)</f>
        <v>STORE15</v>
      </c>
      <c r="H1809" s="22">
        <v>1</v>
      </c>
      <c r="I1809" s="22">
        <v>43.58</v>
      </c>
      <c r="J1809" s="22">
        <v>0.01</v>
      </c>
      <c r="K1809" s="22" t="str">
        <v>COD</v>
      </c>
      <c r="L1809" s="22">
        <v>43.144199999999998</v>
      </c>
    </row>
    <row r="1810" spans="1:12" x14ac:dyDescent="0.3">
      <c r="A1810" s="22" t="s">
        <v>3619</v>
      </c>
      <c r="B1810" s="34" cm="1">
        <f t="array" ref="B1810:C1810">_xlfn.XLOOKUP(A1810,Sales_Fact!A1810:A3794,Sales_Fact!B1810:C3794)</f>
        <v>45594</v>
      </c>
      <c r="C1810" s="22" t="str">
        <v>CUST1332</v>
      </c>
      <c r="D1810" s="22" t="str">
        <f>VLOOKUP('Combine Products &amp; Sales Facts'!C1810,'Customer Details'!A:B,2,0)</f>
        <v>Dr. Lindsay Hanna</v>
      </c>
      <c r="E1810" s="22" t="str">
        <f>VLOOKUP(C1810,Sales_Fact!C:D,2,0)</f>
        <v>PROD32</v>
      </c>
      <c r="F1810" s="22" t="str">
        <f>VLOOKUP(E1810,Product_Dim!A:C,3,0)</f>
        <v>Beauty</v>
      </c>
      <c r="G1810" s="22" t="str" cm="1">
        <f t="array" ref="G1810:L1810">_xlfn.XLOOKUP(C1810,Sales_Fact!C1810:C3794,Sales_Fact!E1810:J3794)</f>
        <v>STORE2</v>
      </c>
      <c r="H1810" s="22">
        <v>3</v>
      </c>
      <c r="I1810" s="22">
        <v>469.33</v>
      </c>
      <c r="J1810" s="22">
        <v>0.14000000000000001</v>
      </c>
      <c r="K1810" s="22" t="str">
        <v>PayPal</v>
      </c>
      <c r="L1810" s="22">
        <v>1210.8714</v>
      </c>
    </row>
    <row r="1811" spans="1:12" x14ac:dyDescent="0.3">
      <c r="A1811" s="22" t="s">
        <v>3620</v>
      </c>
      <c r="B1811" s="34" cm="1">
        <f t="array" ref="B1811:C1811">_xlfn.XLOOKUP(A1811,Sales_Fact!A1811:A3795,Sales_Fact!B1811:C3795)</f>
        <v>45840</v>
      </c>
      <c r="C1811" s="22" t="str">
        <v>CUST1209</v>
      </c>
      <c r="D1811" s="22" t="str">
        <f>VLOOKUP('Combine Products &amp; Sales Facts'!C1811,'Customer Details'!A:B,2,0)</f>
        <v>Joan Johnson</v>
      </c>
      <c r="E1811" s="22" t="str">
        <f>VLOOKUP(C1811,Sales_Fact!C:D,2,0)</f>
        <v>PROD42</v>
      </c>
      <c r="F1811" s="22" t="str">
        <f>VLOOKUP(E1811,Product_Dim!A:C,3,0)</f>
        <v>Electronics</v>
      </c>
      <c r="G1811" s="22" t="str" cm="1">
        <f t="array" ref="G1811:L1811">_xlfn.XLOOKUP(C1811,Sales_Fact!C1811:C3795,Sales_Fact!E1811:J3795)</f>
        <v>STORE8</v>
      </c>
      <c r="H1811" s="22">
        <v>4</v>
      </c>
      <c r="I1811" s="22">
        <v>836.23</v>
      </c>
      <c r="J1811" s="22">
        <v>0.12</v>
      </c>
      <c r="K1811" s="22" t="str">
        <v>Credit Card</v>
      </c>
      <c r="L1811" s="22">
        <v>2943.5295999999998</v>
      </c>
    </row>
    <row r="1812" spans="1:12" x14ac:dyDescent="0.3">
      <c r="A1812" s="22" t="s">
        <v>3621</v>
      </c>
      <c r="B1812" s="34" cm="1">
        <f t="array" ref="B1812:C1812">_xlfn.XLOOKUP(A1812,Sales_Fact!A1812:A3796,Sales_Fact!B1812:C3796)</f>
        <v>45549</v>
      </c>
      <c r="C1812" s="22" t="str">
        <v>CUST1178</v>
      </c>
      <c r="D1812" s="22" t="str">
        <f>VLOOKUP('Combine Products &amp; Sales Facts'!C1812,'Customer Details'!A:B,2,0)</f>
        <v>Michelle Myers</v>
      </c>
      <c r="E1812" s="22" t="str">
        <f>VLOOKUP(C1812,Sales_Fact!C:D,2,0)</f>
        <v>PROD97</v>
      </c>
      <c r="F1812" s="22" t="str">
        <f>VLOOKUP(E1812,Product_Dim!A:C,3,0)</f>
        <v>Sports</v>
      </c>
      <c r="G1812" s="22" t="str" cm="1">
        <f t="array" ref="G1812:L1812">_xlfn.XLOOKUP(C1812,Sales_Fact!C1812:C3796,Sales_Fact!E1812:J3796)</f>
        <v>STORE19</v>
      </c>
      <c r="H1812" s="22">
        <v>2</v>
      </c>
      <c r="I1812" s="22">
        <v>661.53</v>
      </c>
      <c r="J1812" s="22">
        <v>0.2</v>
      </c>
      <c r="K1812" s="22" t="str">
        <v>PayPal</v>
      </c>
      <c r="L1812" s="22">
        <v>1058.4480000000001</v>
      </c>
    </row>
    <row r="1813" spans="1:12" x14ac:dyDescent="0.3">
      <c r="A1813" s="22" t="s">
        <v>3622</v>
      </c>
      <c r="B1813" s="34" cm="1">
        <f t="array" ref="B1813:C1813">_xlfn.XLOOKUP(A1813,Sales_Fact!A1813:A3797,Sales_Fact!B1813:C3797)</f>
        <v>45903</v>
      </c>
      <c r="C1813" s="22" t="str">
        <v>CUST1118</v>
      </c>
      <c r="D1813" s="22" t="str">
        <f>VLOOKUP('Combine Products &amp; Sales Facts'!C1813,'Customer Details'!A:B,2,0)</f>
        <v>Earl Allen</v>
      </c>
      <c r="E1813" s="22" t="str">
        <f>VLOOKUP(C1813,Sales_Fact!C:D,2,0)</f>
        <v>PROD83</v>
      </c>
      <c r="F1813" s="22" t="str">
        <f>VLOOKUP(E1813,Product_Dim!A:C,3,0)</f>
        <v>Beauty</v>
      </c>
      <c r="G1813" s="22" t="str" cm="1">
        <f t="array" ref="G1813:L1813">_xlfn.XLOOKUP(C1813,Sales_Fact!C1813:C3797,Sales_Fact!E1813:J3797)</f>
        <v>STORE16</v>
      </c>
      <c r="H1813" s="22">
        <v>3</v>
      </c>
      <c r="I1813" s="22">
        <v>753.47</v>
      </c>
      <c r="J1813" s="22">
        <v>0.25</v>
      </c>
      <c r="K1813" s="22" t="str">
        <v>PayPal</v>
      </c>
      <c r="L1813" s="22">
        <v>1695.3074999999999</v>
      </c>
    </row>
    <row r="1814" spans="1:12" x14ac:dyDescent="0.3">
      <c r="A1814" s="22" t="s">
        <v>3623</v>
      </c>
      <c r="B1814" s="34" cm="1">
        <f t="array" ref="B1814:C1814">_xlfn.XLOOKUP(A1814,Sales_Fact!A1814:A3798,Sales_Fact!B1814:C3798)</f>
        <v>45673</v>
      </c>
      <c r="C1814" s="22" t="str">
        <v>CUST1156</v>
      </c>
      <c r="D1814" s="22" t="str">
        <f>VLOOKUP('Combine Products &amp; Sales Facts'!C1814,'Customer Details'!A:B,2,0)</f>
        <v>Maria Sanchez</v>
      </c>
      <c r="E1814" s="22" t="str">
        <f>VLOOKUP(C1814,Sales_Fact!C:D,2,0)</f>
        <v>PROD49</v>
      </c>
      <c r="F1814" s="22" t="str">
        <f>VLOOKUP(E1814,Product_Dim!A:C,3,0)</f>
        <v>Beauty</v>
      </c>
      <c r="G1814" s="22" t="str" cm="1">
        <f t="array" ref="G1814:L1814">_xlfn.XLOOKUP(C1814,Sales_Fact!C1814:C3798,Sales_Fact!E1814:J3798)</f>
        <v>STORE0</v>
      </c>
      <c r="H1814" s="22">
        <v>3</v>
      </c>
      <c r="I1814" s="22">
        <v>713.95</v>
      </c>
      <c r="J1814" s="22">
        <v>0</v>
      </c>
      <c r="K1814" s="22" t="str">
        <v>Credit Card</v>
      </c>
      <c r="L1814" s="22">
        <v>2141.85</v>
      </c>
    </row>
    <row r="1815" spans="1:12" x14ac:dyDescent="0.3">
      <c r="A1815" s="22" t="s">
        <v>3624</v>
      </c>
      <c r="B1815" s="34" cm="1">
        <f t="array" ref="B1815:C1815">_xlfn.XLOOKUP(A1815,Sales_Fact!A1815:A3799,Sales_Fact!B1815:C3799)</f>
        <v>45395</v>
      </c>
      <c r="C1815" s="22" t="str">
        <v>CUST1099</v>
      </c>
      <c r="D1815" s="22" t="str">
        <f>VLOOKUP('Combine Products &amp; Sales Facts'!C1815,'Customer Details'!A:B,2,0)</f>
        <v>Sheila Wilson</v>
      </c>
      <c r="E1815" s="22" t="str">
        <f>VLOOKUP(C1815,Sales_Fact!C:D,2,0)</f>
        <v>PROD26</v>
      </c>
      <c r="F1815" s="22" t="str">
        <f>VLOOKUP(E1815,Product_Dim!A:C,3,0)</f>
        <v>Electronics</v>
      </c>
      <c r="G1815" s="22" t="str" cm="1">
        <f t="array" ref="G1815:L1815">_xlfn.XLOOKUP(C1815,Sales_Fact!C1815:C3799,Sales_Fact!E1815:J3799)</f>
        <v>STORE5</v>
      </c>
      <c r="H1815" s="22">
        <v>3</v>
      </c>
      <c r="I1815" s="22">
        <v>596</v>
      </c>
      <c r="J1815" s="22">
        <v>0.28000000000000003</v>
      </c>
      <c r="K1815" s="22" t="str">
        <v>COD</v>
      </c>
      <c r="L1815" s="22">
        <v>1287.3599999999999</v>
      </c>
    </row>
    <row r="1816" spans="1:12" x14ac:dyDescent="0.3">
      <c r="A1816" s="22" t="s">
        <v>3625</v>
      </c>
      <c r="B1816" s="34" cm="1">
        <f t="array" ref="B1816:C1816">_xlfn.XLOOKUP(A1816,Sales_Fact!A1816:A3800,Sales_Fact!B1816:C3800)</f>
        <v>45379</v>
      </c>
      <c r="C1816" s="22" t="str">
        <v>CUST1334</v>
      </c>
      <c r="D1816" s="22" t="str">
        <f>VLOOKUP('Combine Products &amp; Sales Facts'!C1816,'Customer Details'!A:B,2,0)</f>
        <v>Mr. Christopher Sims</v>
      </c>
      <c r="E1816" s="22" t="str">
        <f>VLOOKUP(C1816,Sales_Fact!C:D,2,0)</f>
        <v>PROD71</v>
      </c>
      <c r="F1816" s="22" t="str">
        <f>VLOOKUP(E1816,Product_Dim!A:C,3,0)</f>
        <v>Beauty</v>
      </c>
      <c r="G1816" s="22" t="str" cm="1">
        <f t="array" ref="G1816:L1816">_xlfn.XLOOKUP(C1816,Sales_Fact!C1816:C3800,Sales_Fact!E1816:J3800)</f>
        <v>STORE9</v>
      </c>
      <c r="H1816" s="22">
        <v>2</v>
      </c>
      <c r="I1816" s="22">
        <v>169.46</v>
      </c>
      <c r="J1816" s="22">
        <v>0.03</v>
      </c>
      <c r="K1816" s="22" t="str">
        <v>PayPal</v>
      </c>
      <c r="L1816" s="22">
        <v>328.75240000000002</v>
      </c>
    </row>
    <row r="1817" spans="1:12" x14ac:dyDescent="0.3">
      <c r="A1817" s="22" t="s">
        <v>3626</v>
      </c>
      <c r="B1817" s="34" cm="1">
        <f t="array" ref="B1817:C1817">_xlfn.XLOOKUP(A1817,Sales_Fact!A1817:A3801,Sales_Fact!B1817:C3801)</f>
        <v>45860</v>
      </c>
      <c r="C1817" s="22" t="str">
        <v>CUST1300</v>
      </c>
      <c r="D1817" s="22" t="str">
        <f>VLOOKUP('Combine Products &amp; Sales Facts'!C1817,'Customer Details'!A:B,2,0)</f>
        <v>Matthew Avery</v>
      </c>
      <c r="E1817" s="22" t="str">
        <f>VLOOKUP(C1817,Sales_Fact!C:D,2,0)</f>
        <v>PROD36</v>
      </c>
      <c r="F1817" s="22" t="str">
        <f>VLOOKUP(E1817,Product_Dim!A:C,3,0)</f>
        <v>Clothing</v>
      </c>
      <c r="G1817" s="22" t="str" cm="1">
        <f t="array" ref="G1817:L1817">_xlfn.XLOOKUP(C1817,Sales_Fact!C1817:C3801,Sales_Fact!E1817:J3801)</f>
        <v>STORE14</v>
      </c>
      <c r="H1817" s="22">
        <v>4</v>
      </c>
      <c r="I1817" s="22">
        <v>611.91999999999996</v>
      </c>
      <c r="J1817" s="22">
        <v>0.2</v>
      </c>
      <c r="K1817" s="22" t="str">
        <v>PayPal</v>
      </c>
      <c r="L1817" s="22">
        <v>1958.144</v>
      </c>
    </row>
    <row r="1818" spans="1:12" x14ac:dyDescent="0.3">
      <c r="A1818" s="22" t="s">
        <v>3627</v>
      </c>
      <c r="B1818" s="34" cm="1">
        <f t="array" ref="B1818:C1818">_xlfn.XLOOKUP(A1818,Sales_Fact!A1818:A3802,Sales_Fact!B1818:C3802)</f>
        <v>45704</v>
      </c>
      <c r="C1818" s="22" t="str">
        <v>CUST1003</v>
      </c>
      <c r="D1818" s="22" t="str">
        <f>VLOOKUP('Combine Products &amp; Sales Facts'!C1818,'Customer Details'!A:B,2,0)</f>
        <v>Jeremy Harris</v>
      </c>
      <c r="E1818" s="22" t="str">
        <f>VLOOKUP(C1818,Sales_Fact!C:D,2,0)</f>
        <v>PROD0</v>
      </c>
      <c r="F1818" s="22" t="str">
        <f>VLOOKUP(E1818,Product_Dim!A:C,3,0)</f>
        <v>Electronics</v>
      </c>
      <c r="G1818" s="22" t="str" cm="1">
        <f t="array" ref="G1818:L1818">_xlfn.XLOOKUP(C1818,Sales_Fact!C1818:C3802,Sales_Fact!E1818:J3802)</f>
        <v>STORE15</v>
      </c>
      <c r="H1818" s="22">
        <v>2</v>
      </c>
      <c r="I1818" s="22">
        <v>25.3</v>
      </c>
      <c r="J1818" s="22">
        <v>0.21</v>
      </c>
      <c r="K1818" s="22" t="str">
        <v>Credit Card</v>
      </c>
      <c r="L1818" s="22">
        <v>39.973999999999997</v>
      </c>
    </row>
    <row r="1819" spans="1:12" x14ac:dyDescent="0.3">
      <c r="A1819" s="22" t="s">
        <v>3628</v>
      </c>
      <c r="B1819" s="34" cm="1">
        <f t="array" ref="B1819:C1819">_xlfn.XLOOKUP(A1819,Sales_Fact!A1819:A3803,Sales_Fact!B1819:C3803)</f>
        <v>45327</v>
      </c>
      <c r="C1819" s="22" t="str">
        <v>CUST1433</v>
      </c>
      <c r="D1819" s="22" t="str">
        <f>VLOOKUP('Combine Products &amp; Sales Facts'!C1819,'Customer Details'!A:B,2,0)</f>
        <v>Thomas Moore</v>
      </c>
      <c r="E1819" s="22" t="str">
        <f>VLOOKUP(C1819,Sales_Fact!C:D,2,0)</f>
        <v>PROD64</v>
      </c>
      <c r="F1819" s="22" t="str">
        <f>VLOOKUP(E1819,Product_Dim!A:C,3,0)</f>
        <v>Beauty</v>
      </c>
      <c r="G1819" s="22" t="str" cm="1">
        <f t="array" ref="G1819:L1819">_xlfn.XLOOKUP(C1819,Sales_Fact!C1819:C3803,Sales_Fact!E1819:J3803)</f>
        <v>STORE10</v>
      </c>
      <c r="H1819" s="22">
        <v>4</v>
      </c>
      <c r="I1819" s="22">
        <v>166.93</v>
      </c>
      <c r="J1819" s="22">
        <v>0.02</v>
      </c>
      <c r="K1819" s="22" t="str">
        <v>PayPal</v>
      </c>
      <c r="L1819" s="22">
        <v>654.36559999999997</v>
      </c>
    </row>
    <row r="1820" spans="1:12" x14ac:dyDescent="0.3">
      <c r="A1820" s="22" t="s">
        <v>3629</v>
      </c>
      <c r="B1820" s="34" cm="1">
        <f t="array" ref="B1820:C1820">_xlfn.XLOOKUP(A1820,Sales_Fact!A1820:A3804,Sales_Fact!B1820:C3804)</f>
        <v>45721</v>
      </c>
      <c r="C1820" s="22" t="str">
        <v>CUST1280</v>
      </c>
      <c r="D1820" s="22" t="str">
        <f>VLOOKUP('Combine Products &amp; Sales Facts'!C1820,'Customer Details'!A:B,2,0)</f>
        <v>Antonio Leon</v>
      </c>
      <c r="E1820" s="22" t="str">
        <f>VLOOKUP(C1820,Sales_Fact!C:D,2,0)</f>
        <v>PROD91</v>
      </c>
      <c r="F1820" s="22" t="str">
        <f>VLOOKUP(E1820,Product_Dim!A:C,3,0)</f>
        <v>Clothing</v>
      </c>
      <c r="G1820" s="22" t="str" cm="1">
        <f t="array" ref="G1820:L1820">_xlfn.XLOOKUP(C1820,Sales_Fact!C1820:C3804,Sales_Fact!E1820:J3804)</f>
        <v>STORE11</v>
      </c>
      <c r="H1820" s="22">
        <v>4</v>
      </c>
      <c r="I1820" s="22">
        <v>861.55</v>
      </c>
      <c r="J1820" s="22">
        <v>0.12</v>
      </c>
      <c r="K1820" s="22" t="str">
        <v>Credit Card</v>
      </c>
      <c r="L1820" s="22">
        <v>3032.6559999999999</v>
      </c>
    </row>
    <row r="1821" spans="1:12" x14ac:dyDescent="0.3">
      <c r="A1821" s="22" t="s">
        <v>3630</v>
      </c>
      <c r="B1821" s="34" cm="1">
        <f t="array" ref="B1821:C1821">_xlfn.XLOOKUP(A1821,Sales_Fact!A1821:A3805,Sales_Fact!B1821:C3805)</f>
        <v>45842</v>
      </c>
      <c r="C1821" s="22" t="str">
        <v>CUST1360</v>
      </c>
      <c r="D1821" s="22" t="str">
        <f>VLOOKUP('Combine Products &amp; Sales Facts'!C1821,'Customer Details'!A:B,2,0)</f>
        <v>Denise Tate</v>
      </c>
      <c r="E1821" s="22" t="str">
        <f>VLOOKUP(C1821,Sales_Fact!C:D,2,0)</f>
        <v>PROD73</v>
      </c>
      <c r="F1821" s="22" t="str">
        <f>VLOOKUP(E1821,Product_Dim!A:C,3,0)</f>
        <v>Sports</v>
      </c>
      <c r="G1821" s="22" t="str" cm="1">
        <f t="array" ref="G1821:L1821">_xlfn.XLOOKUP(C1821,Sales_Fact!C1821:C3805,Sales_Fact!E1821:J3805)</f>
        <v>STORE5</v>
      </c>
      <c r="H1821" s="22">
        <v>3</v>
      </c>
      <c r="I1821" s="22">
        <v>56.17</v>
      </c>
      <c r="J1821" s="22">
        <v>0.01</v>
      </c>
      <c r="K1821" s="22" t="str">
        <v>COD</v>
      </c>
      <c r="L1821" s="22">
        <v>166.82490000000001</v>
      </c>
    </row>
    <row r="1822" spans="1:12" x14ac:dyDescent="0.3">
      <c r="A1822" s="22" t="s">
        <v>3631</v>
      </c>
      <c r="B1822" s="34" cm="1">
        <f t="array" ref="B1822:C1822">_xlfn.XLOOKUP(A1822,Sales_Fact!A1822:A3806,Sales_Fact!B1822:C3806)</f>
        <v>45862</v>
      </c>
      <c r="C1822" s="22" t="str">
        <v>CUST1266</v>
      </c>
      <c r="D1822" s="22" t="str">
        <f>VLOOKUP('Combine Products &amp; Sales Facts'!C1822,'Customer Details'!A:B,2,0)</f>
        <v>Cynthia Payne</v>
      </c>
      <c r="E1822" s="22" t="str">
        <f>VLOOKUP(C1822,Sales_Fact!C:D,2,0)</f>
        <v>PROD15</v>
      </c>
      <c r="F1822" s="22" t="str">
        <f>VLOOKUP(E1822,Product_Dim!A:C,3,0)</f>
        <v>Electronics</v>
      </c>
      <c r="G1822" s="22" t="str" cm="1">
        <f t="array" ref="G1822:L1822">_xlfn.XLOOKUP(C1822,Sales_Fact!C1822:C3806,Sales_Fact!E1822:J3806)</f>
        <v>STORE19</v>
      </c>
      <c r="H1822" s="22">
        <v>1</v>
      </c>
      <c r="I1822" s="22">
        <v>582.29</v>
      </c>
      <c r="J1822" s="22">
        <v>0.2</v>
      </c>
      <c r="K1822" s="22" t="str">
        <v>Credit Card</v>
      </c>
      <c r="L1822" s="22">
        <v>465.83199999999999</v>
      </c>
    </row>
    <row r="1823" spans="1:12" x14ac:dyDescent="0.3">
      <c r="A1823" s="22" t="s">
        <v>3632</v>
      </c>
      <c r="B1823" s="34" cm="1">
        <f t="array" ref="B1823:C1823">_xlfn.XLOOKUP(A1823,Sales_Fact!A1823:A3807,Sales_Fact!B1823:C3807)</f>
        <v>45681</v>
      </c>
      <c r="C1823" s="22" t="str">
        <v>CUST1261</v>
      </c>
      <c r="D1823" s="22" t="str">
        <f>VLOOKUP('Combine Products &amp; Sales Facts'!C1823,'Customer Details'!A:B,2,0)</f>
        <v>Carol Bishop</v>
      </c>
      <c r="E1823" s="22" t="str">
        <f>VLOOKUP(C1823,Sales_Fact!C:D,2,0)</f>
        <v>PROD42</v>
      </c>
      <c r="F1823" s="22" t="str">
        <f>VLOOKUP(E1823,Product_Dim!A:C,3,0)</f>
        <v>Electronics</v>
      </c>
      <c r="G1823" s="22" t="str" cm="1">
        <f t="array" ref="G1823:L1823">_xlfn.XLOOKUP(C1823,Sales_Fact!C1823:C3807,Sales_Fact!E1823:J3807)</f>
        <v>STORE0</v>
      </c>
      <c r="H1823" s="22">
        <v>3</v>
      </c>
      <c r="I1823" s="22">
        <v>63.96</v>
      </c>
      <c r="J1823" s="22">
        <v>0.02</v>
      </c>
      <c r="K1823" s="22" t="str">
        <v>Credit Card</v>
      </c>
      <c r="L1823" s="22">
        <v>188.04239999999999</v>
      </c>
    </row>
    <row r="1824" spans="1:12" x14ac:dyDescent="0.3">
      <c r="A1824" s="22" t="s">
        <v>3633</v>
      </c>
      <c r="B1824" s="34" cm="1">
        <f t="array" ref="B1824:C1824">_xlfn.XLOOKUP(A1824,Sales_Fact!A1824:A3808,Sales_Fact!B1824:C3808)</f>
        <v>45392</v>
      </c>
      <c r="C1824" s="22" t="str">
        <v>CUST1065</v>
      </c>
      <c r="D1824" s="22" t="str">
        <f>VLOOKUP('Combine Products &amp; Sales Facts'!C1824,'Customer Details'!A:B,2,0)</f>
        <v>Michael Thomas</v>
      </c>
      <c r="E1824" s="22" t="str">
        <f>VLOOKUP(C1824,Sales_Fact!C:D,2,0)</f>
        <v>PROD24</v>
      </c>
      <c r="F1824" s="22" t="str">
        <f>VLOOKUP(E1824,Product_Dim!A:C,3,0)</f>
        <v>Sports</v>
      </c>
      <c r="G1824" s="22" t="str" cm="1">
        <f t="array" ref="G1824:L1824">_xlfn.XLOOKUP(C1824,Sales_Fact!C1824:C3808,Sales_Fact!E1824:J3808)</f>
        <v>STORE12</v>
      </c>
      <c r="H1824" s="22">
        <v>1</v>
      </c>
      <c r="I1824" s="22">
        <v>829.83</v>
      </c>
      <c r="J1824" s="22">
        <v>0.26</v>
      </c>
      <c r="K1824" s="22" t="str">
        <v>COD</v>
      </c>
      <c r="L1824" s="22">
        <v>614.07420000000002</v>
      </c>
    </row>
    <row r="1825" spans="1:12" x14ac:dyDescent="0.3">
      <c r="A1825" s="22" t="s">
        <v>3634</v>
      </c>
      <c r="B1825" s="34" cm="1">
        <f t="array" ref="B1825:C1825">_xlfn.XLOOKUP(A1825,Sales_Fact!A1825:A3809,Sales_Fact!B1825:C3809)</f>
        <v>45586</v>
      </c>
      <c r="C1825" s="22" t="str">
        <v>CUST1370</v>
      </c>
      <c r="D1825" s="22" t="str">
        <f>VLOOKUP('Combine Products &amp; Sales Facts'!C1825,'Customer Details'!A:B,2,0)</f>
        <v>James Holloway Jr.</v>
      </c>
      <c r="E1825" s="22" t="str">
        <f>VLOOKUP(C1825,Sales_Fact!C:D,2,0)</f>
        <v>PROD37</v>
      </c>
      <c r="F1825" s="22" t="str">
        <f>VLOOKUP(E1825,Product_Dim!A:C,3,0)</f>
        <v>Clothing</v>
      </c>
      <c r="G1825" s="22" t="str" cm="1">
        <f t="array" ref="G1825:L1825">_xlfn.XLOOKUP(C1825,Sales_Fact!C1825:C3809,Sales_Fact!E1825:J3809)</f>
        <v>STORE16</v>
      </c>
      <c r="H1825" s="22">
        <v>2</v>
      </c>
      <c r="I1825" s="22">
        <v>858.15</v>
      </c>
      <c r="J1825" s="22">
        <v>0.03</v>
      </c>
      <c r="K1825" s="22" t="str">
        <v>Credit Card</v>
      </c>
      <c r="L1825" s="22">
        <v>1664.8109999999999</v>
      </c>
    </row>
    <row r="1826" spans="1:12" x14ac:dyDescent="0.3">
      <c r="A1826" s="22" t="s">
        <v>3635</v>
      </c>
      <c r="B1826" s="34" cm="1">
        <f t="array" ref="B1826:C1826">_xlfn.XLOOKUP(A1826,Sales_Fact!A1826:A3810,Sales_Fact!B1826:C3810)</f>
        <v>45340</v>
      </c>
      <c r="C1826" s="22" t="str">
        <v>CUST1359</v>
      </c>
      <c r="D1826" s="22" t="str">
        <f>VLOOKUP('Combine Products &amp; Sales Facts'!C1826,'Customer Details'!A:B,2,0)</f>
        <v>Melanie Lam</v>
      </c>
      <c r="E1826" s="22" t="str">
        <f>VLOOKUP(C1826,Sales_Fact!C:D,2,0)</f>
        <v>PROD59</v>
      </c>
      <c r="F1826" s="22" t="str">
        <f>VLOOKUP(E1826,Product_Dim!A:C,3,0)</f>
        <v>Beauty</v>
      </c>
      <c r="G1826" s="22" t="str" cm="1">
        <f t="array" ref="G1826:L1826">_xlfn.XLOOKUP(C1826,Sales_Fact!C1826:C3810,Sales_Fact!E1826:J3810)</f>
        <v>STORE13</v>
      </c>
      <c r="H1826" s="22">
        <v>3</v>
      </c>
      <c r="I1826" s="22">
        <v>717.32</v>
      </c>
      <c r="J1826" s="22">
        <v>0.23</v>
      </c>
      <c r="K1826" s="22" t="str">
        <v>COD</v>
      </c>
      <c r="L1826" s="22">
        <v>1657.0092</v>
      </c>
    </row>
    <row r="1827" spans="1:12" x14ac:dyDescent="0.3">
      <c r="A1827" s="22" t="s">
        <v>3636</v>
      </c>
      <c r="B1827" s="34" cm="1">
        <f t="array" ref="B1827:C1827">_xlfn.XLOOKUP(A1827,Sales_Fact!A1827:A3811,Sales_Fact!B1827:C3811)</f>
        <v>45853</v>
      </c>
      <c r="C1827" s="22" t="str">
        <v>CUST1428</v>
      </c>
      <c r="D1827" s="22" t="str">
        <f>VLOOKUP('Combine Products &amp; Sales Facts'!C1827,'Customer Details'!A:B,2,0)</f>
        <v>Samuel Mullins</v>
      </c>
      <c r="E1827" s="22" t="str">
        <f>VLOOKUP(C1827,Sales_Fact!C:D,2,0)</f>
        <v>PROD63</v>
      </c>
      <c r="F1827" s="22" t="str">
        <f>VLOOKUP(E1827,Product_Dim!A:C,3,0)</f>
        <v>Beauty</v>
      </c>
      <c r="G1827" s="22" t="str" cm="1">
        <f t="array" ref="G1827:L1827">_xlfn.XLOOKUP(C1827,Sales_Fact!C1827:C3811,Sales_Fact!E1827:J3811)</f>
        <v>STORE12</v>
      </c>
      <c r="H1827" s="22">
        <v>1</v>
      </c>
      <c r="I1827" s="22">
        <v>163.19999999999999</v>
      </c>
      <c r="J1827" s="22">
        <v>0.22</v>
      </c>
      <c r="K1827" s="22" t="str">
        <v>PayPal</v>
      </c>
      <c r="L1827" s="22">
        <v>127.29600000000001</v>
      </c>
    </row>
    <row r="1828" spans="1:12" x14ac:dyDescent="0.3">
      <c r="A1828" s="22" t="s">
        <v>3637</v>
      </c>
      <c r="B1828" s="34" cm="1">
        <f t="array" ref="B1828:C1828">_xlfn.XLOOKUP(A1828,Sales_Fact!A1828:A3812,Sales_Fact!B1828:C3812)</f>
        <v>45489</v>
      </c>
      <c r="C1828" s="22" t="str">
        <v>CUST1126</v>
      </c>
      <c r="D1828" s="22" t="str">
        <f>VLOOKUP('Combine Products &amp; Sales Facts'!C1828,'Customer Details'!A:B,2,0)</f>
        <v>James Wolfe</v>
      </c>
      <c r="E1828" s="22" t="str">
        <f>VLOOKUP(C1828,Sales_Fact!C:D,2,0)</f>
        <v>PROD89</v>
      </c>
      <c r="F1828" s="22" t="str">
        <f>VLOOKUP(E1828,Product_Dim!A:C,3,0)</f>
        <v>Beauty</v>
      </c>
      <c r="G1828" s="22" t="str" cm="1">
        <f t="array" ref="G1828:L1828">_xlfn.XLOOKUP(C1828,Sales_Fact!C1828:C3812,Sales_Fact!E1828:J3812)</f>
        <v>STORE12</v>
      </c>
      <c r="H1828" s="22">
        <v>2</v>
      </c>
      <c r="I1828" s="22">
        <v>966.71</v>
      </c>
      <c r="J1828" s="22">
        <v>0.11</v>
      </c>
      <c r="K1828" s="22" t="str">
        <v>Credit Card</v>
      </c>
      <c r="L1828" s="22">
        <v>1720.7438</v>
      </c>
    </row>
    <row r="1829" spans="1:12" x14ac:dyDescent="0.3">
      <c r="A1829" s="22" t="s">
        <v>3638</v>
      </c>
      <c r="B1829" s="34" cm="1">
        <f t="array" ref="B1829:C1829">_xlfn.XLOOKUP(A1829,Sales_Fact!A1829:A3813,Sales_Fact!B1829:C3813)</f>
        <v>45761</v>
      </c>
      <c r="C1829" s="22" t="str">
        <v>CUST1348</v>
      </c>
      <c r="D1829" s="22" t="str">
        <f>VLOOKUP('Combine Products &amp; Sales Facts'!C1829,'Customer Details'!A:B,2,0)</f>
        <v>Sherry Cabrera</v>
      </c>
      <c r="E1829" s="22" t="str">
        <f>VLOOKUP(C1829,Sales_Fact!C:D,2,0)</f>
        <v>PROD24</v>
      </c>
      <c r="F1829" s="22" t="str">
        <f>VLOOKUP(E1829,Product_Dim!A:C,3,0)</f>
        <v>Sports</v>
      </c>
      <c r="G1829" s="22" t="str" cm="1">
        <f t="array" ref="G1829:L1829">_xlfn.XLOOKUP(C1829,Sales_Fact!C1829:C3813,Sales_Fact!E1829:J3813)</f>
        <v>STORE13</v>
      </c>
      <c r="H1829" s="22">
        <v>2</v>
      </c>
      <c r="I1829" s="22">
        <v>873.94</v>
      </c>
      <c r="J1829" s="22">
        <v>0.14000000000000001</v>
      </c>
      <c r="K1829" s="22" t="str">
        <v>COD</v>
      </c>
      <c r="L1829" s="22">
        <v>1503.1768</v>
      </c>
    </row>
    <row r="1830" spans="1:12" x14ac:dyDescent="0.3">
      <c r="A1830" s="22" t="s">
        <v>3639</v>
      </c>
      <c r="B1830" s="34" cm="1">
        <f t="array" ref="B1830:C1830">_xlfn.XLOOKUP(A1830,Sales_Fact!A1830:A3814,Sales_Fact!B1830:C3814)</f>
        <v>45379</v>
      </c>
      <c r="C1830" s="22" t="str">
        <v>CUST1149</v>
      </c>
      <c r="D1830" s="22" t="str">
        <f>VLOOKUP('Combine Products &amp; Sales Facts'!C1830,'Customer Details'!A:B,2,0)</f>
        <v>Denise Griffin</v>
      </c>
      <c r="E1830" s="22" t="str">
        <f>VLOOKUP(C1830,Sales_Fact!C:D,2,0)</f>
        <v>PROD90</v>
      </c>
      <c r="F1830" s="22" t="str">
        <f>VLOOKUP(E1830,Product_Dim!A:C,3,0)</f>
        <v>Electronics</v>
      </c>
      <c r="G1830" s="22" t="str" cm="1">
        <f t="array" ref="G1830:L1830">_xlfn.XLOOKUP(C1830,Sales_Fact!C1830:C3814,Sales_Fact!E1830:J3814)</f>
        <v>STORE3</v>
      </c>
      <c r="H1830" s="22">
        <v>1</v>
      </c>
      <c r="I1830" s="22">
        <v>140.24</v>
      </c>
      <c r="J1830" s="22">
        <v>0.27</v>
      </c>
      <c r="K1830" s="22" t="str">
        <v>Credit Card</v>
      </c>
      <c r="L1830" s="22">
        <v>102.37520000000001</v>
      </c>
    </row>
    <row r="1831" spans="1:12" x14ac:dyDescent="0.3">
      <c r="A1831" s="22" t="s">
        <v>3640</v>
      </c>
      <c r="B1831" s="34" cm="1">
        <f t="array" ref="B1831:C1831">_xlfn.XLOOKUP(A1831,Sales_Fact!A1831:A3815,Sales_Fact!B1831:C3815)</f>
        <v>45716</v>
      </c>
      <c r="C1831" s="22" t="str">
        <v>CUST1201</v>
      </c>
      <c r="D1831" s="22" t="str">
        <f>VLOOKUP('Combine Products &amp; Sales Facts'!C1831,'Customer Details'!A:B,2,0)</f>
        <v>Mary Boyd</v>
      </c>
      <c r="E1831" s="22" t="str">
        <f>VLOOKUP(C1831,Sales_Fact!C:D,2,0)</f>
        <v>PROD87</v>
      </c>
      <c r="F1831" s="22" t="str">
        <f>VLOOKUP(E1831,Product_Dim!A:C,3,0)</f>
        <v>Home</v>
      </c>
      <c r="G1831" s="22" t="str" cm="1">
        <f t="array" ref="G1831:L1831">_xlfn.XLOOKUP(C1831,Sales_Fact!C1831:C3815,Sales_Fact!E1831:J3815)</f>
        <v>STORE5</v>
      </c>
      <c r="H1831" s="22">
        <v>2</v>
      </c>
      <c r="I1831" s="22">
        <v>549.91999999999996</v>
      </c>
      <c r="J1831" s="22">
        <v>0.28000000000000003</v>
      </c>
      <c r="K1831" s="22" t="str">
        <v>Credit Card</v>
      </c>
      <c r="L1831" s="22">
        <v>791.88479999999993</v>
      </c>
    </row>
    <row r="1832" spans="1:12" x14ac:dyDescent="0.3">
      <c r="A1832" s="22" t="s">
        <v>3641</v>
      </c>
      <c r="B1832" s="34" cm="1">
        <f t="array" ref="B1832:C1832">_xlfn.XLOOKUP(A1832,Sales_Fact!A1832:A3816,Sales_Fact!B1832:C3816)</f>
        <v>45364</v>
      </c>
      <c r="C1832" s="22" t="str">
        <v>CUST1111</v>
      </c>
      <c r="D1832" s="22" t="str">
        <f>VLOOKUP('Combine Products &amp; Sales Facts'!C1832,'Customer Details'!A:B,2,0)</f>
        <v>Julie Farmer</v>
      </c>
      <c r="E1832" s="22" t="str">
        <f>VLOOKUP(C1832,Sales_Fact!C:D,2,0)</f>
        <v>PROD17</v>
      </c>
      <c r="F1832" s="22" t="str">
        <f>VLOOKUP(E1832,Product_Dim!A:C,3,0)</f>
        <v>Sports</v>
      </c>
      <c r="G1832" s="22" t="str" cm="1">
        <f t="array" ref="G1832:L1832">_xlfn.XLOOKUP(C1832,Sales_Fact!C1832:C3816,Sales_Fact!E1832:J3816)</f>
        <v>STORE5</v>
      </c>
      <c r="H1832" s="22">
        <v>4</v>
      </c>
      <c r="I1832" s="22">
        <v>715.88</v>
      </c>
      <c r="J1832" s="22">
        <v>0.19</v>
      </c>
      <c r="K1832" s="22" t="str">
        <v>PayPal</v>
      </c>
      <c r="L1832" s="22">
        <v>2319.4512</v>
      </c>
    </row>
    <row r="1833" spans="1:12" x14ac:dyDescent="0.3">
      <c r="A1833" s="22" t="s">
        <v>3642</v>
      </c>
      <c r="B1833" s="34" cm="1">
        <f t="array" ref="B1833:C1833">_xlfn.XLOOKUP(A1833,Sales_Fact!A1833:A3817,Sales_Fact!B1833:C3817)</f>
        <v>45752</v>
      </c>
      <c r="C1833" s="22" t="str">
        <v>CUST1371</v>
      </c>
      <c r="D1833" s="22" t="str">
        <f>VLOOKUP('Combine Products &amp; Sales Facts'!C1833,'Customer Details'!A:B,2,0)</f>
        <v>Michael Garner</v>
      </c>
      <c r="E1833" s="22" t="str">
        <f>VLOOKUP(C1833,Sales_Fact!C:D,2,0)</f>
        <v>PROD67</v>
      </c>
      <c r="F1833" s="22" t="str">
        <f>VLOOKUP(E1833,Product_Dim!A:C,3,0)</f>
        <v>Electronics</v>
      </c>
      <c r="G1833" s="22" t="str" cm="1">
        <f t="array" ref="G1833:L1833">_xlfn.XLOOKUP(C1833,Sales_Fact!C1833:C3817,Sales_Fact!E1833:J3817)</f>
        <v>STORE8</v>
      </c>
      <c r="H1833" s="22">
        <v>3</v>
      </c>
      <c r="I1833" s="22">
        <v>591.9</v>
      </c>
      <c r="J1833" s="22">
        <v>0.27</v>
      </c>
      <c r="K1833" s="22" t="str">
        <v>Credit Card</v>
      </c>
      <c r="L1833" s="22">
        <v>1296.261</v>
      </c>
    </row>
    <row r="1834" spans="1:12" x14ac:dyDescent="0.3">
      <c r="A1834" s="22" t="s">
        <v>3643</v>
      </c>
      <c r="B1834" s="34" cm="1">
        <f t="array" ref="B1834:C1834">_xlfn.XLOOKUP(A1834,Sales_Fact!A1834:A3818,Sales_Fact!B1834:C3818)</f>
        <v>45883</v>
      </c>
      <c r="C1834" s="22" t="str">
        <v>CUST1375</v>
      </c>
      <c r="D1834" s="22" t="str">
        <f>VLOOKUP('Combine Products &amp; Sales Facts'!C1834,'Customer Details'!A:B,2,0)</f>
        <v>Joshua Bell</v>
      </c>
      <c r="E1834" s="22" t="str">
        <f>VLOOKUP(C1834,Sales_Fact!C:D,2,0)</f>
        <v>PROD28</v>
      </c>
      <c r="F1834" s="22" t="str">
        <f>VLOOKUP(E1834,Product_Dim!A:C,3,0)</f>
        <v>Sports</v>
      </c>
      <c r="G1834" s="22" t="str" cm="1">
        <f t="array" ref="G1834:L1834">_xlfn.XLOOKUP(C1834,Sales_Fact!C1834:C3818,Sales_Fact!E1834:J3818)</f>
        <v>STORE10</v>
      </c>
      <c r="H1834" s="22">
        <v>2</v>
      </c>
      <c r="I1834" s="22">
        <v>523.14</v>
      </c>
      <c r="J1834" s="22">
        <v>0.13</v>
      </c>
      <c r="K1834" s="22" t="str">
        <v>PayPal</v>
      </c>
      <c r="L1834" s="22">
        <v>910.2636</v>
      </c>
    </row>
    <row r="1835" spans="1:12" x14ac:dyDescent="0.3">
      <c r="A1835" s="22" t="s">
        <v>3644</v>
      </c>
      <c r="B1835" s="34" cm="1">
        <f t="array" ref="B1835:C1835">_xlfn.XLOOKUP(A1835,Sales_Fact!A1835:A3819,Sales_Fact!B1835:C3819)</f>
        <v>45477</v>
      </c>
      <c r="C1835" s="22" t="str">
        <v>CUST1226</v>
      </c>
      <c r="D1835" s="22" t="str">
        <f>VLOOKUP('Combine Products &amp; Sales Facts'!C1835,'Customer Details'!A:B,2,0)</f>
        <v>Alexis Castaneda</v>
      </c>
      <c r="E1835" s="22" t="str">
        <f>VLOOKUP(C1835,Sales_Fact!C:D,2,0)</f>
        <v>PROD49</v>
      </c>
      <c r="F1835" s="22" t="str">
        <f>VLOOKUP(E1835,Product_Dim!A:C,3,0)</f>
        <v>Beauty</v>
      </c>
      <c r="G1835" s="22" t="str" cm="1">
        <f t="array" ref="G1835:L1835">_xlfn.XLOOKUP(C1835,Sales_Fact!C1835:C3819,Sales_Fact!E1835:J3819)</f>
        <v>STORE14</v>
      </c>
      <c r="H1835" s="22">
        <v>2</v>
      </c>
      <c r="I1835" s="22">
        <v>478.62</v>
      </c>
      <c r="J1835" s="22">
        <v>0.17</v>
      </c>
      <c r="K1835" s="22" t="str">
        <v>COD</v>
      </c>
      <c r="L1835" s="22">
        <v>794.50919999999996</v>
      </c>
    </row>
    <row r="1836" spans="1:12" x14ac:dyDescent="0.3">
      <c r="A1836" s="22" t="s">
        <v>3645</v>
      </c>
      <c r="B1836" s="34" cm="1">
        <f t="array" ref="B1836:C1836">_xlfn.XLOOKUP(A1836,Sales_Fact!A1836:A3820,Sales_Fact!B1836:C3820)</f>
        <v>45556</v>
      </c>
      <c r="C1836" s="22" t="str">
        <v>CUST1299</v>
      </c>
      <c r="D1836" s="22" t="str">
        <f>VLOOKUP('Combine Products &amp; Sales Facts'!C1836,'Customer Details'!A:B,2,0)</f>
        <v>Stephanie Jacobs</v>
      </c>
      <c r="E1836" s="22" t="str">
        <f>VLOOKUP(C1836,Sales_Fact!C:D,2,0)</f>
        <v>PROD23</v>
      </c>
      <c r="F1836" s="22" t="str">
        <f>VLOOKUP(E1836,Product_Dim!A:C,3,0)</f>
        <v>Clothing</v>
      </c>
      <c r="G1836" s="22" t="str" cm="1">
        <f t="array" ref="G1836:L1836">_xlfn.XLOOKUP(C1836,Sales_Fact!C1836:C3820,Sales_Fact!E1836:J3820)</f>
        <v>STORE1</v>
      </c>
      <c r="H1836" s="22">
        <v>4</v>
      </c>
      <c r="I1836" s="22">
        <v>740.5</v>
      </c>
      <c r="J1836" s="22">
        <v>0.17</v>
      </c>
      <c r="K1836" s="22" t="str">
        <v>PayPal</v>
      </c>
      <c r="L1836" s="22">
        <v>2458.46</v>
      </c>
    </row>
    <row r="1837" spans="1:12" x14ac:dyDescent="0.3">
      <c r="A1837" s="22" t="s">
        <v>3646</v>
      </c>
      <c r="B1837" s="34" cm="1">
        <f t="array" ref="B1837:C1837">_xlfn.XLOOKUP(A1837,Sales_Fact!A1837:A3821,Sales_Fact!B1837:C3821)</f>
        <v>45465</v>
      </c>
      <c r="C1837" s="22" t="str">
        <v>CUST1112</v>
      </c>
      <c r="D1837" s="22" t="str">
        <f>VLOOKUP('Combine Products &amp; Sales Facts'!C1837,'Customer Details'!A:B,2,0)</f>
        <v>David Cole</v>
      </c>
      <c r="E1837" s="22" t="str">
        <f>VLOOKUP(C1837,Sales_Fact!C:D,2,0)</f>
        <v>PROD40</v>
      </c>
      <c r="F1837" s="22" t="str">
        <f>VLOOKUP(E1837,Product_Dim!A:C,3,0)</f>
        <v>Electronics</v>
      </c>
      <c r="G1837" s="22" t="str" cm="1">
        <f t="array" ref="G1837:L1837">_xlfn.XLOOKUP(C1837,Sales_Fact!C1837:C3821,Sales_Fact!E1837:J3821)</f>
        <v>STORE2</v>
      </c>
      <c r="H1837" s="22">
        <v>1</v>
      </c>
      <c r="I1837" s="22">
        <v>780.24</v>
      </c>
      <c r="J1837" s="22">
        <v>0.04</v>
      </c>
      <c r="K1837" s="22" t="str">
        <v>COD</v>
      </c>
      <c r="L1837" s="22">
        <v>749.03039999999999</v>
      </c>
    </row>
    <row r="1838" spans="1:12" x14ac:dyDescent="0.3">
      <c r="A1838" s="22" t="s">
        <v>3647</v>
      </c>
      <c r="B1838" s="34" cm="1">
        <f t="array" ref="B1838:C1838">_xlfn.XLOOKUP(A1838,Sales_Fact!A1838:A3822,Sales_Fact!B1838:C3822)</f>
        <v>45552</v>
      </c>
      <c r="C1838" s="22" t="str">
        <v>CUST1107</v>
      </c>
      <c r="D1838" s="22" t="str">
        <f>VLOOKUP('Combine Products &amp; Sales Facts'!C1838,'Customer Details'!A:B,2,0)</f>
        <v>Erica Carney</v>
      </c>
      <c r="E1838" s="22" t="str">
        <f>VLOOKUP(C1838,Sales_Fact!C:D,2,0)</f>
        <v>PROD75</v>
      </c>
      <c r="F1838" s="22" t="str">
        <f>VLOOKUP(E1838,Product_Dim!A:C,3,0)</f>
        <v>Clothing</v>
      </c>
      <c r="G1838" s="22" t="str" cm="1">
        <f t="array" ref="G1838:L1838">_xlfn.XLOOKUP(C1838,Sales_Fact!C1838:C3822,Sales_Fact!E1838:J3822)</f>
        <v>STORE16</v>
      </c>
      <c r="H1838" s="22">
        <v>4</v>
      </c>
      <c r="I1838" s="22">
        <v>579.24</v>
      </c>
      <c r="J1838" s="22">
        <v>0.04</v>
      </c>
      <c r="K1838" s="22" t="str">
        <v>COD</v>
      </c>
      <c r="L1838" s="22">
        <v>2224.2815999999998</v>
      </c>
    </row>
    <row r="1839" spans="1:12" x14ac:dyDescent="0.3">
      <c r="A1839" s="22" t="s">
        <v>3648</v>
      </c>
      <c r="B1839" s="34" cm="1">
        <f t="array" ref="B1839:C1839">_xlfn.XLOOKUP(A1839,Sales_Fact!A1839:A3823,Sales_Fact!B1839:C3823)</f>
        <v>45635</v>
      </c>
      <c r="C1839" s="22" t="str">
        <v>CUST1371</v>
      </c>
      <c r="D1839" s="22" t="str">
        <f>VLOOKUP('Combine Products &amp; Sales Facts'!C1839,'Customer Details'!A:B,2,0)</f>
        <v>Michael Garner</v>
      </c>
      <c r="E1839" s="22" t="str">
        <f>VLOOKUP(C1839,Sales_Fact!C:D,2,0)</f>
        <v>PROD67</v>
      </c>
      <c r="F1839" s="22" t="str">
        <f>VLOOKUP(E1839,Product_Dim!A:C,3,0)</f>
        <v>Electronics</v>
      </c>
      <c r="G1839" s="22" t="str" cm="1">
        <f t="array" ref="G1839:L1839">_xlfn.XLOOKUP(C1839,Sales_Fact!C1839:C3823,Sales_Fact!E1839:J3823)</f>
        <v>STORE2</v>
      </c>
      <c r="H1839" s="22">
        <v>3</v>
      </c>
      <c r="I1839" s="22">
        <v>268.95</v>
      </c>
      <c r="J1839" s="22">
        <v>0.04</v>
      </c>
      <c r="K1839" s="22" t="str">
        <v>PayPal</v>
      </c>
      <c r="L1839" s="22">
        <v>774.57599999999991</v>
      </c>
    </row>
    <row r="1840" spans="1:12" x14ac:dyDescent="0.3">
      <c r="A1840" s="22" t="s">
        <v>3649</v>
      </c>
      <c r="B1840" s="34" cm="1">
        <f t="array" ref="B1840:C1840">_xlfn.XLOOKUP(A1840,Sales_Fact!A1840:A3824,Sales_Fact!B1840:C3824)</f>
        <v>45740</v>
      </c>
      <c r="C1840" s="22" t="str">
        <v>CUST1305</v>
      </c>
      <c r="D1840" s="22" t="str">
        <f>VLOOKUP('Combine Products &amp; Sales Facts'!C1840,'Customer Details'!A:B,2,0)</f>
        <v>Roberta Green</v>
      </c>
      <c r="E1840" s="22" t="str">
        <f>VLOOKUP(C1840,Sales_Fact!C:D,2,0)</f>
        <v>PROD28</v>
      </c>
      <c r="F1840" s="22" t="str">
        <f>VLOOKUP(E1840,Product_Dim!A:C,3,0)</f>
        <v>Sports</v>
      </c>
      <c r="G1840" s="22" t="str" cm="1">
        <f t="array" ref="G1840:L1840">_xlfn.XLOOKUP(C1840,Sales_Fact!C1840:C3824,Sales_Fact!E1840:J3824)</f>
        <v>STORE4</v>
      </c>
      <c r="H1840" s="22">
        <v>1</v>
      </c>
      <c r="I1840" s="22">
        <v>47.47</v>
      </c>
      <c r="J1840" s="22">
        <v>0.28000000000000003</v>
      </c>
      <c r="K1840" s="22" t="str">
        <v>Credit Card</v>
      </c>
      <c r="L1840" s="22">
        <v>34.178400000000003</v>
      </c>
    </row>
    <row r="1841" spans="1:12" x14ac:dyDescent="0.3">
      <c r="A1841" s="22" t="s">
        <v>3650</v>
      </c>
      <c r="B1841" s="34" cm="1">
        <f t="array" ref="B1841:C1841">_xlfn.XLOOKUP(A1841,Sales_Fact!A1841:A3825,Sales_Fact!B1841:C3825)</f>
        <v>45796</v>
      </c>
      <c r="C1841" s="22" t="str">
        <v>CUST1257</v>
      </c>
      <c r="D1841" s="22" t="str">
        <f>VLOOKUP('Combine Products &amp; Sales Facts'!C1841,'Customer Details'!A:B,2,0)</f>
        <v>Christopher David</v>
      </c>
      <c r="E1841" s="22" t="str">
        <f>VLOOKUP(C1841,Sales_Fact!C:D,2,0)</f>
        <v>PROD85</v>
      </c>
      <c r="F1841" s="22" t="str">
        <f>VLOOKUP(E1841,Product_Dim!A:C,3,0)</f>
        <v>Clothing</v>
      </c>
      <c r="G1841" s="22" t="str" cm="1">
        <f t="array" ref="G1841:L1841">_xlfn.XLOOKUP(C1841,Sales_Fact!C1841:C3825,Sales_Fact!E1841:J3825)</f>
        <v>STORE17</v>
      </c>
      <c r="H1841" s="22">
        <v>3</v>
      </c>
      <c r="I1841" s="22">
        <v>858.81</v>
      </c>
      <c r="J1841" s="22">
        <v>7.0000000000000007E-2</v>
      </c>
      <c r="K1841" s="22" t="str">
        <v>Credit Card</v>
      </c>
      <c r="L1841" s="22">
        <v>2396.0799000000002</v>
      </c>
    </row>
    <row r="1842" spans="1:12" x14ac:dyDescent="0.3">
      <c r="A1842" s="22" t="s">
        <v>3651</v>
      </c>
      <c r="B1842" s="34" cm="1">
        <f t="array" ref="B1842:C1842">_xlfn.XLOOKUP(A1842,Sales_Fact!A1842:A3826,Sales_Fact!B1842:C3826)</f>
        <v>45710</v>
      </c>
      <c r="C1842" s="22" t="str">
        <v>CUST1310</v>
      </c>
      <c r="D1842" s="22" t="str">
        <f>VLOOKUP('Combine Products &amp; Sales Facts'!C1842,'Customer Details'!A:B,2,0)</f>
        <v>Kara Dodson</v>
      </c>
      <c r="E1842" s="22" t="str">
        <f>VLOOKUP(C1842,Sales_Fact!C:D,2,0)</f>
        <v>PROD17</v>
      </c>
      <c r="F1842" s="22" t="str">
        <f>VLOOKUP(E1842,Product_Dim!A:C,3,0)</f>
        <v>Sports</v>
      </c>
      <c r="G1842" s="22" t="str" cm="1">
        <f t="array" ref="G1842:L1842">_xlfn.XLOOKUP(C1842,Sales_Fact!C1842:C3826,Sales_Fact!E1842:J3826)</f>
        <v>STORE10</v>
      </c>
      <c r="H1842" s="22">
        <v>3</v>
      </c>
      <c r="I1842" s="22">
        <v>569.98</v>
      </c>
      <c r="J1842" s="22">
        <v>0.05</v>
      </c>
      <c r="K1842" s="22" t="str">
        <v>Credit Card</v>
      </c>
      <c r="L1842" s="22">
        <v>1624.443</v>
      </c>
    </row>
    <row r="1843" spans="1:12" x14ac:dyDescent="0.3">
      <c r="A1843" s="22" t="s">
        <v>3652</v>
      </c>
      <c r="B1843" s="34" cm="1">
        <f t="array" ref="B1843:C1843">_xlfn.XLOOKUP(A1843,Sales_Fact!A1843:A3827,Sales_Fact!B1843:C3827)</f>
        <v>45596</v>
      </c>
      <c r="C1843" s="22" t="str">
        <v>CUST1327</v>
      </c>
      <c r="D1843" s="22" t="str">
        <f>VLOOKUP('Combine Products &amp; Sales Facts'!C1843,'Customer Details'!A:B,2,0)</f>
        <v>Reginald Willis</v>
      </c>
      <c r="E1843" s="22" t="str">
        <f>VLOOKUP(C1843,Sales_Fact!C:D,2,0)</f>
        <v>PROD1</v>
      </c>
      <c r="F1843" s="22" t="str">
        <f>VLOOKUP(E1843,Product_Dim!A:C,3,0)</f>
        <v>Clothing</v>
      </c>
      <c r="G1843" s="22" t="str" cm="1">
        <f t="array" ref="G1843:L1843">_xlfn.XLOOKUP(C1843,Sales_Fact!C1843:C3827,Sales_Fact!E1843:J3827)</f>
        <v>STORE12</v>
      </c>
      <c r="H1843" s="22">
        <v>3</v>
      </c>
      <c r="I1843" s="22">
        <v>306.52</v>
      </c>
      <c r="J1843" s="22">
        <v>0.01</v>
      </c>
      <c r="K1843" s="22" t="str">
        <v>COD</v>
      </c>
      <c r="L1843" s="22">
        <v>910.36439999999993</v>
      </c>
    </row>
    <row r="1844" spans="1:12" x14ac:dyDescent="0.3">
      <c r="A1844" s="22" t="s">
        <v>3653</v>
      </c>
      <c r="B1844" s="34" cm="1">
        <f t="array" ref="B1844:C1844">_xlfn.XLOOKUP(A1844,Sales_Fact!A1844:A3828,Sales_Fact!B1844:C3828)</f>
        <v>45354</v>
      </c>
      <c r="C1844" s="22" t="str">
        <v>CUST1064</v>
      </c>
      <c r="D1844" s="22" t="str">
        <f>VLOOKUP('Combine Products &amp; Sales Facts'!C1844,'Customer Details'!A:B,2,0)</f>
        <v>Mr. Mason Butler</v>
      </c>
      <c r="E1844" s="22" t="str">
        <f>VLOOKUP(C1844,Sales_Fact!C:D,2,0)</f>
        <v>PROD47</v>
      </c>
      <c r="F1844" s="22" t="str">
        <f>VLOOKUP(E1844,Product_Dim!A:C,3,0)</f>
        <v>Beauty</v>
      </c>
      <c r="G1844" s="22" t="str" cm="1">
        <f t="array" ref="G1844:L1844">_xlfn.XLOOKUP(C1844,Sales_Fact!C1844:C3828,Sales_Fact!E1844:J3828)</f>
        <v>STORE13</v>
      </c>
      <c r="H1844" s="22">
        <v>3</v>
      </c>
      <c r="I1844" s="22">
        <v>184.67</v>
      </c>
      <c r="J1844" s="22">
        <v>0.03</v>
      </c>
      <c r="K1844" s="22" t="str">
        <v>COD</v>
      </c>
      <c r="L1844" s="22">
        <v>537.38969999999995</v>
      </c>
    </row>
    <row r="1845" spans="1:12" x14ac:dyDescent="0.3">
      <c r="A1845" s="22" t="s">
        <v>3654</v>
      </c>
      <c r="B1845" s="34" cm="1">
        <f t="array" ref="B1845:C1845">_xlfn.XLOOKUP(A1845,Sales_Fact!A1845:A3829,Sales_Fact!B1845:C3829)</f>
        <v>45428</v>
      </c>
      <c r="C1845" s="22" t="str">
        <v>CUST1482</v>
      </c>
      <c r="D1845" s="22" t="str">
        <f>VLOOKUP('Combine Products &amp; Sales Facts'!C1845,'Customer Details'!A:B,2,0)</f>
        <v>Sheri Joyce</v>
      </c>
      <c r="E1845" s="22" t="str">
        <f>VLOOKUP(C1845,Sales_Fact!C:D,2,0)</f>
        <v>PROD68</v>
      </c>
      <c r="F1845" s="22" t="str">
        <f>VLOOKUP(E1845,Product_Dim!A:C,3,0)</f>
        <v>Home</v>
      </c>
      <c r="G1845" s="22" t="str" cm="1">
        <f t="array" ref="G1845:L1845">_xlfn.XLOOKUP(C1845,Sales_Fact!C1845:C3829,Sales_Fact!E1845:J3829)</f>
        <v>STORE5</v>
      </c>
      <c r="H1845" s="22">
        <v>4</v>
      </c>
      <c r="I1845" s="22">
        <v>189.56</v>
      </c>
      <c r="J1845" s="22">
        <v>0</v>
      </c>
      <c r="K1845" s="22" t="str">
        <v>COD</v>
      </c>
      <c r="L1845" s="22">
        <v>758.24</v>
      </c>
    </row>
    <row r="1846" spans="1:12" x14ac:dyDescent="0.3">
      <c r="A1846" s="22" t="s">
        <v>3655</v>
      </c>
      <c r="B1846" s="34" cm="1">
        <f t="array" ref="B1846:C1846">_xlfn.XLOOKUP(A1846,Sales_Fact!A1846:A3830,Sales_Fact!B1846:C3830)</f>
        <v>45511</v>
      </c>
      <c r="C1846" s="22" t="str">
        <v>CUST1208</v>
      </c>
      <c r="D1846" s="22" t="str">
        <f>VLOOKUP('Combine Products &amp; Sales Facts'!C1846,'Customer Details'!A:B,2,0)</f>
        <v>John Perez</v>
      </c>
      <c r="E1846" s="22" t="str">
        <f>VLOOKUP(C1846,Sales_Fact!C:D,2,0)</f>
        <v>PROD34</v>
      </c>
      <c r="F1846" s="22" t="str">
        <f>VLOOKUP(E1846,Product_Dim!A:C,3,0)</f>
        <v>Electronics</v>
      </c>
      <c r="G1846" s="22" t="str" cm="1">
        <f t="array" ref="G1846:L1846">_xlfn.XLOOKUP(C1846,Sales_Fact!C1846:C3830,Sales_Fact!E1846:J3830)</f>
        <v>STORE5</v>
      </c>
      <c r="H1846" s="22">
        <v>1</v>
      </c>
      <c r="I1846" s="22">
        <v>805.24</v>
      </c>
      <c r="J1846" s="22">
        <v>0.04</v>
      </c>
      <c r="K1846" s="22" t="str">
        <v>PayPal</v>
      </c>
      <c r="L1846" s="22">
        <v>773.03039999999999</v>
      </c>
    </row>
    <row r="1847" spans="1:12" x14ac:dyDescent="0.3">
      <c r="A1847" s="22" t="s">
        <v>3656</v>
      </c>
      <c r="B1847" s="34" cm="1">
        <f t="array" ref="B1847:C1847">_xlfn.XLOOKUP(A1847,Sales_Fact!A1847:A3831,Sales_Fact!B1847:C3831)</f>
        <v>45549</v>
      </c>
      <c r="C1847" s="22" t="str">
        <v>CUST1188</v>
      </c>
      <c r="D1847" s="22" t="str">
        <f>VLOOKUP('Combine Products &amp; Sales Facts'!C1847,'Customer Details'!A:B,2,0)</f>
        <v>Kimberly Brooks</v>
      </c>
      <c r="E1847" s="22" t="str">
        <f>VLOOKUP(C1847,Sales_Fact!C:D,2,0)</f>
        <v>PROD30</v>
      </c>
      <c r="F1847" s="22" t="str">
        <f>VLOOKUP(E1847,Product_Dim!A:C,3,0)</f>
        <v>Home</v>
      </c>
      <c r="G1847" s="22" t="str" cm="1">
        <f t="array" ref="G1847:L1847">_xlfn.XLOOKUP(C1847,Sales_Fact!C1847:C3831,Sales_Fact!E1847:J3831)</f>
        <v>STORE17</v>
      </c>
      <c r="H1847" s="22">
        <v>3</v>
      </c>
      <c r="I1847" s="22">
        <v>683.74</v>
      </c>
      <c r="J1847" s="22">
        <v>0.24</v>
      </c>
      <c r="K1847" s="22" t="str">
        <v>Credit Card</v>
      </c>
      <c r="L1847" s="22">
        <v>1558.9272000000001</v>
      </c>
    </row>
    <row r="1848" spans="1:12" x14ac:dyDescent="0.3">
      <c r="A1848" s="22" t="s">
        <v>3657</v>
      </c>
      <c r="B1848" s="34" cm="1">
        <f t="array" ref="B1848:C1848">_xlfn.XLOOKUP(A1848,Sales_Fact!A1848:A3832,Sales_Fact!B1848:C3832)</f>
        <v>45573</v>
      </c>
      <c r="C1848" s="22" t="str">
        <v>CUST1210</v>
      </c>
      <c r="D1848" s="22" t="str">
        <f>VLOOKUP('Combine Products &amp; Sales Facts'!C1848,'Customer Details'!A:B,2,0)</f>
        <v>Antonio Jones</v>
      </c>
      <c r="E1848" s="22" t="str">
        <f>VLOOKUP(C1848,Sales_Fact!C:D,2,0)</f>
        <v>PROD60</v>
      </c>
      <c r="F1848" s="22" t="str">
        <f>VLOOKUP(E1848,Product_Dim!A:C,3,0)</f>
        <v>Beauty</v>
      </c>
      <c r="G1848" s="22" t="str" cm="1">
        <f t="array" ref="G1848:L1848">_xlfn.XLOOKUP(C1848,Sales_Fact!C1848:C3832,Sales_Fact!E1848:J3832)</f>
        <v>STORE18</v>
      </c>
      <c r="H1848" s="22">
        <v>3</v>
      </c>
      <c r="I1848" s="22">
        <v>439.21</v>
      </c>
      <c r="J1848" s="22">
        <v>0.28000000000000003</v>
      </c>
      <c r="K1848" s="22" t="str">
        <v>COD</v>
      </c>
      <c r="L1848" s="22">
        <v>948.69359999999983</v>
      </c>
    </row>
    <row r="1849" spans="1:12" x14ac:dyDescent="0.3">
      <c r="A1849" s="22" t="s">
        <v>3658</v>
      </c>
      <c r="B1849" s="34" cm="1">
        <f t="array" ref="B1849:C1849">_xlfn.XLOOKUP(A1849,Sales_Fact!A1849:A3833,Sales_Fact!B1849:C3833)</f>
        <v>45904</v>
      </c>
      <c r="C1849" s="22" t="str">
        <v>CUST1119</v>
      </c>
      <c r="D1849" s="22" t="str">
        <f>VLOOKUP('Combine Products &amp; Sales Facts'!C1849,'Customer Details'!A:B,2,0)</f>
        <v>Michael Jones</v>
      </c>
      <c r="E1849" s="22" t="str">
        <f>VLOOKUP(C1849,Sales_Fact!C:D,2,0)</f>
        <v>PROD90</v>
      </c>
      <c r="F1849" s="22" t="str">
        <f>VLOOKUP(E1849,Product_Dim!A:C,3,0)</f>
        <v>Electronics</v>
      </c>
      <c r="G1849" s="22" t="str" cm="1">
        <f t="array" ref="G1849:L1849">_xlfn.XLOOKUP(C1849,Sales_Fact!C1849:C3833,Sales_Fact!E1849:J3833)</f>
        <v>STORE6</v>
      </c>
      <c r="H1849" s="22">
        <v>1</v>
      </c>
      <c r="I1849" s="22">
        <v>126.92</v>
      </c>
      <c r="J1849" s="22">
        <v>0.24</v>
      </c>
      <c r="K1849" s="22" t="str">
        <v>COD</v>
      </c>
      <c r="L1849" s="22">
        <v>96.459199999999996</v>
      </c>
    </row>
    <row r="1850" spans="1:12" x14ac:dyDescent="0.3">
      <c r="A1850" s="22" t="s">
        <v>3659</v>
      </c>
      <c r="B1850" s="34" cm="1">
        <f t="array" ref="B1850:C1850">_xlfn.XLOOKUP(A1850,Sales_Fact!A1850:A3834,Sales_Fact!B1850:C3834)</f>
        <v>45489</v>
      </c>
      <c r="C1850" s="22" t="str">
        <v>CUST1004</v>
      </c>
      <c r="D1850" s="22" t="str">
        <f>VLOOKUP('Combine Products &amp; Sales Facts'!C1850,'Customer Details'!A:B,2,0)</f>
        <v>Caroline Collins</v>
      </c>
      <c r="E1850" s="22" t="str">
        <f>VLOOKUP(C1850,Sales_Fact!C:D,2,0)</f>
        <v>PROD47</v>
      </c>
      <c r="F1850" s="22" t="str">
        <f>VLOOKUP(E1850,Product_Dim!A:C,3,0)</f>
        <v>Beauty</v>
      </c>
      <c r="G1850" s="22" t="str" cm="1">
        <f t="array" ref="G1850:L1850">_xlfn.XLOOKUP(C1850,Sales_Fact!C1850:C3834,Sales_Fact!E1850:J3834)</f>
        <v>STORE4</v>
      </c>
      <c r="H1850" s="22">
        <v>4</v>
      </c>
      <c r="I1850" s="22">
        <v>834.7</v>
      </c>
      <c r="J1850" s="22">
        <v>0.14000000000000001</v>
      </c>
      <c r="K1850" s="22" t="str">
        <v>Credit Card</v>
      </c>
      <c r="L1850" s="22">
        <v>2871.3679999999999</v>
      </c>
    </row>
    <row r="1851" spans="1:12" x14ac:dyDescent="0.3">
      <c r="A1851" s="22" t="s">
        <v>3660</v>
      </c>
      <c r="B1851" s="34" cm="1">
        <f t="array" ref="B1851:C1851">_xlfn.XLOOKUP(A1851,Sales_Fact!A1851:A3835,Sales_Fact!B1851:C3835)</f>
        <v>45909</v>
      </c>
      <c r="C1851" s="22" t="str">
        <v>CUST1341</v>
      </c>
      <c r="D1851" s="22" t="str">
        <f>VLOOKUP('Combine Products &amp; Sales Facts'!C1851,'Customer Details'!A:B,2,0)</f>
        <v>Angela Williams</v>
      </c>
      <c r="E1851" s="22" t="str">
        <f>VLOOKUP(C1851,Sales_Fact!C:D,2,0)</f>
        <v>PROD41</v>
      </c>
      <c r="F1851" s="22" t="str">
        <f>VLOOKUP(E1851,Product_Dim!A:C,3,0)</f>
        <v>Sports</v>
      </c>
      <c r="G1851" s="22" t="str" cm="1">
        <f t="array" ref="G1851:L1851">_xlfn.XLOOKUP(C1851,Sales_Fact!C1851:C3835,Sales_Fact!E1851:J3835)</f>
        <v>STORE11</v>
      </c>
      <c r="H1851" s="22">
        <v>2</v>
      </c>
      <c r="I1851" s="22">
        <v>271.88</v>
      </c>
      <c r="J1851" s="22">
        <v>0.11</v>
      </c>
      <c r="K1851" s="22" t="str">
        <v>COD</v>
      </c>
      <c r="L1851" s="22">
        <v>483.94639999999998</v>
      </c>
    </row>
    <row r="1852" spans="1:12" x14ac:dyDescent="0.3">
      <c r="A1852" s="22" t="s">
        <v>3661</v>
      </c>
      <c r="B1852" s="34" cm="1">
        <f t="array" ref="B1852:C1852">_xlfn.XLOOKUP(A1852,Sales_Fact!A1852:A3836,Sales_Fact!B1852:C3836)</f>
        <v>45720</v>
      </c>
      <c r="C1852" s="22" t="str">
        <v>CUST1480</v>
      </c>
      <c r="D1852" s="22" t="str">
        <f>VLOOKUP('Combine Products &amp; Sales Facts'!C1852,'Customer Details'!A:B,2,0)</f>
        <v>Jordan Medina</v>
      </c>
      <c r="E1852" s="22" t="str">
        <f>VLOOKUP(C1852,Sales_Fact!C:D,2,0)</f>
        <v>PROD65</v>
      </c>
      <c r="F1852" s="22" t="str">
        <f>VLOOKUP(E1852,Product_Dim!A:C,3,0)</f>
        <v>Sports</v>
      </c>
      <c r="G1852" s="22" t="str" cm="1">
        <f t="array" ref="G1852:L1852">_xlfn.XLOOKUP(C1852,Sales_Fact!C1852:C3836,Sales_Fact!E1852:J3836)</f>
        <v>STORE1</v>
      </c>
      <c r="H1852" s="22">
        <v>4</v>
      </c>
      <c r="I1852" s="22">
        <v>972.14</v>
      </c>
      <c r="J1852" s="22">
        <v>0.25</v>
      </c>
      <c r="K1852" s="22" t="str">
        <v>Credit Card</v>
      </c>
      <c r="L1852" s="22">
        <v>2916.42</v>
      </c>
    </row>
    <row r="1853" spans="1:12" x14ac:dyDescent="0.3">
      <c r="A1853" s="22" t="s">
        <v>3662</v>
      </c>
      <c r="B1853" s="34" cm="1">
        <f t="array" ref="B1853:C1853">_xlfn.XLOOKUP(A1853,Sales_Fact!A1853:A3837,Sales_Fact!B1853:C3837)</f>
        <v>45831</v>
      </c>
      <c r="C1853" s="22" t="str">
        <v>CUST1093</v>
      </c>
      <c r="D1853" s="22" t="str">
        <f>VLOOKUP('Combine Products &amp; Sales Facts'!C1853,'Customer Details'!A:B,2,0)</f>
        <v>Christy Vasquez</v>
      </c>
      <c r="E1853" s="22" t="str">
        <f>VLOOKUP(C1853,Sales_Fact!C:D,2,0)</f>
        <v>PROD5</v>
      </c>
      <c r="F1853" s="22" t="str">
        <f>VLOOKUP(E1853,Product_Dim!A:C,3,0)</f>
        <v>Clothing</v>
      </c>
      <c r="G1853" s="22" t="str" cm="1">
        <f t="array" ref="G1853:L1853">_xlfn.XLOOKUP(C1853,Sales_Fact!C1853:C3837,Sales_Fact!E1853:J3837)</f>
        <v>STORE4</v>
      </c>
      <c r="H1853" s="22">
        <v>3</v>
      </c>
      <c r="I1853" s="22">
        <v>523.66</v>
      </c>
      <c r="J1853" s="22">
        <v>0.27</v>
      </c>
      <c r="K1853" s="22" t="str">
        <v>PayPal</v>
      </c>
      <c r="L1853" s="22">
        <v>1146.8154</v>
      </c>
    </row>
    <row r="1854" spans="1:12" x14ac:dyDescent="0.3">
      <c r="A1854" s="22" t="s">
        <v>3663</v>
      </c>
      <c r="B1854" s="34" cm="1">
        <f t="array" ref="B1854:C1854">_xlfn.XLOOKUP(A1854,Sales_Fact!A1854:A3838,Sales_Fact!B1854:C3838)</f>
        <v>45602</v>
      </c>
      <c r="C1854" s="22" t="str">
        <v>CUST1148</v>
      </c>
      <c r="D1854" s="22" t="str">
        <f>VLOOKUP('Combine Products &amp; Sales Facts'!C1854,'Customer Details'!A:B,2,0)</f>
        <v>Theresa Campbell</v>
      </c>
      <c r="E1854" s="22" t="str">
        <f>VLOOKUP(C1854,Sales_Fact!C:D,2,0)</f>
        <v>PROD13</v>
      </c>
      <c r="F1854" s="22" t="str">
        <f>VLOOKUP(E1854,Product_Dim!A:C,3,0)</f>
        <v>Electronics</v>
      </c>
      <c r="G1854" s="22" t="str" cm="1">
        <f t="array" ref="G1854:L1854">_xlfn.XLOOKUP(C1854,Sales_Fact!C1854:C3838,Sales_Fact!E1854:J3838)</f>
        <v>STORE2</v>
      </c>
      <c r="H1854" s="22">
        <v>4</v>
      </c>
      <c r="I1854" s="22">
        <v>838.99</v>
      </c>
      <c r="J1854" s="22">
        <v>0.16</v>
      </c>
      <c r="K1854" s="22" t="str">
        <v>Credit Card</v>
      </c>
      <c r="L1854" s="22">
        <v>2819.0064000000002</v>
      </c>
    </row>
    <row r="1855" spans="1:12" x14ac:dyDescent="0.3">
      <c r="A1855" s="22" t="s">
        <v>3664</v>
      </c>
      <c r="B1855" s="34" cm="1">
        <f t="array" ref="B1855:C1855">_xlfn.XLOOKUP(A1855,Sales_Fact!A1855:A3839,Sales_Fact!B1855:C3839)</f>
        <v>45722</v>
      </c>
      <c r="C1855" s="22" t="str">
        <v>CUST1135</v>
      </c>
      <c r="D1855" s="22" t="str">
        <f>VLOOKUP('Combine Products &amp; Sales Facts'!C1855,'Customer Details'!A:B,2,0)</f>
        <v>Matthew Hanna</v>
      </c>
      <c r="E1855" s="22" t="str">
        <f>VLOOKUP(C1855,Sales_Fact!C:D,2,0)</f>
        <v>PROD44</v>
      </c>
      <c r="F1855" s="22" t="str">
        <f>VLOOKUP(E1855,Product_Dim!A:C,3,0)</f>
        <v>Sports</v>
      </c>
      <c r="G1855" s="22" t="str" cm="1">
        <f t="array" ref="G1855:L1855">_xlfn.XLOOKUP(C1855,Sales_Fact!C1855:C3839,Sales_Fact!E1855:J3839)</f>
        <v>STORE17</v>
      </c>
      <c r="H1855" s="22">
        <v>4</v>
      </c>
      <c r="I1855" s="22">
        <v>838.7</v>
      </c>
      <c r="J1855" s="22">
        <v>0.21</v>
      </c>
      <c r="K1855" s="22" t="str">
        <v>COD</v>
      </c>
      <c r="L1855" s="22">
        <v>2650.2919999999999</v>
      </c>
    </row>
    <row r="1856" spans="1:12" x14ac:dyDescent="0.3">
      <c r="A1856" s="22" t="s">
        <v>3665</v>
      </c>
      <c r="B1856" s="34" cm="1">
        <f t="array" ref="B1856:C1856">_xlfn.XLOOKUP(A1856,Sales_Fact!A1856:A3840,Sales_Fact!B1856:C3840)</f>
        <v>45794</v>
      </c>
      <c r="C1856" s="22" t="str">
        <v>CUST1420</v>
      </c>
      <c r="D1856" s="22" t="str">
        <f>VLOOKUP('Combine Products &amp; Sales Facts'!C1856,'Customer Details'!A:B,2,0)</f>
        <v>Dr. Tamara White Md</v>
      </c>
      <c r="E1856" s="22" t="str">
        <f>VLOOKUP(C1856,Sales_Fact!C:D,2,0)</f>
        <v>PROD21</v>
      </c>
      <c r="F1856" s="22" t="str">
        <f>VLOOKUP(E1856,Product_Dim!A:C,3,0)</f>
        <v>Home</v>
      </c>
      <c r="G1856" s="22" t="str" cm="1">
        <f t="array" ref="G1856:L1856">_xlfn.XLOOKUP(C1856,Sales_Fact!C1856:C3840,Sales_Fact!E1856:J3840)</f>
        <v>STORE8</v>
      </c>
      <c r="H1856" s="22">
        <v>3</v>
      </c>
      <c r="I1856" s="22">
        <v>943.24</v>
      </c>
      <c r="J1856" s="22">
        <v>0.21</v>
      </c>
      <c r="K1856" s="22" t="str">
        <v>Credit Card</v>
      </c>
      <c r="L1856" s="22">
        <v>2235.4787999999999</v>
      </c>
    </row>
    <row r="1857" spans="1:12" x14ac:dyDescent="0.3">
      <c r="A1857" s="22" t="s">
        <v>3666</v>
      </c>
      <c r="B1857" s="34" cm="1">
        <f t="array" ref="B1857:C1857">_xlfn.XLOOKUP(A1857,Sales_Fact!A1857:A3841,Sales_Fact!B1857:C3841)</f>
        <v>45659</v>
      </c>
      <c r="C1857" s="22" t="str">
        <v>CUST1299</v>
      </c>
      <c r="D1857" s="22" t="str">
        <f>VLOOKUP('Combine Products &amp; Sales Facts'!C1857,'Customer Details'!A:B,2,0)</f>
        <v>Stephanie Jacobs</v>
      </c>
      <c r="E1857" s="22" t="str">
        <f>VLOOKUP(C1857,Sales_Fact!C:D,2,0)</f>
        <v>PROD23</v>
      </c>
      <c r="F1857" s="22" t="str">
        <f>VLOOKUP(E1857,Product_Dim!A:C,3,0)</f>
        <v>Clothing</v>
      </c>
      <c r="G1857" s="22" t="str" cm="1">
        <f t="array" ref="G1857:L1857">_xlfn.XLOOKUP(C1857,Sales_Fact!C1857:C3841,Sales_Fact!E1857:J3841)</f>
        <v>STORE17</v>
      </c>
      <c r="H1857" s="22">
        <v>2</v>
      </c>
      <c r="I1857" s="22">
        <v>310.33</v>
      </c>
      <c r="J1857" s="22">
        <v>0.26</v>
      </c>
      <c r="K1857" s="22" t="str">
        <v>Credit Card</v>
      </c>
      <c r="L1857" s="22">
        <v>459.28840000000002</v>
      </c>
    </row>
    <row r="1858" spans="1:12" x14ac:dyDescent="0.3">
      <c r="A1858" s="22" t="s">
        <v>3667</v>
      </c>
      <c r="B1858" s="34" cm="1">
        <f t="array" ref="B1858:C1858">_xlfn.XLOOKUP(A1858,Sales_Fact!A1858:A3842,Sales_Fact!B1858:C3842)</f>
        <v>45501</v>
      </c>
      <c r="C1858" s="22" t="str">
        <v>CUST1346</v>
      </c>
      <c r="D1858" s="22" t="str">
        <f>VLOOKUP('Combine Products &amp; Sales Facts'!C1858,'Customer Details'!A:B,2,0)</f>
        <v>John Jordan</v>
      </c>
      <c r="E1858" s="22" t="str">
        <f>VLOOKUP(C1858,Sales_Fact!C:D,2,0)</f>
        <v>PROD76</v>
      </c>
      <c r="F1858" s="22" t="str">
        <f>VLOOKUP(E1858,Product_Dim!A:C,3,0)</f>
        <v>Electronics</v>
      </c>
      <c r="G1858" s="22" t="str" cm="1">
        <f t="array" ref="G1858:L1858">_xlfn.XLOOKUP(C1858,Sales_Fact!C1858:C3842,Sales_Fact!E1858:J3842)</f>
        <v>STORE0</v>
      </c>
      <c r="H1858" s="22">
        <v>3</v>
      </c>
      <c r="I1858" s="22">
        <v>201.05</v>
      </c>
      <c r="J1858" s="22">
        <v>0.23</v>
      </c>
      <c r="K1858" s="22" t="str">
        <v>PayPal</v>
      </c>
      <c r="L1858" s="22">
        <v>464.42550000000011</v>
      </c>
    </row>
    <row r="1859" spans="1:12" x14ac:dyDescent="0.3">
      <c r="A1859" s="22" t="s">
        <v>3668</v>
      </c>
      <c r="B1859" s="34" cm="1">
        <f t="array" ref="B1859:C1859">_xlfn.XLOOKUP(A1859,Sales_Fact!A1859:A3843,Sales_Fact!B1859:C3843)</f>
        <v>45408</v>
      </c>
      <c r="C1859" s="22" t="str">
        <v>CUST1252</v>
      </c>
      <c r="D1859" s="22" t="str">
        <f>VLOOKUP('Combine Products &amp; Sales Facts'!C1859,'Customer Details'!A:B,2,0)</f>
        <v>John Mccoy</v>
      </c>
      <c r="E1859" s="22" t="str">
        <f>VLOOKUP(C1859,Sales_Fact!C:D,2,0)</f>
        <v>PROD13</v>
      </c>
      <c r="F1859" s="22" t="str">
        <f>VLOOKUP(E1859,Product_Dim!A:C,3,0)</f>
        <v>Electronics</v>
      </c>
      <c r="G1859" s="22" t="str" cm="1">
        <f t="array" ref="G1859:L1859">_xlfn.XLOOKUP(C1859,Sales_Fact!C1859:C3843,Sales_Fact!E1859:J3843)</f>
        <v>STORE17</v>
      </c>
      <c r="H1859" s="22">
        <v>1</v>
      </c>
      <c r="I1859" s="22">
        <v>803.37</v>
      </c>
      <c r="J1859" s="22">
        <v>0.3</v>
      </c>
      <c r="K1859" s="22" t="str">
        <v>PayPal</v>
      </c>
      <c r="L1859" s="22">
        <v>562.35899999999992</v>
      </c>
    </row>
    <row r="1860" spans="1:12" x14ac:dyDescent="0.3">
      <c r="A1860" s="22" t="s">
        <v>3669</v>
      </c>
      <c r="B1860" s="34" cm="1">
        <f t="array" ref="B1860:C1860">_xlfn.XLOOKUP(A1860,Sales_Fact!A1860:A3844,Sales_Fact!B1860:C3844)</f>
        <v>45886</v>
      </c>
      <c r="C1860" s="22" t="str">
        <v>CUST1036</v>
      </c>
      <c r="D1860" s="22" t="str">
        <f>VLOOKUP('Combine Products &amp; Sales Facts'!C1860,'Customer Details'!A:B,2,0)</f>
        <v>Thomas Phillips</v>
      </c>
      <c r="E1860" s="22" t="str">
        <f>VLOOKUP(C1860,Sales_Fact!C:D,2,0)</f>
        <v>PROD90</v>
      </c>
      <c r="F1860" s="22" t="str">
        <f>VLOOKUP(E1860,Product_Dim!A:C,3,0)</f>
        <v>Electronics</v>
      </c>
      <c r="G1860" s="22" t="str" cm="1">
        <f t="array" ref="G1860:L1860">_xlfn.XLOOKUP(C1860,Sales_Fact!C1860:C3844,Sales_Fact!E1860:J3844)</f>
        <v>STORE15</v>
      </c>
      <c r="H1860" s="22">
        <v>3</v>
      </c>
      <c r="I1860" s="22">
        <v>259.98</v>
      </c>
      <c r="J1860" s="22">
        <v>7.0000000000000007E-2</v>
      </c>
      <c r="K1860" s="22" t="str">
        <v>COD</v>
      </c>
      <c r="L1860" s="22">
        <v>725.3442</v>
      </c>
    </row>
    <row r="1861" spans="1:12" x14ac:dyDescent="0.3">
      <c r="A1861" s="22" t="s">
        <v>3670</v>
      </c>
      <c r="B1861" s="34" cm="1">
        <f t="array" ref="B1861:C1861">_xlfn.XLOOKUP(A1861,Sales_Fact!A1861:A3845,Sales_Fact!B1861:C3845)</f>
        <v>45426</v>
      </c>
      <c r="C1861" s="22" t="str">
        <v>CUST1124</v>
      </c>
      <c r="D1861" s="22" t="str">
        <f>VLOOKUP('Combine Products &amp; Sales Facts'!C1861,'Customer Details'!A:B,2,0)</f>
        <v>Donald Lee</v>
      </c>
      <c r="E1861" s="22" t="str">
        <f>VLOOKUP(C1861,Sales_Fact!C:D,2,0)</f>
        <v>PROD22</v>
      </c>
      <c r="F1861" s="22" t="str">
        <f>VLOOKUP(E1861,Product_Dim!A:C,3,0)</f>
        <v>Sports</v>
      </c>
      <c r="G1861" s="22" t="str" cm="1">
        <f t="array" ref="G1861:L1861">_xlfn.XLOOKUP(C1861,Sales_Fact!C1861:C3845,Sales_Fact!E1861:J3845)</f>
        <v>STORE3</v>
      </c>
      <c r="H1861" s="22">
        <v>4</v>
      </c>
      <c r="I1861" s="22">
        <v>591.9</v>
      </c>
      <c r="J1861" s="22">
        <v>0.2</v>
      </c>
      <c r="K1861" s="22" t="str">
        <v>PayPal</v>
      </c>
      <c r="L1861" s="22">
        <v>1894.08</v>
      </c>
    </row>
    <row r="1862" spans="1:12" x14ac:dyDescent="0.3">
      <c r="A1862" s="22" t="s">
        <v>3671</v>
      </c>
      <c r="B1862" s="34" cm="1">
        <f t="array" ref="B1862:C1862">_xlfn.XLOOKUP(A1862,Sales_Fact!A1862:A3846,Sales_Fact!B1862:C3846)</f>
        <v>45730</v>
      </c>
      <c r="C1862" s="22" t="str">
        <v>CUST1031</v>
      </c>
      <c r="D1862" s="22" t="str">
        <f>VLOOKUP('Combine Products &amp; Sales Facts'!C1862,'Customer Details'!A:B,2,0)</f>
        <v>Sarah Vance</v>
      </c>
      <c r="E1862" s="22" t="str">
        <f>VLOOKUP(C1862,Sales_Fact!C:D,2,0)</f>
        <v>PROD62</v>
      </c>
      <c r="F1862" s="22" t="str">
        <f>VLOOKUP(E1862,Product_Dim!A:C,3,0)</f>
        <v>Electronics</v>
      </c>
      <c r="G1862" s="22" t="str" cm="1">
        <f t="array" ref="G1862:L1862">_xlfn.XLOOKUP(C1862,Sales_Fact!C1862:C3846,Sales_Fact!E1862:J3846)</f>
        <v>STORE12</v>
      </c>
      <c r="H1862" s="22">
        <v>2</v>
      </c>
      <c r="I1862" s="22">
        <v>396.9</v>
      </c>
      <c r="J1862" s="22">
        <v>0.18</v>
      </c>
      <c r="K1862" s="22" t="str">
        <v>PayPal</v>
      </c>
      <c r="L1862" s="22">
        <v>650.91600000000005</v>
      </c>
    </row>
    <row r="1863" spans="1:12" x14ac:dyDescent="0.3">
      <c r="A1863" s="22" t="s">
        <v>3672</v>
      </c>
      <c r="B1863" s="34" cm="1">
        <f t="array" ref="B1863:C1863">_xlfn.XLOOKUP(A1863,Sales_Fact!A1863:A3847,Sales_Fact!B1863:C3847)</f>
        <v>45731</v>
      </c>
      <c r="C1863" s="22" t="str">
        <v>CUST1453</v>
      </c>
      <c r="D1863" s="22" t="str">
        <f>VLOOKUP('Combine Products &amp; Sales Facts'!C1863,'Customer Details'!A:B,2,0)</f>
        <v>April Phillips</v>
      </c>
      <c r="E1863" s="22" t="str">
        <f>VLOOKUP(C1863,Sales_Fact!C:D,2,0)</f>
        <v>PROD12</v>
      </c>
      <c r="F1863" s="22" t="str">
        <f>VLOOKUP(E1863,Product_Dim!A:C,3,0)</f>
        <v>Beauty</v>
      </c>
      <c r="G1863" s="22" t="str" cm="1">
        <f t="array" ref="G1863:L1863">_xlfn.XLOOKUP(C1863,Sales_Fact!C1863:C3847,Sales_Fact!E1863:J3847)</f>
        <v>STORE2</v>
      </c>
      <c r="H1863" s="22">
        <v>1</v>
      </c>
      <c r="I1863" s="22">
        <v>176.84</v>
      </c>
      <c r="J1863" s="22">
        <v>0.19</v>
      </c>
      <c r="K1863" s="22" t="str">
        <v>Credit Card</v>
      </c>
      <c r="L1863" s="22">
        <v>143.24039999999999</v>
      </c>
    </row>
    <row r="1864" spans="1:12" x14ac:dyDescent="0.3">
      <c r="A1864" s="22" t="s">
        <v>3673</v>
      </c>
      <c r="B1864" s="34" cm="1">
        <f t="array" ref="B1864:C1864">_xlfn.XLOOKUP(A1864,Sales_Fact!A1864:A3848,Sales_Fact!B1864:C3848)</f>
        <v>45272</v>
      </c>
      <c r="C1864" s="22" t="str">
        <v>CUST1254</v>
      </c>
      <c r="D1864" s="22" t="str">
        <f>VLOOKUP('Combine Products &amp; Sales Facts'!C1864,'Customer Details'!A:B,2,0)</f>
        <v>Linda Kline</v>
      </c>
      <c r="E1864" s="22" t="str">
        <f>VLOOKUP(C1864,Sales_Fact!C:D,2,0)</f>
        <v>PROD23</v>
      </c>
      <c r="F1864" s="22" t="str">
        <f>VLOOKUP(E1864,Product_Dim!A:C,3,0)</f>
        <v>Clothing</v>
      </c>
      <c r="G1864" s="22" t="str" cm="1">
        <f t="array" ref="G1864:L1864">_xlfn.XLOOKUP(C1864,Sales_Fact!C1864:C3848,Sales_Fact!E1864:J3848)</f>
        <v>STORE0</v>
      </c>
      <c r="H1864" s="22">
        <v>2</v>
      </c>
      <c r="I1864" s="22">
        <v>614.21</v>
      </c>
      <c r="J1864" s="22">
        <v>0.11</v>
      </c>
      <c r="K1864" s="22" t="str">
        <v>PayPal</v>
      </c>
      <c r="L1864" s="22">
        <v>1093.2937999999999</v>
      </c>
    </row>
    <row r="1865" spans="1:12" x14ac:dyDescent="0.3">
      <c r="A1865" s="22" t="s">
        <v>3674</v>
      </c>
      <c r="B1865" s="34" cm="1">
        <f t="array" ref="B1865:C1865">_xlfn.XLOOKUP(A1865,Sales_Fact!A1865:A3849,Sales_Fact!B1865:C3849)</f>
        <v>45584</v>
      </c>
      <c r="C1865" s="22" t="str">
        <v>CUST1108</v>
      </c>
      <c r="D1865" s="22" t="str">
        <f>VLOOKUP('Combine Products &amp; Sales Facts'!C1865,'Customer Details'!A:B,2,0)</f>
        <v>Travis Holland</v>
      </c>
      <c r="E1865" s="22" t="str">
        <f>VLOOKUP(C1865,Sales_Fact!C:D,2,0)</f>
        <v>PROD30</v>
      </c>
      <c r="F1865" s="22" t="str">
        <f>VLOOKUP(E1865,Product_Dim!A:C,3,0)</f>
        <v>Home</v>
      </c>
      <c r="G1865" s="22" t="str" cm="1">
        <f t="array" ref="G1865:L1865">_xlfn.XLOOKUP(C1865,Sales_Fact!C1865:C3849,Sales_Fact!E1865:J3849)</f>
        <v>STORE7</v>
      </c>
      <c r="H1865" s="22">
        <v>3</v>
      </c>
      <c r="I1865" s="22">
        <v>604.66</v>
      </c>
      <c r="J1865" s="22">
        <v>0.18</v>
      </c>
      <c r="K1865" s="22" t="str">
        <v>COD</v>
      </c>
      <c r="L1865" s="22">
        <v>1487.4636</v>
      </c>
    </row>
    <row r="1866" spans="1:12" x14ac:dyDescent="0.3">
      <c r="A1866" s="22" t="s">
        <v>3675</v>
      </c>
      <c r="B1866" s="34" cm="1">
        <f t="array" ref="B1866:C1866">_xlfn.XLOOKUP(A1866,Sales_Fact!A1866:A3850,Sales_Fact!B1866:C3850)</f>
        <v>45534</v>
      </c>
      <c r="C1866" s="22" t="str">
        <v>CUST1498</v>
      </c>
      <c r="D1866" s="22" t="str">
        <f>VLOOKUP('Combine Products &amp; Sales Facts'!C1866,'Customer Details'!A:B,2,0)</f>
        <v>Traci Gonzalez</v>
      </c>
      <c r="E1866" s="22" t="str">
        <f>VLOOKUP(C1866,Sales_Fact!C:D,2,0)</f>
        <v>PROD8</v>
      </c>
      <c r="F1866" s="22" t="str">
        <f>VLOOKUP(E1866,Product_Dim!A:C,3,0)</f>
        <v>Electronics</v>
      </c>
      <c r="G1866" s="22" t="str" cm="1">
        <f t="array" ref="G1866:L1866">_xlfn.XLOOKUP(C1866,Sales_Fact!C1866:C3850,Sales_Fact!E1866:J3850)</f>
        <v>STORE12</v>
      </c>
      <c r="H1866" s="22">
        <v>3</v>
      </c>
      <c r="I1866" s="22">
        <v>24.29</v>
      </c>
      <c r="J1866" s="22">
        <v>0.12</v>
      </c>
      <c r="K1866" s="22" t="str">
        <v>PayPal</v>
      </c>
      <c r="L1866" s="22">
        <v>64.125600000000006</v>
      </c>
    </row>
    <row r="1867" spans="1:12" x14ac:dyDescent="0.3">
      <c r="A1867" s="22" t="s">
        <v>3676</v>
      </c>
      <c r="B1867" s="34" cm="1">
        <f t="array" ref="B1867:C1867">_xlfn.XLOOKUP(A1867,Sales_Fact!A1867:A3851,Sales_Fact!B1867:C3851)</f>
        <v>45482</v>
      </c>
      <c r="C1867" s="22" t="str">
        <v>CUST1121</v>
      </c>
      <c r="D1867" s="22" t="str">
        <f>VLOOKUP('Combine Products &amp; Sales Facts'!C1867,'Customer Details'!A:B,2,0)</f>
        <v>Joel Robinson</v>
      </c>
      <c r="E1867" s="22" t="str">
        <f>VLOOKUP(C1867,Sales_Fact!C:D,2,0)</f>
        <v>PROD33</v>
      </c>
      <c r="F1867" s="22" t="str">
        <f>VLOOKUP(E1867,Product_Dim!A:C,3,0)</f>
        <v>Home</v>
      </c>
      <c r="G1867" s="22" t="str" cm="1">
        <f t="array" ref="G1867:L1867">_xlfn.XLOOKUP(C1867,Sales_Fact!C1867:C3851,Sales_Fact!E1867:J3851)</f>
        <v>STORE11</v>
      </c>
      <c r="H1867" s="22">
        <v>1</v>
      </c>
      <c r="I1867" s="22">
        <v>503.95</v>
      </c>
      <c r="J1867" s="22">
        <v>0.24</v>
      </c>
      <c r="K1867" s="22" t="str">
        <v>PayPal</v>
      </c>
      <c r="L1867" s="22">
        <v>383.00200000000001</v>
      </c>
    </row>
    <row r="1868" spans="1:12" x14ac:dyDescent="0.3">
      <c r="A1868" s="22" t="s">
        <v>3677</v>
      </c>
      <c r="B1868" s="34" cm="1">
        <f t="array" ref="B1868:C1868">_xlfn.XLOOKUP(A1868,Sales_Fact!A1868:A3852,Sales_Fact!B1868:C3852)</f>
        <v>45475</v>
      </c>
      <c r="C1868" s="22" t="str">
        <v>CUST1319</v>
      </c>
      <c r="D1868" s="22" t="str">
        <f>VLOOKUP('Combine Products &amp; Sales Facts'!C1868,'Customer Details'!A:B,2,0)</f>
        <v>Casey Simpson</v>
      </c>
      <c r="E1868" s="22" t="str">
        <f>VLOOKUP(C1868,Sales_Fact!C:D,2,0)</f>
        <v>PROD49</v>
      </c>
      <c r="F1868" s="22" t="str">
        <f>VLOOKUP(E1868,Product_Dim!A:C,3,0)</f>
        <v>Beauty</v>
      </c>
      <c r="G1868" s="22" t="str" cm="1">
        <f t="array" ref="G1868:L1868">_xlfn.XLOOKUP(C1868,Sales_Fact!C1868:C3852,Sales_Fact!E1868:J3852)</f>
        <v>STORE14</v>
      </c>
      <c r="H1868" s="22">
        <v>4</v>
      </c>
      <c r="I1868" s="22">
        <v>860.78</v>
      </c>
      <c r="J1868" s="22">
        <v>0.03</v>
      </c>
      <c r="K1868" s="22" t="str">
        <v>Credit Card</v>
      </c>
      <c r="L1868" s="22">
        <v>3339.8263999999999</v>
      </c>
    </row>
    <row r="1869" spans="1:12" x14ac:dyDescent="0.3">
      <c r="A1869" s="22" t="s">
        <v>3678</v>
      </c>
      <c r="B1869" s="34" cm="1">
        <f t="array" ref="B1869:C1869">_xlfn.XLOOKUP(A1869,Sales_Fact!A1869:A3853,Sales_Fact!B1869:C3853)</f>
        <v>45234</v>
      </c>
      <c r="C1869" s="22" t="str">
        <v>CUST1197</v>
      </c>
      <c r="D1869" s="22" t="str">
        <f>VLOOKUP('Combine Products &amp; Sales Facts'!C1869,'Customer Details'!A:B,2,0)</f>
        <v>Andrea Jacobs</v>
      </c>
      <c r="E1869" s="22" t="str">
        <f>VLOOKUP(C1869,Sales_Fact!C:D,2,0)</f>
        <v>PROD37</v>
      </c>
      <c r="F1869" s="22" t="str">
        <f>VLOOKUP(E1869,Product_Dim!A:C,3,0)</f>
        <v>Clothing</v>
      </c>
      <c r="G1869" s="22" t="str" cm="1">
        <f t="array" ref="G1869:L1869">_xlfn.XLOOKUP(C1869,Sales_Fact!C1869:C3853,Sales_Fact!E1869:J3853)</f>
        <v>STORE3</v>
      </c>
      <c r="H1869" s="22">
        <v>3</v>
      </c>
      <c r="I1869" s="22">
        <v>41.97</v>
      </c>
      <c r="J1869" s="22">
        <v>0.03</v>
      </c>
      <c r="K1869" s="22" t="str">
        <v>COD</v>
      </c>
      <c r="L1869" s="22">
        <v>122.1327</v>
      </c>
    </row>
    <row r="1870" spans="1:12" x14ac:dyDescent="0.3">
      <c r="A1870" s="22" t="s">
        <v>3679</v>
      </c>
      <c r="B1870" s="34" cm="1">
        <f t="array" ref="B1870:C1870">_xlfn.XLOOKUP(A1870,Sales_Fact!A1870:A3854,Sales_Fact!B1870:C3854)</f>
        <v>45397</v>
      </c>
      <c r="C1870" s="22" t="str">
        <v>CUST1033</v>
      </c>
      <c r="D1870" s="22" t="str">
        <f>VLOOKUP('Combine Products &amp; Sales Facts'!C1870,'Customer Details'!A:B,2,0)</f>
        <v>Robert Jones Dds</v>
      </c>
      <c r="E1870" s="22" t="str">
        <f>VLOOKUP(C1870,Sales_Fact!C:D,2,0)</f>
        <v>PROD46</v>
      </c>
      <c r="F1870" s="22" t="str">
        <f>VLOOKUP(E1870,Product_Dim!A:C,3,0)</f>
        <v>Clothing</v>
      </c>
      <c r="G1870" s="22" t="str" cm="1">
        <f t="array" ref="G1870:L1870">_xlfn.XLOOKUP(C1870,Sales_Fact!C1870:C3854,Sales_Fact!E1870:J3854)</f>
        <v>STORE5</v>
      </c>
      <c r="H1870" s="22">
        <v>1</v>
      </c>
      <c r="I1870" s="22">
        <v>649.59</v>
      </c>
      <c r="J1870" s="22">
        <v>0.12</v>
      </c>
      <c r="K1870" s="22" t="str">
        <v>COD</v>
      </c>
      <c r="L1870" s="22">
        <v>571.63920000000007</v>
      </c>
    </row>
    <row r="1871" spans="1:12" x14ac:dyDescent="0.3">
      <c r="A1871" s="22" t="s">
        <v>3680</v>
      </c>
      <c r="B1871" s="34" cm="1">
        <f t="array" ref="B1871:C1871">_xlfn.XLOOKUP(A1871,Sales_Fact!A1871:A3855,Sales_Fact!B1871:C3855)</f>
        <v>45502</v>
      </c>
      <c r="C1871" s="22" t="str">
        <v>CUST1053</v>
      </c>
      <c r="D1871" s="22" t="str">
        <f>VLOOKUP('Combine Products &amp; Sales Facts'!C1871,'Customer Details'!A:B,2,0)</f>
        <v>Sharon Brown</v>
      </c>
      <c r="E1871" s="22" t="str">
        <f>VLOOKUP(C1871,Sales_Fact!C:D,2,0)</f>
        <v>PROD37</v>
      </c>
      <c r="F1871" s="22" t="str">
        <f>VLOOKUP(E1871,Product_Dim!A:C,3,0)</f>
        <v>Clothing</v>
      </c>
      <c r="G1871" s="22" t="str" cm="1">
        <f t="array" ref="G1871:L1871">_xlfn.XLOOKUP(C1871,Sales_Fact!C1871:C3855,Sales_Fact!E1871:J3855)</f>
        <v>STORE9</v>
      </c>
      <c r="H1871" s="22">
        <v>2</v>
      </c>
      <c r="I1871" s="22">
        <v>386.09</v>
      </c>
      <c r="J1871" s="22">
        <v>0.19</v>
      </c>
      <c r="K1871" s="22" t="str">
        <v>PayPal</v>
      </c>
      <c r="L1871" s="22">
        <v>625.46579999999994</v>
      </c>
    </row>
    <row r="1872" spans="1:12" x14ac:dyDescent="0.3">
      <c r="A1872" s="22" t="s">
        <v>3681</v>
      </c>
      <c r="B1872" s="34" cm="1">
        <f t="array" ref="B1872:C1872">_xlfn.XLOOKUP(A1872,Sales_Fact!A1872:A3856,Sales_Fact!B1872:C3856)</f>
        <v>45644</v>
      </c>
      <c r="C1872" s="22" t="str">
        <v>CUST1099</v>
      </c>
      <c r="D1872" s="22" t="str">
        <f>VLOOKUP('Combine Products &amp; Sales Facts'!C1872,'Customer Details'!A:B,2,0)</f>
        <v>Sheila Wilson</v>
      </c>
      <c r="E1872" s="22" t="str">
        <f>VLOOKUP(C1872,Sales_Fact!C:D,2,0)</f>
        <v>PROD26</v>
      </c>
      <c r="F1872" s="22" t="str">
        <f>VLOOKUP(E1872,Product_Dim!A:C,3,0)</f>
        <v>Electronics</v>
      </c>
      <c r="G1872" s="22" t="str" cm="1">
        <f t="array" ref="G1872:L1872">_xlfn.XLOOKUP(C1872,Sales_Fact!C1872:C3856,Sales_Fact!E1872:J3856)</f>
        <v>STORE12</v>
      </c>
      <c r="H1872" s="22">
        <v>1</v>
      </c>
      <c r="I1872" s="22">
        <v>891.62</v>
      </c>
      <c r="J1872" s="22">
        <v>0.06</v>
      </c>
      <c r="K1872" s="22" t="str">
        <v>PayPal</v>
      </c>
      <c r="L1872" s="22">
        <v>838.12279999999998</v>
      </c>
    </row>
    <row r="1873" spans="1:12" x14ac:dyDescent="0.3">
      <c r="A1873" s="22" t="s">
        <v>3682</v>
      </c>
      <c r="B1873" s="34" cm="1">
        <f t="array" ref="B1873:C1873">_xlfn.XLOOKUP(A1873,Sales_Fact!A1873:A3857,Sales_Fact!B1873:C3857)</f>
        <v>45617</v>
      </c>
      <c r="C1873" s="22" t="str">
        <v>CUST1381</v>
      </c>
      <c r="D1873" s="22" t="str">
        <f>VLOOKUP('Combine Products &amp; Sales Facts'!C1873,'Customer Details'!A:B,2,0)</f>
        <v>Erika Padilla</v>
      </c>
      <c r="E1873" s="22" t="str">
        <f>VLOOKUP(C1873,Sales_Fact!C:D,2,0)</f>
        <v>PROD5</v>
      </c>
      <c r="F1873" s="22" t="str">
        <f>VLOOKUP(E1873,Product_Dim!A:C,3,0)</f>
        <v>Clothing</v>
      </c>
      <c r="G1873" s="22" t="str" cm="1">
        <f t="array" ref="G1873:L1873">_xlfn.XLOOKUP(C1873,Sales_Fact!C1873:C3857,Sales_Fact!E1873:J3857)</f>
        <v>STORE15</v>
      </c>
      <c r="H1873" s="22">
        <v>2</v>
      </c>
      <c r="I1873" s="22">
        <v>558.9</v>
      </c>
      <c r="J1873" s="22">
        <v>0.05</v>
      </c>
      <c r="K1873" s="22" t="str">
        <v>COD</v>
      </c>
      <c r="L1873" s="22">
        <v>1061.9100000000001</v>
      </c>
    </row>
    <row r="1874" spans="1:12" x14ac:dyDescent="0.3">
      <c r="A1874" s="22" t="s">
        <v>3683</v>
      </c>
      <c r="B1874" s="34" cm="1">
        <f t="array" ref="B1874:C1874">_xlfn.XLOOKUP(A1874,Sales_Fact!A1874:A3858,Sales_Fact!B1874:C3858)</f>
        <v>45797</v>
      </c>
      <c r="C1874" s="22" t="str">
        <v>CUST1352</v>
      </c>
      <c r="D1874" s="22" t="str">
        <f>VLOOKUP('Combine Products &amp; Sales Facts'!C1874,'Customer Details'!A:B,2,0)</f>
        <v>Michael Greene</v>
      </c>
      <c r="E1874" s="22" t="str">
        <f>VLOOKUP(C1874,Sales_Fact!C:D,2,0)</f>
        <v>PROD43</v>
      </c>
      <c r="F1874" s="22" t="str">
        <f>VLOOKUP(E1874,Product_Dim!A:C,3,0)</f>
        <v>Electronics</v>
      </c>
      <c r="G1874" s="22" t="str" cm="1">
        <f t="array" ref="G1874:L1874">_xlfn.XLOOKUP(C1874,Sales_Fact!C1874:C3858,Sales_Fact!E1874:J3858)</f>
        <v>STORE3</v>
      </c>
      <c r="H1874" s="22">
        <v>2</v>
      </c>
      <c r="I1874" s="22">
        <v>99.04</v>
      </c>
      <c r="J1874" s="22">
        <v>0.26</v>
      </c>
      <c r="K1874" s="22" t="str">
        <v>COD</v>
      </c>
      <c r="L1874" s="22">
        <v>146.57919999999999</v>
      </c>
    </row>
    <row r="1875" spans="1:12" x14ac:dyDescent="0.3">
      <c r="A1875" s="22" t="s">
        <v>3684</v>
      </c>
      <c r="B1875" s="34" cm="1">
        <f t="array" ref="B1875:C1875">_xlfn.XLOOKUP(A1875,Sales_Fact!A1875:A3859,Sales_Fact!B1875:C3859)</f>
        <v>45740</v>
      </c>
      <c r="C1875" s="22" t="str">
        <v>CUST1291</v>
      </c>
      <c r="D1875" s="22" t="str">
        <f>VLOOKUP('Combine Products &amp; Sales Facts'!C1875,'Customer Details'!A:B,2,0)</f>
        <v>James Powell</v>
      </c>
      <c r="E1875" s="22" t="str">
        <f>VLOOKUP(C1875,Sales_Fact!C:D,2,0)</f>
        <v>PROD93</v>
      </c>
      <c r="F1875" s="22" t="str">
        <f>VLOOKUP(E1875,Product_Dim!A:C,3,0)</f>
        <v>Electronics</v>
      </c>
      <c r="G1875" s="22" t="str" cm="1">
        <f t="array" ref="G1875:L1875">_xlfn.XLOOKUP(C1875,Sales_Fact!C1875:C3859,Sales_Fact!E1875:J3859)</f>
        <v>STORE8</v>
      </c>
      <c r="H1875" s="22">
        <v>4</v>
      </c>
      <c r="I1875" s="22">
        <v>625.13</v>
      </c>
      <c r="J1875" s="22">
        <v>0.06</v>
      </c>
      <c r="K1875" s="22" t="str">
        <v>Credit Card</v>
      </c>
      <c r="L1875" s="22">
        <v>2350.4888000000001</v>
      </c>
    </row>
    <row r="1876" spans="1:12" x14ac:dyDescent="0.3">
      <c r="A1876" s="22" t="s">
        <v>3685</v>
      </c>
      <c r="B1876" s="34" cm="1">
        <f t="array" ref="B1876:C1876">_xlfn.XLOOKUP(A1876,Sales_Fact!A1876:A3860,Sales_Fact!B1876:C3860)</f>
        <v>45824</v>
      </c>
      <c r="C1876" s="22" t="str">
        <v>CUST1036</v>
      </c>
      <c r="D1876" s="22" t="str">
        <f>VLOOKUP('Combine Products &amp; Sales Facts'!C1876,'Customer Details'!A:B,2,0)</f>
        <v>Thomas Phillips</v>
      </c>
      <c r="E1876" s="22" t="str">
        <f>VLOOKUP(C1876,Sales_Fact!C:D,2,0)</f>
        <v>PROD90</v>
      </c>
      <c r="F1876" s="22" t="str">
        <f>VLOOKUP(E1876,Product_Dim!A:C,3,0)</f>
        <v>Electronics</v>
      </c>
      <c r="G1876" s="22" t="str" cm="1">
        <f t="array" ref="G1876:L1876">_xlfn.XLOOKUP(C1876,Sales_Fact!C1876:C3860,Sales_Fact!E1876:J3860)</f>
        <v>STORE18</v>
      </c>
      <c r="H1876" s="22">
        <v>4</v>
      </c>
      <c r="I1876" s="22">
        <v>38.380000000000003</v>
      </c>
      <c r="J1876" s="22">
        <v>0.16</v>
      </c>
      <c r="K1876" s="22" t="str">
        <v>COD</v>
      </c>
      <c r="L1876" s="22">
        <v>128.95679999999999</v>
      </c>
    </row>
    <row r="1877" spans="1:12" x14ac:dyDescent="0.3">
      <c r="A1877" s="22" t="s">
        <v>3686</v>
      </c>
      <c r="B1877" s="34" cm="1">
        <f t="array" ref="B1877:C1877">_xlfn.XLOOKUP(A1877,Sales_Fact!A1877:A3861,Sales_Fact!B1877:C3861)</f>
        <v>45404</v>
      </c>
      <c r="C1877" s="22" t="str">
        <v>CUST1492</v>
      </c>
      <c r="D1877" s="22" t="str">
        <f>VLOOKUP('Combine Products &amp; Sales Facts'!C1877,'Customer Details'!A:B,2,0)</f>
        <v>Darrell Miller</v>
      </c>
      <c r="E1877" s="22" t="str">
        <f>VLOOKUP(C1877,Sales_Fact!C:D,2,0)</f>
        <v>PROD10</v>
      </c>
      <c r="F1877" s="22" t="str">
        <f>VLOOKUP(E1877,Product_Dim!A:C,3,0)</f>
        <v>Home</v>
      </c>
      <c r="G1877" s="22" t="str" cm="1">
        <f t="array" ref="G1877:L1877">_xlfn.XLOOKUP(C1877,Sales_Fact!C1877:C3861,Sales_Fact!E1877:J3861)</f>
        <v>STORE10</v>
      </c>
      <c r="H1877" s="22">
        <v>4</v>
      </c>
      <c r="I1877" s="22">
        <v>731.72</v>
      </c>
      <c r="J1877" s="22">
        <v>0.22</v>
      </c>
      <c r="K1877" s="22" t="str">
        <v>COD</v>
      </c>
      <c r="L1877" s="22">
        <v>2282.9663999999998</v>
      </c>
    </row>
    <row r="1878" spans="1:12" x14ac:dyDescent="0.3">
      <c r="A1878" s="22" t="s">
        <v>3687</v>
      </c>
      <c r="B1878" s="34" cm="1">
        <f t="array" ref="B1878:C1878">_xlfn.XLOOKUP(A1878,Sales_Fact!A1878:A3862,Sales_Fact!B1878:C3862)</f>
        <v>45916</v>
      </c>
      <c r="C1878" s="22" t="str">
        <v>CUST1457</v>
      </c>
      <c r="D1878" s="22" t="str">
        <f>VLOOKUP('Combine Products &amp; Sales Facts'!C1878,'Customer Details'!A:B,2,0)</f>
        <v>Christina Robertson</v>
      </c>
      <c r="E1878" s="22" t="str">
        <f>VLOOKUP(C1878,Sales_Fact!C:D,2,0)</f>
        <v>PROD43</v>
      </c>
      <c r="F1878" s="22" t="str">
        <f>VLOOKUP(E1878,Product_Dim!A:C,3,0)</f>
        <v>Electronics</v>
      </c>
      <c r="G1878" s="22" t="str" cm="1">
        <f t="array" ref="G1878:L1878">_xlfn.XLOOKUP(C1878,Sales_Fact!C1878:C3862,Sales_Fact!E1878:J3862)</f>
        <v>STORE19</v>
      </c>
      <c r="H1878" s="22">
        <v>3</v>
      </c>
      <c r="I1878" s="22">
        <v>825.33</v>
      </c>
      <c r="J1878" s="22">
        <v>0.21</v>
      </c>
      <c r="K1878" s="22" t="str">
        <v>Credit Card</v>
      </c>
      <c r="L1878" s="22">
        <v>1956.0320999999999</v>
      </c>
    </row>
    <row r="1879" spans="1:12" x14ac:dyDescent="0.3">
      <c r="A1879" s="22" t="s">
        <v>3688</v>
      </c>
      <c r="B1879" s="34" cm="1">
        <f t="array" ref="B1879:C1879">_xlfn.XLOOKUP(A1879,Sales_Fact!A1879:A3863,Sales_Fact!B1879:C3863)</f>
        <v>45269</v>
      </c>
      <c r="C1879" s="22" t="str">
        <v>CUST1059</v>
      </c>
      <c r="D1879" s="22" t="str">
        <f>VLOOKUP('Combine Products &amp; Sales Facts'!C1879,'Customer Details'!A:B,2,0)</f>
        <v>Alyssa Vargas</v>
      </c>
      <c r="E1879" s="22" t="str">
        <f>VLOOKUP(C1879,Sales_Fact!C:D,2,0)</f>
        <v>PROD94</v>
      </c>
      <c r="F1879" s="22" t="str">
        <f>VLOOKUP(E1879,Product_Dim!A:C,3,0)</f>
        <v>Beauty</v>
      </c>
      <c r="G1879" s="22" t="str" cm="1">
        <f t="array" ref="G1879:L1879">_xlfn.XLOOKUP(C1879,Sales_Fact!C1879:C3863,Sales_Fact!E1879:J3863)</f>
        <v>STORE14</v>
      </c>
      <c r="H1879" s="22">
        <v>2</v>
      </c>
      <c r="I1879" s="22">
        <v>47.3</v>
      </c>
      <c r="J1879" s="22">
        <v>0.01</v>
      </c>
      <c r="K1879" s="22" t="str">
        <v>PayPal</v>
      </c>
      <c r="L1879" s="22">
        <v>93.653999999999996</v>
      </c>
    </row>
    <row r="1880" spans="1:12" x14ac:dyDescent="0.3">
      <c r="A1880" s="22" t="s">
        <v>3689</v>
      </c>
      <c r="B1880" s="34" cm="1">
        <f t="array" ref="B1880:C1880">_xlfn.XLOOKUP(A1880,Sales_Fact!A1880:A3864,Sales_Fact!B1880:C3864)</f>
        <v>45493</v>
      </c>
      <c r="C1880" s="22" t="str">
        <v>CUST1171</v>
      </c>
      <c r="D1880" s="22" t="str">
        <f>VLOOKUP('Combine Products &amp; Sales Facts'!C1880,'Customer Details'!A:B,2,0)</f>
        <v>Amy Wilson</v>
      </c>
      <c r="E1880" s="22" t="str">
        <f>VLOOKUP(C1880,Sales_Fact!C:D,2,0)</f>
        <v>PROD90</v>
      </c>
      <c r="F1880" s="22" t="str">
        <f>VLOOKUP(E1880,Product_Dim!A:C,3,0)</f>
        <v>Electronics</v>
      </c>
      <c r="G1880" s="22" t="str" cm="1">
        <f t="array" ref="G1880:L1880">_xlfn.XLOOKUP(C1880,Sales_Fact!C1880:C3864,Sales_Fact!E1880:J3864)</f>
        <v>STORE17</v>
      </c>
      <c r="H1880" s="22">
        <v>1</v>
      </c>
      <c r="I1880" s="22">
        <v>389.12</v>
      </c>
      <c r="J1880" s="22">
        <v>0.18</v>
      </c>
      <c r="K1880" s="22" t="str">
        <v>PayPal</v>
      </c>
      <c r="L1880" s="22">
        <v>319.07839999999999</v>
      </c>
    </row>
    <row r="1881" spans="1:12" x14ac:dyDescent="0.3">
      <c r="A1881" s="22" t="s">
        <v>3690</v>
      </c>
      <c r="B1881" s="34" cm="1">
        <f t="array" ref="B1881:C1881">_xlfn.XLOOKUP(A1881,Sales_Fact!A1881:A3865,Sales_Fact!B1881:C3865)</f>
        <v>45558</v>
      </c>
      <c r="C1881" s="22" t="str">
        <v>CUST1458</v>
      </c>
      <c r="D1881" s="22" t="str">
        <f>VLOOKUP('Combine Products &amp; Sales Facts'!C1881,'Customer Details'!A:B,2,0)</f>
        <v>Kelly Garrett</v>
      </c>
      <c r="E1881" s="22" t="str">
        <f>VLOOKUP(C1881,Sales_Fact!C:D,2,0)</f>
        <v>PROD2</v>
      </c>
      <c r="F1881" s="22" t="str">
        <f>VLOOKUP(E1881,Product_Dim!A:C,3,0)</f>
        <v>Clothing</v>
      </c>
      <c r="G1881" s="22" t="str" cm="1">
        <f t="array" ref="G1881:L1881">_xlfn.XLOOKUP(C1881,Sales_Fact!C1881:C3865,Sales_Fact!E1881:J3865)</f>
        <v>STORE18</v>
      </c>
      <c r="H1881" s="22">
        <v>3</v>
      </c>
      <c r="I1881" s="22">
        <v>543.83000000000004</v>
      </c>
      <c r="J1881" s="22">
        <v>0.05</v>
      </c>
      <c r="K1881" s="22" t="str">
        <v>Credit Card</v>
      </c>
      <c r="L1881" s="22">
        <v>1549.9155000000001</v>
      </c>
    </row>
    <row r="1882" spans="1:12" x14ac:dyDescent="0.3">
      <c r="A1882" s="22" t="s">
        <v>3691</v>
      </c>
      <c r="B1882" s="34" cm="1">
        <f t="array" ref="B1882:C1882">_xlfn.XLOOKUP(A1882,Sales_Fact!A1882:A3866,Sales_Fact!B1882:C3866)</f>
        <v>45423</v>
      </c>
      <c r="C1882" s="22" t="str">
        <v>CUST1024</v>
      </c>
      <c r="D1882" s="22" t="str">
        <f>VLOOKUP('Combine Products &amp; Sales Facts'!C1882,'Customer Details'!A:B,2,0)</f>
        <v>Heather Collins</v>
      </c>
      <c r="E1882" s="22" t="str">
        <f>VLOOKUP(C1882,Sales_Fact!C:D,2,0)</f>
        <v>PROD3</v>
      </c>
      <c r="F1882" s="22" t="str">
        <f>VLOOKUP(E1882,Product_Dim!A:C,3,0)</f>
        <v>Clothing</v>
      </c>
      <c r="G1882" s="22" t="str" cm="1">
        <f t="array" ref="G1882:L1882">_xlfn.XLOOKUP(C1882,Sales_Fact!C1882:C3866,Sales_Fact!E1882:J3866)</f>
        <v>STORE1</v>
      </c>
      <c r="H1882" s="22">
        <v>2</v>
      </c>
      <c r="I1882" s="22">
        <v>660.27</v>
      </c>
      <c r="J1882" s="22">
        <v>0.01</v>
      </c>
      <c r="K1882" s="22" t="str">
        <v>PayPal</v>
      </c>
      <c r="L1882" s="22">
        <v>1307.3345999999999</v>
      </c>
    </row>
    <row r="1883" spans="1:12" x14ac:dyDescent="0.3">
      <c r="A1883" s="22" t="s">
        <v>3692</v>
      </c>
      <c r="B1883" s="34" cm="1">
        <f t="array" ref="B1883:C1883">_xlfn.XLOOKUP(A1883,Sales_Fact!A1883:A3867,Sales_Fact!B1883:C3867)</f>
        <v>45780</v>
      </c>
      <c r="C1883" s="22" t="str">
        <v>CUST1434</v>
      </c>
      <c r="D1883" s="22" t="str">
        <f>VLOOKUP('Combine Products &amp; Sales Facts'!C1883,'Customer Details'!A:B,2,0)</f>
        <v>Monique Castro</v>
      </c>
      <c r="E1883" s="22" t="str">
        <f>VLOOKUP(C1883,Sales_Fact!C:D,2,0)</f>
        <v>PROD13</v>
      </c>
      <c r="F1883" s="22" t="str">
        <f>VLOOKUP(E1883,Product_Dim!A:C,3,0)</f>
        <v>Electronics</v>
      </c>
      <c r="G1883" s="22" t="str" cm="1">
        <f t="array" ref="G1883:L1883">_xlfn.XLOOKUP(C1883,Sales_Fact!C1883:C3867,Sales_Fact!E1883:J3867)</f>
        <v>STORE8</v>
      </c>
      <c r="H1883" s="22">
        <v>4</v>
      </c>
      <c r="I1883" s="22">
        <v>729.31</v>
      </c>
      <c r="J1883" s="22">
        <v>0.03</v>
      </c>
      <c r="K1883" s="22" t="str">
        <v>Credit Card</v>
      </c>
      <c r="L1883" s="22">
        <v>2829.7228</v>
      </c>
    </row>
    <row r="1884" spans="1:12" x14ac:dyDescent="0.3">
      <c r="A1884" s="22" t="s">
        <v>3693</v>
      </c>
      <c r="B1884" s="34" cm="1">
        <f t="array" ref="B1884:C1884">_xlfn.XLOOKUP(A1884,Sales_Fact!A1884:A3868,Sales_Fact!B1884:C3868)</f>
        <v>45345</v>
      </c>
      <c r="C1884" s="22" t="str">
        <v>CUST1421</v>
      </c>
      <c r="D1884" s="22" t="str">
        <f>VLOOKUP('Combine Products &amp; Sales Facts'!C1884,'Customer Details'!A:B,2,0)</f>
        <v>Holly Robinson</v>
      </c>
      <c r="E1884" s="22" t="str">
        <f>VLOOKUP(C1884,Sales_Fact!C:D,2,0)</f>
        <v>PROD81</v>
      </c>
      <c r="F1884" s="22" t="str">
        <f>VLOOKUP(E1884,Product_Dim!A:C,3,0)</f>
        <v>Sports</v>
      </c>
      <c r="G1884" s="22" t="str" cm="1">
        <f t="array" ref="G1884:L1884">_xlfn.XLOOKUP(C1884,Sales_Fact!C1884:C3868,Sales_Fact!E1884:J3868)</f>
        <v>STORE6</v>
      </c>
      <c r="H1884" s="22">
        <v>2</v>
      </c>
      <c r="I1884" s="22">
        <v>152.91</v>
      </c>
      <c r="J1884" s="22">
        <v>0.24</v>
      </c>
      <c r="K1884" s="22" t="str">
        <v>PayPal</v>
      </c>
      <c r="L1884" s="22">
        <v>232.42320000000001</v>
      </c>
    </row>
    <row r="1885" spans="1:12" x14ac:dyDescent="0.3">
      <c r="A1885" s="22" t="s">
        <v>3694</v>
      </c>
      <c r="B1885" s="34" cm="1">
        <f t="array" ref="B1885:C1885">_xlfn.XLOOKUP(A1885,Sales_Fact!A1885:A3869,Sales_Fact!B1885:C3869)</f>
        <v>45344</v>
      </c>
      <c r="C1885" s="22" t="str">
        <v>CUST1461</v>
      </c>
      <c r="D1885" s="22" t="str">
        <f>VLOOKUP('Combine Products &amp; Sales Facts'!C1885,'Customer Details'!A:B,2,0)</f>
        <v>Paul Cox</v>
      </c>
      <c r="E1885" s="22" t="str">
        <f>VLOOKUP(C1885,Sales_Fact!C:D,2,0)</f>
        <v>PROD65</v>
      </c>
      <c r="F1885" s="22" t="str">
        <f>VLOOKUP(E1885,Product_Dim!A:C,3,0)</f>
        <v>Sports</v>
      </c>
      <c r="G1885" s="22" t="str" cm="1">
        <f t="array" ref="G1885:L1885">_xlfn.XLOOKUP(C1885,Sales_Fact!C1885:C3869,Sales_Fact!E1885:J3869)</f>
        <v>STORE15</v>
      </c>
      <c r="H1885" s="22">
        <v>4</v>
      </c>
      <c r="I1885" s="22">
        <v>592.14</v>
      </c>
      <c r="J1885" s="22">
        <v>0.12</v>
      </c>
      <c r="K1885" s="22" t="str">
        <v>COD</v>
      </c>
      <c r="L1885" s="22">
        <v>2084.3328000000001</v>
      </c>
    </row>
    <row r="1886" spans="1:12" x14ac:dyDescent="0.3">
      <c r="A1886" s="22" t="s">
        <v>3695</v>
      </c>
      <c r="B1886" s="34" cm="1">
        <f t="array" ref="B1886:C1886">_xlfn.XLOOKUP(A1886,Sales_Fact!A1886:A3870,Sales_Fact!B1886:C3870)</f>
        <v>45525</v>
      </c>
      <c r="C1886" s="22" t="str">
        <v>CUST1062</v>
      </c>
      <c r="D1886" s="22" t="str">
        <f>VLOOKUP('Combine Products &amp; Sales Facts'!C1886,'Customer Details'!A:B,2,0)</f>
        <v>James Bean</v>
      </c>
      <c r="E1886" s="22" t="str">
        <f>VLOOKUP(C1886,Sales_Fact!C:D,2,0)</f>
        <v>PROD84</v>
      </c>
      <c r="F1886" s="22" t="str">
        <f>VLOOKUP(E1886,Product_Dim!A:C,3,0)</f>
        <v>Home</v>
      </c>
      <c r="G1886" s="22" t="str" cm="1">
        <f t="array" ref="G1886:L1886">_xlfn.XLOOKUP(C1886,Sales_Fact!C1886:C3870,Sales_Fact!E1886:J3870)</f>
        <v>STORE12</v>
      </c>
      <c r="H1886" s="22">
        <v>1</v>
      </c>
      <c r="I1886" s="22">
        <v>984.37</v>
      </c>
      <c r="J1886" s="22">
        <v>0</v>
      </c>
      <c r="K1886" s="22" t="str">
        <v>PayPal</v>
      </c>
      <c r="L1886" s="22">
        <v>984.37</v>
      </c>
    </row>
    <row r="1887" spans="1:12" x14ac:dyDescent="0.3">
      <c r="A1887" s="22" t="s">
        <v>3696</v>
      </c>
      <c r="B1887" s="34" cm="1">
        <f t="array" ref="B1887:C1887">_xlfn.XLOOKUP(A1887,Sales_Fact!A1887:A3871,Sales_Fact!B1887:C3871)</f>
        <v>45329</v>
      </c>
      <c r="C1887" s="22" t="str">
        <v>CUST1292</v>
      </c>
      <c r="D1887" s="22" t="str">
        <f>VLOOKUP('Combine Products &amp; Sales Facts'!C1887,'Customer Details'!A:B,2,0)</f>
        <v>Ricardo Jones</v>
      </c>
      <c r="E1887" s="22" t="str">
        <f>VLOOKUP(C1887,Sales_Fact!C:D,2,0)</f>
        <v>PROD99</v>
      </c>
      <c r="F1887" s="22" t="str">
        <f>VLOOKUP(E1887,Product_Dim!A:C,3,0)</f>
        <v>Home</v>
      </c>
      <c r="G1887" s="22" t="str" cm="1">
        <f t="array" ref="G1887:L1887">_xlfn.XLOOKUP(C1887,Sales_Fact!C1887:C3871,Sales_Fact!E1887:J3871)</f>
        <v>STORE12</v>
      </c>
      <c r="H1887" s="22">
        <v>2</v>
      </c>
      <c r="I1887" s="22">
        <v>237.59</v>
      </c>
      <c r="J1887" s="22">
        <v>0.12</v>
      </c>
      <c r="K1887" s="22" t="str">
        <v>Credit Card</v>
      </c>
      <c r="L1887" s="22">
        <v>418.15839999999997</v>
      </c>
    </row>
    <row r="1888" spans="1:12" x14ac:dyDescent="0.3">
      <c r="A1888" s="22" t="s">
        <v>3697</v>
      </c>
      <c r="B1888" s="34" cm="1">
        <f t="array" ref="B1888:C1888">_xlfn.XLOOKUP(A1888,Sales_Fact!A1888:A3872,Sales_Fact!B1888:C3872)</f>
        <v>45250</v>
      </c>
      <c r="C1888" s="22" t="str">
        <v>CUST1431</v>
      </c>
      <c r="D1888" s="22" t="str">
        <f>VLOOKUP('Combine Products &amp; Sales Facts'!C1888,'Customer Details'!A:B,2,0)</f>
        <v>John Smith</v>
      </c>
      <c r="E1888" s="22" t="str">
        <f>VLOOKUP(C1888,Sales_Fact!C:D,2,0)</f>
        <v>PROD94</v>
      </c>
      <c r="F1888" s="22" t="str">
        <f>VLOOKUP(E1888,Product_Dim!A:C,3,0)</f>
        <v>Beauty</v>
      </c>
      <c r="G1888" s="22" t="str" cm="1">
        <f t="array" ref="G1888:L1888">_xlfn.XLOOKUP(C1888,Sales_Fact!C1888:C3872,Sales_Fact!E1888:J3872)</f>
        <v>STORE8</v>
      </c>
      <c r="H1888" s="22">
        <v>1</v>
      </c>
      <c r="I1888" s="22">
        <v>52.06</v>
      </c>
      <c r="J1888" s="22">
        <v>0.27</v>
      </c>
      <c r="K1888" s="22" t="str">
        <v>COD</v>
      </c>
      <c r="L1888" s="22">
        <v>38.003799999999998</v>
      </c>
    </row>
    <row r="1889" spans="1:12" x14ac:dyDescent="0.3">
      <c r="A1889" s="22" t="s">
        <v>3698</v>
      </c>
      <c r="B1889" s="34" cm="1">
        <f t="array" ref="B1889:C1889">_xlfn.XLOOKUP(A1889,Sales_Fact!A1889:A3873,Sales_Fact!B1889:C3873)</f>
        <v>45691</v>
      </c>
      <c r="C1889" s="22" t="str">
        <v>CUST1455</v>
      </c>
      <c r="D1889" s="22" t="str">
        <f>VLOOKUP('Combine Products &amp; Sales Facts'!C1889,'Customer Details'!A:B,2,0)</f>
        <v>Tyler Weber</v>
      </c>
      <c r="E1889" s="22" t="str">
        <f>VLOOKUP(C1889,Sales_Fact!C:D,2,0)</f>
        <v>PROD83</v>
      </c>
      <c r="F1889" s="22" t="str">
        <f>VLOOKUP(E1889,Product_Dim!A:C,3,0)</f>
        <v>Beauty</v>
      </c>
      <c r="G1889" s="22" t="str" cm="1">
        <f t="array" ref="G1889:L1889">_xlfn.XLOOKUP(C1889,Sales_Fact!C1889:C3873,Sales_Fact!E1889:J3873)</f>
        <v>STORE1</v>
      </c>
      <c r="H1889" s="22">
        <v>2</v>
      </c>
      <c r="I1889" s="22">
        <v>594.63</v>
      </c>
      <c r="J1889" s="22">
        <v>0.12</v>
      </c>
      <c r="K1889" s="22" t="str">
        <v>Credit Card</v>
      </c>
      <c r="L1889" s="22">
        <v>1046.5488</v>
      </c>
    </row>
    <row r="1890" spans="1:12" x14ac:dyDescent="0.3">
      <c r="A1890" s="22" t="s">
        <v>3699</v>
      </c>
      <c r="B1890" s="34" cm="1">
        <f t="array" ref="B1890:C1890">_xlfn.XLOOKUP(A1890,Sales_Fact!A1890:A3874,Sales_Fact!B1890:C3874)</f>
        <v>45644</v>
      </c>
      <c r="C1890" s="22" t="str">
        <v>CUST1167</v>
      </c>
      <c r="D1890" s="22" t="str">
        <f>VLOOKUP('Combine Products &amp; Sales Facts'!C1890,'Customer Details'!A:B,2,0)</f>
        <v>Antonio Wade</v>
      </c>
      <c r="E1890" s="22" t="str">
        <f>VLOOKUP(C1890,Sales_Fact!C:D,2,0)</f>
        <v>PROD47</v>
      </c>
      <c r="F1890" s="22" t="str">
        <f>VLOOKUP(E1890,Product_Dim!A:C,3,0)</f>
        <v>Beauty</v>
      </c>
      <c r="G1890" s="22" t="str" cm="1">
        <f t="array" ref="G1890:L1890">_xlfn.XLOOKUP(C1890,Sales_Fact!C1890:C3874,Sales_Fact!E1890:J3874)</f>
        <v>STORE0</v>
      </c>
      <c r="H1890" s="22">
        <v>3</v>
      </c>
      <c r="I1890" s="22">
        <v>476.1</v>
      </c>
      <c r="J1890" s="22">
        <v>0.05</v>
      </c>
      <c r="K1890" s="22" t="str">
        <v>COD</v>
      </c>
      <c r="L1890" s="22">
        <v>1356.885</v>
      </c>
    </row>
    <row r="1891" spans="1:12" x14ac:dyDescent="0.3">
      <c r="A1891" s="22" t="s">
        <v>3700</v>
      </c>
      <c r="B1891" s="34" cm="1">
        <f t="array" ref="B1891:C1891">_xlfn.XLOOKUP(A1891,Sales_Fact!A1891:A3875,Sales_Fact!B1891:C3875)</f>
        <v>45514</v>
      </c>
      <c r="C1891" s="22" t="str">
        <v>CUST1061</v>
      </c>
      <c r="D1891" s="22" t="str">
        <f>VLOOKUP('Combine Products &amp; Sales Facts'!C1891,'Customer Details'!A:B,2,0)</f>
        <v>Kristin Stein</v>
      </c>
      <c r="E1891" s="22" t="str">
        <f>VLOOKUP(C1891,Sales_Fact!C:D,2,0)</f>
        <v>PROD51</v>
      </c>
      <c r="F1891" s="22" t="str">
        <f>VLOOKUP(E1891,Product_Dim!A:C,3,0)</f>
        <v>Electronics</v>
      </c>
      <c r="G1891" s="22" t="str" cm="1">
        <f t="array" ref="G1891:L1891">_xlfn.XLOOKUP(C1891,Sales_Fact!C1891:C3875,Sales_Fact!E1891:J3875)</f>
        <v>STORE6</v>
      </c>
      <c r="H1891" s="22">
        <v>1</v>
      </c>
      <c r="I1891" s="22">
        <v>546.47</v>
      </c>
      <c r="J1891" s="22">
        <v>0.08</v>
      </c>
      <c r="K1891" s="22" t="str">
        <v>COD</v>
      </c>
      <c r="L1891" s="22">
        <v>502.75240000000002</v>
      </c>
    </row>
    <row r="1892" spans="1:12" x14ac:dyDescent="0.3">
      <c r="A1892" s="22" t="s">
        <v>3701</v>
      </c>
      <c r="B1892" s="34" cm="1">
        <f t="array" ref="B1892:C1892">_xlfn.XLOOKUP(A1892,Sales_Fact!A1892:A3876,Sales_Fact!B1892:C3876)</f>
        <v>45760</v>
      </c>
      <c r="C1892" s="22" t="str">
        <v>CUST1176</v>
      </c>
      <c r="D1892" s="22" t="str">
        <f>VLOOKUP('Combine Products &amp; Sales Facts'!C1892,'Customer Details'!A:B,2,0)</f>
        <v>John Bradford</v>
      </c>
      <c r="E1892" s="22" t="str">
        <f>VLOOKUP(C1892,Sales_Fact!C:D,2,0)</f>
        <v>PROD52</v>
      </c>
      <c r="F1892" s="22" t="str">
        <f>VLOOKUP(E1892,Product_Dim!A:C,3,0)</f>
        <v>Sports</v>
      </c>
      <c r="G1892" s="22" t="str" cm="1">
        <f t="array" ref="G1892:L1892">_xlfn.XLOOKUP(C1892,Sales_Fact!C1892:C3876,Sales_Fact!E1892:J3876)</f>
        <v>STORE12</v>
      </c>
      <c r="H1892" s="22">
        <v>1</v>
      </c>
      <c r="I1892" s="22">
        <v>979.49</v>
      </c>
      <c r="J1892" s="22">
        <v>0.19</v>
      </c>
      <c r="K1892" s="22" t="str">
        <v>COD</v>
      </c>
      <c r="L1892" s="22">
        <v>793.38690000000008</v>
      </c>
    </row>
    <row r="1893" spans="1:12" x14ac:dyDescent="0.3">
      <c r="A1893" s="22" t="s">
        <v>3702</v>
      </c>
      <c r="B1893" s="34" cm="1">
        <f t="array" ref="B1893:C1893">_xlfn.XLOOKUP(A1893,Sales_Fact!A1893:A3877,Sales_Fact!B1893:C3877)</f>
        <v>45289</v>
      </c>
      <c r="C1893" s="22" t="str">
        <v>CUST1193</v>
      </c>
      <c r="D1893" s="22" t="str">
        <f>VLOOKUP('Combine Products &amp; Sales Facts'!C1893,'Customer Details'!A:B,2,0)</f>
        <v>David Roberts</v>
      </c>
      <c r="E1893" s="22" t="str">
        <f>VLOOKUP(C1893,Sales_Fact!C:D,2,0)</f>
        <v>PROD64</v>
      </c>
      <c r="F1893" s="22" t="str">
        <f>VLOOKUP(E1893,Product_Dim!A:C,3,0)</f>
        <v>Beauty</v>
      </c>
      <c r="G1893" s="22" t="str" cm="1">
        <f t="array" ref="G1893:L1893">_xlfn.XLOOKUP(C1893,Sales_Fact!C1893:C3877,Sales_Fact!E1893:J3877)</f>
        <v>STORE2</v>
      </c>
      <c r="H1893" s="22">
        <v>3</v>
      </c>
      <c r="I1893" s="22">
        <v>988.53</v>
      </c>
      <c r="J1893" s="22">
        <v>0.3</v>
      </c>
      <c r="K1893" s="22" t="str">
        <v>COD</v>
      </c>
      <c r="L1893" s="22">
        <v>2075.913</v>
      </c>
    </row>
    <row r="1894" spans="1:12" x14ac:dyDescent="0.3">
      <c r="A1894" s="22" t="s">
        <v>3703</v>
      </c>
      <c r="B1894" s="34" cm="1">
        <f t="array" ref="B1894:C1894">_xlfn.XLOOKUP(A1894,Sales_Fact!A1894:A3878,Sales_Fact!B1894:C3878)</f>
        <v>45704</v>
      </c>
      <c r="C1894" s="22" t="str">
        <v>CUST1255</v>
      </c>
      <c r="D1894" s="22" t="str">
        <f>VLOOKUP('Combine Products &amp; Sales Facts'!C1894,'Customer Details'!A:B,2,0)</f>
        <v>Damon Perez</v>
      </c>
      <c r="E1894" s="22" t="str">
        <f>VLOOKUP(C1894,Sales_Fact!C:D,2,0)</f>
        <v>PROD72</v>
      </c>
      <c r="F1894" s="22" t="str">
        <f>VLOOKUP(E1894,Product_Dim!A:C,3,0)</f>
        <v>Sports</v>
      </c>
      <c r="G1894" s="22" t="str" cm="1">
        <f t="array" ref="G1894:L1894">_xlfn.XLOOKUP(C1894,Sales_Fact!C1894:C3878,Sales_Fact!E1894:J3878)</f>
        <v>STORE3</v>
      </c>
      <c r="H1894" s="22">
        <v>4</v>
      </c>
      <c r="I1894" s="22">
        <v>849.29</v>
      </c>
      <c r="J1894" s="22">
        <v>0.26</v>
      </c>
      <c r="K1894" s="22" t="str">
        <v>Credit Card</v>
      </c>
      <c r="L1894" s="22">
        <v>2513.8984</v>
      </c>
    </row>
    <row r="1895" spans="1:12" x14ac:dyDescent="0.3">
      <c r="A1895" s="22" t="s">
        <v>3704</v>
      </c>
      <c r="B1895" s="34" cm="1">
        <f t="array" ref="B1895:C1895">_xlfn.XLOOKUP(A1895,Sales_Fact!A1895:A3879,Sales_Fact!B1895:C3879)</f>
        <v>45318</v>
      </c>
      <c r="C1895" s="22" t="str">
        <v>CUST1343</v>
      </c>
      <c r="D1895" s="22" t="str">
        <f>VLOOKUP('Combine Products &amp; Sales Facts'!C1895,'Customer Details'!A:B,2,0)</f>
        <v>Ryan Moore</v>
      </c>
      <c r="E1895" s="22" t="str">
        <f>VLOOKUP(C1895,Sales_Fact!C:D,2,0)</f>
        <v>PROD17</v>
      </c>
      <c r="F1895" s="22" t="str">
        <f>VLOOKUP(E1895,Product_Dim!A:C,3,0)</f>
        <v>Sports</v>
      </c>
      <c r="G1895" s="22" t="str" cm="1">
        <f t="array" ref="G1895:L1895">_xlfn.XLOOKUP(C1895,Sales_Fact!C1895:C3879,Sales_Fact!E1895:J3879)</f>
        <v>STORE14</v>
      </c>
      <c r="H1895" s="22">
        <v>2</v>
      </c>
      <c r="I1895" s="22">
        <v>452.29</v>
      </c>
      <c r="J1895" s="22">
        <v>0.01</v>
      </c>
      <c r="K1895" s="22" t="str">
        <v>COD</v>
      </c>
      <c r="L1895" s="22">
        <v>895.53420000000006</v>
      </c>
    </row>
    <row r="1896" spans="1:12" x14ac:dyDescent="0.3">
      <c r="A1896" s="22" t="s">
        <v>3705</v>
      </c>
      <c r="B1896" s="34" cm="1">
        <f t="array" ref="B1896:C1896">_xlfn.XLOOKUP(A1896,Sales_Fact!A1896:A3880,Sales_Fact!B1896:C3880)</f>
        <v>45495</v>
      </c>
      <c r="C1896" s="22" t="str">
        <v>CUST1445</v>
      </c>
      <c r="D1896" s="22" t="str">
        <f>VLOOKUP('Combine Products &amp; Sales Facts'!C1896,'Customer Details'!A:B,2,0)</f>
        <v>Gene Lee</v>
      </c>
      <c r="E1896" s="22" t="str">
        <f>VLOOKUP(C1896,Sales_Fact!C:D,2,0)</f>
        <v>PROD2</v>
      </c>
      <c r="F1896" s="22" t="str">
        <f>VLOOKUP(E1896,Product_Dim!A:C,3,0)</f>
        <v>Clothing</v>
      </c>
      <c r="G1896" s="22" t="str" cm="1">
        <f t="array" ref="G1896:L1896">_xlfn.XLOOKUP(C1896,Sales_Fact!C1896:C3880,Sales_Fact!E1896:J3880)</f>
        <v>STORE18</v>
      </c>
      <c r="H1896" s="22">
        <v>2</v>
      </c>
      <c r="I1896" s="22">
        <v>810.81</v>
      </c>
      <c r="J1896" s="22">
        <v>0.11</v>
      </c>
      <c r="K1896" s="22" t="str">
        <v>COD</v>
      </c>
      <c r="L1896" s="22">
        <v>1443.2418</v>
      </c>
    </row>
    <row r="1897" spans="1:12" x14ac:dyDescent="0.3">
      <c r="A1897" s="22" t="s">
        <v>3706</v>
      </c>
      <c r="B1897" s="34" cm="1">
        <f t="array" ref="B1897:C1897">_xlfn.XLOOKUP(A1897,Sales_Fact!A1897:A3881,Sales_Fact!B1897:C3881)</f>
        <v>45560</v>
      </c>
      <c r="C1897" s="22" t="str">
        <v>CUST1031</v>
      </c>
      <c r="D1897" s="22" t="str">
        <f>VLOOKUP('Combine Products &amp; Sales Facts'!C1897,'Customer Details'!A:B,2,0)</f>
        <v>Sarah Vance</v>
      </c>
      <c r="E1897" s="22" t="str">
        <f>VLOOKUP(C1897,Sales_Fact!C:D,2,0)</f>
        <v>PROD62</v>
      </c>
      <c r="F1897" s="22" t="str">
        <f>VLOOKUP(E1897,Product_Dim!A:C,3,0)</f>
        <v>Electronics</v>
      </c>
      <c r="G1897" s="22" t="str" cm="1">
        <f t="array" ref="G1897:L1897">_xlfn.XLOOKUP(C1897,Sales_Fact!C1897:C3881,Sales_Fact!E1897:J3881)</f>
        <v>STORE8</v>
      </c>
      <c r="H1897" s="22">
        <v>1</v>
      </c>
      <c r="I1897" s="22">
        <v>846.67</v>
      </c>
      <c r="J1897" s="22">
        <v>0.1</v>
      </c>
      <c r="K1897" s="22" t="str">
        <v>COD</v>
      </c>
      <c r="L1897" s="22">
        <v>762.00299999999993</v>
      </c>
    </row>
    <row r="1898" spans="1:12" x14ac:dyDescent="0.3">
      <c r="A1898" s="22" t="s">
        <v>3707</v>
      </c>
      <c r="B1898" s="34" cm="1">
        <f t="array" ref="B1898:C1898">_xlfn.XLOOKUP(A1898,Sales_Fact!A1898:A3882,Sales_Fact!B1898:C3882)</f>
        <v>45367</v>
      </c>
      <c r="C1898" s="22" t="str">
        <v>CUST1017</v>
      </c>
      <c r="D1898" s="22" t="str">
        <f>VLOOKUP('Combine Products &amp; Sales Facts'!C1898,'Customer Details'!A:B,2,0)</f>
        <v>Adam Cruz</v>
      </c>
      <c r="E1898" s="22" t="str">
        <f>VLOOKUP(C1898,Sales_Fact!C:D,2,0)</f>
        <v>PROD41</v>
      </c>
      <c r="F1898" s="22" t="str">
        <f>VLOOKUP(E1898,Product_Dim!A:C,3,0)</f>
        <v>Sports</v>
      </c>
      <c r="G1898" s="22" t="str" cm="1">
        <f t="array" ref="G1898:L1898">_xlfn.XLOOKUP(C1898,Sales_Fact!C1898:C3882,Sales_Fact!E1898:J3882)</f>
        <v>STORE6</v>
      </c>
      <c r="H1898" s="22">
        <v>4</v>
      </c>
      <c r="I1898" s="22">
        <v>73.55</v>
      </c>
      <c r="J1898" s="22">
        <v>0.24</v>
      </c>
      <c r="K1898" s="22" t="str">
        <v>COD</v>
      </c>
      <c r="L1898" s="22">
        <v>223.59200000000001</v>
      </c>
    </row>
    <row r="1899" spans="1:12" x14ac:dyDescent="0.3">
      <c r="A1899" s="22" t="s">
        <v>3708</v>
      </c>
      <c r="B1899" s="34" cm="1">
        <f t="array" ref="B1899:C1899">_xlfn.XLOOKUP(A1899,Sales_Fact!A1899:A3883,Sales_Fact!B1899:C3883)</f>
        <v>45861</v>
      </c>
      <c r="C1899" s="22" t="str">
        <v>CUST1278</v>
      </c>
      <c r="D1899" s="22" t="str">
        <f>VLOOKUP('Combine Products &amp; Sales Facts'!C1899,'Customer Details'!A:B,2,0)</f>
        <v>Stephen Fowler</v>
      </c>
      <c r="E1899" s="22" t="str">
        <f>VLOOKUP(C1899,Sales_Fact!C:D,2,0)</f>
        <v>PROD88</v>
      </c>
      <c r="F1899" s="22" t="str">
        <f>VLOOKUP(E1899,Product_Dim!A:C,3,0)</f>
        <v>Sports</v>
      </c>
      <c r="G1899" s="22" t="str" cm="1">
        <f t="array" ref="G1899:L1899">_xlfn.XLOOKUP(C1899,Sales_Fact!C1899:C3883,Sales_Fact!E1899:J3883)</f>
        <v>STORE6</v>
      </c>
      <c r="H1899" s="22">
        <v>1</v>
      </c>
      <c r="I1899" s="22">
        <v>882.03</v>
      </c>
      <c r="J1899" s="22">
        <v>0.04</v>
      </c>
      <c r="K1899" s="22" t="str">
        <v>COD</v>
      </c>
      <c r="L1899" s="22">
        <v>846.74879999999996</v>
      </c>
    </row>
    <row r="1900" spans="1:12" x14ac:dyDescent="0.3">
      <c r="A1900" s="22" t="s">
        <v>3709</v>
      </c>
      <c r="B1900" s="34" cm="1">
        <f t="array" ref="B1900:C1900">_xlfn.XLOOKUP(A1900,Sales_Fact!A1900:A3884,Sales_Fact!B1900:C3884)</f>
        <v>45589</v>
      </c>
      <c r="C1900" s="22" t="str">
        <v>CUST1008</v>
      </c>
      <c r="D1900" s="22" t="str">
        <f>VLOOKUP('Combine Products &amp; Sales Facts'!C1900,'Customer Details'!A:B,2,0)</f>
        <v>Melissa Howard</v>
      </c>
      <c r="E1900" s="22" t="str">
        <f>VLOOKUP(C1900,Sales_Fact!C:D,2,0)</f>
        <v>PROD30</v>
      </c>
      <c r="F1900" s="22" t="str">
        <f>VLOOKUP(E1900,Product_Dim!A:C,3,0)</f>
        <v>Home</v>
      </c>
      <c r="G1900" s="22" t="str" cm="1">
        <f t="array" ref="G1900:L1900">_xlfn.XLOOKUP(C1900,Sales_Fact!C1900:C3884,Sales_Fact!E1900:J3884)</f>
        <v>STORE14</v>
      </c>
      <c r="H1900" s="22">
        <v>1</v>
      </c>
      <c r="I1900" s="22">
        <v>958.44</v>
      </c>
      <c r="J1900" s="22">
        <v>0.21</v>
      </c>
      <c r="K1900" s="22" t="str">
        <v>Credit Card</v>
      </c>
      <c r="L1900" s="22">
        <v>757.16760000000011</v>
      </c>
    </row>
    <row r="1901" spans="1:12" x14ac:dyDescent="0.3">
      <c r="A1901" s="22" t="s">
        <v>3710</v>
      </c>
      <c r="B1901" s="34" cm="1">
        <f t="array" ref="B1901:C1901">_xlfn.XLOOKUP(A1901,Sales_Fact!A1901:A3885,Sales_Fact!B1901:C3885)</f>
        <v>45560</v>
      </c>
      <c r="C1901" s="22" t="str">
        <v>CUST1008</v>
      </c>
      <c r="D1901" s="22" t="str">
        <f>VLOOKUP('Combine Products &amp; Sales Facts'!C1901,'Customer Details'!A:B,2,0)</f>
        <v>Melissa Howard</v>
      </c>
      <c r="E1901" s="22" t="str">
        <f>VLOOKUP(C1901,Sales_Fact!C:D,2,0)</f>
        <v>PROD30</v>
      </c>
      <c r="F1901" s="22" t="str">
        <f>VLOOKUP(E1901,Product_Dim!A:C,3,0)</f>
        <v>Home</v>
      </c>
      <c r="G1901" s="22" t="str" cm="1">
        <f t="array" ref="G1901:L1901">_xlfn.XLOOKUP(C1901,Sales_Fact!C1901:C3885,Sales_Fact!E1901:J3885)</f>
        <v>STORE2</v>
      </c>
      <c r="H1901" s="22">
        <v>1</v>
      </c>
      <c r="I1901" s="22">
        <v>716.29</v>
      </c>
      <c r="J1901" s="22">
        <v>0.01</v>
      </c>
      <c r="K1901" s="22" t="str">
        <v>PayPal</v>
      </c>
      <c r="L1901" s="22">
        <v>709.12709999999993</v>
      </c>
    </row>
    <row r="1902" spans="1:12" x14ac:dyDescent="0.3">
      <c r="A1902" s="22" t="s">
        <v>3711</v>
      </c>
      <c r="B1902" s="34" cm="1">
        <f t="array" ref="B1902:C1902">_xlfn.XLOOKUP(A1902,Sales_Fact!A1902:A3886,Sales_Fact!B1902:C3886)</f>
        <v>45408</v>
      </c>
      <c r="C1902" s="22" t="str">
        <v>CUST1323</v>
      </c>
      <c r="D1902" s="22" t="str">
        <f>VLOOKUP('Combine Products &amp; Sales Facts'!C1902,'Customer Details'!A:B,2,0)</f>
        <v>Kristy Dunlap</v>
      </c>
      <c r="E1902" s="22" t="str">
        <f>VLOOKUP(C1902,Sales_Fact!C:D,2,0)</f>
        <v>PROD49</v>
      </c>
      <c r="F1902" s="22" t="str">
        <f>VLOOKUP(E1902,Product_Dim!A:C,3,0)</f>
        <v>Beauty</v>
      </c>
      <c r="G1902" s="22" t="str" cm="1">
        <f t="array" ref="G1902:L1902">_xlfn.XLOOKUP(C1902,Sales_Fact!C1902:C3886,Sales_Fact!E1902:J3886)</f>
        <v>STORE16</v>
      </c>
      <c r="H1902" s="22">
        <v>2</v>
      </c>
      <c r="I1902" s="22">
        <v>409.14</v>
      </c>
      <c r="J1902" s="22">
        <v>0.01</v>
      </c>
      <c r="K1902" s="22" t="str">
        <v>PayPal</v>
      </c>
      <c r="L1902" s="22">
        <v>810.09719999999993</v>
      </c>
    </row>
    <row r="1903" spans="1:12" x14ac:dyDescent="0.3">
      <c r="A1903" s="22" t="s">
        <v>3712</v>
      </c>
      <c r="B1903" s="34" cm="1">
        <f t="array" ref="B1903:C1903">_xlfn.XLOOKUP(A1903,Sales_Fact!A1903:A3887,Sales_Fact!B1903:C3887)</f>
        <v>45714</v>
      </c>
      <c r="C1903" s="22" t="str">
        <v>CUST1084</v>
      </c>
      <c r="D1903" s="22" t="str">
        <f>VLOOKUP('Combine Products &amp; Sales Facts'!C1903,'Customer Details'!A:B,2,0)</f>
        <v>Christy Hoffman</v>
      </c>
      <c r="E1903" s="22" t="str">
        <f>VLOOKUP(C1903,Sales_Fact!C:D,2,0)</f>
        <v>PROD25</v>
      </c>
      <c r="F1903" s="22" t="str">
        <f>VLOOKUP(E1903,Product_Dim!A:C,3,0)</f>
        <v>Clothing</v>
      </c>
      <c r="G1903" s="22" t="str" cm="1">
        <f t="array" ref="G1903:L1903">_xlfn.XLOOKUP(C1903,Sales_Fact!C1903:C3887,Sales_Fact!E1903:J3887)</f>
        <v>STORE9</v>
      </c>
      <c r="H1903" s="22">
        <v>4</v>
      </c>
      <c r="I1903" s="22">
        <v>261.73</v>
      </c>
      <c r="J1903" s="22">
        <v>0.1</v>
      </c>
      <c r="K1903" s="22" t="str">
        <v>PayPal</v>
      </c>
      <c r="L1903" s="22">
        <v>942.22800000000007</v>
      </c>
    </row>
    <row r="1904" spans="1:12" x14ac:dyDescent="0.3">
      <c r="A1904" s="22" t="s">
        <v>3713</v>
      </c>
      <c r="B1904" s="34" cm="1">
        <f t="array" ref="B1904:C1904">_xlfn.XLOOKUP(A1904,Sales_Fact!A1904:A3888,Sales_Fact!B1904:C3888)</f>
        <v>45661</v>
      </c>
      <c r="C1904" s="22" t="str">
        <v>CUST1466</v>
      </c>
      <c r="D1904" s="22" t="str">
        <f>VLOOKUP('Combine Products &amp; Sales Facts'!C1904,'Customer Details'!A:B,2,0)</f>
        <v>Cynthia Parrish</v>
      </c>
      <c r="E1904" s="22" t="str">
        <f>VLOOKUP(C1904,Sales_Fact!C:D,2,0)</f>
        <v>PROD48</v>
      </c>
      <c r="F1904" s="22" t="str">
        <f>VLOOKUP(E1904,Product_Dim!A:C,3,0)</f>
        <v>Electronics</v>
      </c>
      <c r="G1904" s="22" t="str" cm="1">
        <f t="array" ref="G1904:L1904">_xlfn.XLOOKUP(C1904,Sales_Fact!C1904:C3888,Sales_Fact!E1904:J3888)</f>
        <v>STORE0</v>
      </c>
      <c r="H1904" s="22">
        <v>2</v>
      </c>
      <c r="I1904" s="22">
        <v>687.35</v>
      </c>
      <c r="J1904" s="22">
        <v>0.2</v>
      </c>
      <c r="K1904" s="22" t="str">
        <v>COD</v>
      </c>
      <c r="L1904" s="22">
        <v>1099.76</v>
      </c>
    </row>
    <row r="1905" spans="1:12" x14ac:dyDescent="0.3">
      <c r="A1905" s="22" t="s">
        <v>3714</v>
      </c>
      <c r="B1905" s="34" cm="1">
        <f t="array" ref="B1905:C1905">_xlfn.XLOOKUP(A1905,Sales_Fact!A1905:A3889,Sales_Fact!B1905:C3889)</f>
        <v>45921</v>
      </c>
      <c r="C1905" s="22" t="str">
        <v>CUST1207</v>
      </c>
      <c r="D1905" s="22" t="str">
        <f>VLOOKUP('Combine Products &amp; Sales Facts'!C1905,'Customer Details'!A:B,2,0)</f>
        <v>Jacqueline Pacheco</v>
      </c>
      <c r="E1905" s="22" t="str">
        <f>VLOOKUP(C1905,Sales_Fact!C:D,2,0)</f>
        <v>PROD96</v>
      </c>
      <c r="F1905" s="22" t="str">
        <f>VLOOKUP(E1905,Product_Dim!A:C,3,0)</f>
        <v>Clothing</v>
      </c>
      <c r="G1905" s="22" t="str" cm="1">
        <f t="array" ref="G1905:L1905">_xlfn.XLOOKUP(C1905,Sales_Fact!C1905:C3889,Sales_Fact!E1905:J3889)</f>
        <v>STORE8</v>
      </c>
      <c r="H1905" s="22">
        <v>2</v>
      </c>
      <c r="I1905" s="22">
        <v>30.14</v>
      </c>
      <c r="J1905" s="22">
        <v>0.21</v>
      </c>
      <c r="K1905" s="22" t="str">
        <v>Credit Card</v>
      </c>
      <c r="L1905" s="22">
        <v>47.621200000000002</v>
      </c>
    </row>
    <row r="1906" spans="1:12" x14ac:dyDescent="0.3">
      <c r="A1906" s="22" t="s">
        <v>3715</v>
      </c>
      <c r="B1906" s="34" cm="1">
        <f t="array" ref="B1906:C1906">_xlfn.XLOOKUP(A1906,Sales_Fact!A1906:A3890,Sales_Fact!B1906:C3890)</f>
        <v>45651</v>
      </c>
      <c r="C1906" s="22" t="str">
        <v>CUST1099</v>
      </c>
      <c r="D1906" s="22" t="str">
        <f>VLOOKUP('Combine Products &amp; Sales Facts'!C1906,'Customer Details'!A:B,2,0)</f>
        <v>Sheila Wilson</v>
      </c>
      <c r="E1906" s="22" t="str">
        <f>VLOOKUP(C1906,Sales_Fact!C:D,2,0)</f>
        <v>PROD26</v>
      </c>
      <c r="F1906" s="22" t="str">
        <f>VLOOKUP(E1906,Product_Dim!A:C,3,0)</f>
        <v>Electronics</v>
      </c>
      <c r="G1906" s="22" t="str" cm="1">
        <f t="array" ref="G1906:L1906">_xlfn.XLOOKUP(C1906,Sales_Fact!C1906:C3890,Sales_Fact!E1906:J3890)</f>
        <v>STORE8</v>
      </c>
      <c r="H1906" s="22">
        <v>3</v>
      </c>
      <c r="I1906" s="22">
        <v>570.12</v>
      </c>
      <c r="J1906" s="22">
        <v>0.12</v>
      </c>
      <c r="K1906" s="22" t="str">
        <v>PayPal</v>
      </c>
      <c r="L1906" s="22">
        <v>1505.1168</v>
      </c>
    </row>
    <row r="1907" spans="1:12" x14ac:dyDescent="0.3">
      <c r="A1907" s="22" t="s">
        <v>3716</v>
      </c>
      <c r="B1907" s="34" cm="1">
        <f t="array" ref="B1907:C1907">_xlfn.XLOOKUP(A1907,Sales_Fact!A1907:A3891,Sales_Fact!B1907:C3891)</f>
        <v>45883</v>
      </c>
      <c r="C1907" s="22" t="str">
        <v>CUST1281</v>
      </c>
      <c r="D1907" s="22" t="str">
        <f>VLOOKUP('Combine Products &amp; Sales Facts'!C1907,'Customer Details'!A:B,2,0)</f>
        <v>Brittany Watson</v>
      </c>
      <c r="E1907" s="22" t="str">
        <f>VLOOKUP(C1907,Sales_Fact!C:D,2,0)</f>
        <v>PROD55</v>
      </c>
      <c r="F1907" s="22" t="str">
        <f>VLOOKUP(E1907,Product_Dim!A:C,3,0)</f>
        <v>Home</v>
      </c>
      <c r="G1907" s="22" t="str" cm="1">
        <f t="array" ref="G1907:L1907">_xlfn.XLOOKUP(C1907,Sales_Fact!C1907:C3891,Sales_Fact!E1907:J3891)</f>
        <v>STORE19</v>
      </c>
      <c r="H1907" s="22">
        <v>3</v>
      </c>
      <c r="I1907" s="22">
        <v>401.87</v>
      </c>
      <c r="J1907" s="22">
        <v>0.28999999999999998</v>
      </c>
      <c r="K1907" s="22" t="str">
        <v>COD</v>
      </c>
      <c r="L1907" s="22">
        <v>855.98310000000004</v>
      </c>
    </row>
    <row r="1908" spans="1:12" x14ac:dyDescent="0.3">
      <c r="A1908" s="22" t="s">
        <v>3717</v>
      </c>
      <c r="B1908" s="34" cm="1">
        <f t="array" ref="B1908:C1908">_xlfn.XLOOKUP(A1908,Sales_Fact!A1908:A3892,Sales_Fact!B1908:C3892)</f>
        <v>45624</v>
      </c>
      <c r="C1908" s="22" t="str">
        <v>CUST1496</v>
      </c>
      <c r="D1908" s="22" t="str">
        <f>VLOOKUP('Combine Products &amp; Sales Facts'!C1908,'Customer Details'!A:B,2,0)</f>
        <v>Christopher Ford</v>
      </c>
      <c r="E1908" s="22" t="str">
        <f>VLOOKUP(C1908,Sales_Fact!C:D,2,0)</f>
        <v>PROD51</v>
      </c>
      <c r="F1908" s="22" t="str">
        <f>VLOOKUP(E1908,Product_Dim!A:C,3,0)</f>
        <v>Electronics</v>
      </c>
      <c r="G1908" s="22" t="str" cm="1">
        <f t="array" ref="G1908:L1908">_xlfn.XLOOKUP(C1908,Sales_Fact!C1908:C3892,Sales_Fact!E1908:J3892)</f>
        <v>STORE12</v>
      </c>
      <c r="H1908" s="22">
        <v>4</v>
      </c>
      <c r="I1908" s="22">
        <v>619.35</v>
      </c>
      <c r="J1908" s="22">
        <v>0.3</v>
      </c>
      <c r="K1908" s="22" t="str">
        <v>Credit Card</v>
      </c>
      <c r="L1908" s="22">
        <v>1734.18</v>
      </c>
    </row>
    <row r="1909" spans="1:12" x14ac:dyDescent="0.3">
      <c r="A1909" s="22" t="s">
        <v>3718</v>
      </c>
      <c r="B1909" s="34" cm="1">
        <f t="array" ref="B1909:C1909">_xlfn.XLOOKUP(A1909,Sales_Fact!A1909:A3893,Sales_Fact!B1909:C3893)</f>
        <v>45276</v>
      </c>
      <c r="C1909" s="22" t="str">
        <v>CUST1247</v>
      </c>
      <c r="D1909" s="22" t="str">
        <f>VLOOKUP('Combine Products &amp; Sales Facts'!C1909,'Customer Details'!A:B,2,0)</f>
        <v>Douglas Rhodes</v>
      </c>
      <c r="E1909" s="22" t="str">
        <f>VLOOKUP(C1909,Sales_Fact!C:D,2,0)</f>
        <v>PROD10</v>
      </c>
      <c r="F1909" s="22" t="str">
        <f>VLOOKUP(E1909,Product_Dim!A:C,3,0)</f>
        <v>Home</v>
      </c>
      <c r="G1909" s="22" t="str" cm="1">
        <f t="array" ref="G1909:L1909">_xlfn.XLOOKUP(C1909,Sales_Fact!C1909:C3893,Sales_Fact!E1909:J3893)</f>
        <v>STORE17</v>
      </c>
      <c r="H1909" s="22">
        <v>4</v>
      </c>
      <c r="I1909" s="22">
        <v>569.36</v>
      </c>
      <c r="J1909" s="22">
        <v>0.27</v>
      </c>
      <c r="K1909" s="22" t="str">
        <v>PayPal</v>
      </c>
      <c r="L1909" s="22">
        <v>1662.5311999999999</v>
      </c>
    </row>
    <row r="1910" spans="1:12" x14ac:dyDescent="0.3">
      <c r="A1910" s="22" t="s">
        <v>3719</v>
      </c>
      <c r="B1910" s="34" cm="1">
        <f t="array" ref="B1910:C1910">_xlfn.XLOOKUP(A1910,Sales_Fact!A1910:A3894,Sales_Fact!B1910:C3894)</f>
        <v>45344</v>
      </c>
      <c r="C1910" s="22" t="str">
        <v>CUST1476</v>
      </c>
      <c r="D1910" s="22" t="str">
        <f>VLOOKUP('Combine Products &amp; Sales Facts'!C1910,'Customer Details'!A:B,2,0)</f>
        <v>Elizabeth Foster</v>
      </c>
      <c r="E1910" s="22" t="str">
        <f>VLOOKUP(C1910,Sales_Fact!C:D,2,0)</f>
        <v>PROD69</v>
      </c>
      <c r="F1910" s="22" t="str">
        <f>VLOOKUP(E1910,Product_Dim!A:C,3,0)</f>
        <v>Clothing</v>
      </c>
      <c r="G1910" s="22" t="str" cm="1">
        <f t="array" ref="G1910:L1910">_xlfn.XLOOKUP(C1910,Sales_Fact!C1910:C3894,Sales_Fact!E1910:J3894)</f>
        <v>STORE4</v>
      </c>
      <c r="H1910" s="22">
        <v>2</v>
      </c>
      <c r="I1910" s="22">
        <v>846.35</v>
      </c>
      <c r="J1910" s="22">
        <v>0.3</v>
      </c>
      <c r="K1910" s="22" t="str">
        <v>COD</v>
      </c>
      <c r="L1910" s="22">
        <v>1184.8900000000001</v>
      </c>
    </row>
    <row r="1911" spans="1:12" x14ac:dyDescent="0.3">
      <c r="A1911" s="22" t="s">
        <v>3720</v>
      </c>
      <c r="B1911" s="34" cm="1">
        <f t="array" ref="B1911:C1911">_xlfn.XLOOKUP(A1911,Sales_Fact!A1911:A3895,Sales_Fact!B1911:C3895)</f>
        <v>45849</v>
      </c>
      <c r="C1911" s="22" t="str">
        <v>CUST1434</v>
      </c>
      <c r="D1911" s="22" t="str">
        <f>VLOOKUP('Combine Products &amp; Sales Facts'!C1911,'Customer Details'!A:B,2,0)</f>
        <v>Monique Castro</v>
      </c>
      <c r="E1911" s="22" t="str">
        <f>VLOOKUP(C1911,Sales_Fact!C:D,2,0)</f>
        <v>PROD13</v>
      </c>
      <c r="F1911" s="22" t="str">
        <f>VLOOKUP(E1911,Product_Dim!A:C,3,0)</f>
        <v>Electronics</v>
      </c>
      <c r="G1911" s="22" t="str" cm="1">
        <f t="array" ref="G1911:L1911">_xlfn.XLOOKUP(C1911,Sales_Fact!C1911:C3895,Sales_Fact!E1911:J3895)</f>
        <v>STORE2</v>
      </c>
      <c r="H1911" s="22">
        <v>1</v>
      </c>
      <c r="I1911" s="22">
        <v>788.45</v>
      </c>
      <c r="J1911" s="22">
        <v>0.28999999999999998</v>
      </c>
      <c r="K1911" s="22" t="str">
        <v>PayPal</v>
      </c>
      <c r="L1911" s="22">
        <v>559.79949999999997</v>
      </c>
    </row>
    <row r="1912" spans="1:12" x14ac:dyDescent="0.3">
      <c r="A1912" s="22" t="s">
        <v>3721</v>
      </c>
      <c r="B1912" s="34" cm="1">
        <f t="array" ref="B1912:C1912">_xlfn.XLOOKUP(A1912,Sales_Fact!A1912:A3896,Sales_Fact!B1912:C3896)</f>
        <v>45880</v>
      </c>
      <c r="C1912" s="22" t="str">
        <v>CUST1360</v>
      </c>
      <c r="D1912" s="22" t="str">
        <f>VLOOKUP('Combine Products &amp; Sales Facts'!C1912,'Customer Details'!A:B,2,0)</f>
        <v>Denise Tate</v>
      </c>
      <c r="E1912" s="22" t="str">
        <f>VLOOKUP(C1912,Sales_Fact!C:D,2,0)</f>
        <v>PROD73</v>
      </c>
      <c r="F1912" s="22" t="str">
        <f>VLOOKUP(E1912,Product_Dim!A:C,3,0)</f>
        <v>Sports</v>
      </c>
      <c r="G1912" s="22" t="str" cm="1">
        <f t="array" ref="G1912:L1912">_xlfn.XLOOKUP(C1912,Sales_Fact!C1912:C3896,Sales_Fact!E1912:J3896)</f>
        <v>STORE12</v>
      </c>
      <c r="H1912" s="22">
        <v>2</v>
      </c>
      <c r="I1912" s="22">
        <v>338.81</v>
      </c>
      <c r="J1912" s="22">
        <v>7.0000000000000007E-2</v>
      </c>
      <c r="K1912" s="22" t="str">
        <v>COD</v>
      </c>
      <c r="L1912" s="22">
        <v>630.1866</v>
      </c>
    </row>
    <row r="1913" spans="1:12" x14ac:dyDescent="0.3">
      <c r="A1913" s="22" t="s">
        <v>3722</v>
      </c>
      <c r="B1913" s="34" cm="1">
        <f t="array" ref="B1913:C1913">_xlfn.XLOOKUP(A1913,Sales_Fact!A1913:A3897,Sales_Fact!B1913:C3897)</f>
        <v>45907</v>
      </c>
      <c r="C1913" s="22" t="str">
        <v>CUST1026</v>
      </c>
      <c r="D1913" s="22" t="str">
        <f>VLOOKUP('Combine Products &amp; Sales Facts'!C1913,'Customer Details'!A:B,2,0)</f>
        <v>Amber Carlson</v>
      </c>
      <c r="E1913" s="22" t="str">
        <f>VLOOKUP(C1913,Sales_Fact!C:D,2,0)</f>
        <v>PROD1</v>
      </c>
      <c r="F1913" s="22" t="str">
        <f>VLOOKUP(E1913,Product_Dim!A:C,3,0)</f>
        <v>Clothing</v>
      </c>
      <c r="G1913" s="22" t="str" cm="1">
        <f t="array" ref="G1913:L1913">_xlfn.XLOOKUP(C1913,Sales_Fact!C1913:C3897,Sales_Fact!E1913:J3897)</f>
        <v>STORE5</v>
      </c>
      <c r="H1913" s="22">
        <v>4</v>
      </c>
      <c r="I1913" s="22">
        <v>94.48</v>
      </c>
      <c r="J1913" s="22">
        <v>0.06</v>
      </c>
      <c r="K1913" s="22" t="str">
        <v>COD</v>
      </c>
      <c r="L1913" s="22">
        <v>355.2448</v>
      </c>
    </row>
    <row r="1914" spans="1:12" x14ac:dyDescent="0.3">
      <c r="A1914" s="22" t="s">
        <v>3723</v>
      </c>
      <c r="B1914" s="34" cm="1">
        <f t="array" ref="B1914:C1914">_xlfn.XLOOKUP(A1914,Sales_Fact!A1914:A3898,Sales_Fact!B1914:C3898)</f>
        <v>45545</v>
      </c>
      <c r="C1914" s="22" t="str">
        <v>CUST1477</v>
      </c>
      <c r="D1914" s="22" t="str">
        <f>VLOOKUP('Combine Products &amp; Sales Facts'!C1914,'Customer Details'!A:B,2,0)</f>
        <v>Andrea Harris</v>
      </c>
      <c r="E1914" s="22" t="str">
        <f>VLOOKUP(C1914,Sales_Fact!C:D,2,0)</f>
        <v>PROD76</v>
      </c>
      <c r="F1914" s="22" t="str">
        <f>VLOOKUP(E1914,Product_Dim!A:C,3,0)</f>
        <v>Electronics</v>
      </c>
      <c r="G1914" s="22" t="str" cm="1">
        <f t="array" ref="G1914:L1914">_xlfn.XLOOKUP(C1914,Sales_Fact!C1914:C3898,Sales_Fact!E1914:J3898)</f>
        <v>STORE13</v>
      </c>
      <c r="H1914" s="22">
        <v>3</v>
      </c>
      <c r="I1914" s="22">
        <v>941.85</v>
      </c>
      <c r="J1914" s="22">
        <v>0.16</v>
      </c>
      <c r="K1914" s="22" t="str">
        <v>PayPal</v>
      </c>
      <c r="L1914" s="22">
        <v>2373.462</v>
      </c>
    </row>
    <row r="1915" spans="1:12" x14ac:dyDescent="0.3">
      <c r="A1915" s="22" t="s">
        <v>3724</v>
      </c>
      <c r="B1915" s="34" cm="1">
        <f t="array" ref="B1915:C1915">_xlfn.XLOOKUP(A1915,Sales_Fact!A1915:A3899,Sales_Fact!B1915:C3899)</f>
        <v>45257</v>
      </c>
      <c r="C1915" s="22" t="str">
        <v>CUST1161</v>
      </c>
      <c r="D1915" s="22" t="str">
        <f>VLOOKUP('Combine Products &amp; Sales Facts'!C1915,'Customer Details'!A:B,2,0)</f>
        <v>Cynthia Morris</v>
      </c>
      <c r="E1915" s="22" t="str">
        <f>VLOOKUP(C1915,Sales_Fact!C:D,2,0)</f>
        <v>PROD97</v>
      </c>
      <c r="F1915" s="22" t="str">
        <f>VLOOKUP(E1915,Product_Dim!A:C,3,0)</f>
        <v>Sports</v>
      </c>
      <c r="G1915" s="22" t="str" cm="1">
        <f t="array" ref="G1915:L1915">_xlfn.XLOOKUP(C1915,Sales_Fact!C1915:C3899,Sales_Fact!E1915:J3899)</f>
        <v>STORE5</v>
      </c>
      <c r="H1915" s="22">
        <v>2</v>
      </c>
      <c r="I1915" s="22">
        <v>336.97</v>
      </c>
      <c r="J1915" s="22">
        <v>0.14000000000000001</v>
      </c>
      <c r="K1915" s="22" t="str">
        <v>PayPal</v>
      </c>
      <c r="L1915" s="22">
        <v>579.58840000000009</v>
      </c>
    </row>
    <row r="1916" spans="1:12" x14ac:dyDescent="0.3">
      <c r="A1916" s="22" t="s">
        <v>3725</v>
      </c>
      <c r="B1916" s="34" cm="1">
        <f t="array" ref="B1916:C1916">_xlfn.XLOOKUP(A1916,Sales_Fact!A1916:A3900,Sales_Fact!B1916:C3900)</f>
        <v>45466</v>
      </c>
      <c r="C1916" s="22" t="str">
        <v>CUST1310</v>
      </c>
      <c r="D1916" s="22" t="str">
        <f>VLOOKUP('Combine Products &amp; Sales Facts'!C1916,'Customer Details'!A:B,2,0)</f>
        <v>Kara Dodson</v>
      </c>
      <c r="E1916" s="22" t="str">
        <f>VLOOKUP(C1916,Sales_Fact!C:D,2,0)</f>
        <v>PROD17</v>
      </c>
      <c r="F1916" s="22" t="str">
        <f>VLOOKUP(E1916,Product_Dim!A:C,3,0)</f>
        <v>Sports</v>
      </c>
      <c r="G1916" s="22" t="str" cm="1">
        <f t="array" ref="G1916:L1916">_xlfn.XLOOKUP(C1916,Sales_Fact!C1916:C3900,Sales_Fact!E1916:J3900)</f>
        <v>STORE5</v>
      </c>
      <c r="H1916" s="22">
        <v>2</v>
      </c>
      <c r="I1916" s="22">
        <v>344.16</v>
      </c>
      <c r="J1916" s="22">
        <v>0.09</v>
      </c>
      <c r="K1916" s="22" t="str">
        <v>PayPal</v>
      </c>
      <c r="L1916" s="22">
        <v>626.37120000000004</v>
      </c>
    </row>
    <row r="1917" spans="1:12" x14ac:dyDescent="0.3">
      <c r="A1917" s="22" t="s">
        <v>3726</v>
      </c>
      <c r="B1917" s="34" cm="1">
        <f t="array" ref="B1917:C1917">_xlfn.XLOOKUP(A1917,Sales_Fact!A1917:A3901,Sales_Fact!B1917:C3901)</f>
        <v>45847</v>
      </c>
      <c r="C1917" s="22" t="str">
        <v>CUST1300</v>
      </c>
      <c r="D1917" s="22" t="str">
        <f>VLOOKUP('Combine Products &amp; Sales Facts'!C1917,'Customer Details'!A:B,2,0)</f>
        <v>Matthew Avery</v>
      </c>
      <c r="E1917" s="22" t="str">
        <f>VLOOKUP(C1917,Sales_Fact!C:D,2,0)</f>
        <v>PROD36</v>
      </c>
      <c r="F1917" s="22" t="str">
        <f>VLOOKUP(E1917,Product_Dim!A:C,3,0)</f>
        <v>Clothing</v>
      </c>
      <c r="G1917" s="22" t="str" cm="1">
        <f t="array" ref="G1917:L1917">_xlfn.XLOOKUP(C1917,Sales_Fact!C1917:C3901,Sales_Fact!E1917:J3901)</f>
        <v>STORE9</v>
      </c>
      <c r="H1917" s="22">
        <v>1</v>
      </c>
      <c r="I1917" s="22">
        <v>841.53</v>
      </c>
      <c r="J1917" s="22">
        <v>0.15</v>
      </c>
      <c r="K1917" s="22" t="str">
        <v>Credit Card</v>
      </c>
      <c r="L1917" s="22">
        <v>715.30049999999994</v>
      </c>
    </row>
    <row r="1918" spans="1:12" x14ac:dyDescent="0.3">
      <c r="A1918" s="22" t="s">
        <v>3727</v>
      </c>
      <c r="B1918" s="34" cm="1">
        <f t="array" ref="B1918:C1918">_xlfn.XLOOKUP(A1918,Sales_Fact!A1918:A3902,Sales_Fact!B1918:C3902)</f>
        <v>45825</v>
      </c>
      <c r="C1918" s="22" t="str">
        <v>CUST1424</v>
      </c>
      <c r="D1918" s="22" t="str">
        <f>VLOOKUP('Combine Products &amp; Sales Facts'!C1918,'Customer Details'!A:B,2,0)</f>
        <v>Edwin Barnes</v>
      </c>
      <c r="E1918" s="22" t="str">
        <f>VLOOKUP(C1918,Sales_Fact!C:D,2,0)</f>
        <v>PROD92</v>
      </c>
      <c r="F1918" s="22" t="str">
        <f>VLOOKUP(E1918,Product_Dim!A:C,3,0)</f>
        <v>Home</v>
      </c>
      <c r="G1918" s="22" t="str" cm="1">
        <f t="array" ref="G1918:L1918">_xlfn.XLOOKUP(C1918,Sales_Fact!C1918:C3902,Sales_Fact!E1918:J3902)</f>
        <v>STORE17</v>
      </c>
      <c r="H1918" s="22">
        <v>3</v>
      </c>
      <c r="I1918" s="22">
        <v>63.36</v>
      </c>
      <c r="J1918" s="22">
        <v>0.28999999999999998</v>
      </c>
      <c r="K1918" s="22" t="str">
        <v>COD</v>
      </c>
      <c r="L1918" s="22">
        <v>134.95679999999999</v>
      </c>
    </row>
    <row r="1919" spans="1:12" x14ac:dyDescent="0.3">
      <c r="A1919" s="22" t="s">
        <v>3728</v>
      </c>
      <c r="B1919" s="34" cm="1">
        <f t="array" ref="B1919:C1919">_xlfn.XLOOKUP(A1919,Sales_Fact!A1919:A3903,Sales_Fact!B1919:C3903)</f>
        <v>45839</v>
      </c>
      <c r="C1919" s="22" t="str">
        <v>CUST1496</v>
      </c>
      <c r="D1919" s="22" t="str">
        <f>VLOOKUP('Combine Products &amp; Sales Facts'!C1919,'Customer Details'!A:B,2,0)</f>
        <v>Christopher Ford</v>
      </c>
      <c r="E1919" s="22" t="str">
        <f>VLOOKUP(C1919,Sales_Fact!C:D,2,0)</f>
        <v>PROD51</v>
      </c>
      <c r="F1919" s="22" t="str">
        <f>VLOOKUP(E1919,Product_Dim!A:C,3,0)</f>
        <v>Electronics</v>
      </c>
      <c r="G1919" s="22" t="str" cm="1">
        <f t="array" ref="G1919:L1919">_xlfn.XLOOKUP(C1919,Sales_Fact!C1919:C3903,Sales_Fact!E1919:J3903)</f>
        <v>STORE8</v>
      </c>
      <c r="H1919" s="22">
        <v>2</v>
      </c>
      <c r="I1919" s="22">
        <v>552.49</v>
      </c>
      <c r="J1919" s="22">
        <v>0.1</v>
      </c>
      <c r="K1919" s="22" t="str">
        <v>Credit Card</v>
      </c>
      <c r="L1919" s="22">
        <v>994.48200000000008</v>
      </c>
    </row>
    <row r="1920" spans="1:12" x14ac:dyDescent="0.3">
      <c r="A1920" s="22" t="s">
        <v>3729</v>
      </c>
      <c r="B1920" s="34" cm="1">
        <f t="array" ref="B1920:C1920">_xlfn.XLOOKUP(A1920,Sales_Fact!A1920:A3904,Sales_Fact!B1920:C3904)</f>
        <v>45720</v>
      </c>
      <c r="C1920" s="22" t="str">
        <v>CUST1236</v>
      </c>
      <c r="D1920" s="22" t="str">
        <f>VLOOKUP('Combine Products &amp; Sales Facts'!C1920,'Customer Details'!A:B,2,0)</f>
        <v>Joshua Wilson</v>
      </c>
      <c r="E1920" s="22" t="str">
        <f>VLOOKUP(C1920,Sales_Fact!C:D,2,0)</f>
        <v>PROD16</v>
      </c>
      <c r="F1920" s="22" t="str">
        <f>VLOOKUP(E1920,Product_Dim!A:C,3,0)</f>
        <v>Beauty</v>
      </c>
      <c r="G1920" s="22" t="str" cm="1">
        <f t="array" ref="G1920:L1920">_xlfn.XLOOKUP(C1920,Sales_Fact!C1920:C3904,Sales_Fact!E1920:J3904)</f>
        <v>STORE6</v>
      </c>
      <c r="H1920" s="22">
        <v>3</v>
      </c>
      <c r="I1920" s="22">
        <v>447.38</v>
      </c>
      <c r="J1920" s="22">
        <v>0.03</v>
      </c>
      <c r="K1920" s="22" t="str">
        <v>Credit Card</v>
      </c>
      <c r="L1920" s="22">
        <v>1301.8758</v>
      </c>
    </row>
    <row r="1921" spans="1:12" x14ac:dyDescent="0.3">
      <c r="A1921" s="22" t="s">
        <v>3730</v>
      </c>
      <c r="B1921" s="34" cm="1">
        <f t="array" ref="B1921:C1921">_xlfn.XLOOKUP(A1921,Sales_Fact!A1921:A3905,Sales_Fact!B1921:C3905)</f>
        <v>45250</v>
      </c>
      <c r="C1921" s="22" t="str">
        <v>CUST1450</v>
      </c>
      <c r="D1921" s="22" t="str">
        <f>VLOOKUP('Combine Products &amp; Sales Facts'!C1921,'Customer Details'!A:B,2,0)</f>
        <v>Shane Mills</v>
      </c>
      <c r="E1921" s="22" t="str">
        <f>VLOOKUP(C1921,Sales_Fact!C:D,2,0)</f>
        <v>PROD63</v>
      </c>
      <c r="F1921" s="22" t="str">
        <f>VLOOKUP(E1921,Product_Dim!A:C,3,0)</f>
        <v>Beauty</v>
      </c>
      <c r="G1921" s="22" t="str" cm="1">
        <f t="array" ref="G1921:L1921">_xlfn.XLOOKUP(C1921,Sales_Fact!C1921:C3905,Sales_Fact!E1921:J3905)</f>
        <v>STORE19</v>
      </c>
      <c r="H1921" s="22">
        <v>1</v>
      </c>
      <c r="I1921" s="22">
        <v>727.7</v>
      </c>
      <c r="J1921" s="22">
        <v>0.21</v>
      </c>
      <c r="K1921" s="22" t="str">
        <v>COD</v>
      </c>
      <c r="L1921" s="22">
        <v>574.88300000000004</v>
      </c>
    </row>
    <row r="1922" spans="1:12" x14ac:dyDescent="0.3">
      <c r="A1922" s="22" t="s">
        <v>3731</v>
      </c>
      <c r="B1922" s="34" cm="1">
        <f t="array" ref="B1922:C1922">_xlfn.XLOOKUP(A1922,Sales_Fact!A1922:A3906,Sales_Fact!B1922:C3906)</f>
        <v>45258</v>
      </c>
      <c r="C1922" s="22" t="str">
        <v>CUST1436</v>
      </c>
      <c r="D1922" s="22" t="str">
        <f>VLOOKUP('Combine Products &amp; Sales Facts'!C1922,'Customer Details'!A:B,2,0)</f>
        <v>Sharon Simpson</v>
      </c>
      <c r="E1922" s="22" t="str">
        <f>VLOOKUP(C1922,Sales_Fact!C:D,2,0)</f>
        <v>PROD52</v>
      </c>
      <c r="F1922" s="22" t="str">
        <f>VLOOKUP(E1922,Product_Dim!A:C,3,0)</f>
        <v>Sports</v>
      </c>
      <c r="G1922" s="22" t="str" cm="1">
        <f t="array" ref="G1922:L1922">_xlfn.XLOOKUP(C1922,Sales_Fact!C1922:C3906,Sales_Fact!E1922:J3906)</f>
        <v>STORE7</v>
      </c>
      <c r="H1922" s="22">
        <v>4</v>
      </c>
      <c r="I1922" s="22">
        <v>581.34</v>
      </c>
      <c r="J1922" s="22">
        <v>0.08</v>
      </c>
      <c r="K1922" s="22" t="str">
        <v>Credit Card</v>
      </c>
      <c r="L1922" s="22">
        <v>2139.3312000000001</v>
      </c>
    </row>
    <row r="1923" spans="1:12" x14ac:dyDescent="0.3">
      <c r="A1923" s="22" t="s">
        <v>3732</v>
      </c>
      <c r="B1923" s="34" cm="1">
        <f t="array" ref="B1923:C1923">_xlfn.XLOOKUP(A1923,Sales_Fact!A1923:A3907,Sales_Fact!B1923:C3907)</f>
        <v>45793</v>
      </c>
      <c r="C1923" s="22" t="str">
        <v>CUST1096</v>
      </c>
      <c r="D1923" s="22" t="str">
        <f>VLOOKUP('Combine Products &amp; Sales Facts'!C1923,'Customer Details'!A:B,2,0)</f>
        <v>Samantha Walker</v>
      </c>
      <c r="E1923" s="22" t="str">
        <f>VLOOKUP(C1923,Sales_Fact!C:D,2,0)</f>
        <v>PROD65</v>
      </c>
      <c r="F1923" s="22" t="str">
        <f>VLOOKUP(E1923,Product_Dim!A:C,3,0)</f>
        <v>Sports</v>
      </c>
      <c r="G1923" s="22" t="str" cm="1">
        <f t="array" ref="G1923:L1923">_xlfn.XLOOKUP(C1923,Sales_Fact!C1923:C3907,Sales_Fact!E1923:J3907)</f>
        <v>STORE1</v>
      </c>
      <c r="H1923" s="22">
        <v>1</v>
      </c>
      <c r="I1923" s="22">
        <v>338.83</v>
      </c>
      <c r="J1923" s="22">
        <v>0.19</v>
      </c>
      <c r="K1923" s="22" t="str">
        <v>PayPal</v>
      </c>
      <c r="L1923" s="22">
        <v>274.45229999999998</v>
      </c>
    </row>
    <row r="1924" spans="1:12" x14ac:dyDescent="0.3">
      <c r="A1924" s="22" t="s">
        <v>3733</v>
      </c>
      <c r="B1924" s="34" cm="1">
        <f t="array" ref="B1924:C1924">_xlfn.XLOOKUP(A1924,Sales_Fact!A1924:A3908,Sales_Fact!B1924:C3908)</f>
        <v>45265</v>
      </c>
      <c r="C1924" s="22" t="str">
        <v>CUST1285</v>
      </c>
      <c r="D1924" s="22" t="str">
        <f>VLOOKUP('Combine Products &amp; Sales Facts'!C1924,'Customer Details'!A:B,2,0)</f>
        <v>Donna Guerra</v>
      </c>
      <c r="E1924" s="22" t="str">
        <f>VLOOKUP(C1924,Sales_Fact!C:D,2,0)</f>
        <v>PROD6</v>
      </c>
      <c r="F1924" s="22" t="str">
        <f>VLOOKUP(E1924,Product_Dim!A:C,3,0)</f>
        <v>Beauty</v>
      </c>
      <c r="G1924" s="22" t="str" cm="1">
        <f t="array" ref="G1924:L1924">_xlfn.XLOOKUP(C1924,Sales_Fact!C1924:C3908,Sales_Fact!E1924:J3908)</f>
        <v>STORE13</v>
      </c>
      <c r="H1924" s="22">
        <v>4</v>
      </c>
      <c r="I1924" s="22">
        <v>568.80999999999995</v>
      </c>
      <c r="J1924" s="22">
        <v>0.25</v>
      </c>
      <c r="K1924" s="22" t="str">
        <v>Credit Card</v>
      </c>
      <c r="L1924" s="22">
        <v>1706.43</v>
      </c>
    </row>
    <row r="1925" spans="1:12" x14ac:dyDescent="0.3">
      <c r="A1925" s="22" t="s">
        <v>3734</v>
      </c>
      <c r="B1925" s="34" cm="1">
        <f t="array" ref="B1925:C1925">_xlfn.XLOOKUP(A1925,Sales_Fact!A1925:A3909,Sales_Fact!B1925:C3909)</f>
        <v>45607</v>
      </c>
      <c r="C1925" s="22" t="str">
        <v>CUST1375</v>
      </c>
      <c r="D1925" s="22" t="str">
        <f>VLOOKUP('Combine Products &amp; Sales Facts'!C1925,'Customer Details'!A:B,2,0)</f>
        <v>Joshua Bell</v>
      </c>
      <c r="E1925" s="22" t="str">
        <f>VLOOKUP(C1925,Sales_Fact!C:D,2,0)</f>
        <v>PROD28</v>
      </c>
      <c r="F1925" s="22" t="str">
        <f>VLOOKUP(E1925,Product_Dim!A:C,3,0)</f>
        <v>Sports</v>
      </c>
      <c r="G1925" s="22" t="str" cm="1">
        <f t="array" ref="G1925:L1925">_xlfn.XLOOKUP(C1925,Sales_Fact!C1925:C3909,Sales_Fact!E1925:J3909)</f>
        <v>STORE17</v>
      </c>
      <c r="H1925" s="22">
        <v>2</v>
      </c>
      <c r="I1925" s="22">
        <v>352.63</v>
      </c>
      <c r="J1925" s="22">
        <v>0.15</v>
      </c>
      <c r="K1925" s="22" t="str">
        <v>PayPal</v>
      </c>
      <c r="L1925" s="22">
        <v>599.471</v>
      </c>
    </row>
    <row r="1926" spans="1:12" x14ac:dyDescent="0.3">
      <c r="A1926" s="22" t="s">
        <v>3735</v>
      </c>
      <c r="B1926" s="34" cm="1">
        <f t="array" ref="B1926:C1926">_xlfn.XLOOKUP(A1926,Sales_Fact!A1926:A3910,Sales_Fact!B1926:C3910)</f>
        <v>45382</v>
      </c>
      <c r="C1926" s="22" t="str">
        <v>CUST1156</v>
      </c>
      <c r="D1926" s="22" t="str">
        <f>VLOOKUP('Combine Products &amp; Sales Facts'!C1926,'Customer Details'!A:B,2,0)</f>
        <v>Maria Sanchez</v>
      </c>
      <c r="E1926" s="22" t="str">
        <f>VLOOKUP(C1926,Sales_Fact!C:D,2,0)</f>
        <v>PROD49</v>
      </c>
      <c r="F1926" s="22" t="str">
        <f>VLOOKUP(E1926,Product_Dim!A:C,3,0)</f>
        <v>Beauty</v>
      </c>
      <c r="G1926" s="22" t="str" cm="1">
        <f t="array" ref="G1926:L1926">_xlfn.XLOOKUP(C1926,Sales_Fact!C1926:C3910,Sales_Fact!E1926:J3910)</f>
        <v>STORE13</v>
      </c>
      <c r="H1926" s="22">
        <v>2</v>
      </c>
      <c r="I1926" s="22">
        <v>629.86</v>
      </c>
      <c r="J1926" s="22">
        <v>0.15</v>
      </c>
      <c r="K1926" s="22" t="str">
        <v>PayPal</v>
      </c>
      <c r="L1926" s="22">
        <v>1070.7619999999999</v>
      </c>
    </row>
    <row r="1927" spans="1:12" x14ac:dyDescent="0.3">
      <c r="A1927" s="22" t="s">
        <v>3736</v>
      </c>
      <c r="B1927" s="34" cm="1">
        <f t="array" ref="B1927:C1927">_xlfn.XLOOKUP(A1927,Sales_Fact!A1927:A3911,Sales_Fact!B1927:C3911)</f>
        <v>45793</v>
      </c>
      <c r="C1927" s="22" t="str">
        <v>CUST1493</v>
      </c>
      <c r="D1927" s="22" t="str">
        <f>VLOOKUP('Combine Products &amp; Sales Facts'!C1927,'Customer Details'!A:B,2,0)</f>
        <v>Amanda Powell</v>
      </c>
      <c r="E1927" s="22" t="str">
        <f>VLOOKUP(C1927,Sales_Fact!C:D,2,0)</f>
        <v>PROD59</v>
      </c>
      <c r="F1927" s="22" t="str">
        <f>VLOOKUP(E1927,Product_Dim!A:C,3,0)</f>
        <v>Beauty</v>
      </c>
      <c r="G1927" s="22" t="str" cm="1">
        <f t="array" ref="G1927:L1927">_xlfn.XLOOKUP(C1927,Sales_Fact!C1927:C3911,Sales_Fact!E1927:J3911)</f>
        <v>STORE3</v>
      </c>
      <c r="H1927" s="22">
        <v>3</v>
      </c>
      <c r="I1927" s="22">
        <v>212.08</v>
      </c>
      <c r="J1927" s="22">
        <v>7.0000000000000007E-2</v>
      </c>
      <c r="K1927" s="22" t="str">
        <v>Credit Card</v>
      </c>
      <c r="L1927" s="22">
        <v>591.70319999999992</v>
      </c>
    </row>
    <row r="1928" spans="1:12" x14ac:dyDescent="0.3">
      <c r="A1928" s="22" t="s">
        <v>3737</v>
      </c>
      <c r="B1928" s="34" cm="1">
        <f t="array" ref="B1928:C1928">_xlfn.XLOOKUP(A1928,Sales_Fact!A1928:A3912,Sales_Fact!B1928:C3912)</f>
        <v>45590</v>
      </c>
      <c r="C1928" s="22" t="str">
        <v>CUST1161</v>
      </c>
      <c r="D1928" s="22" t="str">
        <f>VLOOKUP('Combine Products &amp; Sales Facts'!C1928,'Customer Details'!A:B,2,0)</f>
        <v>Cynthia Morris</v>
      </c>
      <c r="E1928" s="22" t="str">
        <f>VLOOKUP(C1928,Sales_Fact!C:D,2,0)</f>
        <v>PROD97</v>
      </c>
      <c r="F1928" s="22" t="str">
        <f>VLOOKUP(E1928,Product_Dim!A:C,3,0)</f>
        <v>Sports</v>
      </c>
      <c r="G1928" s="22" t="str" cm="1">
        <f t="array" ref="G1928:L1928">_xlfn.XLOOKUP(C1928,Sales_Fact!C1928:C3912,Sales_Fact!E1928:J3912)</f>
        <v>STORE2</v>
      </c>
      <c r="H1928" s="22">
        <v>3</v>
      </c>
      <c r="I1928" s="22">
        <v>878.62</v>
      </c>
      <c r="J1928" s="22">
        <v>0.05</v>
      </c>
      <c r="K1928" s="22" t="str">
        <v>PayPal</v>
      </c>
      <c r="L1928" s="22">
        <v>2504.067</v>
      </c>
    </row>
    <row r="1929" spans="1:12" x14ac:dyDescent="0.3">
      <c r="A1929" s="22" t="s">
        <v>3738</v>
      </c>
      <c r="B1929" s="34" cm="1">
        <f t="array" ref="B1929:C1929">_xlfn.XLOOKUP(A1929,Sales_Fact!A1929:A3913,Sales_Fact!B1929:C3913)</f>
        <v>45679</v>
      </c>
      <c r="C1929" s="22" t="str">
        <v>CUST1261</v>
      </c>
      <c r="D1929" s="22" t="str">
        <f>VLOOKUP('Combine Products &amp; Sales Facts'!C1929,'Customer Details'!A:B,2,0)</f>
        <v>Carol Bishop</v>
      </c>
      <c r="E1929" s="22" t="str">
        <f>VLOOKUP(C1929,Sales_Fact!C:D,2,0)</f>
        <v>PROD42</v>
      </c>
      <c r="F1929" s="22" t="str">
        <f>VLOOKUP(E1929,Product_Dim!A:C,3,0)</f>
        <v>Electronics</v>
      </c>
      <c r="G1929" s="22" t="str" cm="1">
        <f t="array" ref="G1929:L1929">_xlfn.XLOOKUP(C1929,Sales_Fact!C1929:C3913,Sales_Fact!E1929:J3913)</f>
        <v>STORE10</v>
      </c>
      <c r="H1929" s="22">
        <v>4</v>
      </c>
      <c r="I1929" s="22">
        <v>87.83</v>
      </c>
      <c r="J1929" s="22">
        <v>0.23</v>
      </c>
      <c r="K1929" s="22" t="str">
        <v>PayPal</v>
      </c>
      <c r="L1929" s="22">
        <v>270.51639999999998</v>
      </c>
    </row>
    <row r="1930" spans="1:12" x14ac:dyDescent="0.3">
      <c r="A1930" s="22" t="s">
        <v>3739</v>
      </c>
      <c r="B1930" s="34" cm="1">
        <f t="array" ref="B1930:C1930">_xlfn.XLOOKUP(A1930,Sales_Fact!A1930:A3914,Sales_Fact!B1930:C3914)</f>
        <v>45814</v>
      </c>
      <c r="C1930" s="22" t="str">
        <v>CUST1275</v>
      </c>
      <c r="D1930" s="22" t="str">
        <f>VLOOKUP('Combine Products &amp; Sales Facts'!C1930,'Customer Details'!A:B,2,0)</f>
        <v>Shannon Miller</v>
      </c>
      <c r="E1930" s="22" t="str">
        <f>VLOOKUP(C1930,Sales_Fact!C:D,2,0)</f>
        <v>PROD69</v>
      </c>
      <c r="F1930" s="22" t="str">
        <f>VLOOKUP(E1930,Product_Dim!A:C,3,0)</f>
        <v>Clothing</v>
      </c>
      <c r="G1930" s="22" t="str" cm="1">
        <f t="array" ref="G1930:L1930">_xlfn.XLOOKUP(C1930,Sales_Fact!C1930:C3914,Sales_Fact!E1930:J3914)</f>
        <v>STORE9</v>
      </c>
      <c r="H1930" s="22">
        <v>3</v>
      </c>
      <c r="I1930" s="22">
        <v>442.64</v>
      </c>
      <c r="J1930" s="22">
        <v>0.15</v>
      </c>
      <c r="K1930" s="22" t="str">
        <v>COD</v>
      </c>
      <c r="L1930" s="22">
        <v>1128.732</v>
      </c>
    </row>
    <row r="1931" spans="1:12" x14ac:dyDescent="0.3">
      <c r="A1931" s="22" t="s">
        <v>3740</v>
      </c>
      <c r="B1931" s="34" cm="1">
        <f t="array" ref="B1931:C1931">_xlfn.XLOOKUP(A1931,Sales_Fact!A1931:A3915,Sales_Fact!B1931:C3915)</f>
        <v>45795</v>
      </c>
      <c r="C1931" s="22" t="str">
        <v>CUST1093</v>
      </c>
      <c r="D1931" s="22" t="str">
        <f>VLOOKUP('Combine Products &amp; Sales Facts'!C1931,'Customer Details'!A:B,2,0)</f>
        <v>Christy Vasquez</v>
      </c>
      <c r="E1931" s="22" t="str">
        <f>VLOOKUP(C1931,Sales_Fact!C:D,2,0)</f>
        <v>PROD5</v>
      </c>
      <c r="F1931" s="22" t="str">
        <f>VLOOKUP(E1931,Product_Dim!A:C,3,0)</f>
        <v>Clothing</v>
      </c>
      <c r="G1931" s="22" t="str" cm="1">
        <f t="array" ref="G1931:L1931">_xlfn.XLOOKUP(C1931,Sales_Fact!C1931:C3915,Sales_Fact!E1931:J3915)</f>
        <v>STORE2</v>
      </c>
      <c r="H1931" s="22">
        <v>3</v>
      </c>
      <c r="I1931" s="22">
        <v>410.04</v>
      </c>
      <c r="J1931" s="22">
        <v>0.09</v>
      </c>
      <c r="K1931" s="22" t="str">
        <v>COD</v>
      </c>
      <c r="L1931" s="22">
        <v>1119.4092000000001</v>
      </c>
    </row>
    <row r="1932" spans="1:12" x14ac:dyDescent="0.3">
      <c r="A1932" s="22" t="s">
        <v>3741</v>
      </c>
      <c r="B1932" s="34" cm="1">
        <f t="array" ref="B1932:C1932">_xlfn.XLOOKUP(A1932,Sales_Fact!A1932:A3916,Sales_Fact!B1932:C3916)</f>
        <v>45797</v>
      </c>
      <c r="C1932" s="22" t="str">
        <v>CUST1133</v>
      </c>
      <c r="D1932" s="22" t="str">
        <f>VLOOKUP('Combine Products &amp; Sales Facts'!C1932,'Customer Details'!A:B,2,0)</f>
        <v>Hayley Pope</v>
      </c>
      <c r="E1932" s="22" t="str">
        <f>VLOOKUP(C1932,Sales_Fact!C:D,2,0)</f>
        <v>PROD36</v>
      </c>
      <c r="F1932" s="22" t="str">
        <f>VLOOKUP(E1932,Product_Dim!A:C,3,0)</f>
        <v>Clothing</v>
      </c>
      <c r="G1932" s="22" t="str" cm="1">
        <f t="array" ref="G1932:L1932">_xlfn.XLOOKUP(C1932,Sales_Fact!C1932:C3916,Sales_Fact!E1932:J3916)</f>
        <v>STORE17</v>
      </c>
      <c r="H1932" s="22">
        <v>1</v>
      </c>
      <c r="I1932" s="22">
        <v>355.31</v>
      </c>
      <c r="J1932" s="22">
        <v>0.27</v>
      </c>
      <c r="K1932" s="22" t="str">
        <v>Credit Card</v>
      </c>
      <c r="L1932" s="22">
        <v>259.37630000000001</v>
      </c>
    </row>
    <row r="1933" spans="1:12" x14ac:dyDescent="0.3">
      <c r="A1933" s="22" t="s">
        <v>3742</v>
      </c>
      <c r="B1933" s="34" cm="1">
        <f t="array" ref="B1933:C1933">_xlfn.XLOOKUP(A1933,Sales_Fact!A1933:A3917,Sales_Fact!B1933:C3917)</f>
        <v>45607</v>
      </c>
      <c r="C1933" s="22" t="str">
        <v>CUST1376</v>
      </c>
      <c r="D1933" s="22" t="str">
        <f>VLOOKUP('Combine Products &amp; Sales Facts'!C1933,'Customer Details'!A:B,2,0)</f>
        <v>Michele Burke</v>
      </c>
      <c r="E1933" s="22" t="str">
        <f>VLOOKUP(C1933,Sales_Fact!C:D,2,0)</f>
        <v>PROD85</v>
      </c>
      <c r="F1933" s="22" t="str">
        <f>VLOOKUP(E1933,Product_Dim!A:C,3,0)</f>
        <v>Clothing</v>
      </c>
      <c r="G1933" s="22" t="str" cm="1">
        <f t="array" ref="G1933:L1933">_xlfn.XLOOKUP(C1933,Sales_Fact!C1933:C3917,Sales_Fact!E1933:J3917)</f>
        <v>STORE13</v>
      </c>
      <c r="H1933" s="22">
        <v>4</v>
      </c>
      <c r="I1933" s="22">
        <v>243.13</v>
      </c>
      <c r="J1933" s="22">
        <v>0.25</v>
      </c>
      <c r="K1933" s="22" t="str">
        <v>COD</v>
      </c>
      <c r="L1933" s="22">
        <v>729.39</v>
      </c>
    </row>
    <row r="1934" spans="1:12" x14ac:dyDescent="0.3">
      <c r="A1934" s="22" t="s">
        <v>3743</v>
      </c>
      <c r="B1934" s="34" cm="1">
        <f t="array" ref="B1934:C1934">_xlfn.XLOOKUP(A1934,Sales_Fact!A1934:A3918,Sales_Fact!B1934:C3918)</f>
        <v>45614</v>
      </c>
      <c r="C1934" s="22" t="str">
        <v>CUST1229</v>
      </c>
      <c r="D1934" s="22" t="str">
        <f>VLOOKUP('Combine Products &amp; Sales Facts'!C1934,'Customer Details'!A:B,2,0)</f>
        <v>Tanner Thompson</v>
      </c>
      <c r="E1934" s="22" t="str">
        <f>VLOOKUP(C1934,Sales_Fact!C:D,2,0)</f>
        <v>PROD52</v>
      </c>
      <c r="F1934" s="22" t="str">
        <f>VLOOKUP(E1934,Product_Dim!A:C,3,0)</f>
        <v>Sports</v>
      </c>
      <c r="G1934" s="22" t="str" cm="1">
        <f t="array" ref="G1934:L1934">_xlfn.XLOOKUP(C1934,Sales_Fact!C1934:C3918,Sales_Fact!E1934:J3918)</f>
        <v>STORE11</v>
      </c>
      <c r="H1934" s="22">
        <v>2</v>
      </c>
      <c r="I1934" s="22">
        <v>410.63</v>
      </c>
      <c r="J1934" s="22">
        <v>0.28000000000000003</v>
      </c>
      <c r="K1934" s="22" t="str">
        <v>COD</v>
      </c>
      <c r="L1934" s="22">
        <v>591.30719999999997</v>
      </c>
    </row>
    <row r="1935" spans="1:12" x14ac:dyDescent="0.3">
      <c r="A1935" s="22" t="s">
        <v>3744</v>
      </c>
      <c r="B1935" s="34" cm="1">
        <f t="array" ref="B1935:C1935">_xlfn.XLOOKUP(A1935,Sales_Fact!A1935:A3919,Sales_Fact!B1935:C3919)</f>
        <v>45293</v>
      </c>
      <c r="C1935" s="22" t="str">
        <v>CUST1425</v>
      </c>
      <c r="D1935" s="22" t="str">
        <f>VLOOKUP('Combine Products &amp; Sales Facts'!C1935,'Customer Details'!A:B,2,0)</f>
        <v>Bryce Hawkins</v>
      </c>
      <c r="E1935" s="22" t="str">
        <f>VLOOKUP(C1935,Sales_Fact!C:D,2,0)</f>
        <v>PROD75</v>
      </c>
      <c r="F1935" s="22" t="str">
        <f>VLOOKUP(E1935,Product_Dim!A:C,3,0)</f>
        <v>Clothing</v>
      </c>
      <c r="G1935" s="22" t="str" cm="1">
        <f t="array" ref="G1935:L1935">_xlfn.XLOOKUP(C1935,Sales_Fact!C1935:C3919,Sales_Fact!E1935:J3919)</f>
        <v>STORE10</v>
      </c>
      <c r="H1935" s="22">
        <v>4</v>
      </c>
      <c r="I1935" s="22">
        <v>101.25</v>
      </c>
      <c r="J1935" s="22">
        <v>0.16</v>
      </c>
      <c r="K1935" s="22" t="str">
        <v>PayPal</v>
      </c>
      <c r="L1935" s="22">
        <v>340.2</v>
      </c>
    </row>
    <row r="1936" spans="1:12" x14ac:dyDescent="0.3">
      <c r="A1936" s="22" t="s">
        <v>3745</v>
      </c>
      <c r="B1936" s="34" cm="1">
        <f t="array" ref="B1936:C1936">_xlfn.XLOOKUP(A1936,Sales_Fact!A1936:A3920,Sales_Fact!B1936:C3920)</f>
        <v>45301</v>
      </c>
      <c r="C1936" s="22" t="str">
        <v>CUST1226</v>
      </c>
      <c r="D1936" s="22" t="str">
        <f>VLOOKUP('Combine Products &amp; Sales Facts'!C1936,'Customer Details'!A:B,2,0)</f>
        <v>Alexis Castaneda</v>
      </c>
      <c r="E1936" s="22" t="str">
        <f>VLOOKUP(C1936,Sales_Fact!C:D,2,0)</f>
        <v>PROD49</v>
      </c>
      <c r="F1936" s="22" t="str">
        <f>VLOOKUP(E1936,Product_Dim!A:C,3,0)</f>
        <v>Beauty</v>
      </c>
      <c r="G1936" s="22" t="str" cm="1">
        <f t="array" ref="G1936:L1936">_xlfn.XLOOKUP(C1936,Sales_Fact!C1936:C3920,Sales_Fact!E1936:J3920)</f>
        <v>STORE17</v>
      </c>
      <c r="H1936" s="22">
        <v>4</v>
      </c>
      <c r="I1936" s="22">
        <v>716.39</v>
      </c>
      <c r="J1936" s="22">
        <v>0.03</v>
      </c>
      <c r="K1936" s="22" t="str">
        <v>PayPal</v>
      </c>
      <c r="L1936" s="22">
        <v>2779.5931999999998</v>
      </c>
    </row>
    <row r="1937" spans="1:12" x14ac:dyDescent="0.3">
      <c r="A1937" s="22" t="s">
        <v>3746</v>
      </c>
      <c r="B1937" s="34" cm="1">
        <f t="array" ref="B1937:C1937">_xlfn.XLOOKUP(A1937,Sales_Fact!A1937:A3921,Sales_Fact!B1937:C3921)</f>
        <v>45311</v>
      </c>
      <c r="C1937" s="22" t="str">
        <v>CUST1094</v>
      </c>
      <c r="D1937" s="22" t="str">
        <f>VLOOKUP('Combine Products &amp; Sales Facts'!C1937,'Customer Details'!A:B,2,0)</f>
        <v>David Patterson</v>
      </c>
      <c r="E1937" s="22" t="str">
        <f>VLOOKUP(C1937,Sales_Fact!C:D,2,0)</f>
        <v>PROD39</v>
      </c>
      <c r="F1937" s="22" t="str">
        <f>VLOOKUP(E1937,Product_Dim!A:C,3,0)</f>
        <v>Electronics</v>
      </c>
      <c r="G1937" s="22" t="str" cm="1">
        <f t="array" ref="G1937:L1937">_xlfn.XLOOKUP(C1937,Sales_Fact!C1937:C3921,Sales_Fact!E1937:J3921)</f>
        <v>STORE1</v>
      </c>
      <c r="H1937" s="22">
        <v>1</v>
      </c>
      <c r="I1937" s="22">
        <v>721.74</v>
      </c>
      <c r="J1937" s="22">
        <v>0.24</v>
      </c>
      <c r="K1937" s="22" t="str">
        <v>PayPal</v>
      </c>
      <c r="L1937" s="22">
        <v>548.52240000000006</v>
      </c>
    </row>
    <row r="1938" spans="1:12" x14ac:dyDescent="0.3">
      <c r="A1938" s="22" t="s">
        <v>3747</v>
      </c>
      <c r="B1938" s="34" cm="1">
        <f t="array" ref="B1938:C1938">_xlfn.XLOOKUP(A1938,Sales_Fact!A1938:A3922,Sales_Fact!B1938:C3922)</f>
        <v>45702</v>
      </c>
      <c r="C1938" s="22" t="str">
        <v>CUST1054</v>
      </c>
      <c r="D1938" s="22" t="str">
        <f>VLOOKUP('Combine Products &amp; Sales Facts'!C1938,'Customer Details'!A:B,2,0)</f>
        <v>Katherine Dorsey</v>
      </c>
      <c r="E1938" s="22" t="str">
        <f>VLOOKUP(C1938,Sales_Fact!C:D,2,0)</f>
        <v>PROD88</v>
      </c>
      <c r="F1938" s="22" t="str">
        <f>VLOOKUP(E1938,Product_Dim!A:C,3,0)</f>
        <v>Sports</v>
      </c>
      <c r="G1938" s="22" t="str" cm="1">
        <f t="array" ref="G1938:L1938">_xlfn.XLOOKUP(C1938,Sales_Fact!C1938:C3922,Sales_Fact!E1938:J3922)</f>
        <v>STORE11</v>
      </c>
      <c r="H1938" s="22">
        <v>2</v>
      </c>
      <c r="I1938" s="22">
        <v>527.91</v>
      </c>
      <c r="J1938" s="22">
        <v>0.02</v>
      </c>
      <c r="K1938" s="22" t="str">
        <v>Credit Card</v>
      </c>
      <c r="L1938" s="22">
        <v>1034.7036000000001</v>
      </c>
    </row>
    <row r="1939" spans="1:12" x14ac:dyDescent="0.3">
      <c r="A1939" s="22" t="s">
        <v>3748</v>
      </c>
      <c r="B1939" s="34" cm="1">
        <f t="array" ref="B1939:C1939">_xlfn.XLOOKUP(A1939,Sales_Fact!A1939:A3923,Sales_Fact!B1939:C3923)</f>
        <v>45525</v>
      </c>
      <c r="C1939" s="22" t="str">
        <v>CUST1319</v>
      </c>
      <c r="D1939" s="22" t="str">
        <f>VLOOKUP('Combine Products &amp; Sales Facts'!C1939,'Customer Details'!A:B,2,0)</f>
        <v>Casey Simpson</v>
      </c>
      <c r="E1939" s="22" t="str">
        <f>VLOOKUP(C1939,Sales_Fact!C:D,2,0)</f>
        <v>PROD49</v>
      </c>
      <c r="F1939" s="22" t="str">
        <f>VLOOKUP(E1939,Product_Dim!A:C,3,0)</f>
        <v>Beauty</v>
      </c>
      <c r="G1939" s="22" t="str" cm="1">
        <f t="array" ref="G1939:L1939">_xlfn.XLOOKUP(C1939,Sales_Fact!C1939:C3923,Sales_Fact!E1939:J3923)</f>
        <v>STORE13</v>
      </c>
      <c r="H1939" s="22">
        <v>2</v>
      </c>
      <c r="I1939" s="22">
        <v>945.92</v>
      </c>
      <c r="J1939" s="22">
        <v>0.19</v>
      </c>
      <c r="K1939" s="22" t="str">
        <v>COD</v>
      </c>
      <c r="L1939" s="22">
        <v>1532.3904</v>
      </c>
    </row>
    <row r="1940" spans="1:12" x14ac:dyDescent="0.3">
      <c r="A1940" s="22" t="s">
        <v>3749</v>
      </c>
      <c r="B1940" s="34" cm="1">
        <f t="array" ref="B1940:C1940">_xlfn.XLOOKUP(A1940,Sales_Fact!A1940:A3924,Sales_Fact!B1940:C3924)</f>
        <v>45780</v>
      </c>
      <c r="C1940" s="22" t="str">
        <v>CUST1081</v>
      </c>
      <c r="D1940" s="22" t="str">
        <f>VLOOKUP('Combine Products &amp; Sales Facts'!C1940,'Customer Details'!A:B,2,0)</f>
        <v>Krystal Ford</v>
      </c>
      <c r="E1940" s="22" t="str">
        <f>VLOOKUP(C1940,Sales_Fact!C:D,2,0)</f>
        <v>PROD45</v>
      </c>
      <c r="F1940" s="22" t="str">
        <f>VLOOKUP(E1940,Product_Dim!A:C,3,0)</f>
        <v>Sports</v>
      </c>
      <c r="G1940" s="22" t="str" cm="1">
        <f t="array" ref="G1940:L1940">_xlfn.XLOOKUP(C1940,Sales_Fact!C1940:C3924,Sales_Fact!E1940:J3924)</f>
        <v>STORE17</v>
      </c>
      <c r="H1940" s="22">
        <v>2</v>
      </c>
      <c r="I1940" s="22">
        <v>981.35</v>
      </c>
      <c r="J1940" s="22">
        <v>0.16</v>
      </c>
      <c r="K1940" s="22" t="str">
        <v>PayPal</v>
      </c>
      <c r="L1940" s="22">
        <v>1648.6679999999999</v>
      </c>
    </row>
    <row r="1941" spans="1:12" x14ac:dyDescent="0.3">
      <c r="A1941" s="22" t="s">
        <v>3750</v>
      </c>
      <c r="B1941" s="34" cm="1">
        <f t="array" ref="B1941:C1941">_xlfn.XLOOKUP(A1941,Sales_Fact!A1941:A3925,Sales_Fact!B1941:C3925)</f>
        <v>45819</v>
      </c>
      <c r="C1941" s="22" t="str">
        <v>CUST1223</v>
      </c>
      <c r="D1941" s="22" t="str">
        <f>VLOOKUP('Combine Products &amp; Sales Facts'!C1941,'Customer Details'!A:B,2,0)</f>
        <v>Robert Harris</v>
      </c>
      <c r="E1941" s="22" t="str">
        <f>VLOOKUP(C1941,Sales_Fact!C:D,2,0)</f>
        <v>PROD72</v>
      </c>
      <c r="F1941" s="22" t="str">
        <f>VLOOKUP(E1941,Product_Dim!A:C,3,0)</f>
        <v>Sports</v>
      </c>
      <c r="G1941" s="22" t="str" cm="1">
        <f t="array" ref="G1941:L1941">_xlfn.XLOOKUP(C1941,Sales_Fact!C1941:C3925,Sales_Fact!E1941:J3925)</f>
        <v>STORE3</v>
      </c>
      <c r="H1941" s="22">
        <v>1</v>
      </c>
      <c r="I1941" s="22">
        <v>913.99</v>
      </c>
      <c r="J1941" s="22">
        <v>0.14000000000000001</v>
      </c>
      <c r="K1941" s="22" t="str">
        <v>Credit Card</v>
      </c>
      <c r="L1941" s="22">
        <v>786.03139999999996</v>
      </c>
    </row>
    <row r="1942" spans="1:12" x14ac:dyDescent="0.3">
      <c r="A1942" s="22" t="s">
        <v>3751</v>
      </c>
      <c r="B1942" s="34" cm="1">
        <f t="array" ref="B1942:C1942">_xlfn.XLOOKUP(A1942,Sales_Fact!A1942:A3926,Sales_Fact!B1942:C3926)</f>
        <v>45863</v>
      </c>
      <c r="C1942" s="22" t="str">
        <v>CUST1011</v>
      </c>
      <c r="D1942" s="22" t="str">
        <f>VLOOKUP('Combine Products &amp; Sales Facts'!C1942,'Customer Details'!A:B,2,0)</f>
        <v>Brian Lopez</v>
      </c>
      <c r="E1942" s="22" t="str">
        <f>VLOOKUP(C1942,Sales_Fact!C:D,2,0)</f>
        <v>PROD31</v>
      </c>
      <c r="F1942" s="22" t="str">
        <f>VLOOKUP(E1942,Product_Dim!A:C,3,0)</f>
        <v>Sports</v>
      </c>
      <c r="G1942" s="22" t="str" cm="1">
        <f t="array" ref="G1942:L1942">_xlfn.XLOOKUP(C1942,Sales_Fact!C1942:C3926,Sales_Fact!E1942:J3926)</f>
        <v>STORE8</v>
      </c>
      <c r="H1942" s="22">
        <v>4</v>
      </c>
      <c r="I1942" s="22">
        <v>270.69</v>
      </c>
      <c r="J1942" s="22">
        <v>0.18</v>
      </c>
      <c r="K1942" s="22" t="str">
        <v>PayPal</v>
      </c>
      <c r="L1942" s="22">
        <v>887.86320000000001</v>
      </c>
    </row>
    <row r="1943" spans="1:12" x14ac:dyDescent="0.3">
      <c r="A1943" s="22" t="s">
        <v>3752</v>
      </c>
      <c r="B1943" s="34" cm="1">
        <f t="array" ref="B1943:C1943">_xlfn.XLOOKUP(A1943,Sales_Fact!A1943:A3927,Sales_Fact!B1943:C3927)</f>
        <v>45687</v>
      </c>
      <c r="C1943" s="22" t="str">
        <v>CUST1161</v>
      </c>
      <c r="D1943" s="22" t="str">
        <f>VLOOKUP('Combine Products &amp; Sales Facts'!C1943,'Customer Details'!A:B,2,0)</f>
        <v>Cynthia Morris</v>
      </c>
      <c r="E1943" s="22" t="str">
        <f>VLOOKUP(C1943,Sales_Fact!C:D,2,0)</f>
        <v>PROD97</v>
      </c>
      <c r="F1943" s="22" t="str">
        <f>VLOOKUP(E1943,Product_Dim!A:C,3,0)</f>
        <v>Sports</v>
      </c>
      <c r="G1943" s="22" t="str" cm="1">
        <f t="array" ref="G1943:L1943">_xlfn.XLOOKUP(C1943,Sales_Fact!C1943:C3927,Sales_Fact!E1943:J3927)</f>
        <v>STORE6</v>
      </c>
      <c r="H1943" s="22">
        <v>3</v>
      </c>
      <c r="I1943" s="22">
        <v>998.58</v>
      </c>
      <c r="J1943" s="22">
        <v>0.02</v>
      </c>
      <c r="K1943" s="22" t="str">
        <v>Credit Card</v>
      </c>
      <c r="L1943" s="22">
        <v>2935.8252000000002</v>
      </c>
    </row>
    <row r="1944" spans="1:12" x14ac:dyDescent="0.3">
      <c r="A1944" s="22" t="s">
        <v>3753</v>
      </c>
      <c r="B1944" s="34" cm="1">
        <f t="array" ref="B1944:C1944">_xlfn.XLOOKUP(A1944,Sales_Fact!A1944:A3928,Sales_Fact!B1944:C3928)</f>
        <v>45806</v>
      </c>
      <c r="C1944" s="22" t="str">
        <v>CUST1456</v>
      </c>
      <c r="D1944" s="22" t="str">
        <f>VLOOKUP('Combine Products &amp; Sales Facts'!C1944,'Customer Details'!A:B,2,0)</f>
        <v>Julie Powell</v>
      </c>
      <c r="E1944" s="22" t="str">
        <f>VLOOKUP(C1944,Sales_Fact!C:D,2,0)</f>
        <v>PROD88</v>
      </c>
      <c r="F1944" s="22" t="str">
        <f>VLOOKUP(E1944,Product_Dim!A:C,3,0)</f>
        <v>Sports</v>
      </c>
      <c r="G1944" s="22" t="str" cm="1">
        <f t="array" ref="G1944:L1944">_xlfn.XLOOKUP(C1944,Sales_Fact!C1944:C3928,Sales_Fact!E1944:J3928)</f>
        <v>STORE9</v>
      </c>
      <c r="H1944" s="22">
        <v>3</v>
      </c>
      <c r="I1944" s="22">
        <v>765.12</v>
      </c>
      <c r="J1944" s="22">
        <v>0.18</v>
      </c>
      <c r="K1944" s="22" t="str">
        <v>Credit Card</v>
      </c>
      <c r="L1944" s="22">
        <v>1882.1952000000001</v>
      </c>
    </row>
    <row r="1945" spans="1:12" x14ac:dyDescent="0.3">
      <c r="A1945" s="22" t="s">
        <v>3754</v>
      </c>
      <c r="B1945" s="34" cm="1">
        <f t="array" ref="B1945:C1945">_xlfn.XLOOKUP(A1945,Sales_Fact!A1945:A3929,Sales_Fact!B1945:C3929)</f>
        <v>45216</v>
      </c>
      <c r="C1945" s="22" t="str">
        <v>CUST1072</v>
      </c>
      <c r="D1945" s="22" t="str">
        <f>VLOOKUP('Combine Products &amp; Sales Facts'!C1945,'Customer Details'!A:B,2,0)</f>
        <v>Tonya Burch</v>
      </c>
      <c r="E1945" s="22" t="str">
        <f>VLOOKUP(C1945,Sales_Fact!C:D,2,0)</f>
        <v>PROD26</v>
      </c>
      <c r="F1945" s="22" t="str">
        <f>VLOOKUP(E1945,Product_Dim!A:C,3,0)</f>
        <v>Electronics</v>
      </c>
      <c r="G1945" s="22" t="str" cm="1">
        <f t="array" ref="G1945:L1945">_xlfn.XLOOKUP(C1945,Sales_Fact!C1945:C3929,Sales_Fact!E1945:J3929)</f>
        <v>STORE19</v>
      </c>
      <c r="H1945" s="22">
        <v>3</v>
      </c>
      <c r="I1945" s="22">
        <v>449.99</v>
      </c>
      <c r="J1945" s="22">
        <v>0.17</v>
      </c>
      <c r="K1945" s="22" t="str">
        <v>COD</v>
      </c>
      <c r="L1945" s="22">
        <v>1120.4751000000001</v>
      </c>
    </row>
    <row r="1946" spans="1:12" x14ac:dyDescent="0.3">
      <c r="A1946" s="22" t="s">
        <v>3755</v>
      </c>
      <c r="B1946" s="34" cm="1">
        <f t="array" ref="B1946:C1946">_xlfn.XLOOKUP(A1946,Sales_Fact!A1946:A3930,Sales_Fact!B1946:C3930)</f>
        <v>45639</v>
      </c>
      <c r="C1946" s="22" t="str">
        <v>CUST1252</v>
      </c>
      <c r="D1946" s="22" t="str">
        <f>VLOOKUP('Combine Products &amp; Sales Facts'!C1946,'Customer Details'!A:B,2,0)</f>
        <v>John Mccoy</v>
      </c>
      <c r="E1946" s="22" t="str">
        <f>VLOOKUP(C1946,Sales_Fact!C:D,2,0)</f>
        <v>PROD13</v>
      </c>
      <c r="F1946" s="22" t="str">
        <f>VLOOKUP(E1946,Product_Dim!A:C,3,0)</f>
        <v>Electronics</v>
      </c>
      <c r="G1946" s="22" t="str" cm="1">
        <f t="array" ref="G1946:L1946">_xlfn.XLOOKUP(C1946,Sales_Fact!C1946:C3930,Sales_Fact!E1946:J3930)</f>
        <v>STORE11</v>
      </c>
      <c r="H1946" s="22">
        <v>2</v>
      </c>
      <c r="I1946" s="22">
        <v>249.02</v>
      </c>
      <c r="J1946" s="22">
        <v>0.01</v>
      </c>
      <c r="K1946" s="22" t="str">
        <v>COD</v>
      </c>
      <c r="L1946" s="22">
        <v>493.05959999999999</v>
      </c>
    </row>
    <row r="1947" spans="1:12" x14ac:dyDescent="0.3">
      <c r="A1947" s="22" t="s">
        <v>3756</v>
      </c>
      <c r="B1947" s="34" cm="1">
        <f t="array" ref="B1947:C1947">_xlfn.XLOOKUP(A1947,Sales_Fact!A1947:A3931,Sales_Fact!B1947:C3931)</f>
        <v>45454</v>
      </c>
      <c r="C1947" s="22" t="str">
        <v>CUST1137</v>
      </c>
      <c r="D1947" s="22" t="str">
        <f>VLOOKUP('Combine Products &amp; Sales Facts'!C1947,'Customer Details'!A:B,2,0)</f>
        <v>Rick Dominguez</v>
      </c>
      <c r="E1947" s="22" t="str">
        <f>VLOOKUP(C1947,Sales_Fact!C:D,2,0)</f>
        <v>PROD26</v>
      </c>
      <c r="F1947" s="22" t="str">
        <f>VLOOKUP(E1947,Product_Dim!A:C,3,0)</f>
        <v>Electronics</v>
      </c>
      <c r="G1947" s="22" t="str" cm="1">
        <f t="array" ref="G1947:L1947">_xlfn.XLOOKUP(C1947,Sales_Fact!C1947:C3931,Sales_Fact!E1947:J3931)</f>
        <v>STORE19</v>
      </c>
      <c r="H1947" s="22">
        <v>3</v>
      </c>
      <c r="I1947" s="22">
        <v>223.64</v>
      </c>
      <c r="J1947" s="22">
        <v>0.05</v>
      </c>
      <c r="K1947" s="22" t="str">
        <v>Credit Card</v>
      </c>
      <c r="L1947" s="22">
        <v>637.37399999999991</v>
      </c>
    </row>
    <row r="1948" spans="1:12" x14ac:dyDescent="0.3">
      <c r="A1948" s="22" t="s">
        <v>3757</v>
      </c>
      <c r="B1948" s="34" cm="1">
        <f t="array" ref="B1948:C1948">_xlfn.XLOOKUP(A1948,Sales_Fact!A1948:A3932,Sales_Fact!B1948:C3932)</f>
        <v>45934</v>
      </c>
      <c r="C1948" s="22" t="str">
        <v>CUST1106</v>
      </c>
      <c r="D1948" s="22" t="str">
        <f>VLOOKUP('Combine Products &amp; Sales Facts'!C1948,'Customer Details'!A:B,2,0)</f>
        <v>Howard Summers</v>
      </c>
      <c r="E1948" s="22" t="str">
        <f>VLOOKUP(C1948,Sales_Fact!C:D,2,0)</f>
        <v>PROD65</v>
      </c>
      <c r="F1948" s="22" t="str">
        <f>VLOOKUP(E1948,Product_Dim!A:C,3,0)</f>
        <v>Sports</v>
      </c>
      <c r="G1948" s="22" t="str" cm="1">
        <f t="array" ref="G1948:L1948">_xlfn.XLOOKUP(C1948,Sales_Fact!C1948:C3932,Sales_Fact!E1948:J3932)</f>
        <v>STORE4</v>
      </c>
      <c r="H1948" s="22">
        <v>2</v>
      </c>
      <c r="I1948" s="22">
        <v>92.94</v>
      </c>
      <c r="J1948" s="22">
        <v>0.12</v>
      </c>
      <c r="K1948" s="22" t="str">
        <v>Credit Card</v>
      </c>
      <c r="L1948" s="22">
        <v>163.5744</v>
      </c>
    </row>
    <row r="1949" spans="1:12" x14ac:dyDescent="0.3">
      <c r="A1949" s="22" t="s">
        <v>3758</v>
      </c>
      <c r="B1949" s="34" cm="1">
        <f t="array" ref="B1949:C1949">_xlfn.XLOOKUP(A1949,Sales_Fact!A1949:A3933,Sales_Fact!B1949:C3933)</f>
        <v>45401</v>
      </c>
      <c r="C1949" s="22" t="str">
        <v>CUST1361</v>
      </c>
      <c r="D1949" s="22" t="str">
        <f>VLOOKUP('Combine Products &amp; Sales Facts'!C1949,'Customer Details'!A:B,2,0)</f>
        <v>Natalie Johnson</v>
      </c>
      <c r="E1949" s="22" t="str">
        <f>VLOOKUP(C1949,Sales_Fact!C:D,2,0)</f>
        <v>PROD76</v>
      </c>
      <c r="F1949" s="22" t="str">
        <f>VLOOKUP(E1949,Product_Dim!A:C,3,0)</f>
        <v>Electronics</v>
      </c>
      <c r="G1949" s="22" t="str" cm="1">
        <f t="array" ref="G1949:L1949">_xlfn.XLOOKUP(C1949,Sales_Fact!C1949:C3933,Sales_Fact!E1949:J3933)</f>
        <v>STORE2</v>
      </c>
      <c r="H1949" s="22">
        <v>4</v>
      </c>
      <c r="I1949" s="22">
        <v>268.3</v>
      </c>
      <c r="J1949" s="22">
        <v>0.02</v>
      </c>
      <c r="K1949" s="22" t="str">
        <v>COD</v>
      </c>
      <c r="L1949" s="22">
        <v>1051.7360000000001</v>
      </c>
    </row>
    <row r="1950" spans="1:12" x14ac:dyDescent="0.3">
      <c r="A1950" s="22" t="s">
        <v>3759</v>
      </c>
      <c r="B1950" s="34" cm="1">
        <f t="array" ref="B1950:C1950">_xlfn.XLOOKUP(A1950,Sales_Fact!A1950:A3934,Sales_Fact!B1950:C3934)</f>
        <v>45770</v>
      </c>
      <c r="C1950" s="22" t="str">
        <v>CUST1442</v>
      </c>
      <c r="D1950" s="22" t="str">
        <f>VLOOKUP('Combine Products &amp; Sales Facts'!C1950,'Customer Details'!A:B,2,0)</f>
        <v>Kelli Smith</v>
      </c>
      <c r="E1950" s="22" t="str">
        <f>VLOOKUP(C1950,Sales_Fact!C:D,2,0)</f>
        <v>PROD56</v>
      </c>
      <c r="F1950" s="22" t="str">
        <f>VLOOKUP(E1950,Product_Dim!A:C,3,0)</f>
        <v>Home</v>
      </c>
      <c r="G1950" s="22" t="str" cm="1">
        <f t="array" ref="G1950:L1950">_xlfn.XLOOKUP(C1950,Sales_Fact!C1950:C3934,Sales_Fact!E1950:J3934)</f>
        <v>STORE19</v>
      </c>
      <c r="H1950" s="22">
        <v>4</v>
      </c>
      <c r="I1950" s="22">
        <v>835.61</v>
      </c>
      <c r="J1950" s="22">
        <v>0.03</v>
      </c>
      <c r="K1950" s="22" t="str">
        <v>Credit Card</v>
      </c>
      <c r="L1950" s="22">
        <v>3242.1668</v>
      </c>
    </row>
    <row r="1951" spans="1:12" x14ac:dyDescent="0.3">
      <c r="A1951" s="22" t="s">
        <v>3760</v>
      </c>
      <c r="B1951" s="34" cm="1">
        <f t="array" ref="B1951:C1951">_xlfn.XLOOKUP(A1951,Sales_Fact!A1951:A3935,Sales_Fact!B1951:C3935)</f>
        <v>45405</v>
      </c>
      <c r="C1951" s="22" t="str">
        <v>CUST1382</v>
      </c>
      <c r="D1951" s="22" t="str">
        <f>VLOOKUP('Combine Products &amp; Sales Facts'!C1951,'Customer Details'!A:B,2,0)</f>
        <v>Martha Brown</v>
      </c>
      <c r="E1951" s="22" t="str">
        <f>VLOOKUP(C1951,Sales_Fact!C:D,2,0)</f>
        <v>PROD4</v>
      </c>
      <c r="F1951" s="22" t="str">
        <f>VLOOKUP(E1951,Product_Dim!A:C,3,0)</f>
        <v>Clothing</v>
      </c>
      <c r="G1951" s="22" t="str" cm="1">
        <f t="array" ref="G1951:L1951">_xlfn.XLOOKUP(C1951,Sales_Fact!C1951:C3935,Sales_Fact!E1951:J3935)</f>
        <v>STORE5</v>
      </c>
      <c r="H1951" s="22">
        <v>3</v>
      </c>
      <c r="I1951" s="22">
        <v>120.97</v>
      </c>
      <c r="J1951" s="22">
        <v>0.11</v>
      </c>
      <c r="K1951" s="22" t="str">
        <v>Credit Card</v>
      </c>
      <c r="L1951" s="22">
        <v>322.98989999999998</v>
      </c>
    </row>
    <row r="1952" spans="1:12" x14ac:dyDescent="0.3">
      <c r="A1952" s="22" t="s">
        <v>3761</v>
      </c>
      <c r="B1952" s="34" cm="1">
        <f t="array" ref="B1952:C1952">_xlfn.XLOOKUP(A1952,Sales_Fact!A1952:A3936,Sales_Fact!B1952:C3936)</f>
        <v>45424</v>
      </c>
      <c r="C1952" s="22" t="str">
        <v>CUST1030</v>
      </c>
      <c r="D1952" s="22" t="str">
        <f>VLOOKUP('Combine Products &amp; Sales Facts'!C1952,'Customer Details'!A:B,2,0)</f>
        <v>Jessica Acevedo</v>
      </c>
      <c r="E1952" s="22" t="str">
        <f>VLOOKUP(C1952,Sales_Fact!C:D,2,0)</f>
        <v>PROD35</v>
      </c>
      <c r="F1952" s="22" t="str">
        <f>VLOOKUP(E1952,Product_Dim!A:C,3,0)</f>
        <v>Home</v>
      </c>
      <c r="G1952" s="22" t="str" cm="1">
        <f t="array" ref="G1952:L1952">_xlfn.XLOOKUP(C1952,Sales_Fact!C1952:C3936,Sales_Fact!E1952:J3936)</f>
        <v>STORE9</v>
      </c>
      <c r="H1952" s="22">
        <v>2</v>
      </c>
      <c r="I1952" s="22">
        <v>26.36</v>
      </c>
      <c r="J1952" s="22">
        <v>0.03</v>
      </c>
      <c r="K1952" s="22" t="str">
        <v>COD</v>
      </c>
      <c r="L1952" s="22">
        <v>51.138399999999997</v>
      </c>
    </row>
    <row r="1953" spans="1:12" x14ac:dyDescent="0.3">
      <c r="A1953" s="22" t="s">
        <v>3762</v>
      </c>
      <c r="B1953" s="34" cm="1">
        <f t="array" ref="B1953:C1953">_xlfn.XLOOKUP(A1953,Sales_Fact!A1953:A3937,Sales_Fact!B1953:C3937)</f>
        <v>45881</v>
      </c>
      <c r="C1953" s="22" t="str">
        <v>CUST1033</v>
      </c>
      <c r="D1953" s="22" t="str">
        <f>VLOOKUP('Combine Products &amp; Sales Facts'!C1953,'Customer Details'!A:B,2,0)</f>
        <v>Robert Jones Dds</v>
      </c>
      <c r="E1953" s="22" t="str">
        <f>VLOOKUP(C1953,Sales_Fact!C:D,2,0)</f>
        <v>PROD46</v>
      </c>
      <c r="F1953" s="22" t="str">
        <f>VLOOKUP(E1953,Product_Dim!A:C,3,0)</f>
        <v>Clothing</v>
      </c>
      <c r="G1953" s="22" t="str" cm="1">
        <f t="array" ref="G1953:L1953">_xlfn.XLOOKUP(C1953,Sales_Fact!C1953:C3937,Sales_Fact!E1953:J3937)</f>
        <v>STORE6</v>
      </c>
      <c r="H1953" s="22">
        <v>1</v>
      </c>
      <c r="I1953" s="22">
        <v>918.87</v>
      </c>
      <c r="J1953" s="22">
        <v>0.11</v>
      </c>
      <c r="K1953" s="22" t="str">
        <v>PayPal</v>
      </c>
      <c r="L1953" s="22">
        <v>817.79430000000002</v>
      </c>
    </row>
    <row r="1954" spans="1:12" x14ac:dyDescent="0.3">
      <c r="A1954" s="22" t="s">
        <v>3763</v>
      </c>
      <c r="B1954" s="34" cm="1">
        <f t="array" ref="B1954:C1954">_xlfn.XLOOKUP(A1954,Sales_Fact!A1954:A3938,Sales_Fact!B1954:C3938)</f>
        <v>45794</v>
      </c>
      <c r="C1954" s="22" t="str">
        <v>CUST1031</v>
      </c>
      <c r="D1954" s="22" t="str">
        <f>VLOOKUP('Combine Products &amp; Sales Facts'!C1954,'Customer Details'!A:B,2,0)</f>
        <v>Sarah Vance</v>
      </c>
      <c r="E1954" s="22" t="str">
        <f>VLOOKUP(C1954,Sales_Fact!C:D,2,0)</f>
        <v>PROD62</v>
      </c>
      <c r="F1954" s="22" t="str">
        <f>VLOOKUP(E1954,Product_Dim!A:C,3,0)</f>
        <v>Electronics</v>
      </c>
      <c r="G1954" s="22" t="str" cm="1">
        <f t="array" ref="G1954:L1954">_xlfn.XLOOKUP(C1954,Sales_Fact!C1954:C3938,Sales_Fact!E1954:J3938)</f>
        <v>STORE11</v>
      </c>
      <c r="H1954" s="22">
        <v>2</v>
      </c>
      <c r="I1954" s="22">
        <v>924.73</v>
      </c>
      <c r="J1954" s="22">
        <v>0.28999999999999998</v>
      </c>
      <c r="K1954" s="22" t="str">
        <v>PayPal</v>
      </c>
      <c r="L1954" s="22">
        <v>1313.1166000000001</v>
      </c>
    </row>
    <row r="1955" spans="1:12" x14ac:dyDescent="0.3">
      <c r="A1955" s="22" t="s">
        <v>3764</v>
      </c>
      <c r="B1955" s="34" cm="1">
        <f t="array" ref="B1955:C1955">_xlfn.XLOOKUP(A1955,Sales_Fact!A1955:A3939,Sales_Fact!B1955:C3939)</f>
        <v>45665</v>
      </c>
      <c r="C1955" s="22" t="str">
        <v>CUST1021</v>
      </c>
      <c r="D1955" s="22" t="str">
        <f>VLOOKUP('Combine Products &amp; Sales Facts'!C1955,'Customer Details'!A:B,2,0)</f>
        <v>Jeff Martinez</v>
      </c>
      <c r="E1955" s="22" t="str">
        <f>VLOOKUP(C1955,Sales_Fact!C:D,2,0)</f>
        <v>PROD26</v>
      </c>
      <c r="F1955" s="22" t="str">
        <f>VLOOKUP(E1955,Product_Dim!A:C,3,0)</f>
        <v>Electronics</v>
      </c>
      <c r="G1955" s="22" t="str" cm="1">
        <f t="array" ref="G1955:L1955">_xlfn.XLOOKUP(C1955,Sales_Fact!C1955:C3939,Sales_Fact!E1955:J3939)</f>
        <v>STORE10</v>
      </c>
      <c r="H1955" s="22">
        <v>3</v>
      </c>
      <c r="I1955" s="22">
        <v>195.31</v>
      </c>
      <c r="J1955" s="22">
        <v>0.13</v>
      </c>
      <c r="K1955" s="22" t="str">
        <v>COD</v>
      </c>
      <c r="L1955" s="22">
        <v>509.75909999999999</v>
      </c>
    </row>
    <row r="1956" spans="1:12" x14ac:dyDescent="0.3">
      <c r="A1956" s="22" t="s">
        <v>3765</v>
      </c>
      <c r="B1956" s="34" cm="1">
        <f t="array" ref="B1956:C1956">_xlfn.XLOOKUP(A1956,Sales_Fact!A1956:A3940,Sales_Fact!B1956:C3940)</f>
        <v>45793</v>
      </c>
      <c r="C1956" s="22" t="str">
        <v>CUST1142</v>
      </c>
      <c r="D1956" s="22" t="str">
        <f>VLOOKUP('Combine Products &amp; Sales Facts'!C1956,'Customer Details'!A:B,2,0)</f>
        <v>Maria Ramirez</v>
      </c>
      <c r="E1956" s="22" t="str">
        <f>VLOOKUP(C1956,Sales_Fact!C:D,2,0)</f>
        <v>PROD69</v>
      </c>
      <c r="F1956" s="22" t="str">
        <f>VLOOKUP(E1956,Product_Dim!A:C,3,0)</f>
        <v>Clothing</v>
      </c>
      <c r="G1956" s="22" t="str" cm="1">
        <f t="array" ref="G1956:L1956">_xlfn.XLOOKUP(C1956,Sales_Fact!C1956:C3940,Sales_Fact!E1956:J3940)</f>
        <v>STORE8</v>
      </c>
      <c r="H1956" s="22">
        <v>1</v>
      </c>
      <c r="I1956" s="22">
        <v>91.38</v>
      </c>
      <c r="J1956" s="22">
        <v>0.14000000000000001</v>
      </c>
      <c r="K1956" s="22" t="str">
        <v>Credit Card</v>
      </c>
      <c r="L1956" s="22">
        <v>78.586799999999997</v>
      </c>
    </row>
    <row r="1957" spans="1:12" x14ac:dyDescent="0.3">
      <c r="A1957" s="22" t="s">
        <v>3766</v>
      </c>
      <c r="B1957" s="34" cm="1">
        <f t="array" ref="B1957:C1957">_xlfn.XLOOKUP(A1957,Sales_Fact!A1957:A3941,Sales_Fact!B1957:C3941)</f>
        <v>45563</v>
      </c>
      <c r="C1957" s="22" t="str">
        <v>CUST1483</v>
      </c>
      <c r="D1957" s="22" t="str">
        <f>VLOOKUP('Combine Products &amp; Sales Facts'!C1957,'Customer Details'!A:B,2,0)</f>
        <v>Sarah Smith</v>
      </c>
      <c r="E1957" s="22" t="str">
        <f>VLOOKUP(C1957,Sales_Fact!C:D,2,0)</f>
        <v>PROD12</v>
      </c>
      <c r="F1957" s="22" t="str">
        <f>VLOOKUP(E1957,Product_Dim!A:C,3,0)</f>
        <v>Beauty</v>
      </c>
      <c r="G1957" s="22" t="str" cm="1">
        <f t="array" ref="G1957:L1957">_xlfn.XLOOKUP(C1957,Sales_Fact!C1957:C3941,Sales_Fact!E1957:J3941)</f>
        <v>STORE11</v>
      </c>
      <c r="H1957" s="22">
        <v>2</v>
      </c>
      <c r="I1957" s="22">
        <v>494.35</v>
      </c>
      <c r="J1957" s="22">
        <v>0.1</v>
      </c>
      <c r="K1957" s="22" t="str">
        <v>Credit Card</v>
      </c>
      <c r="L1957" s="22">
        <v>889.83</v>
      </c>
    </row>
    <row r="1958" spans="1:12" x14ac:dyDescent="0.3">
      <c r="A1958" s="22" t="s">
        <v>3767</v>
      </c>
      <c r="B1958" s="34" cm="1">
        <f t="array" ref="B1958:C1958">_xlfn.XLOOKUP(A1958,Sales_Fact!A1958:A3942,Sales_Fact!B1958:C3942)</f>
        <v>45577</v>
      </c>
      <c r="C1958" s="22" t="str">
        <v>CUST1255</v>
      </c>
      <c r="D1958" s="22" t="str">
        <f>VLOOKUP('Combine Products &amp; Sales Facts'!C1958,'Customer Details'!A:B,2,0)</f>
        <v>Damon Perez</v>
      </c>
      <c r="E1958" s="22" t="str">
        <f>VLOOKUP(C1958,Sales_Fact!C:D,2,0)</f>
        <v>PROD72</v>
      </c>
      <c r="F1958" s="22" t="str">
        <f>VLOOKUP(E1958,Product_Dim!A:C,3,0)</f>
        <v>Sports</v>
      </c>
      <c r="G1958" s="22" t="str" cm="1">
        <f t="array" ref="G1958:L1958">_xlfn.XLOOKUP(C1958,Sales_Fact!C1958:C3942,Sales_Fact!E1958:J3942)</f>
        <v>STORE10</v>
      </c>
      <c r="H1958" s="22">
        <v>1</v>
      </c>
      <c r="I1958" s="22">
        <v>412.2</v>
      </c>
      <c r="J1958" s="22">
        <v>0.11</v>
      </c>
      <c r="K1958" s="22" t="str">
        <v>Credit Card</v>
      </c>
      <c r="L1958" s="22">
        <v>366.858</v>
      </c>
    </row>
    <row r="1959" spans="1:12" x14ac:dyDescent="0.3">
      <c r="A1959" s="22" t="s">
        <v>3768</v>
      </c>
      <c r="B1959" s="34" cm="1">
        <f t="array" ref="B1959:C1959">_xlfn.XLOOKUP(A1959,Sales_Fact!A1959:A3943,Sales_Fact!B1959:C3943)</f>
        <v>45466</v>
      </c>
      <c r="C1959" s="22" t="str">
        <v>CUST1394</v>
      </c>
      <c r="D1959" s="22" t="str">
        <f>VLOOKUP('Combine Products &amp; Sales Facts'!C1959,'Customer Details'!A:B,2,0)</f>
        <v>Alejandro Evans</v>
      </c>
      <c r="E1959" s="22" t="str">
        <f>VLOOKUP(C1959,Sales_Fact!C:D,2,0)</f>
        <v>PROD89</v>
      </c>
      <c r="F1959" s="22" t="str">
        <f>VLOOKUP(E1959,Product_Dim!A:C,3,0)</f>
        <v>Beauty</v>
      </c>
      <c r="G1959" s="22" t="str" cm="1">
        <f t="array" ref="G1959:L1959">_xlfn.XLOOKUP(C1959,Sales_Fact!C1959:C3943,Sales_Fact!E1959:J3943)</f>
        <v>STORE16</v>
      </c>
      <c r="H1959" s="22">
        <v>1</v>
      </c>
      <c r="I1959" s="22">
        <v>650.47</v>
      </c>
      <c r="J1959" s="22">
        <v>0.13</v>
      </c>
      <c r="K1959" s="22" t="str">
        <v>PayPal</v>
      </c>
      <c r="L1959" s="22">
        <v>565.90890000000002</v>
      </c>
    </row>
    <row r="1960" spans="1:12" x14ac:dyDescent="0.3">
      <c r="A1960" s="22" t="s">
        <v>3769</v>
      </c>
      <c r="B1960" s="34" cm="1">
        <f t="array" ref="B1960:C1960">_xlfn.XLOOKUP(A1960,Sales_Fact!A1960:A3944,Sales_Fact!B1960:C3944)</f>
        <v>45256</v>
      </c>
      <c r="C1960" s="22" t="str">
        <v>CUST1155</v>
      </c>
      <c r="D1960" s="22" t="str">
        <f>VLOOKUP('Combine Products &amp; Sales Facts'!C1960,'Customer Details'!A:B,2,0)</f>
        <v>Curtis Haynes</v>
      </c>
      <c r="E1960" s="22" t="str">
        <f>VLOOKUP(C1960,Sales_Fact!C:D,2,0)</f>
        <v>PROD72</v>
      </c>
      <c r="F1960" s="22" t="str">
        <f>VLOOKUP(E1960,Product_Dim!A:C,3,0)</f>
        <v>Sports</v>
      </c>
      <c r="G1960" s="22" t="str" cm="1">
        <f t="array" ref="G1960:L1960">_xlfn.XLOOKUP(C1960,Sales_Fact!C1960:C3944,Sales_Fact!E1960:J3944)</f>
        <v>STORE12</v>
      </c>
      <c r="H1960" s="22">
        <v>1</v>
      </c>
      <c r="I1960" s="22">
        <v>68.209999999999994</v>
      </c>
      <c r="J1960" s="22">
        <v>0.05</v>
      </c>
      <c r="K1960" s="22" t="str">
        <v>PayPal</v>
      </c>
      <c r="L1960" s="22">
        <v>64.799499999999995</v>
      </c>
    </row>
    <row r="1961" spans="1:12" x14ac:dyDescent="0.3">
      <c r="A1961" s="22" t="s">
        <v>3770</v>
      </c>
      <c r="B1961" s="34" cm="1">
        <f t="array" ref="B1961:C1961">_xlfn.XLOOKUP(A1961,Sales_Fact!A1961:A3945,Sales_Fact!B1961:C3945)</f>
        <v>45886</v>
      </c>
      <c r="C1961" s="22" t="str">
        <v>CUST1135</v>
      </c>
      <c r="D1961" s="22" t="str">
        <f>VLOOKUP('Combine Products &amp; Sales Facts'!C1961,'Customer Details'!A:B,2,0)</f>
        <v>Matthew Hanna</v>
      </c>
      <c r="E1961" s="22" t="str">
        <f>VLOOKUP(C1961,Sales_Fact!C:D,2,0)</f>
        <v>PROD44</v>
      </c>
      <c r="F1961" s="22" t="str">
        <f>VLOOKUP(E1961,Product_Dim!A:C,3,0)</f>
        <v>Sports</v>
      </c>
      <c r="G1961" s="22" t="str" cm="1">
        <f t="array" ref="G1961:L1961">_xlfn.XLOOKUP(C1961,Sales_Fact!C1961:C3945,Sales_Fact!E1961:J3945)</f>
        <v>STORE7</v>
      </c>
      <c r="H1961" s="22">
        <v>2</v>
      </c>
      <c r="I1961" s="22">
        <v>842.89</v>
      </c>
      <c r="J1961" s="22">
        <v>0.25</v>
      </c>
      <c r="K1961" s="22" t="str">
        <v>COD</v>
      </c>
      <c r="L1961" s="22">
        <v>1264.335</v>
      </c>
    </row>
    <row r="1962" spans="1:12" x14ac:dyDescent="0.3">
      <c r="A1962" s="22" t="s">
        <v>3771</v>
      </c>
      <c r="B1962" s="34" cm="1">
        <f t="array" ref="B1962:C1962">_xlfn.XLOOKUP(A1962,Sales_Fact!A1962:A3946,Sales_Fact!B1962:C3946)</f>
        <v>45390</v>
      </c>
      <c r="C1962" s="22" t="str">
        <v>CUST1300</v>
      </c>
      <c r="D1962" s="22" t="str">
        <f>VLOOKUP('Combine Products &amp; Sales Facts'!C1962,'Customer Details'!A:B,2,0)</f>
        <v>Matthew Avery</v>
      </c>
      <c r="E1962" s="22" t="str">
        <f>VLOOKUP(C1962,Sales_Fact!C:D,2,0)</f>
        <v>PROD36</v>
      </c>
      <c r="F1962" s="22" t="str">
        <f>VLOOKUP(E1962,Product_Dim!A:C,3,0)</f>
        <v>Clothing</v>
      </c>
      <c r="G1962" s="22" t="str" cm="1">
        <f t="array" ref="G1962:L1962">_xlfn.XLOOKUP(C1962,Sales_Fact!C1962:C3946,Sales_Fact!E1962:J3946)</f>
        <v>STORE4</v>
      </c>
      <c r="H1962" s="22">
        <v>2</v>
      </c>
      <c r="I1962" s="22">
        <v>227.95</v>
      </c>
      <c r="J1962" s="22">
        <v>0.24</v>
      </c>
      <c r="K1962" s="22" t="str">
        <v>COD</v>
      </c>
      <c r="L1962" s="22">
        <v>346.48399999999998</v>
      </c>
    </row>
    <row r="1963" spans="1:12" x14ac:dyDescent="0.3">
      <c r="A1963" s="22" t="s">
        <v>3772</v>
      </c>
      <c r="B1963" s="34" cm="1">
        <f t="array" ref="B1963:C1963">_xlfn.XLOOKUP(A1963,Sales_Fact!A1963:A3947,Sales_Fact!B1963:C3947)</f>
        <v>45388</v>
      </c>
      <c r="C1963" s="22" t="str">
        <v>CUST1192</v>
      </c>
      <c r="D1963" s="22" t="str">
        <f>VLOOKUP('Combine Products &amp; Sales Facts'!C1963,'Customer Details'!A:B,2,0)</f>
        <v>Jacob Wood</v>
      </c>
      <c r="E1963" s="22" t="str">
        <f>VLOOKUP(C1963,Sales_Fact!C:D,2,0)</f>
        <v>PROD46</v>
      </c>
      <c r="F1963" s="22" t="str">
        <f>VLOOKUP(E1963,Product_Dim!A:C,3,0)</f>
        <v>Clothing</v>
      </c>
      <c r="G1963" s="22" t="str" cm="1">
        <f t="array" ref="G1963:L1963">_xlfn.XLOOKUP(C1963,Sales_Fact!C1963:C3947,Sales_Fact!E1963:J3947)</f>
        <v>STORE12</v>
      </c>
      <c r="H1963" s="22">
        <v>3</v>
      </c>
      <c r="I1963" s="22">
        <v>685.97</v>
      </c>
      <c r="J1963" s="22">
        <v>0.24</v>
      </c>
      <c r="K1963" s="22" t="str">
        <v>PayPal</v>
      </c>
      <c r="L1963" s="22">
        <v>1564.0116</v>
      </c>
    </row>
    <row r="1964" spans="1:12" x14ac:dyDescent="0.3">
      <c r="A1964" s="22" t="s">
        <v>3773</v>
      </c>
      <c r="B1964" s="34" cm="1">
        <f t="array" ref="B1964:C1964">_xlfn.XLOOKUP(A1964,Sales_Fact!A1964:A3948,Sales_Fact!B1964:C3948)</f>
        <v>45793</v>
      </c>
      <c r="C1964" s="22" t="str">
        <v>CUST1365</v>
      </c>
      <c r="D1964" s="22" t="str">
        <f>VLOOKUP('Combine Products &amp; Sales Facts'!C1964,'Customer Details'!A:B,2,0)</f>
        <v>Brandon Mcbride</v>
      </c>
      <c r="E1964" s="22" t="str">
        <f>VLOOKUP(C1964,Sales_Fact!C:D,2,0)</f>
        <v>PROD45</v>
      </c>
      <c r="F1964" s="22" t="str">
        <f>VLOOKUP(E1964,Product_Dim!A:C,3,0)</f>
        <v>Sports</v>
      </c>
      <c r="G1964" s="22" t="str" cm="1">
        <f t="array" ref="G1964:L1964">_xlfn.XLOOKUP(C1964,Sales_Fact!C1964:C3948,Sales_Fact!E1964:J3948)</f>
        <v>STORE2</v>
      </c>
      <c r="H1964" s="22">
        <v>1</v>
      </c>
      <c r="I1964" s="22">
        <v>722.57</v>
      </c>
      <c r="J1964" s="22">
        <v>0.18</v>
      </c>
      <c r="K1964" s="22" t="str">
        <v>Credit Card</v>
      </c>
      <c r="L1964" s="22">
        <v>592.50740000000008</v>
      </c>
    </row>
    <row r="1965" spans="1:12" x14ac:dyDescent="0.3">
      <c r="A1965" s="22" t="s">
        <v>3774</v>
      </c>
      <c r="B1965" s="34" cm="1">
        <f t="array" ref="B1965:C1965">_xlfn.XLOOKUP(A1965,Sales_Fact!A1965:A3949,Sales_Fact!B1965:C3949)</f>
        <v>45615</v>
      </c>
      <c r="C1965" s="22" t="str">
        <v>CUST1140</v>
      </c>
      <c r="D1965" s="22" t="str">
        <f>VLOOKUP('Combine Products &amp; Sales Facts'!C1965,'Customer Details'!A:B,2,0)</f>
        <v>Patty Francis</v>
      </c>
      <c r="E1965" s="22" t="str">
        <f>VLOOKUP(C1965,Sales_Fact!C:D,2,0)</f>
        <v>PROD35</v>
      </c>
      <c r="F1965" s="22" t="str">
        <f>VLOOKUP(E1965,Product_Dim!A:C,3,0)</f>
        <v>Home</v>
      </c>
      <c r="G1965" s="22" t="str" cm="1">
        <f t="array" ref="G1965:L1965">_xlfn.XLOOKUP(C1965,Sales_Fact!C1965:C3949,Sales_Fact!E1965:J3949)</f>
        <v>STORE5</v>
      </c>
      <c r="H1965" s="22">
        <v>3</v>
      </c>
      <c r="I1965" s="22">
        <v>585.54999999999995</v>
      </c>
      <c r="J1965" s="22">
        <v>0.14000000000000001</v>
      </c>
      <c r="K1965" s="22" t="str">
        <v>COD</v>
      </c>
      <c r="L1965" s="22">
        <v>1510.7190000000001</v>
      </c>
    </row>
    <row r="1966" spans="1:12" x14ac:dyDescent="0.3">
      <c r="A1966" s="22" t="s">
        <v>3775</v>
      </c>
      <c r="B1966" s="34" cm="1">
        <f t="array" ref="B1966:C1966">_xlfn.XLOOKUP(A1966,Sales_Fact!A1966:A3950,Sales_Fact!B1966:C3950)</f>
        <v>45666</v>
      </c>
      <c r="C1966" s="22" t="str">
        <v>CUST1309</v>
      </c>
      <c r="D1966" s="22" t="str">
        <f>VLOOKUP('Combine Products &amp; Sales Facts'!C1966,'Customer Details'!A:B,2,0)</f>
        <v>Stacy Collins</v>
      </c>
      <c r="E1966" s="22" t="str">
        <f>VLOOKUP(C1966,Sales_Fact!C:D,2,0)</f>
        <v>PROD61</v>
      </c>
      <c r="F1966" s="22" t="str">
        <f>VLOOKUP(E1966,Product_Dim!A:C,3,0)</f>
        <v>Sports</v>
      </c>
      <c r="G1966" s="22" t="str" cm="1">
        <f t="array" ref="G1966:L1966">_xlfn.XLOOKUP(C1966,Sales_Fact!C1966:C3950,Sales_Fact!E1966:J3950)</f>
        <v>STORE13</v>
      </c>
      <c r="H1966" s="22">
        <v>2</v>
      </c>
      <c r="I1966" s="22">
        <v>635.80999999999995</v>
      </c>
      <c r="J1966" s="22">
        <v>0.13</v>
      </c>
      <c r="K1966" s="22" t="str">
        <v>PayPal</v>
      </c>
      <c r="L1966" s="22">
        <v>1106.3094000000001</v>
      </c>
    </row>
    <row r="1967" spans="1:12" x14ac:dyDescent="0.3">
      <c r="A1967" s="22" t="s">
        <v>3776</v>
      </c>
      <c r="B1967" s="34" cm="1">
        <f t="array" ref="B1967:C1967">_xlfn.XLOOKUP(A1967,Sales_Fact!A1967:A3951,Sales_Fact!B1967:C3951)</f>
        <v>45644</v>
      </c>
      <c r="C1967" s="22" t="str">
        <v>CUST1277</v>
      </c>
      <c r="D1967" s="22" t="str">
        <f>VLOOKUP('Combine Products &amp; Sales Facts'!C1967,'Customer Details'!A:B,2,0)</f>
        <v>Jeffrey Gomez</v>
      </c>
      <c r="E1967" s="22" t="str">
        <f>VLOOKUP(C1967,Sales_Fact!C:D,2,0)</f>
        <v>PROD93</v>
      </c>
      <c r="F1967" s="22" t="str">
        <f>VLOOKUP(E1967,Product_Dim!A:C,3,0)</f>
        <v>Electronics</v>
      </c>
      <c r="G1967" s="22" t="str" cm="1">
        <f t="array" ref="G1967:L1967">_xlfn.XLOOKUP(C1967,Sales_Fact!C1967:C3951,Sales_Fact!E1967:J3951)</f>
        <v>STORE4</v>
      </c>
      <c r="H1967" s="22">
        <v>2</v>
      </c>
      <c r="I1967" s="22">
        <v>353.74</v>
      </c>
      <c r="J1967" s="22">
        <v>0.01</v>
      </c>
      <c r="K1967" s="22" t="str">
        <v>Credit Card</v>
      </c>
      <c r="L1967" s="22">
        <v>700.40520000000004</v>
      </c>
    </row>
    <row r="1968" spans="1:12" x14ac:dyDescent="0.3">
      <c r="A1968" s="22" t="s">
        <v>3777</v>
      </c>
      <c r="B1968" s="34" cm="1">
        <f t="array" ref="B1968:C1968">_xlfn.XLOOKUP(A1968,Sales_Fact!A1968:A3952,Sales_Fact!B1968:C3952)</f>
        <v>45648</v>
      </c>
      <c r="C1968" s="22" t="str">
        <v>CUST1264</v>
      </c>
      <c r="D1968" s="22" t="str">
        <f>VLOOKUP('Combine Products &amp; Sales Facts'!C1968,'Customer Details'!A:B,2,0)</f>
        <v>Matthew Payne</v>
      </c>
      <c r="E1968" s="22" t="str">
        <f>VLOOKUP(C1968,Sales_Fact!C:D,2,0)</f>
        <v>PROD22</v>
      </c>
      <c r="F1968" s="22" t="str">
        <f>VLOOKUP(E1968,Product_Dim!A:C,3,0)</f>
        <v>Sports</v>
      </c>
      <c r="G1968" s="22" t="str" cm="1">
        <f t="array" ref="G1968:L1968">_xlfn.XLOOKUP(C1968,Sales_Fact!C1968:C3952,Sales_Fact!E1968:J3952)</f>
        <v>STORE7</v>
      </c>
      <c r="H1968" s="22">
        <v>1</v>
      </c>
      <c r="I1968" s="22">
        <v>377.52</v>
      </c>
      <c r="J1968" s="22">
        <v>0.15</v>
      </c>
      <c r="K1968" s="22" t="str">
        <v>Credit Card</v>
      </c>
      <c r="L1968" s="22">
        <v>320.892</v>
      </c>
    </row>
    <row r="1969" spans="1:12" x14ac:dyDescent="0.3">
      <c r="A1969" s="22" t="s">
        <v>3778</v>
      </c>
      <c r="B1969" s="34" cm="1">
        <f t="array" ref="B1969:C1969">_xlfn.XLOOKUP(A1969,Sales_Fact!A1969:A3953,Sales_Fact!B1969:C3953)</f>
        <v>45500</v>
      </c>
      <c r="C1969" s="22" t="str">
        <v>CUST1205</v>
      </c>
      <c r="D1969" s="22" t="str">
        <f>VLOOKUP('Combine Products &amp; Sales Facts'!C1969,'Customer Details'!A:B,2,0)</f>
        <v>Michelle Carpenter</v>
      </c>
      <c r="E1969" s="22" t="str">
        <f>VLOOKUP(C1969,Sales_Fact!C:D,2,0)</f>
        <v>PROD84</v>
      </c>
      <c r="F1969" s="22" t="str">
        <f>VLOOKUP(E1969,Product_Dim!A:C,3,0)</f>
        <v>Home</v>
      </c>
      <c r="G1969" s="22" t="str" cm="1">
        <f t="array" ref="G1969:L1969">_xlfn.XLOOKUP(C1969,Sales_Fact!C1969:C3953,Sales_Fact!E1969:J3953)</f>
        <v>STORE2</v>
      </c>
      <c r="H1969" s="22">
        <v>3</v>
      </c>
      <c r="I1969" s="22">
        <v>901.49</v>
      </c>
      <c r="J1969" s="22">
        <v>0</v>
      </c>
      <c r="K1969" s="22" t="str">
        <v>Credit Card</v>
      </c>
      <c r="L1969" s="22">
        <v>2704.47</v>
      </c>
    </row>
    <row r="1970" spans="1:12" x14ac:dyDescent="0.3">
      <c r="A1970" s="22" t="s">
        <v>3779</v>
      </c>
      <c r="B1970" s="34" cm="1">
        <f t="array" ref="B1970:C1970">_xlfn.XLOOKUP(A1970,Sales_Fact!A1970:A3954,Sales_Fact!B1970:C3954)</f>
        <v>45806</v>
      </c>
      <c r="C1970" s="22" t="str">
        <v>CUST1200</v>
      </c>
      <c r="D1970" s="22" t="str">
        <f>VLOOKUP('Combine Products &amp; Sales Facts'!C1970,'Customer Details'!A:B,2,0)</f>
        <v>Anna Perez</v>
      </c>
      <c r="E1970" s="22" t="str">
        <f>VLOOKUP(C1970,Sales_Fact!C:D,2,0)</f>
        <v>PROD77</v>
      </c>
      <c r="F1970" s="22" t="str">
        <f>VLOOKUP(E1970,Product_Dim!A:C,3,0)</f>
        <v>Electronics</v>
      </c>
      <c r="G1970" s="22" t="str" cm="1">
        <f t="array" ref="G1970:L1970">_xlfn.XLOOKUP(C1970,Sales_Fact!C1970:C3954,Sales_Fact!E1970:J3954)</f>
        <v>STORE5</v>
      </c>
      <c r="H1970" s="22">
        <v>1</v>
      </c>
      <c r="I1970" s="22">
        <v>563.01</v>
      </c>
      <c r="J1970" s="22">
        <v>0.1</v>
      </c>
      <c r="K1970" s="22" t="str">
        <v>Credit Card</v>
      </c>
      <c r="L1970" s="22">
        <v>506.709</v>
      </c>
    </row>
    <row r="1971" spans="1:12" x14ac:dyDescent="0.3">
      <c r="A1971" s="22" t="s">
        <v>3780</v>
      </c>
      <c r="B1971" s="34" cm="1">
        <f t="array" ref="B1971:C1971">_xlfn.XLOOKUP(A1971,Sales_Fact!A1971:A3955,Sales_Fact!B1971:C3955)</f>
        <v>45365</v>
      </c>
      <c r="C1971" s="22" t="str">
        <v>CUST1052</v>
      </c>
      <c r="D1971" s="22" t="str">
        <f>VLOOKUP('Combine Products &amp; Sales Facts'!C1971,'Customer Details'!A:B,2,0)</f>
        <v>Debra Liu</v>
      </c>
      <c r="E1971" s="22" t="str">
        <f>VLOOKUP(C1971,Sales_Fact!C:D,2,0)</f>
        <v>PROD51</v>
      </c>
      <c r="F1971" s="22" t="str">
        <f>VLOOKUP(E1971,Product_Dim!A:C,3,0)</f>
        <v>Electronics</v>
      </c>
      <c r="G1971" s="22" t="str" cm="1">
        <f t="array" ref="G1971:L1971">_xlfn.XLOOKUP(C1971,Sales_Fact!C1971:C3955,Sales_Fact!E1971:J3955)</f>
        <v>STORE6</v>
      </c>
      <c r="H1971" s="22">
        <v>4</v>
      </c>
      <c r="I1971" s="22">
        <v>167.25</v>
      </c>
      <c r="J1971" s="22">
        <v>0.11</v>
      </c>
      <c r="K1971" s="22" t="str">
        <v>Credit Card</v>
      </c>
      <c r="L1971" s="22">
        <v>595.41</v>
      </c>
    </row>
    <row r="1972" spans="1:12" x14ac:dyDescent="0.3">
      <c r="A1972" s="22" t="s">
        <v>3781</v>
      </c>
      <c r="B1972" s="34" cm="1">
        <f t="array" ref="B1972:C1972">_xlfn.XLOOKUP(A1972,Sales_Fact!A1972:A3956,Sales_Fact!B1972:C3956)</f>
        <v>45229</v>
      </c>
      <c r="C1972" s="22" t="str">
        <v>CUST1454</v>
      </c>
      <c r="D1972" s="22" t="str">
        <f>VLOOKUP('Combine Products &amp; Sales Facts'!C1972,'Customer Details'!A:B,2,0)</f>
        <v>John Berg</v>
      </c>
      <c r="E1972" s="22" t="str">
        <f>VLOOKUP(C1972,Sales_Fact!C:D,2,0)</f>
        <v>PROD60</v>
      </c>
      <c r="F1972" s="22" t="str">
        <f>VLOOKUP(E1972,Product_Dim!A:C,3,0)</f>
        <v>Beauty</v>
      </c>
      <c r="G1972" s="22" t="str" cm="1">
        <f t="array" ref="G1972:L1972">_xlfn.XLOOKUP(C1972,Sales_Fact!C1972:C3956,Sales_Fact!E1972:J3956)</f>
        <v>STORE18</v>
      </c>
      <c r="H1972" s="22">
        <v>3</v>
      </c>
      <c r="I1972" s="22">
        <v>345.43</v>
      </c>
      <c r="J1972" s="22">
        <v>0.08</v>
      </c>
      <c r="K1972" s="22" t="str">
        <v>COD</v>
      </c>
      <c r="L1972" s="22">
        <v>953.38679999999999</v>
      </c>
    </row>
    <row r="1973" spans="1:12" x14ac:dyDescent="0.3">
      <c r="A1973" s="22" t="s">
        <v>3782</v>
      </c>
      <c r="B1973" s="34" cm="1">
        <f t="array" ref="B1973:C1973">_xlfn.XLOOKUP(A1973,Sales_Fact!A1973:A3957,Sales_Fact!B1973:C3957)</f>
        <v>45349</v>
      </c>
      <c r="C1973" s="22" t="str">
        <v>CUST1308</v>
      </c>
      <c r="D1973" s="22" t="str">
        <f>VLOOKUP('Combine Products &amp; Sales Facts'!C1973,'Customer Details'!A:B,2,0)</f>
        <v>Jennifer Zamora</v>
      </c>
      <c r="E1973" s="22" t="str">
        <f>VLOOKUP(C1973,Sales_Fact!C:D,2,0)</f>
        <v>PROD14</v>
      </c>
      <c r="F1973" s="22" t="str">
        <f>VLOOKUP(E1973,Product_Dim!A:C,3,0)</f>
        <v>Home</v>
      </c>
      <c r="G1973" s="22" t="str" cm="1">
        <f t="array" ref="G1973:L1973">_xlfn.XLOOKUP(C1973,Sales_Fact!C1973:C3957,Sales_Fact!E1973:J3957)</f>
        <v>STORE9</v>
      </c>
      <c r="H1973" s="22">
        <v>4</v>
      </c>
      <c r="I1973" s="22">
        <v>752.48</v>
      </c>
      <c r="J1973" s="22">
        <v>0.23</v>
      </c>
      <c r="K1973" s="22" t="str">
        <v>Credit Card</v>
      </c>
      <c r="L1973" s="22">
        <v>2317.6383999999998</v>
      </c>
    </row>
    <row r="1974" spans="1:12" x14ac:dyDescent="0.3">
      <c r="A1974" s="22" t="s">
        <v>3783</v>
      </c>
      <c r="B1974" s="34" cm="1">
        <f t="array" ref="B1974:C1974">_xlfn.XLOOKUP(A1974,Sales_Fact!A1974:A3958,Sales_Fact!B1974:C3958)</f>
        <v>45886</v>
      </c>
      <c r="C1974" s="22" t="str">
        <v>CUST1449</v>
      </c>
      <c r="D1974" s="22" t="str">
        <f>VLOOKUP('Combine Products &amp; Sales Facts'!C1974,'Customer Details'!A:B,2,0)</f>
        <v>William Cortez</v>
      </c>
      <c r="E1974" s="22" t="str">
        <f>VLOOKUP(C1974,Sales_Fact!C:D,2,0)</f>
        <v>PROD98</v>
      </c>
      <c r="F1974" s="22" t="str">
        <f>VLOOKUP(E1974,Product_Dim!A:C,3,0)</f>
        <v>Electronics</v>
      </c>
      <c r="G1974" s="22" t="str" cm="1">
        <f t="array" ref="G1974:L1974">_xlfn.XLOOKUP(C1974,Sales_Fact!C1974:C3958,Sales_Fact!E1974:J3958)</f>
        <v>STORE19</v>
      </c>
      <c r="H1974" s="22">
        <v>1</v>
      </c>
      <c r="I1974" s="22">
        <v>120.02</v>
      </c>
      <c r="J1974" s="22">
        <v>0.26</v>
      </c>
      <c r="K1974" s="22" t="str">
        <v>Credit Card</v>
      </c>
      <c r="L1974" s="22">
        <v>88.814799999999991</v>
      </c>
    </row>
    <row r="1975" spans="1:12" x14ac:dyDescent="0.3">
      <c r="A1975" s="22" t="s">
        <v>3784</v>
      </c>
      <c r="B1975" s="34" cm="1">
        <f t="array" ref="B1975:C1975">_xlfn.XLOOKUP(A1975,Sales_Fact!A1975:A3959,Sales_Fact!B1975:C3959)</f>
        <v>45359</v>
      </c>
      <c r="C1975" s="22" t="str">
        <v>CUST1323</v>
      </c>
      <c r="D1975" s="22" t="str">
        <f>VLOOKUP('Combine Products &amp; Sales Facts'!C1975,'Customer Details'!A:B,2,0)</f>
        <v>Kristy Dunlap</v>
      </c>
      <c r="E1975" s="22" t="str">
        <f>VLOOKUP(C1975,Sales_Fact!C:D,2,0)</f>
        <v>PROD49</v>
      </c>
      <c r="F1975" s="22" t="str">
        <f>VLOOKUP(E1975,Product_Dim!A:C,3,0)</f>
        <v>Beauty</v>
      </c>
      <c r="G1975" s="22" t="str" cm="1">
        <f t="array" ref="G1975:L1975">_xlfn.XLOOKUP(C1975,Sales_Fact!C1975:C3959,Sales_Fact!E1975:J3959)</f>
        <v>STORE8</v>
      </c>
      <c r="H1975" s="22">
        <v>3</v>
      </c>
      <c r="I1975" s="22">
        <v>146.71</v>
      </c>
      <c r="J1975" s="22">
        <v>0.28000000000000003</v>
      </c>
      <c r="K1975" s="22" t="str">
        <v>Credit Card</v>
      </c>
      <c r="L1975" s="22">
        <v>316.89359999999999</v>
      </c>
    </row>
    <row r="1976" spans="1:12" x14ac:dyDescent="0.3">
      <c r="A1976" s="22" t="s">
        <v>3785</v>
      </c>
      <c r="B1976" s="34" cm="1">
        <f t="array" ref="B1976:C1976">_xlfn.XLOOKUP(A1976,Sales_Fact!A1976:A3960,Sales_Fact!B1976:C3960)</f>
        <v>45730</v>
      </c>
      <c r="C1976" s="22" t="str">
        <v>CUST1082</v>
      </c>
      <c r="D1976" s="22" t="str">
        <f>VLOOKUP('Combine Products &amp; Sales Facts'!C1976,'Customer Details'!A:B,2,0)</f>
        <v>George Rosario</v>
      </c>
      <c r="E1976" s="22" t="str">
        <f>VLOOKUP(C1976,Sales_Fact!C:D,2,0)</f>
        <v>PROD92</v>
      </c>
      <c r="F1976" s="22" t="str">
        <f>VLOOKUP(E1976,Product_Dim!A:C,3,0)</f>
        <v>Home</v>
      </c>
      <c r="G1976" s="22" t="str" cm="1">
        <f t="array" ref="G1976:L1976">_xlfn.XLOOKUP(C1976,Sales_Fact!C1976:C3960,Sales_Fact!E1976:J3960)</f>
        <v>STORE0</v>
      </c>
      <c r="H1976" s="22">
        <v>2</v>
      </c>
      <c r="I1976" s="22">
        <v>358.87</v>
      </c>
      <c r="J1976" s="22">
        <v>0.24</v>
      </c>
      <c r="K1976" s="22" t="str">
        <v>Credit Card</v>
      </c>
      <c r="L1976" s="22">
        <v>545.48239999999998</v>
      </c>
    </row>
    <row r="1977" spans="1:12" x14ac:dyDescent="0.3">
      <c r="A1977" s="22" t="s">
        <v>3786</v>
      </c>
      <c r="B1977" s="34" cm="1">
        <f t="array" ref="B1977:C1977">_xlfn.XLOOKUP(A1977,Sales_Fact!A1977:A3961,Sales_Fact!B1977:C3961)</f>
        <v>45456</v>
      </c>
      <c r="C1977" s="22" t="str">
        <v>CUST1241</v>
      </c>
      <c r="D1977" s="22" t="str">
        <f>VLOOKUP('Combine Products &amp; Sales Facts'!C1977,'Customer Details'!A:B,2,0)</f>
        <v>Mr. William Horton</v>
      </c>
      <c r="E1977" s="22" t="str">
        <f>VLOOKUP(C1977,Sales_Fact!C:D,2,0)</f>
        <v>PROD15</v>
      </c>
      <c r="F1977" s="22" t="str">
        <f>VLOOKUP(E1977,Product_Dim!A:C,3,0)</f>
        <v>Electronics</v>
      </c>
      <c r="G1977" s="22" t="str" cm="1">
        <f t="array" ref="G1977:L1977">_xlfn.XLOOKUP(C1977,Sales_Fact!C1977:C3961,Sales_Fact!E1977:J3961)</f>
        <v>STORE3</v>
      </c>
      <c r="H1977" s="22">
        <v>4</v>
      </c>
      <c r="I1977" s="22">
        <v>212.75</v>
      </c>
      <c r="J1977" s="22">
        <v>0.11</v>
      </c>
      <c r="K1977" s="22" t="str">
        <v>COD</v>
      </c>
      <c r="L1977" s="22">
        <v>757.39</v>
      </c>
    </row>
    <row r="1978" spans="1:12" x14ac:dyDescent="0.3">
      <c r="A1978" s="22" t="s">
        <v>3787</v>
      </c>
      <c r="B1978" s="34" cm="1">
        <f t="array" ref="B1978:C1978">_xlfn.XLOOKUP(A1978,Sales_Fact!A1978:A3962,Sales_Fact!B1978:C3962)</f>
        <v>45450</v>
      </c>
      <c r="C1978" s="22" t="str">
        <v>CUST1327</v>
      </c>
      <c r="D1978" s="22" t="str">
        <f>VLOOKUP('Combine Products &amp; Sales Facts'!C1978,'Customer Details'!A:B,2,0)</f>
        <v>Reginald Willis</v>
      </c>
      <c r="E1978" s="22" t="str">
        <f>VLOOKUP(C1978,Sales_Fact!C:D,2,0)</f>
        <v>PROD1</v>
      </c>
      <c r="F1978" s="22" t="str">
        <f>VLOOKUP(E1978,Product_Dim!A:C,3,0)</f>
        <v>Clothing</v>
      </c>
      <c r="G1978" s="22" t="str" cm="1">
        <f t="array" ref="G1978:L1978">_xlfn.XLOOKUP(C1978,Sales_Fact!C1978:C3962,Sales_Fact!E1978:J3962)</f>
        <v>STORE11</v>
      </c>
      <c r="H1978" s="22">
        <v>1</v>
      </c>
      <c r="I1978" s="22">
        <v>183.47</v>
      </c>
      <c r="J1978" s="22">
        <v>0.17</v>
      </c>
      <c r="K1978" s="22" t="str">
        <v>PayPal</v>
      </c>
      <c r="L1978" s="22">
        <v>152.2801</v>
      </c>
    </row>
    <row r="1979" spans="1:12" x14ac:dyDescent="0.3">
      <c r="A1979" s="22" t="s">
        <v>3788</v>
      </c>
      <c r="B1979" s="34" cm="1">
        <f t="array" ref="B1979:C1979">_xlfn.XLOOKUP(A1979,Sales_Fact!A1979:A3963,Sales_Fact!B1979:C3963)</f>
        <v>45493</v>
      </c>
      <c r="C1979" s="22" t="str">
        <v>CUST1068</v>
      </c>
      <c r="D1979" s="22" t="str">
        <f>VLOOKUP('Combine Products &amp; Sales Facts'!C1979,'Customer Details'!A:B,2,0)</f>
        <v>Mr. Mark Beasley</v>
      </c>
      <c r="E1979" s="22" t="str">
        <f>VLOOKUP(C1979,Sales_Fact!C:D,2,0)</f>
        <v>PROD52</v>
      </c>
      <c r="F1979" s="22" t="str">
        <f>VLOOKUP(E1979,Product_Dim!A:C,3,0)</f>
        <v>Sports</v>
      </c>
      <c r="G1979" s="22" t="str" cm="1">
        <f t="array" ref="G1979:L1979">_xlfn.XLOOKUP(C1979,Sales_Fact!C1979:C3963,Sales_Fact!E1979:J3963)</f>
        <v>STORE15</v>
      </c>
      <c r="H1979" s="22">
        <v>4</v>
      </c>
      <c r="I1979" s="22">
        <v>569.98</v>
      </c>
      <c r="J1979" s="22">
        <v>0.23</v>
      </c>
      <c r="K1979" s="22" t="str">
        <v>Credit Card</v>
      </c>
      <c r="L1979" s="22">
        <v>1755.5383999999999</v>
      </c>
    </row>
    <row r="1980" spans="1:12" x14ac:dyDescent="0.3">
      <c r="A1980" s="22" t="s">
        <v>3789</v>
      </c>
      <c r="B1980" s="34" cm="1">
        <f t="array" ref="B1980:C1980">_xlfn.XLOOKUP(A1980,Sales_Fact!A1980:A3964,Sales_Fact!B1980:C3964)</f>
        <v>45274</v>
      </c>
      <c r="C1980" s="22" t="str">
        <v>CUST1472</v>
      </c>
      <c r="D1980" s="22" t="str">
        <f>VLOOKUP('Combine Products &amp; Sales Facts'!C1980,'Customer Details'!A:B,2,0)</f>
        <v>Philip Mendoza</v>
      </c>
      <c r="E1980" s="22" t="str">
        <f>VLOOKUP(C1980,Sales_Fact!C:D,2,0)</f>
        <v>PROD34</v>
      </c>
      <c r="F1980" s="22" t="str">
        <f>VLOOKUP(E1980,Product_Dim!A:C,3,0)</f>
        <v>Electronics</v>
      </c>
      <c r="G1980" s="22" t="str" cm="1">
        <f t="array" ref="G1980:L1980">_xlfn.XLOOKUP(C1980,Sales_Fact!C1980:C3964,Sales_Fact!E1980:J3964)</f>
        <v>STORE12</v>
      </c>
      <c r="H1980" s="22">
        <v>3</v>
      </c>
      <c r="I1980" s="22">
        <v>984.12</v>
      </c>
      <c r="J1980" s="22">
        <v>0.27</v>
      </c>
      <c r="K1980" s="22" t="str">
        <v>Credit Card</v>
      </c>
      <c r="L1980" s="22">
        <v>2155.2228</v>
      </c>
    </row>
    <row r="1981" spans="1:12" x14ac:dyDescent="0.3">
      <c r="A1981" s="22" t="s">
        <v>3790</v>
      </c>
      <c r="B1981" s="34" cm="1">
        <f t="array" ref="B1981:C1981">_xlfn.XLOOKUP(A1981,Sales_Fact!A1981:A3965,Sales_Fact!B1981:C3965)</f>
        <v>45844</v>
      </c>
      <c r="C1981" s="22" t="str">
        <v>CUST1473</v>
      </c>
      <c r="D1981" s="22" t="str">
        <f>VLOOKUP('Combine Products &amp; Sales Facts'!C1981,'Customer Details'!A:B,2,0)</f>
        <v>Laura Mathews</v>
      </c>
      <c r="E1981" s="22" t="str">
        <f>VLOOKUP(C1981,Sales_Fact!C:D,2,0)</f>
        <v>PROD50</v>
      </c>
      <c r="F1981" s="22" t="str">
        <f>VLOOKUP(E1981,Product_Dim!A:C,3,0)</f>
        <v>Sports</v>
      </c>
      <c r="G1981" s="22" t="str" cm="1">
        <f t="array" ref="G1981:L1981">_xlfn.XLOOKUP(C1981,Sales_Fact!C1981:C3965,Sales_Fact!E1981:J3965)</f>
        <v>STORE8</v>
      </c>
      <c r="H1981" s="22">
        <v>1</v>
      </c>
      <c r="I1981" s="22">
        <v>905.23</v>
      </c>
      <c r="J1981" s="22">
        <v>0</v>
      </c>
      <c r="K1981" s="22" t="str">
        <v>Credit Card</v>
      </c>
      <c r="L1981" s="22">
        <v>905.23</v>
      </c>
    </row>
    <row r="1982" spans="1:12" x14ac:dyDescent="0.3">
      <c r="A1982" s="22" t="s">
        <v>3791</v>
      </c>
      <c r="B1982" s="34" cm="1">
        <f t="array" ref="B1982:C1982">_xlfn.XLOOKUP(A1982,Sales_Fact!A1982:A3966,Sales_Fact!B1982:C3966)</f>
        <v>45264</v>
      </c>
      <c r="C1982" s="22" t="str">
        <v>CUST1186</v>
      </c>
      <c r="D1982" s="22" t="str">
        <f>VLOOKUP('Combine Products &amp; Sales Facts'!C1982,'Customer Details'!A:B,2,0)</f>
        <v>Jennifer Pruitt</v>
      </c>
      <c r="E1982" s="22" t="str">
        <f>VLOOKUP(C1982,Sales_Fact!C:D,2,0)</f>
        <v>PROD67</v>
      </c>
      <c r="F1982" s="22" t="str">
        <f>VLOOKUP(E1982,Product_Dim!A:C,3,0)</f>
        <v>Electronics</v>
      </c>
      <c r="G1982" s="22" t="str" cm="1">
        <f t="array" ref="G1982:L1982">_xlfn.XLOOKUP(C1982,Sales_Fact!C1982:C3966,Sales_Fact!E1982:J3966)</f>
        <v>STORE19</v>
      </c>
      <c r="H1982" s="22">
        <v>3</v>
      </c>
      <c r="I1982" s="22">
        <v>112.77</v>
      </c>
      <c r="J1982" s="22">
        <v>0.19</v>
      </c>
      <c r="K1982" s="22" t="str">
        <v>Credit Card</v>
      </c>
      <c r="L1982" s="22">
        <v>274.03109999999998</v>
      </c>
    </row>
    <row r="1983" spans="1:12" x14ac:dyDescent="0.3">
      <c r="A1983" s="22" t="s">
        <v>3792</v>
      </c>
      <c r="B1983" s="34" cm="1">
        <f t="array" ref="B1983:C1983">_xlfn.XLOOKUP(A1983,Sales_Fact!A1983:A3967,Sales_Fact!B1983:C3967)</f>
        <v>45773</v>
      </c>
      <c r="C1983" s="22" t="str">
        <v>CUST1161</v>
      </c>
      <c r="D1983" s="22" t="str">
        <f>VLOOKUP('Combine Products &amp; Sales Facts'!C1983,'Customer Details'!A:B,2,0)</f>
        <v>Cynthia Morris</v>
      </c>
      <c r="E1983" s="22" t="str">
        <f>VLOOKUP(C1983,Sales_Fact!C:D,2,0)</f>
        <v>PROD97</v>
      </c>
      <c r="F1983" s="22" t="str">
        <f>VLOOKUP(E1983,Product_Dim!A:C,3,0)</f>
        <v>Sports</v>
      </c>
      <c r="G1983" s="22" t="str" cm="1">
        <f t="array" ref="G1983:L1983">_xlfn.XLOOKUP(C1983,Sales_Fact!C1983:C3967,Sales_Fact!E1983:J3967)</f>
        <v>STORE8</v>
      </c>
      <c r="H1983" s="22">
        <v>3</v>
      </c>
      <c r="I1983" s="22">
        <v>875.99</v>
      </c>
      <c r="J1983" s="22">
        <v>0.09</v>
      </c>
      <c r="K1983" s="22" t="str">
        <v>PayPal</v>
      </c>
      <c r="L1983" s="22">
        <v>2391.4526999999998</v>
      </c>
    </row>
    <row r="1984" spans="1:12" x14ac:dyDescent="0.3">
      <c r="A1984" s="22" t="s">
        <v>3793</v>
      </c>
      <c r="B1984" s="34" cm="1">
        <f t="array" ref="B1984:C1984">_xlfn.XLOOKUP(A1984,Sales_Fact!A1984:A3968,Sales_Fact!B1984:C3968)</f>
        <v>45460</v>
      </c>
      <c r="C1984" s="22" t="str">
        <v>CUST1128</v>
      </c>
      <c r="D1984" s="22" t="str">
        <f>VLOOKUP('Combine Products &amp; Sales Facts'!C1984,'Customer Details'!A:B,2,0)</f>
        <v>Susan Mcdonald</v>
      </c>
      <c r="E1984" s="22" t="str">
        <f>VLOOKUP(C1984,Sales_Fact!C:D,2,0)</f>
        <v>PROD25</v>
      </c>
      <c r="F1984" s="22" t="str">
        <f>VLOOKUP(E1984,Product_Dim!A:C,3,0)</f>
        <v>Clothing</v>
      </c>
      <c r="G1984" s="22" t="str" cm="1">
        <f t="array" ref="G1984:L1984">_xlfn.XLOOKUP(C1984,Sales_Fact!C1984:C3968,Sales_Fact!E1984:J3968)</f>
        <v>STORE10</v>
      </c>
      <c r="H1984" s="22">
        <v>2</v>
      </c>
      <c r="I1984" s="22">
        <v>685.31</v>
      </c>
      <c r="J1984" s="22">
        <v>0.26</v>
      </c>
      <c r="K1984" s="22" t="str">
        <v>PayPal</v>
      </c>
      <c r="L1984" s="22">
        <v>1014.2588</v>
      </c>
    </row>
    <row r="1985" spans="1:12" x14ac:dyDescent="0.3">
      <c r="A1985" s="22" t="s">
        <v>3794</v>
      </c>
      <c r="B1985" s="34" cm="1">
        <f t="array" ref="B1985:C1985">_xlfn.XLOOKUP(A1985,Sales_Fact!A1985:A3969,Sales_Fact!B1985:C3969)</f>
        <v>45607</v>
      </c>
      <c r="C1985" s="22" t="str">
        <v>CUST1052</v>
      </c>
      <c r="D1985" s="22" t="str">
        <f>VLOOKUP('Combine Products &amp; Sales Facts'!C1985,'Customer Details'!A:B,2,0)</f>
        <v>Debra Liu</v>
      </c>
      <c r="E1985" s="22" t="str">
        <f>VLOOKUP(C1985,Sales_Fact!C:D,2,0)</f>
        <v>PROD51</v>
      </c>
      <c r="F1985" s="22" t="str">
        <f>VLOOKUP(E1985,Product_Dim!A:C,3,0)</f>
        <v>Electronics</v>
      </c>
      <c r="G1985" s="22" t="str" cm="1">
        <f t="array" ref="G1985:L1985">_xlfn.XLOOKUP(C1985,Sales_Fact!C1985:C3969,Sales_Fact!E1985:J3969)</f>
        <v>STORE11</v>
      </c>
      <c r="H1985" s="22">
        <v>3</v>
      </c>
      <c r="I1985" s="22">
        <v>945.37</v>
      </c>
      <c r="J1985" s="22">
        <v>0.05</v>
      </c>
      <c r="K1985" s="22" t="str">
        <v>Credit Card</v>
      </c>
      <c r="L1985" s="22">
        <v>2694.3045000000002</v>
      </c>
    </row>
    <row r="1986" spans="1:12" x14ac:dyDescent="0.3">
      <c r="A1986" s="22" t="s">
        <v>3795</v>
      </c>
      <c r="B1986" s="34" cm="1">
        <f t="array" ref="B1986:C1986">_xlfn.XLOOKUP(A1986,Sales_Fact!A1986:A3970,Sales_Fact!B1986:C3970)</f>
        <v>45267</v>
      </c>
      <c r="C1986" s="22" t="str">
        <v>CUST1023</v>
      </c>
      <c r="D1986" s="22" t="str">
        <f>VLOOKUP('Combine Products &amp; Sales Facts'!C1986,'Customer Details'!A:B,2,0)</f>
        <v>Jonathan Steele</v>
      </c>
      <c r="E1986" s="22" t="str">
        <f>VLOOKUP(C1986,Sales_Fact!C:D,2,0)</f>
        <v>PROD68</v>
      </c>
      <c r="F1986" s="22" t="str">
        <f>VLOOKUP(E1986,Product_Dim!A:C,3,0)</f>
        <v>Home</v>
      </c>
      <c r="G1986" s="22" t="str" cm="1">
        <f t="array" ref="G1986:L1986">_xlfn.XLOOKUP(C1986,Sales_Fact!C1986:C3970,Sales_Fact!E1986:J3970)</f>
        <v>STORE19</v>
      </c>
      <c r="H1986" s="22">
        <v>3</v>
      </c>
      <c r="I1986" s="22">
        <v>68.45</v>
      </c>
      <c r="J1986" s="22">
        <v>0.17</v>
      </c>
      <c r="K1986" s="22" t="str">
        <v>PayPal</v>
      </c>
      <c r="L1986" s="22">
        <v>170.44049999999999</v>
      </c>
    </row>
    <row r="1987" spans="1:12" x14ac:dyDescent="0.3">
      <c r="K1987" s="22" t="s">
        <v>3955</v>
      </c>
      <c r="L1987" s="22">
        <f>SUM(L2:L1986)</f>
        <v>2155273.7476000008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Customer_Dim</vt:lpstr>
      <vt:lpstr>Product_Dim</vt:lpstr>
      <vt:lpstr>Store_Dim</vt:lpstr>
      <vt:lpstr>Sales_Fact</vt:lpstr>
      <vt:lpstr>Sheet4</vt:lpstr>
      <vt:lpstr>Sheet6</vt:lpstr>
      <vt:lpstr>Customer Details</vt:lpstr>
      <vt:lpstr>PIVOT_Product &amp; Sales Facts</vt:lpstr>
      <vt:lpstr>Charts</vt:lpstr>
      <vt:lpstr>Sheet5</vt:lpstr>
      <vt:lpstr>Combine Products &amp; Sales 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SHUAIB AHMED I</cp:lastModifiedBy>
  <dcterms:created xsi:type="dcterms:W3CDTF">2025-10-14T06:00:18Z</dcterms:created>
  <dcterms:modified xsi:type="dcterms:W3CDTF">2026-05-19T19:50:30Z</dcterms:modified>
</cp:coreProperties>
</file>